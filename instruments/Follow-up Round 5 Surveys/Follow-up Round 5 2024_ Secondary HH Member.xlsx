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survey!$A$1:$A$1596</definedName>
    <definedName hidden="1" localSheetId="6" name="_xlnm._FilterDatabase">'Q numbers'!$A$1:$A$2991</definedName>
  </definedNames>
  <calcPr/>
</workbook>
</file>

<file path=xl/sharedStrings.xml><?xml version="1.0" encoding="utf-8"?>
<sst xmlns="http://schemas.openxmlformats.org/spreadsheetml/2006/main" count="14655" uniqueCount="7807">
  <si>
    <t>list_name</t>
  </si>
  <si>
    <t>form_title</t>
  </si>
  <si>
    <t>The survey worksheet</t>
  </si>
  <si>
    <t>type</t>
  </si>
  <si>
    <t>value</t>
  </si>
  <si>
    <t>form_id</t>
  </si>
  <si>
    <t>name</t>
  </si>
  <si>
    <t>version</t>
  </si>
  <si>
    <t>label</t>
  </si>
  <si>
    <t>public_key</t>
  </si>
  <si>
    <t>label:french</t>
  </si>
  <si>
    <t>submission_url</t>
  </si>
  <si>
    <t>default_language</t>
  </si>
  <si>
    <t>label:hausa</t>
  </si>
  <si>
    <t>hint</t>
  </si>
  <si>
    <t>hint:french</t>
  </si>
  <si>
    <t>hint:hausa</t>
  </si>
  <si>
    <t>default</t>
  </si>
  <si>
    <t>Follow-Up Round 5 2024 Secondary HH Member</t>
  </si>
  <si>
    <t>appearance</t>
  </si>
  <si>
    <t>constraint</t>
  </si>
  <si>
    <t>constraint message</t>
  </si>
  <si>
    <t>constraint message:french</t>
  </si>
  <si>
    <t>constraint message:hausa</t>
  </si>
  <si>
    <t>relevance</t>
  </si>
  <si>
    <t>disabled</t>
  </si>
  <si>
    <t>image</t>
  </si>
  <si>
    <t>required</t>
  </si>
  <si>
    <t>required message</t>
  </si>
  <si>
    <t>filter</t>
  </si>
  <si>
    <t>read only</t>
  </si>
  <si>
    <t>calculation</t>
  </si>
  <si>
    <t>filter2</t>
  </si>
  <si>
    <t>repeat_count</t>
  </si>
  <si>
    <t>media:image</t>
  </si>
  <si>
    <t>media:audio</t>
  </si>
  <si>
    <t>media:video</t>
  </si>
  <si>
    <t>choice_filter</t>
  </si>
  <si>
    <t>note</t>
  </si>
  <si>
    <t>response_note</t>
  </si>
  <si>
    <t>publishable</t>
  </si>
  <si>
    <t>fu5_shm_2024</t>
  </si>
  <si>
    <t>minimum_seconds</t>
  </si>
  <si>
    <t>filter3</t>
  </si>
  <si>
    <t>filter4</t>
  </si>
  <si>
    <t>start</t>
  </si>
  <si>
    <t>starttime</t>
  </si>
  <si>
    <t>yesno</t>
  </si>
  <si>
    <t>Yes</t>
  </si>
  <si>
    <t>This worksheet specifies all of the groups, questions, and other fields in your survey form, each in its own row. Aside from overall settings and lists of multiple-choice options, everything about your survey form is specified in this worksheet.</t>
  </si>
  <si>
    <t/>
  </si>
  <si>
    <t>Oui</t>
  </si>
  <si>
    <t>end</t>
  </si>
  <si>
    <t>endtime</t>
  </si>
  <si>
    <t>english</t>
  </si>
  <si>
    <t>ii</t>
  </si>
  <si>
    <t>Learn more about form definitions and field types</t>
  </si>
  <si>
    <t>deviceid</t>
  </si>
  <si>
    <t>No</t>
  </si>
  <si>
    <t>Non</t>
  </si>
  <si>
    <t>a'a</t>
  </si>
  <si>
    <t>phonenumber</t>
  </si>
  <si>
    <t>devicephonenum</t>
  </si>
  <si>
    <t>username</t>
  </si>
  <si>
    <t>label:languagename</t>
  </si>
  <si>
    <t>hint:languagename</t>
  </si>
  <si>
    <t>round</t>
  </si>
  <si>
    <t>constraint message:languagename</t>
  </si>
  <si>
    <t>calculate</t>
  </si>
  <si>
    <t>device_info</t>
  </si>
  <si>
    <t>required message:languagename</t>
  </si>
  <si>
    <t>Round 3</t>
  </si>
  <si>
    <t>device-info()</t>
  </si>
  <si>
    <t>Tour 3</t>
  </si>
  <si>
    <t>zagaye 3</t>
  </si>
  <si>
    <t>media:image:languagename</t>
  </si>
  <si>
    <t>media:audio:languagename</t>
  </si>
  <si>
    <t>media:video:languagename</t>
  </si>
  <si>
    <t>duration</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</si>
  <si>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</si>
  <si>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duration()</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</si>
  <si>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</si>
  <si>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Round 5</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</si>
  <si>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</si>
  <si>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Tour 5</t>
  </si>
  <si>
    <t>zagaye 5</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</si>
  <si>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</si>
  <si>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</si>
  <si>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</si>
  <si>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text audit</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</si>
  <si>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</si>
  <si>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text_audit</t>
  </si>
  <si>
    <t>Question Durations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</si>
  <si>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</si>
  <si>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</si>
  <si>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</si>
  <si>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</si>
  <si>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</si>
  <si>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</si>
  <si>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</si>
  <si>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</si>
  <si>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</si>
  <si>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</si>
  <si>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</si>
  <si>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t>intronote</t>
  </si>
  <si>
    <t>1. Follow-up Round 5</t>
  </si>
  <si>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</si>
  <si>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yesnodk</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</si>
  <si>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</si>
  <si>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1. Suivi du cinquième tour</t>
  </si>
  <si>
    <t>1. Bibiyar Zagaye na 5</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</si>
  <si>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</si>
  <si>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</si>
  <si>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t>intro</t>
  </si>
  <si>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</si>
  <si>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</si>
  <si>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</si>
  <si>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</si>
  <si>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</si>
  <si>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</si>
  <si>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</si>
  <si>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aa</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</si>
  <si>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</si>
  <si>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</si>
  <si>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Don't know</t>
  </si>
  <si>
    <t>Je ne sais pas</t>
  </si>
  <si>
    <t>Ban sani ba</t>
  </si>
  <si>
    <t>calculate_here</t>
  </si>
  <si>
    <t>speedcheck_intro_start</t>
  </si>
  <si>
    <t>once(duration())</t>
  </si>
  <si>
    <t>team</t>
  </si>
  <si>
    <t>Help topic: Pre-loading data into a form</t>
  </si>
  <si>
    <t>team_id</t>
  </si>
  <si>
    <t>begin group</t>
  </si>
  <si>
    <t>team_leader</t>
  </si>
  <si>
    <t>enum_questions</t>
  </si>
  <si>
    <t>Enumerator Questions</t>
  </si>
  <si>
    <t>Help topic: Using constraints to validate responses</t>
  </si>
  <si>
    <t>select_one round</t>
  </si>
  <si>
    <t>Other</t>
  </si>
  <si>
    <t>Help topic: Implementing skip patterns with "relevance"</t>
  </si>
  <si>
    <t>The choices worksheet</t>
  </si>
  <si>
    <t>2. What round is this?</t>
  </si>
  <si>
    <t>2. quel tour est-ce ?</t>
  </si>
  <si>
    <t>2. Wane kewaye ne?</t>
  </si>
  <si>
    <t>Help topic: Other field properties</t>
  </si>
  <si>
    <t>Autre</t>
  </si>
  <si>
    <t>Wani daban</t>
  </si>
  <si>
    <t>selected(., '5')</t>
  </si>
  <si>
    <t>We are currently in round 5!</t>
  </si>
  <si>
    <t>yes</t>
  </si>
  <si>
    <t>filter=5</t>
  </si>
  <si>
    <t>Help topic: Field type: calculate</t>
  </si>
  <si>
    <t>Help topic: Grouping and repeating questions</t>
  </si>
  <si>
    <t>select_one team</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</si>
  <si>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</si>
  <si>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3. Who is your team leader?</t>
  </si>
  <si>
    <t>3. Qui est votre chef d'équipe?</t>
  </si>
  <si>
    <t>3. Wanene shugaban tahiyar ku ?</t>
  </si>
  <si>
    <t>Help topic: Images: Adding pictures and other graphics</t>
  </si>
  <si>
    <t>search('teams_fu5')</t>
  </si>
  <si>
    <t>Read about the select_one field type for more information</t>
  </si>
  <si>
    <t>enum</t>
  </si>
  <si>
    <t>enum_id</t>
  </si>
  <si>
    <t>enum_name</t>
  </si>
  <si>
    <t>Help topic: Dynamically filtering lists of multiple-choice options</t>
  </si>
  <si>
    <t>Read about the select_multiple field type for more information</t>
  </si>
  <si>
    <t>select_one enum</t>
  </si>
  <si>
    <t>enumerator</t>
  </si>
  <si>
    <t>4. What is your name?</t>
  </si>
  <si>
    <t>4. Quel est votre nom?</t>
  </si>
  <si>
    <t>4. Menene sunanka?</t>
  </si>
  <si>
    <t>Help topic: Downloading printable copies of your forms</t>
  </si>
  <si>
    <t>search('teams_fu5', 'matches', 'team_id', ${team_leader})</t>
  </si>
  <si>
    <t>Read about dynamically loading choice lists from external pre-loaded data</t>
  </si>
  <si>
    <t>Help topic: Encrypting form data (end-to-end encryption)</t>
  </si>
  <si>
    <t>enumerator_name</t>
  </si>
  <si>
    <t>CALC: Pull enumerator name</t>
  </si>
  <si>
    <t>pulldata('teams_fu5', 'enum_name', 'enum_id', ${enumerator})</t>
  </si>
  <si>
    <t>Help topic: Collecting high-quality data</t>
  </si>
  <si>
    <t>commune</t>
  </si>
  <si>
    <t>commune_id</t>
  </si>
  <si>
    <t>commune_name</t>
  </si>
  <si>
    <t>enumerator_partner</t>
  </si>
  <si>
    <t>5. What is your partner's name?</t>
  </si>
  <si>
    <t>5. Quel est le nom de votre binôme?</t>
  </si>
  <si>
    <t>5. Menene sunan abokin aikinka</t>
  </si>
  <si>
    <t>enumerator_partner_name</t>
  </si>
  <si>
    <t>image:languagename</t>
  </si>
  <si>
    <r>
      <rPr>
        <rFont val="Calibri"/>
        <color rgb="FF000000"/>
        <sz val="12.0"/>
        <u/>
      </rPr>
      <t>Examples</t>
    </r>
    <r>
      <rPr>
        <rFont val="Calibri"/>
        <color rgb="FF000000"/>
        <sz val="12.0"/>
        <u/>
      </rPr>
      <t xml:space="preserve"> (scroll right for appearance styles)</t>
    </r>
  </si>
  <si>
    <t>pulldata('teams_fu5', 'enum_name', 'enum_id', ${enumerator_partner})</t>
  </si>
  <si>
    <t>select_one commune</t>
  </si>
  <si>
    <t>6. What commune are you surveying in?</t>
  </si>
  <si>
    <t>6. Quelle est votre commune de travail ?</t>
  </si>
  <si>
    <t>6. Cikin wane komin kake aiki?</t>
  </si>
  <si>
    <t>search('locations')</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</si>
  <si>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</si>
  <si>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</si>
  <si>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</si>
  <si>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CALC: Pull commune name</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</si>
  <si>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</si>
  <si>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</si>
  <si>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</si>
  <si>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locality</t>
  </si>
  <si>
    <t>vn</t>
  </si>
  <si>
    <t>locality_name</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</si>
  <si>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</si>
  <si>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pulldata('locations', 'commune_name', 'commune_id', ${commune})</t>
  </si>
  <si>
    <t>pm_home_location</t>
  </si>
  <si>
    <t>${commune_name}</t>
  </si>
  <si>
    <t>respondent</t>
  </si>
  <si>
    <t>pulldata('locations', 'commune_id', 'commune_name', ${commune_name})</t>
  </si>
  <si>
    <t>fieldname</t>
  </si>
  <si>
    <t>select_one locality</t>
  </si>
  <si>
    <t>7. What village/neighborhood are you surveying in?</t>
  </si>
  <si>
    <t>7. Dans quelle ville/village faites-vous votre enquête ?</t>
  </si>
  <si>
    <t>7. Cikin wane gari kake binciken?</t>
  </si>
  <si>
    <t>search('locations', 'matches', 'commune_id', ${commune})</t>
  </si>
  <si>
    <t>Enumerator selection field (require a special code in order to reveal the full enumerator list):</t>
  </si>
  <si>
    <t>PM - ${pm_name} (age: ${pm_age})</t>
  </si>
  <si>
    <t>PM - ${pm_name}</t>
  </si>
  <si>
    <t>other-user-code(xyz)</t>
  </si>
  <si>
    <t>CALC: Pull locality name</t>
  </si>
  <si>
    <t>pulldata('locations', 'locality_name', 'vn', ${locality})</t>
  </si>
  <si>
    <t>SHM - ${shm_name} (age: ${shm_age})</t>
  </si>
  <si>
    <t>SHM - ${shm_name}</t>
  </si>
  <si>
    <t>village_id</t>
  </si>
  <si>
    <t>Enumerator selection field (require a special code in order to enter a new enumerator):</t>
  </si>
  <si>
    <t>Woman - ${w_name} (age: ${w_age})</t>
  </si>
  <si>
    <t>pulldata('locations', 'village_id', 'vn', ${locality})</t>
  </si>
  <si>
    <t>add-new-code(xyz)</t>
  </si>
  <si>
    <t>id_startswith</t>
  </si>
  <si>
    <t>None</t>
  </si>
  <si>
    <t>Aucun</t>
  </si>
  <si>
    <t>Babu</t>
  </si>
  <si>
    <t>concat(${commune_id}, '-', ${village_id})</t>
  </si>
  <si>
    <t>Enumerator selection field:</t>
  </si>
  <si>
    <t>end group</t>
  </si>
  <si>
    <t>default-to-entry</t>
  </si>
  <si>
    <t>resp</t>
  </si>
  <si>
    <t>${pm_name} (age: ${pm_age})</t>
  </si>
  <si>
    <t>${pm_name} (âge: ${pm_age})</t>
  </si>
  <si>
    <t>${pm_name} (shekaru: ${pm_age})</t>
  </si>
  <si>
    <t>${w_name} (age: ${w_age})</t>
  </si>
  <si>
    <t>${w_name} (âge: ${w_age})</t>
  </si>
  <si>
    <t>${w_name} (shekaru: ${w_age})</t>
  </si>
  <si>
    <t>default-to-scan</t>
  </si>
  <si>
    <t>period_bl</t>
  </si>
  <si>
    <t>"From the baseline survey (September/October 2023) to today."</t>
  </si>
  <si>
    <t>id</t>
  </si>
  <si>
    <t>id_key</t>
  </si>
  <si>
    <t>hh_id</t>
  </si>
  <si>
    <t>text</t>
  </si>
  <si>
    <t>Standard text field:</t>
  </si>
  <si>
    <t>period_french_bl</t>
  </si>
  <si>
    <t>"De la première enquête de l'année passée (septembre/octobre 2023) à maintenant."</t>
  </si>
  <si>
    <t>sex</t>
  </si>
  <si>
    <t>Text field which uses the numeric keypad:</t>
  </si>
  <si>
    <t>period_hausa_bl</t>
  </si>
  <si>
    <t>Male</t>
  </si>
  <si>
    <t>Homme</t>
  </si>
  <si>
    <t>numbers</t>
  </si>
  <si>
    <t>Namiji</t>
  </si>
  <si>
    <t>"Tun daga binciken fari na bara a ƙarshen damana zuwa yanzu."</t>
  </si>
  <si>
    <t>period_bl_fu4</t>
  </si>
  <si>
    <t>Female</t>
  </si>
  <si>
    <t>"From the baseline survey (September/Ocober 2023) to the most recent phone survey"</t>
  </si>
  <si>
    <t>Femme</t>
  </si>
  <si>
    <t>integer</t>
  </si>
  <si>
    <t>Mace</t>
  </si>
  <si>
    <t>period_french_bl_fu4</t>
  </si>
  <si>
    <t>Standard integer field:</t>
  </si>
  <si>
    <t>"De notre toute première enquête de l'année passée (septembre/octobre 2023) à la fin de la saison des pluies"</t>
  </si>
  <si>
    <t>relation</t>
  </si>
  <si>
    <t>period_hausa_bl_fu4</t>
  </si>
  <si>
    <t>Household head</t>
  </si>
  <si>
    <t>Chef de menage</t>
  </si>
  <si>
    <t>Mai gida</t>
  </si>
  <si>
    <t>"Daga bincikenmu na farko a bara (Satumba/Oktoba 2023) zuwa ƙarshen lokacin damana"</t>
  </si>
  <si>
    <t>period</t>
  </si>
  <si>
    <t>decimal</t>
  </si>
  <si>
    <t>Spouse</t>
  </si>
  <si>
    <t>Conjoint</t>
  </si>
  <si>
    <t>Uwar gida/ Mata</t>
  </si>
  <si>
    <t>"From our most recent phone survey (September 2024) to now"</t>
  </si>
  <si>
    <t>Son/daughter</t>
  </si>
  <si>
    <t>Fils/fille</t>
  </si>
  <si>
    <t>Ɗa/ɗiya</t>
  </si>
  <si>
    <t>Standard decimal field:</t>
  </si>
  <si>
    <t>period_french</t>
  </si>
  <si>
    <t>"De la fin de saison des pluies (septembre 2024) à maintenant"</t>
  </si>
  <si>
    <t>Father/mother</t>
  </si>
  <si>
    <t>Père/mère</t>
  </si>
  <si>
    <t>Uwa/uba</t>
  </si>
  <si>
    <t>period_hausa</t>
  </si>
  <si>
    <t>Brother/sister</t>
  </si>
  <si>
    <t>Frère/sœur</t>
  </si>
  <si>
    <t>Wa/ƙane/Ya/ƙanwa</t>
  </si>
  <si>
    <t>"Daga karshen lokacin damana (Satumba 2024) zuwa yanzu"</t>
  </si>
  <si>
    <t>select_one listname</t>
  </si>
  <si>
    <t>Standard multiple-choice field (allows one selection, shown as series of radio buttons):</t>
  </si>
  <si>
    <t>Nephew/niece</t>
  </si>
  <si>
    <t>Neveu/nièce</t>
  </si>
  <si>
    <t>Ɗan ƙane ko wa/Ɗiyar ƙane ko wa</t>
  </si>
  <si>
    <t>select_one id</t>
  </si>
  <si>
    <t>8. Select the Household ID number:</t>
  </si>
  <si>
    <t>8. Sélectionnez le numéro d'identification du ménage :</t>
  </si>
  <si>
    <t>8. Zaɓi lambar ID na Gida: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</si>
  <si>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</si>
  <si>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</si>
  <si>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The settings worksheet</t>
  </si>
  <si>
    <t>Mai bincike: idan ba ka samu ID na Gidan a cikin jerin sunayen da aka bayar ba, to ka sake duba sunan komin da sunan garin a cikin shafin da ya gabata.</t>
  </si>
  <si>
    <t>search('baseline_ids_fu5', 'startswith', 'hh_id', ${id_startswith})</t>
  </si>
  <si>
    <t>Grand-parent</t>
  </si>
  <si>
    <t>Kaka</t>
  </si>
  <si>
    <t>Father/mother-in-law</t>
  </si>
  <si>
    <t>Beau-père/ belle-mère</t>
  </si>
  <si>
    <t>Siriki/sarakuwa</t>
  </si>
  <si>
    <t>Multiple-choice field (allows one selection, shown horizontally along likert-type scale):</t>
  </si>
  <si>
    <t>likert</t>
  </si>
  <si>
    <t>Brother in law/Sister in law</t>
  </si>
  <si>
    <t>Beau-frère/belle-sœur</t>
  </si>
  <si>
    <t>ƙane ko wan mata/ƙanwa ko yar mata</t>
  </si>
  <si>
    <t>if(${id}!= null, pulldata('baseline_ids_fu5', 'hh_id', 'id_key', ${id}), null)</t>
  </si>
  <si>
    <t>Son/daughter-in-law</t>
  </si>
  <si>
    <t>Beau fils / belle-fille</t>
  </si>
  <si>
    <t>Mijin ɗiya/matar ɗa</t>
  </si>
  <si>
    <t>This worksheet contains overall settings for your form, all specified in the second row of the worksheet. When you download a form template from your SurveyCTO server, these settings will be pre-filled for you.</t>
  </si>
  <si>
    <t>phase</t>
  </si>
  <si>
    <t>pulldata('baseline_ids_fu5', 'phase', 'hh_id', ${hh_id})</t>
  </si>
  <si>
    <t>Grandchildren</t>
  </si>
  <si>
    <t>Petits-enfants</t>
  </si>
  <si>
    <t>Jikoki</t>
  </si>
  <si>
    <t>Multiple-choice field (allows one selection, shown horizontally along likert-type scale, labels only at ends of the scale):</t>
  </si>
  <si>
    <t>likert-min</t>
  </si>
  <si>
    <t>Cousin</t>
  </si>
  <si>
    <t>Cousin/Cousine</t>
  </si>
  <si>
    <t>Dan/ Wa/Kanen uba</t>
  </si>
  <si>
    <t>pm_name</t>
  </si>
  <si>
    <t>pulldata('baseline_ids_fu5', 'pm_name', 'hh_id', ${hh_id})</t>
  </si>
  <si>
    <t>Co-spouse</t>
  </si>
  <si>
    <t>Co-épouse</t>
  </si>
  <si>
    <t>Kishiya</t>
  </si>
  <si>
    <t>Multiple-choice field (allows one selection, shown horizontally along likert-type scale, labels only at ends and middle of scale):</t>
  </si>
  <si>
    <t>shm_name_bl</t>
  </si>
  <si>
    <t>likert-mid</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</si>
  <si>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</si>
  <si>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</si>
  <si>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</si>
  <si>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No family relation</t>
  </si>
  <si>
    <t>Aucun lien de parenté</t>
  </si>
  <si>
    <t>This is the public key with which to encrypt all form submissions.
View the help topic below for more details.</t>
  </si>
  <si>
    <t>Babu dangantaka</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</si>
  <si>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</si>
  <si>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</si>
  <si>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pulldata('baseline_ids_fu5', 'shm_name', 'hh_id', ${hh_id})</t>
  </si>
  <si>
    <t>Help topic: Hiding forms during testing</t>
  </si>
  <si>
    <t>Multiple-choice field (allows one selection, auto-advances to next question as soon as an option is selected):</t>
  </si>
  <si>
    <t>w_name</t>
  </si>
  <si>
    <t>quick</t>
  </si>
  <si>
    <t>call</t>
  </si>
  <si>
    <t>Phone did not ring</t>
  </si>
  <si>
    <t>Le téléphone n'a pas sonné</t>
  </si>
  <si>
    <t>pulldata('baseline_ids_fu5', 'w_name', 'hh_id', ${hh_id})</t>
  </si>
  <si>
    <t>Waya ba ta yi ƙara ba</t>
  </si>
  <si>
    <t>Help topic: Updating an existing form</t>
  </si>
  <si>
    <t>pm_age</t>
  </si>
  <si>
    <t>pulldata('baseline_ids_fu5', 'pm_age', 'hh_id', ${hh_id})</t>
  </si>
  <si>
    <t>Phone rang but no one picked up</t>
  </si>
  <si>
    <t>Le téléphone a sonné mais personne n'a décroché</t>
  </si>
  <si>
    <t>Waya tayi ƙara amma babu wanda ya dauka</t>
  </si>
  <si>
    <t>Multiple-choice field (allows one selection, shown as a drop-down selector):</t>
  </si>
  <si>
    <t>shm_age_bl</t>
  </si>
  <si>
    <t>minimal</t>
  </si>
  <si>
    <t>Phone rang and was answered</t>
  </si>
  <si>
    <t>Le téléphone a sonné et on a répondu</t>
  </si>
  <si>
    <t>Waya tayi kara kuma an amsa</t>
  </si>
  <si>
    <t>pulldata('baseline_ids_fu5', 'shm_age', 'hh_id', ${hh_id})</t>
  </si>
  <si>
    <t>w_age</t>
  </si>
  <si>
    <t>pulldata('baseline_ids_fu5', 'w_age', 'hh_id', ${hh_id})</t>
  </si>
  <si>
    <t>pm_hoh</t>
  </si>
  <si>
    <t>Multiple-choice field (allows one selection, shown as a compact table of options):</t>
  </si>
  <si>
    <t>compact</t>
  </si>
  <si>
    <t>pulldata('baseline_ids_fu5', 'pm_hoh', 'hh_id', ${hh_id})</t>
  </si>
  <si>
    <t>contact_relation</t>
  </si>
  <si>
    <t>Spouse/partner</t>
  </si>
  <si>
    <t>Conjoint/partenaire</t>
  </si>
  <si>
    <t>shm_hoh_bl</t>
  </si>
  <si>
    <t>Miji/mace/</t>
  </si>
  <si>
    <t>pulldata('baseline_ids_fu5', 'shm_hoh', 'hh_id', ${hh_id})</t>
  </si>
  <si>
    <t>Child</t>
  </si>
  <si>
    <t>Enfant</t>
  </si>
  <si>
    <t>Yaro</t>
  </si>
  <si>
    <t>Multiple-choice field (allows one selection, shown as a compact table of options with exactly three columns):</t>
  </si>
  <si>
    <t>w_hoh</t>
  </si>
  <si>
    <t>compact-3</t>
  </si>
  <si>
    <t>pulldata('baseline_ids_fu5', 'w_hoh', 'hh_id', ${hh_id})</t>
  </si>
  <si>
    <t>Parent</t>
  </si>
  <si>
    <t>Uwa</t>
  </si>
  <si>
    <t>Sibling</t>
  </si>
  <si>
    <t>Frère et sœur</t>
  </si>
  <si>
    <t>Ɗan uwa/ƴar uwa</t>
  </si>
  <si>
    <t>w_shm</t>
  </si>
  <si>
    <t>pulldata('baseline_ids_fu5', 'w_shm', 'hh_id', ${hh_id})</t>
  </si>
  <si>
    <t>Multiple-choice field (allows one selection, shown as a compact table of options, auto-advances to next question as soon as an option is selected):</t>
  </si>
  <si>
    <t>Member of spouse's family</t>
  </si>
  <si>
    <t>Membre de la famille du conjoint</t>
  </si>
  <si>
    <t>Dan gidan aure</t>
  </si>
  <si>
    <t>treatment</t>
  </si>
  <si>
    <t>quickcompact</t>
  </si>
  <si>
    <t>pulldata('baseline_ids_fu5', 'treatment_group', 'hh_id', ${hh_id})</t>
  </si>
  <si>
    <t>Other family member</t>
  </si>
  <si>
    <t>Autre membre de la famille</t>
  </si>
  <si>
    <t>Wani dan uwa</t>
  </si>
  <si>
    <t>treatment_cfa</t>
  </si>
  <si>
    <t>Friend</t>
  </si>
  <si>
    <t>Ami</t>
  </si>
  <si>
    <t>Aboki</t>
  </si>
  <si>
    <t>"1000"</t>
  </si>
  <si>
    <t>Neighbor</t>
  </si>
  <si>
    <t>Voisin</t>
  </si>
  <si>
    <t>Makwabci</t>
  </si>
  <si>
    <t>hhmembers</t>
  </si>
  <si>
    <t>Multiple-choice field (allows one selection, shown as a compact table of options with exactly three columns, auto-advances to next question as soon as an option is selected):</t>
  </si>
  <si>
    <t>quickcompact-3</t>
  </si>
  <si>
    <t>pulldata('baseline_ids_fu5', 'hhmembers', 'hh_id', ${hh_id})</t>
  </si>
  <si>
    <t>begin repeat</t>
  </si>
  <si>
    <t>hoh_roster_label</t>
  </si>
  <si>
    <t>Create line separate list of hh members</t>
  </si>
  <si>
    <t>interest</t>
  </si>
  <si>
    <t>Not very interested</t>
  </si>
  <si>
    <t>Pas très intéressé</t>
  </si>
  <si>
    <t>Multiple-choice field (allows one selection, loads options from pre-loaded .csv file, includes options based on a "contains" comparison):</t>
  </si>
  <si>
    <t>Ba sha'awa sosai</t>
  </si>
  <si>
    <t>${hhmembers}</t>
  </si>
  <si>
    <t>search('hhplotdata', 'contains', 'respondentname', ${nametofind})</t>
  </si>
  <si>
    <t>hoh_hhmem_index</t>
  </si>
  <si>
    <t>Somewhat interested</t>
  </si>
  <si>
    <t>Un peu intéressé</t>
  </si>
  <si>
    <t>Da ɗan sha'awa</t>
  </si>
  <si>
    <t>index()</t>
  </si>
  <si>
    <t>Multiple-choice field (allows one selection, loads options from pre-loaded .csv file, includes options based on a "starts with" comparison):</t>
  </si>
  <si>
    <t>Very interested</t>
  </si>
  <si>
    <t>Très intéressé</t>
  </si>
  <si>
    <t>Da Sha'awa sosai</t>
  </si>
  <si>
    <t>hoh_hhmem_name</t>
  </si>
  <si>
    <t>search('hhplotdata', 'startswith', 'respondentname', ${nameprefix})</t>
  </si>
  <si>
    <t xml:space="preserve">                          </t>
  </si>
  <si>
    <t>pulldata('baseline_ids_fu5', concat('hhname', ${hoh_hhmem_index}), 'hh_id', ${hh_id})</t>
  </si>
  <si>
    <t>hoh_hhmem_age</t>
  </si>
  <si>
    <t>patient</t>
  </si>
  <si>
    <t>pulldata('baseline_ids_fu5', concat('hhage', ${hoh_hhmem_index}), 'hh_id', ${hh_id})</t>
  </si>
  <si>
    <t>Impatient</t>
  </si>
  <si>
    <t>Multiple-choice field (allows one selection, loads options from pre-loaded .csv file, includes options based on an "ends with" comparison):</t>
  </si>
  <si>
    <t>Babu haƙuri</t>
  </si>
  <si>
    <t>search('hhplotdata', 'endswith', 'respondentname', ${namesuffix})</t>
  </si>
  <si>
    <t>hoh_hhmem_sex</t>
  </si>
  <si>
    <t>Somewhat patient</t>
  </si>
  <si>
    <t>Un peu patient</t>
  </si>
  <si>
    <t>Da ɗan haƙuri</t>
  </si>
  <si>
    <t>pulldata('baseline_ids_fu5', concat('hhsex', ${hoh_hhmem_index}), 'hh_id', ${hh_id})</t>
  </si>
  <si>
    <t>Very patient</t>
  </si>
  <si>
    <t>Très patient</t>
  </si>
  <si>
    <t>Da Hakuri sosai</t>
  </si>
  <si>
    <t>Multiple-choice field (allows one selection, loads options from pre-loaded .csv file, includes options based on an "exact match" comparison):</t>
  </si>
  <si>
    <t>hoh_hhmem</t>
  </si>
  <si>
    <t>search('hhplotdata', 'matches', 'respondentname', ${nametofind})</t>
  </si>
  <si>
    <t>concat(${hoh_hhmem_name}, ' (age: ', ${hoh_hhmem_age}, ', sex: ', ${hoh_hhmem_sex}, ')')</t>
  </si>
  <si>
    <t>end repeat</t>
  </si>
  <si>
    <t>comprehension</t>
  </si>
  <si>
    <t>Did not understand</t>
  </si>
  <si>
    <t>N'a pas compris</t>
  </si>
  <si>
    <t>Multiple-choice field (allows one selection, loads options from pre-loaded .csv file, includes options based on both a "contains" comparison and an "exact match" filter):</t>
  </si>
  <si>
    <t>Bai gane ba</t>
  </si>
  <si>
    <t>search('hhplotdata', 'contains', 'respondentname', ${nametofind}, 'villageid', ${villageid})</t>
  </si>
  <si>
    <t>hoh_roster_list</t>
  </si>
  <si>
    <t>Understood somewhat</t>
  </si>
  <si>
    <t>Un peu compris</t>
  </si>
  <si>
    <t>Ya gane ɗan kadan</t>
  </si>
  <si>
    <t>join(linebreak(), ${hoh_hhmem})</t>
  </si>
  <si>
    <t>1. Follow-up Round 3</t>
  </si>
  <si>
    <t>1. Suivi du troisième tour</t>
  </si>
  <si>
    <t>1. Bibiyar Zagaye na 3</t>
  </si>
  <si>
    <t>Understood well</t>
  </si>
  <si>
    <t>Bien compris</t>
  </si>
  <si>
    <t>Ya gane sosai</t>
  </si>
  <si>
    <t>select_multiple listname</t>
  </si>
  <si>
    <t>hoh_roster_above16_list</t>
  </si>
  <si>
    <t>Standard multiple-choice field (allows multiple selections, shown as series of radio buttons):</t>
  </si>
  <si>
    <t>join-if(linebreak(), ${hoh_hhmem}, ${hoh_hhmem_age} &gt; 16 and (${hoh_hhmem_name} != ${shm_name_bl} and ${hoh_hhmem_name} != ${pm_name}))</t>
  </si>
  <si>
    <t>hoh_roster_above16_namelist</t>
  </si>
  <si>
    <t>present</t>
  </si>
  <si>
    <t>Alone</t>
  </si>
  <si>
    <t>Seul</t>
  </si>
  <si>
    <t>join-if(linebreak(), ${hoh_hhmem_name}, ${hoh_hhmem_age} &gt; 16 and (${hoh_hhmem_name} != ${shm_name_bl} and ${hoh_hhmem_name} != ${pm_name}))</t>
  </si>
  <si>
    <t>Shi kaɗai</t>
  </si>
  <si>
    <t>Multiple-choice field (allows multiple selections, shown as a pop-up selector):</t>
  </si>
  <si>
    <t>With spouse only</t>
  </si>
  <si>
    <t>hoh_roster_above16_agelist</t>
  </si>
  <si>
    <t>Avec conjoint seulement</t>
  </si>
  <si>
    <t>Tare da mata kawai</t>
  </si>
  <si>
    <t>join-if(linebreak(), ${hoh_hhmem_age}, ${hoh_hhmem_age} &gt; 16 and (${hoh_hhmem_name} != ${shm_name_bl} and ${hoh_hhmem_name} != ${pm_name}))</t>
  </si>
  <si>
    <t>With household members</t>
  </si>
  <si>
    <t>Avec les membres du ménage</t>
  </si>
  <si>
    <t>Tare da yan gida</t>
  </si>
  <si>
    <t>Multiple-choice field (allows multiple selections, shown as a compact table of options):</t>
  </si>
  <si>
    <t>With non-household members</t>
  </si>
  <si>
    <t>Avec des non-membres du ménage</t>
  </si>
  <si>
    <t>Tare da wadanda ba ƴan gida ba</t>
  </si>
  <si>
    <t>hhmem1</t>
  </si>
  <si>
    <t>savings</t>
  </si>
  <si>
    <t>Multiple-choice field (allows multiple selections, shown as a compact table of options with exactly three columns):</t>
  </si>
  <si>
    <t>item-at(linebreak(), ${hoh_roster_above16_list}, 0)</t>
  </si>
  <si>
    <t>In cash</t>
  </si>
  <si>
    <t>En argent liquide</t>
  </si>
  <si>
    <t>A Tsabar kudi</t>
  </si>
  <si>
    <t>hhmem2</t>
  </si>
  <si>
    <t>In a bank account</t>
  </si>
  <si>
    <t>Dans un compte bancaire</t>
  </si>
  <si>
    <t>A cikin asusun banki</t>
  </si>
  <si>
    <t>item-at(linebreak(), ${hoh_roster_above16_list}, 1)</t>
  </si>
  <si>
    <t>Multiple-choice field (allows multiple selections, loads options from pre-loaded .csv file, includes options based on a "contains" comparison):</t>
  </si>
  <si>
    <t xml:space="preserve">8. </t>
  </si>
  <si>
    <t>In a mobile money account</t>
  </si>
  <si>
    <t>Dans un compte mobile money</t>
  </si>
  <si>
    <t>A cikin asusun wayar hannu</t>
  </si>
  <si>
    <t>hhmem3</t>
  </si>
  <si>
    <t>item-at(linebreak(), ${hoh_roster_above16_list}, 2)</t>
  </si>
  <si>
    <t>In Jewelery or other valuables</t>
  </si>
  <si>
    <t>Dans les bijoux ou autres objets de valeur</t>
  </si>
  <si>
    <t>A cikin kayan ado ko wasu abubuwa masu mahimmanci</t>
  </si>
  <si>
    <t>hhmem4</t>
  </si>
  <si>
    <t>With a 'big man' in the area</t>
  </si>
  <si>
    <t>item-at(linebreak(), ${hoh_roster_above16_list}, 3)</t>
  </si>
  <si>
    <t>Multiple-choice field (allows multiple selections, loads options from pre-loaded .csv file, includes options based on a "starts with" comparison):</t>
  </si>
  <si>
    <t>Avec un "grand homme" dans la région</t>
  </si>
  <si>
    <t>Tare da wani 'babban mutum' a jahar</t>
  </si>
  <si>
    <t>hhmem5</t>
  </si>
  <si>
    <t>By buying stocks of cereals</t>
  </si>
  <si>
    <t xml:space="preserve">Achat du céréale </t>
  </si>
  <si>
    <t>item-at(linebreak(), ${hoh_roster_above16_list}, 4)</t>
  </si>
  <si>
    <t>hhmem6</t>
  </si>
  <si>
    <t>Multiple-choice field (allows multiple selections, loads options from pre-loaded .csv file, includes options based on an "ends with" comparison):</t>
  </si>
  <si>
    <t>item-at(linebreak(), ${hoh_roster_above16_list}, 5)</t>
  </si>
  <si>
    <t>9. You indicated that you are attempting to interview ${shm_name} (age: ${shm_age}). Is that correct?</t>
  </si>
  <si>
    <t xml:space="preserve">9. </t>
  </si>
  <si>
    <t>hhmem7</t>
  </si>
  <si>
    <t>item-at(linebreak(), ${hoh_roster_above16_list}, 6)</t>
  </si>
  <si>
    <t>10. Who are you trying to interview? Here are the other respondents in this household:</t>
  </si>
  <si>
    <t>10. Qui essayez-vous d’interroger ? Voici les autres répondants de ce foyer :</t>
  </si>
  <si>
    <t>10. Wanene kuke ƙoƙarin yin hira da shi ? Ga sauran masu bada amsa a wannan gidan:</t>
  </si>
  <si>
    <t>hhmem8</t>
  </si>
  <si>
    <t>Multiple-choice field (allows multiple selections, loads options from pre-loaded .csv file, includes options based on an "exact match" comparison):</t>
  </si>
  <si>
    <t>item-at(linebreak(), ${hoh_roster_above16_list}, 7)</t>
  </si>
  <si>
    <t>11. End of survey. Please return and fill out the PM survey to collect survey responses.</t>
  </si>
  <si>
    <t>11. Fin de l'enquête. Veuillez revenir et remplir l'enquête PM pour recueillir les réponses aux questions.</t>
  </si>
  <si>
    <t>freq</t>
  </si>
  <si>
    <t>11. Ƙarshen binciken kenan. Da fatan za a dawo a cika binciken PM don tattara amsoshin binciken.</t>
  </si>
  <si>
    <t>Never</t>
  </si>
  <si>
    <t>Jamais</t>
  </si>
  <si>
    <t>Har abada</t>
  </si>
  <si>
    <t>12. End of survey. Please return and fill out the Woman survey to collect survey responses.</t>
  </si>
  <si>
    <t>12. Fin de l'enquête. Veuillez revenir et remplir l'enquête Femme pour recueillir les réponses aux questions.</t>
  </si>
  <si>
    <t>12. Ƙarshen binciken kenan. Da fatan za a dawo a cika binciken Mata don tattara amsoshin binciken.</t>
  </si>
  <si>
    <t>hhmem9</t>
  </si>
  <si>
    <t>item-at(linebreak(), ${hoh_roster_above16_list}, 8)</t>
  </si>
  <si>
    <t>Rarely</t>
  </si>
  <si>
    <t>Rarement</t>
  </si>
  <si>
    <t>Jehi jehi</t>
  </si>
  <si>
    <t>Multiple-choice field (allows multiple selections, loads options from pre-loaded .csv file, includes options based on both a "contains" comparison and an "exact match" filter):</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</si>
  <si>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</si>
  <si>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</si>
  <si>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hhmem10</t>
  </si>
  <si>
    <t>Sometimes</t>
  </si>
  <si>
    <t>Parfois</t>
  </si>
  <si>
    <t>Lokaci zuwa lokaci</t>
  </si>
  <si>
    <t>item-at(linebreak(), ${hoh_roster_above16_list}, 9)</t>
  </si>
  <si>
    <t>Often</t>
  </si>
  <si>
    <t>Souvent</t>
  </si>
  <si>
    <t>Sau da yawa</t>
  </si>
  <si>
    <t>hhmem11</t>
  </si>
  <si>
    <t>12. SHM Questions</t>
  </si>
  <si>
    <t>item-at(linebreak(), ${hoh_roster_above16_list}, 10)</t>
  </si>
  <si>
    <t>geopoint</t>
  </si>
  <si>
    <t xml:space="preserve">12. </t>
  </si>
  <si>
    <t>13. Are you living at home in ${pm_home_location}?</t>
  </si>
  <si>
    <t>hhmem12</t>
  </si>
  <si>
    <t>13. Habitez-vous chez vous à ${pm_home_location}?</t>
  </si>
  <si>
    <t>13. Kuna zaune a gida a ${pm_home_location}?</t>
  </si>
  <si>
    <t>15. SHM Questions</t>
  </si>
  <si>
    <t xml:space="preserve">15. </t>
  </si>
  <si>
    <t>Standard GPS location-capture field:</t>
  </si>
  <si>
    <t>item-at(linebreak(), ${hoh_roster_above16_list}, 11)</t>
  </si>
  <si>
    <t>15. Enumerator: Is location in Niger?</t>
  </si>
  <si>
    <t>15. Enquêteur : La localité est-elle au Niger ?</t>
  </si>
  <si>
    <t>15. Enquêteur : L'emplacement est-il au Niger ?</t>
  </si>
  <si>
    <t>hhmem13</t>
  </si>
  <si>
    <t>item-at(linebreak(), ${hoh_roster_above16_list}, 12)</t>
  </si>
  <si>
    <t>17. Are you married?</t>
  </si>
  <si>
    <t xml:space="preserve">17. </t>
  </si>
  <si>
    <t>geoshape</t>
  </si>
  <si>
    <t>hhmem14</t>
  </si>
  <si>
    <t>18. Enumerator: Is location in Niger?</t>
  </si>
  <si>
    <t>18. Enquêteur : La localité est-elle au Niger ?</t>
  </si>
  <si>
    <t>18. Enquêteur : L'emplacement est-il au Niger ?</t>
  </si>
  <si>
    <t>item-at(linebreak(), ${hoh_roster_above16_list}, 13)</t>
  </si>
  <si>
    <t>16. Are you living at home in ${pm_home_location}?</t>
  </si>
  <si>
    <t>16. Habitez-vous chez vous à ${pm_home_location}?</t>
  </si>
  <si>
    <t>16. Kuna zaune a gida a ${pm_home_location}?</t>
  </si>
  <si>
    <t>Boundary-capture field (GPS polygon):</t>
  </si>
  <si>
    <t>hhmem15</t>
  </si>
  <si>
    <t>item-at(linebreak(), ${hoh_roster_above16_list}, 14)</t>
  </si>
  <si>
    <t>hhmem16</t>
  </si>
  <si>
    <t>item-at(linebreak(), ${hoh_roster_above16_list}, 15)</t>
  </si>
  <si>
    <t>hhmem17</t>
  </si>
  <si>
    <t>item-at(linebreak(), ${hoh_roster_above16_list}, 16)</t>
  </si>
  <si>
    <t>geotrace</t>
  </si>
  <si>
    <t>20. Enumerator: Select country</t>
  </si>
  <si>
    <t>20. Enquêteur : sélectionnez le pays</t>
  </si>
  <si>
    <t>20. Ɗan bincike: Zaɓi ƙasa</t>
  </si>
  <si>
    <t>hhmem18</t>
  </si>
  <si>
    <t>21. Enumerator: Enter other country</t>
  </si>
  <si>
    <t>21. Enquêteur : Entrez un autre pays</t>
  </si>
  <si>
    <t>21. Ɗan bincike: Shigar da wata ƙasa</t>
  </si>
  <si>
    <t>Boundary- or path-capture field (GPS polyline or polygon):</t>
  </si>
  <si>
    <t>item-at(linebreak(), ${hoh_roster_above16_list}, 17)</t>
  </si>
  <si>
    <t>22. Enumerator: Select town</t>
  </si>
  <si>
    <t>22. Enquêteur : Sélectionnez la ville</t>
  </si>
  <si>
    <t>22. Ɗan bincike: Zaɓi gari</t>
  </si>
  <si>
    <t>23. What is the main reason you are living in ${shm_current_location}?</t>
  </si>
  <si>
    <t>23. Quelle est la principale raison pour laquelle vous vivez dans ${shm_current_location}?</t>
  </si>
  <si>
    <t>23. Menene babban dalilin da yasa kuke rayuwa a ${shm_current_location}?</t>
  </si>
  <si>
    <t>hhmem19</t>
  </si>
  <si>
    <t>24. How long have you been in ${shm_current_location} in weeks?</t>
  </si>
  <si>
    <t>24. Depuis combien de temps êtes-vous dans ${shm_current_location} depuis des semaines?</t>
  </si>
  <si>
    <t>24. Tun yaushe kuke a ${shm_current_location} a cikin makonni?</t>
  </si>
  <si>
    <t>item-at(linebreak(), ${hoh_roster_above16_list}, 18)</t>
  </si>
  <si>
    <t>23. In general, how would you characterize your physical health?</t>
  </si>
  <si>
    <t>23. En général, comment caractériseriez-vous votre santé physique ?</t>
  </si>
  <si>
    <t>23. A taƙaice, yaya za ku siffanta lafiyar jikin ku?</t>
  </si>
  <si>
    <t>barcode</t>
  </si>
  <si>
    <t>hhmem20</t>
  </si>
  <si>
    <t>item-at(linebreak(), ${hoh_roster_above16_list}, 19)</t>
  </si>
  <si>
    <t>Standard scan-barcode field:</t>
  </si>
  <si>
    <t>hhmem21</t>
  </si>
  <si>
    <t>item-at(linebreak(), ${hoh_roster_above16_list}, 20)</t>
  </si>
  <si>
    <t>26. In general, how would you characterize your physical health?</t>
  </si>
  <si>
    <t>26. En général, comment caractériseriez-vous votre santé physique ?</t>
  </si>
  <si>
    <t>26. A taƙaice, yaya za ku siffanta lafiyar jikin ku?</t>
  </si>
  <si>
    <t>hhmem22</t>
  </si>
  <si>
    <t>27. Do you currently suffer from any illness or disability that limits your ability to travel or work?</t>
  </si>
  <si>
    <t>27. Souffrez-vous actuellement d'une maladie ou d'un handicap qui limite votre capacité à voyager ou à travailler ?</t>
  </si>
  <si>
    <t>27. A halin yanzu, ko kuna fama da wata rashin lafiya ko naƙasa da ke iya kawo muku cikas game da tahiya bulaguro ko yin aiki?</t>
  </si>
  <si>
    <t>item-at(linebreak(), ${hoh_roster_above16_list}, 21)</t>
  </si>
  <si>
    <t>28. What illness limits you in this way?</t>
  </si>
  <si>
    <t>28. Quelle maladie vous limite de cette manière ?</t>
  </si>
  <si>
    <t>28. Wace cuta ce ke tsaida ku a kan wannan?</t>
  </si>
  <si>
    <t>date</t>
  </si>
  <si>
    <t>29. Other, specify:</t>
  </si>
  <si>
    <t>29. Autre précisez:</t>
  </si>
  <si>
    <t>29. Sauran, bayar da cikakkun bayanai:</t>
  </si>
  <si>
    <t>hhmem23</t>
  </si>
  <si>
    <t>Standard date field:</t>
  </si>
  <si>
    <t>30. In the past three months, did you suffer from an illness or injury that disrupted your daily life?</t>
  </si>
  <si>
    <t>30. Au cours des trois derniers mois, avez-vous souffert d'une maladie ou d'une blessure qui a perturbé votre vie quotidienne ?</t>
  </si>
  <si>
    <t>30. A cikin watanni uku da suka wuce, ko kun yi fama da wata rashin lafiya ko rauni wanda ya kawo muku cikas a rayuwarku na yau da kullun?</t>
  </si>
  <si>
    <t>item-at(linebreak(), ${hoh_roster_above16_list}, 22)</t>
  </si>
  <si>
    <t>25. I would like to ask you a few questions about your health and wellbeing</t>
  </si>
  <si>
    <t>25. Je voudrais vous poser quelques questions sur votre santé et votre bien-être</t>
  </si>
  <si>
    <t>25. Ina so in yi muku wasu ƴan tambayoyi game da lafiyar jikinku da jin daɗin ku</t>
  </si>
  <si>
    <t>hhmem24</t>
  </si>
  <si>
    <t>item-at(linebreak(), ${hoh_roster_above16_list}, 23)</t>
  </si>
  <si>
    <t>hhmem25</t>
  </si>
  <si>
    <t>Date field (but for smaller screens):</t>
  </si>
  <si>
    <t>item-at(linebreak(), ${hoh_roster_above16_list}, 24)</t>
  </si>
  <si>
    <t>no-calendar</t>
  </si>
  <si>
    <t>education</t>
  </si>
  <si>
    <t>hhmem26</t>
  </si>
  <si>
    <t>Bai taɓa yin makaranta ba</t>
  </si>
  <si>
    <t>item-at(linebreak(), ${hoh_roster_above16_list}, 25)</t>
  </si>
  <si>
    <t>31. What type of illness or injury did you experience?</t>
  </si>
  <si>
    <t>31. Preciser le type de maladie ou de blessure</t>
  </si>
  <si>
    <t>31. Baiyana irin ciwo ko raunin da kuka yi fama da shi?</t>
  </si>
  <si>
    <t>hhmem27</t>
  </si>
  <si>
    <t>datetime</t>
  </si>
  <si>
    <t>32. Specify other illness or injury</t>
  </si>
  <si>
    <t>32. Preciser le type de maladie ou de blessure</t>
  </si>
  <si>
    <t>32. Baiyana irin ciwo ko raunin da kuka fama?</t>
  </si>
  <si>
    <t>Standard date+time field:</t>
  </si>
  <si>
    <t>item-at(linebreak(), ${hoh_roster_above16_list}, 26)</t>
  </si>
  <si>
    <t>Preschool</t>
  </si>
  <si>
    <t>Préscolaire</t>
  </si>
  <si>
    <t>Makarantar yara ƙanana</t>
  </si>
  <si>
    <t>33. Did you seek any treatment for any illness or injury?</t>
  </si>
  <si>
    <t>33. Avez-vous cherché un traitement pour une maladie ou une blessure ?</t>
  </si>
  <si>
    <t>33. Ko kun nemi wani magani don wata cuta ko rauni?</t>
  </si>
  <si>
    <t>hhmem28</t>
  </si>
  <si>
    <t>34. Now I want to ask you about the past week (7 days)</t>
  </si>
  <si>
    <t>34. Maintenant, je veux vous poser des questions sur la semaine dernière (7 jours)</t>
  </si>
  <si>
    <t>34. Yanzu ina son in muku tambayoyi bisa satin (makon) da ya wuce (kwana 7)</t>
  </si>
  <si>
    <t>Primary school</t>
  </si>
  <si>
    <t>École primaire</t>
  </si>
  <si>
    <t>item-at(linebreak(), ${hoh_roster_above16_list}, 27)</t>
  </si>
  <si>
    <t>Makarantar firamere</t>
  </si>
  <si>
    <t>35. How many hours of sleep per night did you get on average in the last seven days?</t>
  </si>
  <si>
    <t>35. Combien d'heures de sommeil par nuit avez-vous dormi en moyenne au cours des sept derniers jours ?</t>
  </si>
  <si>
    <t>35. Misalin Sa'o'i nawa a taƙaice kuke yin barci a kowane dare a cikin kwanaki bakwai na ƙarshe da suka wuce?</t>
  </si>
  <si>
    <t>hhmem_name1</t>
  </si>
  <si>
    <t>41. Anger</t>
  </si>
  <si>
    <t>41. Colère</t>
  </si>
  <si>
    <t>41. Fushi</t>
  </si>
  <si>
    <t>Middle school</t>
  </si>
  <si>
    <t>College</t>
  </si>
  <si>
    <t>Koleji/SEJ</t>
  </si>
  <si>
    <t>item-at(linebreak(), ${hoh_roster_above16_namelist}, 0)</t>
  </si>
  <si>
    <t>Date+time field (but for smaller screens):</t>
  </si>
  <si>
    <t>Koranic school</t>
  </si>
  <si>
    <t>Ecole coranique</t>
  </si>
  <si>
    <t>hhmem_name2</t>
  </si>
  <si>
    <t>Karatun kur'ani</t>
  </si>
  <si>
    <t>item-at(linebreak(), ${hoh_roster_above16_namelist}, 1)</t>
  </si>
  <si>
    <t>37. Enjoyment</t>
  </si>
  <si>
    <t>37. Plaisir</t>
  </si>
  <si>
    <t>37. jin daɗi</t>
  </si>
  <si>
    <t>High school</t>
  </si>
  <si>
    <t>Lycee</t>
  </si>
  <si>
    <t>Babbar makaranta/lise</t>
  </si>
  <si>
    <t>38. Happiness</t>
  </si>
  <si>
    <t>38. Bonheur</t>
  </si>
  <si>
    <t>38. Farin ciki</t>
  </si>
  <si>
    <t>hhmem_name3</t>
  </si>
  <si>
    <t>39. Stress</t>
  </si>
  <si>
    <t>item-at(linebreak(), ${hoh_roster_above16_namelist}, 2)</t>
  </si>
  <si>
    <t>39. Babbar Damuwa</t>
  </si>
  <si>
    <t>time</t>
  </si>
  <si>
    <t>More than high school</t>
  </si>
  <si>
    <t>Plus qu'une école secondaire</t>
  </si>
  <si>
    <t>Jami'a</t>
  </si>
  <si>
    <t>Standard time field:</t>
  </si>
  <si>
    <t>40. Worry</t>
  </si>
  <si>
    <t>40. Inquiétude</t>
  </si>
  <si>
    <t>40. Damuwa</t>
  </si>
  <si>
    <t>hhmem_name4</t>
  </si>
  <si>
    <t>item-at(linebreak(), ${hoh_roster_above16_namelist}, 3)</t>
  </si>
  <si>
    <t>42. Physical pain</t>
  </si>
  <si>
    <t>42. Douleur physique</t>
  </si>
  <si>
    <t>42. ciwon jiki</t>
  </si>
  <si>
    <t>43. Loneliness</t>
  </si>
  <si>
    <t>43. Solitude</t>
  </si>
  <si>
    <t>43. kadaici</t>
  </si>
  <si>
    <t>region</t>
  </si>
  <si>
    <t>Agadez</t>
  </si>
  <si>
    <t>hhmem_name5</t>
  </si>
  <si>
    <t>47.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</si>
  <si>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47. Yi tunanin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</si>
  <si>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47. This is a measure from 0 to 10</t>
  </si>
  <si>
    <t>item-at(linebreak(), ${hoh_roster_above16_namelist}, 4)</t>
  </si>
  <si>
    <t>47. How often, if ever, have you felt unsafe walking in the neighborhood where you are staying?</t>
  </si>
  <si>
    <t>47. Combien de fois, vous vous êtes-vous senti en danger en vous promenant dans le quartier où vous séjournez, si cela vous est jamais arrivé ?</t>
  </si>
  <si>
    <t>47. Sau nawa, idan ya faru a gareku, kuka ji kuna cikin hatsari yayin da kuke yawo a cikin unguwar da kuke zaune?</t>
  </si>
  <si>
    <t>Standard image-capture field:</t>
  </si>
  <si>
    <t>44. I will now read out several statements. You should tell me whether these statements are true for you by using the following scale.</t>
  </si>
  <si>
    <t>hhmem_name6</t>
  </si>
  <si>
    <t>44. Je vais maintenant lire plusieurs déclarations. Vous devez me dire si ces affirmations sont vraies pour vous en utilisant l'échelle suivante.</t>
  </si>
  <si>
    <t>44. Yanzu zan karanta wasu maganganu da yawa. Za ku gaya mini ko waɗannan maganganun sun yi daidai da ku ta hanyar yin amfani da kuranga mai zuwa.</t>
  </si>
  <si>
    <t>Diffa</t>
  </si>
  <si>
    <t>item-at(linebreak(), ${hoh_roster_above16_namelist}, 5)</t>
  </si>
  <si>
    <t>45. I feel I do not have much to be proud of.</t>
  </si>
  <si>
    <t>45. Je sens que je n'ai pas beaucoup de raisons d'être fier (comblé).</t>
  </si>
  <si>
    <t>45. Ina jin ba ni da hujjojin jin daɗi</t>
  </si>
  <si>
    <t>hhmem_name7</t>
  </si>
  <si>
    <t>46. At times I think I am no good at all.</t>
  </si>
  <si>
    <t>46. Parfois, je pense que je suis utile a rien</t>
  </si>
  <si>
    <t>46. A wasu lokutta ina ganin bani da amfani.</t>
  </si>
  <si>
    <t>item-at(linebreak(), ${hoh_roster_above16_namelist}, 6)</t>
  </si>
  <si>
    <t>Image-capture field which allows user to annotate image:</t>
  </si>
  <si>
    <t>50. Threat of physical violence/attack</t>
  </si>
  <si>
    <t>50. Menace de violence physique/agression</t>
  </si>
  <si>
    <t>50. Barazanar ​​harin jiki</t>
  </si>
  <si>
    <t>51. Have you experienced any of the following during ${period}?</t>
  </si>
  <si>
    <t>51. Avez-vous vécu l'une des situations suivantes depuis le debut de ${period_french} ?</t>
  </si>
  <si>
    <t>51. Ko kun taɓa fuskantar ɗayan waɗannan abubuwan a wannan wurin, lokacin ${period_hausa}?</t>
  </si>
  <si>
    <t>annotate</t>
  </si>
  <si>
    <t>hhmem_name8</t>
  </si>
  <si>
    <t>47. How stressed are you about the following areas of your life?</t>
  </si>
  <si>
    <t>47. Dans quelle mesure êtes-vous stressé par les domaines suivants de votre vie ?</t>
  </si>
  <si>
    <t>47. Yaya damuwarku game da abubuwa na rayuwarku da zan zana?</t>
  </si>
  <si>
    <t>item-at(linebreak(), ${hoh_roster_above16_namelist}, 7)</t>
  </si>
  <si>
    <t>48. Your own health problems, illness</t>
  </si>
  <si>
    <t>48. Vos propres problèmes de santé</t>
  </si>
  <si>
    <t>48. Matsalolin lafiyar jikinku</t>
  </si>
  <si>
    <t>hhmem_name9</t>
  </si>
  <si>
    <t>49. Problems at home and with relatives</t>
  </si>
  <si>
    <t>49. Problèmes au sein du menage et avec les proches</t>
  </si>
  <si>
    <t>49. Matsalolin gida da na dangi</t>
  </si>
  <si>
    <t>Dosso</t>
  </si>
  <si>
    <t>50. Accidents and disasters</t>
  </si>
  <si>
    <t>50. Accidents et catastrophes</t>
  </si>
  <si>
    <t>50. Hatsari da masifu</t>
  </si>
  <si>
    <t>item-at(linebreak(), ${hoh_roster_above16_namelist}, 8)</t>
  </si>
  <si>
    <t>Image-capture field which allows user to draw image:</t>
  </si>
  <si>
    <t>51. Problems with people in other ethnic groups</t>
  </si>
  <si>
    <t>51. Problèmes avec les personnes d'autres groupes ethniques</t>
  </si>
  <si>
    <t>51. Matsaloli da mutanen wasu kabilu daban</t>
  </si>
  <si>
    <t>draw</t>
  </si>
  <si>
    <t>Maradi</t>
  </si>
  <si>
    <t>hhmem_name10</t>
  </si>
  <si>
    <t>item-at(linebreak(), ${hoh_roster_above16_namelist}, 9)</t>
  </si>
  <si>
    <t>52. Not enough money for basic needs (such as food and clothing)</t>
  </si>
  <si>
    <t>52. Pas assez d'argent pour les besoins de base (tels que la nourriture et les vêtements)</t>
  </si>
  <si>
    <t>52. Rashin isassun kuɗi don buƙatun asali (kamar abinci da sutura)</t>
  </si>
  <si>
    <t>Niamey</t>
  </si>
  <si>
    <t>53. Not being able to educate all children</t>
  </si>
  <si>
    <t>53. Ne pas pouvoir scolariser tous les enfants</t>
  </si>
  <si>
    <t>53. Rashin iya rubuta dukkan yara a makarantar boko</t>
  </si>
  <si>
    <t>hhmem_name11</t>
  </si>
  <si>
    <t>Image-capture field which collects a signature as the image:</t>
  </si>
  <si>
    <t>54. Difficulty finding work</t>
  </si>
  <si>
    <t>54. Difficulté à trouver du travail</t>
  </si>
  <si>
    <t>item-at(linebreak(), ${hoh_roster_above16_namelist}, 10)</t>
  </si>
  <si>
    <t>54. Wahalar neman aiki</t>
  </si>
  <si>
    <t>signature</t>
  </si>
  <si>
    <t>Tahoua</t>
  </si>
  <si>
    <t>55. Idleness of children or spouse</t>
  </si>
  <si>
    <t>55. L'oisiveté des enfants ou du conjoint</t>
  </si>
  <si>
    <t>55. Zaman banza na yara ko miji</t>
  </si>
  <si>
    <t>hhmem_name12</t>
  </si>
  <si>
    <t>56. Alcohol comsumption of children or spouse</t>
  </si>
  <si>
    <t>56. Consommation d'alcool des enfants ou du conjoint</t>
  </si>
  <si>
    <t>56. Shan giya na yara ko miji</t>
  </si>
  <si>
    <t>item-at(linebreak(), ${hoh_roster_above16_namelist}, 11)</t>
  </si>
  <si>
    <t>Tillaberi</t>
  </si>
  <si>
    <t>57. Death of a family member</t>
  </si>
  <si>
    <t>57. Décès d'un membre de la famille</t>
  </si>
  <si>
    <t>57. Mutuwar wani dan uwa</t>
  </si>
  <si>
    <t>audio</t>
  </si>
  <si>
    <t>hhmem_name13</t>
  </si>
  <si>
    <t>Zinder</t>
  </si>
  <si>
    <t>item-at(linebreak(), ${hoh_roster_above16_namelist}, 12)</t>
  </si>
  <si>
    <t>58. Debts owed to others</t>
  </si>
  <si>
    <t>58. Dettes envers autrui</t>
  </si>
  <si>
    <t>58. Bashi da wasu ke binku</t>
  </si>
  <si>
    <t>59. To the best of your knowledge has ${pm_name} worked for pay in the past month?</t>
  </si>
  <si>
    <t>59. Au meilleur de vos connaissances, ${pm_name} a-t-il travaillé pour gagner un salaire au cours du dernier mois?</t>
  </si>
  <si>
    <t>59. A iya saninku ${pm_name} ya yi aiki don samun biya a cikin watan da ya gabata?</t>
  </si>
  <si>
    <t>hhmem_name14</t>
  </si>
  <si>
    <t>Standard audio-capture field:</t>
  </si>
  <si>
    <t>59.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</si>
  <si>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59.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</si>
  <si>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item-at(linebreak(), ${hoh_roster_above16_namelist}, 13)</t>
  </si>
  <si>
    <t>59. A ce saman kuranga tana nuna mafi kyawun rayuwa a gare ku kuma kasan kuranga tana nuna mafi munin rayuwa a gareku. Idan matakin saman ya kasance 10 kuma matakin ƙasa shine 0, akan wane mataki na kurangar kake jin kai da kanka kake a halin yanzu?</t>
  </si>
  <si>
    <t>61. Now I would like to ask you a few questions about ${pm_name}</t>
  </si>
  <si>
    <t>61. Maintenant, je voudrais vous poser quelques questions sur ${pm_name}</t>
  </si>
  <si>
    <t>61. Yanzu ina so in muku wasu tambayoyi game da ${pm_name}</t>
  </si>
  <si>
    <t>hhmem_name15</t>
  </si>
  <si>
    <t>62. To the best of your knowledge has ${pm_name} worked for pay in the past month?</t>
  </si>
  <si>
    <t>62. Au meilleur de vos connaissances, ${pm_name} a-t-il travaillé pour gagner un salaire au cours du dernier mois?</t>
  </si>
  <si>
    <t>62. A iya saninku ${pm_name} ya yi aiki don samun biya a cikin watan da ya gabata?</t>
  </si>
  <si>
    <t>item-at(linebreak(), ${hoh_roster_above16_namelist}, 14)</t>
  </si>
  <si>
    <t>video</t>
  </si>
  <si>
    <t>63. If you had to guess, how much money do you think ${pm_name} earned from work in the past month?</t>
  </si>
  <si>
    <t>63. Si vous deviez deviner, combien d'argent pensez-vous que ${pm_name} gagne du travail au cours du dernier mois?</t>
  </si>
  <si>
    <t>63. Idan kuka ƙaddara, nawa kuke ganin ${pm_name} ya samu daga wannan aiki a cikin watan da ya gabata?</t>
  </si>
  <si>
    <t>hhmem_name16</t>
  </si>
  <si>
    <t>item-at(linebreak(), ${hoh_roster_above16_namelist}, 15)</t>
  </si>
  <si>
    <t>Standard video-capture field:</t>
  </si>
  <si>
    <t>64. Is ${pm_name} currently living in your household?</t>
  </si>
  <si>
    <t>64. ${pm_name} vit-il actuellement dans votre ménage?</t>
  </si>
  <si>
    <t>64. Ko ${pm_name} yana zaune a gidan ku a hali yanzu?</t>
  </si>
  <si>
    <t>hhmem_name17</t>
  </si>
  <si>
    <t>60. Now I will ask about some things that may have happened to you during the past three months.</t>
  </si>
  <si>
    <t>60. Maintenant, je vais vous poser des questions sur certaines choses qui vous sont peut-être arrivées au cours des trois derniers mois.</t>
  </si>
  <si>
    <t>60. Yanzu zan yi tambayoyi game da wasu abubuwa da wataƙila sun faru da ku a cikin watanni uku da suka wuce.</t>
  </si>
  <si>
    <t>item-at(linebreak(), ${hoh_roster_above16_namelist}, 16)</t>
  </si>
  <si>
    <t>61. How often, if at all, were you personally discriminated against based on your identity (ethnicity, religion, nationality)?</t>
  </si>
  <si>
    <t>61. À quelle fréquence, si ça vous est déjà arrivé, avez-vous personnellement été victime de discrimination liée a votre identité (ethnie, religion, nationalité) ?</t>
  </si>
  <si>
    <t>61. Sau nawa, idan ya faru a gareku, aka nuna muku wariya dangance da kabilarku, ko addininku, ko ƙasarku2?</t>
  </si>
  <si>
    <t>hhmem_name18</t>
  </si>
  <si>
    <t>62. How often, if ever, have you felt unsafe walking in the neighborhood where you are staying?</t>
  </si>
  <si>
    <t>62. Combien de fois, vous vous êtes-vous senti en danger en vous promenant dans le quartier où vous séjournez, si cela vous est jamais arrivé ?</t>
  </si>
  <si>
    <t>62. Sau nawa, idan ya faru a gareku, kuka ji kuna cikin hatsari yayin da kuke yawo a cikin unguwar da kuke zaune?</t>
  </si>
  <si>
    <t>file</t>
  </si>
  <si>
    <t>item-at(linebreak(), ${hoh_roster_above16_namelist}, 17)</t>
  </si>
  <si>
    <t>68. Enumerator: Enter other country</t>
  </si>
  <si>
    <t>68. Enquêteur : Entrez un autre pays</t>
  </si>
  <si>
    <t>68. Ɗan bincike: Shigar da wata ƙasa</t>
  </si>
  <si>
    <t>63. Have you experienced any of the following during ${period}?</t>
  </si>
  <si>
    <t>63. Avez-vous vécu l'une des situations suivantes depuis le debut de ${period_french} ?</t>
  </si>
  <si>
    <t>63. Ko kun taɓa fuskantar ɗayan waɗannan abubuwan a wannan wurin, lokacin ${period_hausa}?</t>
  </si>
  <si>
    <t>hhmem_name19</t>
  </si>
  <si>
    <t>Attach text, image, video, audio, PDF, ZIP, or MS Office file (Excel or Word):</t>
  </si>
  <si>
    <t>item-at(linebreak(), ${hoh_roster_above16_namelist}, 18)</t>
  </si>
  <si>
    <t>64. Physical attack</t>
  </si>
  <si>
    <t>64. Attaque physique</t>
  </si>
  <si>
    <t>64. harin jiki</t>
  </si>
  <si>
    <t>65. Threat of physical violence/attack</t>
  </si>
  <si>
    <t>65. Menace de violence physique/agression</t>
  </si>
  <si>
    <t>65. Barazanar ​​harin jiki</t>
  </si>
  <si>
    <t>hhmem_name20</t>
  </si>
  <si>
    <t>66. Theft of either money or property?</t>
  </si>
  <si>
    <t>66. Vol d'argent ou de propriété?</t>
  </si>
  <si>
    <t>66. Satar kudi ko dukiya?</t>
  </si>
  <si>
    <t>item-at(linebreak(), ${hoh_roster_above16_namelist}, 19)</t>
  </si>
  <si>
    <t>towns</t>
  </si>
  <si>
    <t>67. Detention or arrest by state security forces?</t>
  </si>
  <si>
    <t>67. Détention ou arrestation par les forces de sécurité de l'État ?</t>
  </si>
  <si>
    <t>67. Kaso ko kamu daga jami'an tsaron gwamnati?</t>
  </si>
  <si>
    <t>74. Did ${pm_name} discuss their decision to move with you before they left?</t>
  </si>
  <si>
    <t>74. ${pm_name} a-t-il discuté de sa décision de déménager avec vous avant de partir?</t>
  </si>
  <si>
    <t>74. Ko kun tattauna da ${pm_name} game da shawararshi ta tahiya kafin ya tafi?</t>
  </si>
  <si>
    <t>hhmem_name21</t>
  </si>
  <si>
    <t>75. Approximately how much money (if any) has ${pm_name} sent to the household in the past month?</t>
  </si>
  <si>
    <t>75. Environ combien d'argent (s'il y a eu) a-t-il envoyé ${pm_name} au ménage au cours du dernier mois?</t>
  </si>
  <si>
    <t>75. Kimanin nawa (idan akwai) ${pm_name} ya aiko zuwa gida a watan da ya gabata?</t>
  </si>
  <si>
    <t>item-at(linebreak(), ${hoh_roster_above16_namelist}, 20)</t>
  </si>
  <si>
    <t>Standard note field (read-only).</t>
  </si>
  <si>
    <t>68. Now I would like to ask you to tell me more about your specific experience with:</t>
  </si>
  <si>
    <t>68. J'aimerais maintenant vous demander de m'en dire un peu plus sur votre expérience spécifique avec :</t>
  </si>
  <si>
    <t>68. Yanzu ina so in tambaye ku ƙarin bayani game da takamaiman gogewarku na masamman game da:</t>
  </si>
  <si>
    <t>hhmem_name22</t>
  </si>
  <si>
    <t>69. Physical attack</t>
  </si>
  <si>
    <t>town_id</t>
  </si>
  <si>
    <t>69. Attaque physique</t>
  </si>
  <si>
    <t>69. harin jiki</t>
  </si>
  <si>
    <t>town_name</t>
  </si>
  <si>
    <t>item-at(linebreak(), ${hoh_roster_above16_namelist}, 21)</t>
  </si>
  <si>
    <t>70. Threat of physical violence/attack</t>
  </si>
  <si>
    <t>70. Menace de violence physique/agression</t>
  </si>
  <si>
    <t>70. Barazanar ​​harin jiki</t>
  </si>
  <si>
    <t>71. Theft of either money or property?</t>
  </si>
  <si>
    <t>71. Vol d'argent ou de propriété?</t>
  </si>
  <si>
    <t>71. Satar kudi ko dukiya?</t>
  </si>
  <si>
    <t>72. Detention or arrest by state security forces?</t>
  </si>
  <si>
    <t>72. Détention ou arrestation par les forces de sécurité de l'État ?</t>
  </si>
  <si>
    <t>72. Kaso ko kamu daga jami'an tsaron gwamnati?</t>
  </si>
  <si>
    <t>hhmem_name23</t>
  </si>
  <si>
    <t>81. What is the name of the town ${pm_name} would move to?</t>
  </si>
  <si>
    <t>81. Quel est le nom de la ville où ${pm_name} irait ?</t>
  </si>
  <si>
    <t>81. Menene sunan garin da ${pm_name} zai ƙaura ?</t>
  </si>
  <si>
    <t>item-at(linebreak(), ${hoh_roster_above16_namelist}, 22)</t>
  </si>
  <si>
    <t>Wni daban</t>
  </si>
  <si>
    <t>82. Have you and ${pm_name} discussed his plans or desire to travel to another country to find work in the past month?</t>
  </si>
  <si>
    <t>82. Avez-vous discuté vous et ${pm_name} de ses projets ou de son désir de voyager dans un autre pays pour trouver du travail au cours du mois dernier ?</t>
  </si>
  <si>
    <t>82. Ko kun tattauna ku da ${pm_name} kan shiriye-shiriyenshi ko sha'awar tafiyarshi wata ƙasa don neman aiki a cikin watan da ya gabata?</t>
  </si>
  <si>
    <t>hhmem_name24</t>
  </si>
  <si>
    <t>83. Have you discussed with ${pm_name} how his household responsibilities would be managed if he migrates?</t>
  </si>
  <si>
    <t>83. Avez-vous discuté avec ${pm_name} de la manière dont ses responsabilités domestiques seraient gérées s'il migre ?</t>
  </si>
  <si>
    <t>item-at(linebreak(), ${hoh_roster_above16_namelist}, 23)</t>
  </si>
  <si>
    <t>83. Ko kun tattauna da ${pm_name} yadda za a gudanar da ayyukan da suka rataya a wuyanshi idan ya yi hijira?</t>
  </si>
  <si>
    <t>84. In the past month has ${pm_name} put aside any money for the future?</t>
  </si>
  <si>
    <t>84. Au cours du mois dernier, ${pm_name} a-t-il mis de l'argent de côté pour l'avenir ?</t>
  </si>
  <si>
    <t>84. A cikin watan da ya gabata ko ${pm_name} ya ajiye wani kuɗi don gaba?</t>
  </si>
  <si>
    <t>hhmem_name25</t>
  </si>
  <si>
    <t>countries</t>
  </si>
  <si>
    <t>item-at(linebreak(), ${hoh_roster_above16_namelist}, 24)</t>
  </si>
  <si>
    <t>84. Imagine that five years from now ${pm_name} is are living in another West African country like Cote d'Ivoire or Nigeria. How much money do you think you would earn per month in CFA?</t>
  </si>
  <si>
    <t>84. Imaginez que dans cinq ans, ${pm_name} vivra dans un autre pays d'Afrique de l'Ouest comme la Côte d'Ivoire ou le Nigeria. Combien d’argent pensez-vous gagner par mois en CFA ?</t>
  </si>
  <si>
    <t>84. Ka yi tunanin cewa shekaru biyar masu zuwa daga yanzu ${pm_name} yana rayuwa a wata ƙasa ta Yammacin Afirka kamar Cote d'Ivoire ko Najeriya. Kudi nawa kuke tsammanin za ku samu kowane wata a CFA?</t>
  </si>
  <si>
    <t>85. The following questions ask what you would expect to happen if ${pm_name} decided to travel to a neighboring country for work for at least one month.</t>
  </si>
  <si>
    <t>85. Les questions suivantes vous demandent ce à quoi vous vous attendriez si ${pm_name} décidait de se rendre dans un pays voisin pour travailler pendant au moins un mois.</t>
  </si>
  <si>
    <t>hhmem_name26</t>
  </si>
  <si>
    <t>85. Tambayoyi masu zuwa suna magana akan abin da kuke tsammanin zai faru idan ${pm_name} ya yanke shawarar tafiya zuwa ƙasar maƙwabta don aiki na aƙalla wata ɗaya.</t>
  </si>
  <si>
    <t>item-at(linebreak(), ${hoh_roster_above16_namelist}, 25)</t>
  </si>
  <si>
    <t>73. Now I would like to ask you a few questions about ${pm_name}</t>
  </si>
  <si>
    <t>73. Maintenant, je voudrais vous poser quelques questions sur ${pm_name}</t>
  </si>
  <si>
    <t>73. Yanzu ina so in muku wasu tambayoyi game da ${pm_name}</t>
  </si>
  <si>
    <t>Niger</t>
  </si>
  <si>
    <t>74. To the best of your knowledge has ${pm_name} worked for pay in the past month?</t>
  </si>
  <si>
    <t>Nijar</t>
  </si>
  <si>
    <t>74. Au meilleur de vos connaissances, ${pm_name} a-t-il travaillé pour gagner un salaire au cours du dernier mois?</t>
  </si>
  <si>
    <t>74. A iya saninku ${pm_name} ya yi aiki don samun biya a cikin watan da ya gabata?</t>
  </si>
  <si>
    <t>hhmem_name27</t>
  </si>
  <si>
    <t>75. If you had to guess, how much money do you think ${pm_name} earned from work in the past month?</t>
  </si>
  <si>
    <t>75. Si vous deviez deviner, combien d'argent pensez-vous que ${pm_name} gagne du travail au cours du dernier mois?</t>
  </si>
  <si>
    <t>75. Idan kuka ƙaddara, nawa kuke ganin ${pm_name} ya samu daga wannan aiki a cikin watan da ya gabata?</t>
  </si>
  <si>
    <t>item-at(linebreak(), ${hoh_roster_above16_namelist}, 26)</t>
  </si>
  <si>
    <t>76. Is ${pm_name} currently living in your household?</t>
  </si>
  <si>
    <t>76. ${pm_name} vit-il actuellement dans votre ménage?</t>
  </si>
  <si>
    <t>76. Ko ${pm_name} yana zaune a gidan ku a hali yanzu?</t>
  </si>
  <si>
    <t>Algeria</t>
  </si>
  <si>
    <t>Algérie</t>
  </si>
  <si>
    <t>hhmem_name28</t>
  </si>
  <si>
    <t>Aljeriya</t>
  </si>
  <si>
    <t>77. Where is ${pm_name} living right now?
Enumerator: Is location in Niger?</t>
  </si>
  <si>
    <t>77. Où est ${pm_name} en ce moment?
 Énquêteur: le lieu est-il au Niger?</t>
  </si>
  <si>
    <t>77. Ina ${pm_name} yake a yanzu?
 Dan bincike: Ko wurin a Nijar ne?</t>
  </si>
  <si>
    <t>item-at(linebreak(), ${hoh_roster_above16_namelist}, 27)</t>
  </si>
  <si>
    <t>78. Enumerator: Select region in Niger</t>
  </si>
  <si>
    <t>78. Enquêteur : Sélectionnez une région au Niger</t>
  </si>
  <si>
    <t>78. Ɗan bincike: Zaɓi Jaha ɗaya a Nijar</t>
  </si>
  <si>
    <t>Benin</t>
  </si>
  <si>
    <t>79. Enumerator: Select country</t>
  </si>
  <si>
    <t>Bénin</t>
  </si>
  <si>
    <t>79. Enquêteur : sélectionnez le pays</t>
  </si>
  <si>
    <t>79. Ɗan bincike: Zaɓi ƙasa</t>
  </si>
  <si>
    <t>hhmem_age1</t>
  </si>
  <si>
    <t>80. Enumerator: Enter other country</t>
  </si>
  <si>
    <t>item-at(linebreak(), ${hoh_roster_above16_agelist}, 0)</t>
  </si>
  <si>
    <t>80. Enquêteur : Entrez un autre pays</t>
  </si>
  <si>
    <t>80. Ɗan bincike: Shigar da wata ƙasa</t>
  </si>
  <si>
    <t>81. Enumerator: Select town</t>
  </si>
  <si>
    <t>81. Enquêteur : Sélectionnez la ville</t>
  </si>
  <si>
    <t>81. Ɗan bincike: Zaɓi gari</t>
  </si>
  <si>
    <t>Burkina Faso</t>
  </si>
  <si>
    <t>hhmem_age2</t>
  </si>
  <si>
    <t>82. Enumerator: Enter other town</t>
  </si>
  <si>
    <t>82. Enquêteur : Entrez un autre ville</t>
  </si>
  <si>
    <t>82. Ɗan bincike: Shigar da wata gari</t>
  </si>
  <si>
    <t>item-at(linebreak(), ${hoh_roster_above16_agelist}, 1)</t>
  </si>
  <si>
    <t>83. Will ${pm_name} be in the household within the next two weeks?</t>
  </si>
  <si>
    <t xml:space="preserve">83. </t>
  </si>
  <si>
    <t>Cameroon</t>
  </si>
  <si>
    <t>Cameroun</t>
  </si>
  <si>
    <t>84. How much did ${pm_name} have to pay to travel to destination?</t>
  </si>
  <si>
    <t>Kamaru</t>
  </si>
  <si>
    <t>84. Combien ${pm_name} a-t-il dû payer pour voyager à destination?</t>
  </si>
  <si>
    <t>84. Nawa ne ${pm_name} ya biya don zuwa wurin?</t>
  </si>
  <si>
    <t>hhmem_age3</t>
  </si>
  <si>
    <t>85. How long has ${pm_name} been away from household (in months)?</t>
  </si>
  <si>
    <t>item-at(linebreak(), ${hoh_roster_above16_agelist}, 2)</t>
  </si>
  <si>
    <t>85. Depuis combien de temps ${pm_name} est-il loin du ménage (en mois)?</t>
  </si>
  <si>
    <t>subscriberid</t>
  </si>
  <si>
    <t>85. Tun daga yaushe ${pm_name} yake nesa da gida (a cikin watanni)?</t>
  </si>
  <si>
    <t>Cote d'Ivoire</t>
  </si>
  <si>
    <t>Côte d'Ivoire</t>
  </si>
  <si>
    <t>86. Have you spoken with ${pm_name} in the past month?</t>
  </si>
  <si>
    <t>86. Avez-vous parlé avec ${pm_name} au cours du dernier mois?</t>
  </si>
  <si>
    <t>Cote d'Ivoire/Abija</t>
  </si>
  <si>
    <t>hhmem_age4</t>
  </si>
  <si>
    <t>86. Ko kun yi magana da ${pm_name} a watan da ya gabata?</t>
  </si>
  <si>
    <t>item-at(linebreak(), ${hoh_roster_above16_agelist}, 3)</t>
  </si>
  <si>
    <t>87. Did ${pm_name} discuss their decision to move with you before they left?</t>
  </si>
  <si>
    <t>87. ${pm_name} a-t-il discuté de sa décision de déménager avec vous avant de partir?</t>
  </si>
  <si>
    <t>87. Ko kun tattauna da ${pm_name} game da shawararshi ta tahiya kafin ya tafi?</t>
  </si>
  <si>
    <t>Gambia</t>
  </si>
  <si>
    <t>Gambie</t>
  </si>
  <si>
    <t>88. Approximately how much money (if any) has ${pm_name} sent to the household in the past month?</t>
  </si>
  <si>
    <t>88. Environ combien d'argent (s'il y a eu) a-t-il envoyé ${pm_name} au ménage au cours du dernier mois?</t>
  </si>
  <si>
    <t>88. Kimanin nawa (idan akwai) ${pm_name} ya aiko zuwa gida a watan da ya gabata?</t>
  </si>
  <si>
    <t>89. How do they send this money?</t>
  </si>
  <si>
    <t>hhmem_age5</t>
  </si>
  <si>
    <t>89. Comment envoie t-ils cet argent?</t>
  </si>
  <si>
    <t>89. Ta yaya ya aika wannan kuɗin?</t>
  </si>
  <si>
    <t>90. Think about the next six months, starting from today. To the best of your knowledge does ${pm_name} plan to move somewhere outside of Tahoua and remain away for more than a month?</t>
  </si>
  <si>
    <t>item-at(linebreak(), ${hoh_roster_above16_agelist}, 4)</t>
  </si>
  <si>
    <t>90. Pensez aux six prochains mois, à partir d’aujourd’hui. À votre connaissance, ${pm_name} envisage-t-il de déménager quelque part en dehors de Tahoua et de rester absent pendant plus d'un mois ?</t>
  </si>
  <si>
    <t>90. Ku tuna da watanni shida masu zuwa daga yau, A saninku ko ${pm_name} yanada niyyar yin bulaguro zuwa wani wuri ba'a cikin jahar Tawa ba kuma ya zauna a can tsawon fiye da wata ?</t>
  </si>
  <si>
    <t>simserial</t>
  </si>
  <si>
    <t>91. If ${pm_name} migrates, where would they intended to travel?</t>
  </si>
  <si>
    <t>91. Si ${pm_name} voyage, où aurait-il l'intention d'aller ?</t>
  </si>
  <si>
    <t>91. Idan ${pm_name} zai yi tahiya, ina zaya iya tafiya?</t>
  </si>
  <si>
    <t>hhmem_age6</t>
  </si>
  <si>
    <t>92. What is the name of the country ${pm_name} would move to?</t>
  </si>
  <si>
    <t>92. Quel est le nom du pays dans lequel ${pm_name} souhaiterait voyager ?</t>
  </si>
  <si>
    <t>item-at(linebreak(), ${hoh_roster_above16_agelist}, 5)</t>
  </si>
  <si>
    <t>92. Menene sunan ƙasar da ${pm_name} yake son tahiya?</t>
  </si>
  <si>
    <t>93. Where in Niger would ${pm_name} move to?</t>
  </si>
  <si>
    <t>93. Où au Niger ${pm_name} se déplcerait-il ?</t>
  </si>
  <si>
    <t>93. Ina a Nijar ${pm_name} zai koma?</t>
  </si>
  <si>
    <t>hhmem_age7</t>
  </si>
  <si>
    <t>94. What is the name of the town ${pm_name} would move to?</t>
  </si>
  <si>
    <t>94. Quel est le nom de la ville où ${pm_name} irait ?</t>
  </si>
  <si>
    <t>94. Menene sunan garin da ${pm_name} zai ƙaura ?</t>
  </si>
  <si>
    <t>item-at(linebreak(), ${hoh_roster_above16_agelist}, 6)</t>
  </si>
  <si>
    <t>95. Have you and ${pm_name} discussed his plans or desire to travel to another country to find work in the past month?</t>
  </si>
  <si>
    <t>95. Avez-vous discuté vous et ${pm_name} de ses projets ou de son désir de voyager dans un autre pays pour trouver du travail au cours du mois dernier ?</t>
  </si>
  <si>
    <t>95. Ko kun tattauna ku da ${pm_name} kan shiriye-shiriyenshi ko sha'awar tafiyarshi wata ƙasa don neman aiki a cikin watan da ya gabata?</t>
  </si>
  <si>
    <t>96. Have you discussed with ${pm_name} how his household responsibilities would be managed if he migrates?</t>
  </si>
  <si>
    <t>hhmem_age8</t>
  </si>
  <si>
    <t>96. Avez-vous discuté avec ${pm_name} de la manière dont ses responsabilités domestiques seraient gérées s'il migre ?</t>
  </si>
  <si>
    <t>96. Ko kun tattauna da ${pm_name} yadda za a gudanar da ayyukan da suka rataya a wuyanshi idan ya yi hijira?</t>
  </si>
  <si>
    <t>item-at(linebreak(), ${hoh_roster_above16_agelist}, 7)</t>
  </si>
  <si>
    <t>97. In the past month has ${pm_name} put aside any money for the future?</t>
  </si>
  <si>
    <t>97. Au cours du mois dernier, ${pm_name} a-t-il mis de l'argent de côté pour l'avenir ?</t>
  </si>
  <si>
    <t>97. A cikin watan da ya gabata ko ${pm_name} ya ajiye wani kuɗi don gaba?</t>
  </si>
  <si>
    <t>hhmem_age9</t>
  </si>
  <si>
    <t>104. Problems at home and with relatives</t>
  </si>
  <si>
    <t>104. Problèmes au sein du menage et avec les proches</t>
  </si>
  <si>
    <t>104. Matsalolin gida da na dangi</t>
  </si>
  <si>
    <t>item-at(linebreak(), ${hoh_roster_above16_agelist}, 8)</t>
  </si>
  <si>
    <t>105. Accidents and disasters</t>
  </si>
  <si>
    <t>105. Accidents et catastrophes</t>
  </si>
  <si>
    <t>105. Hatsari da masifu</t>
  </si>
  <si>
    <t>hhmem_age10</t>
  </si>
  <si>
    <t>106. Problems with people in other ethnic groups</t>
  </si>
  <si>
    <t>106. Problèmes avec les personnes d'autres groupes ethniques</t>
  </si>
  <si>
    <t>106. Matsaloli da mutanen wasu kabilu daban</t>
  </si>
  <si>
    <t>item-at(linebreak(), ${hoh_roster_above16_agelist}, 9)</t>
  </si>
  <si>
    <t>107. Not enough money for basic needs (sucha as food and clothing)</t>
  </si>
  <si>
    <t>107. Pas assez d'argent pour les besoins de base (tels que la nourriture et les vêtements)</t>
  </si>
  <si>
    <t>107. Rashin isassun kuɗi don buƙatun asali (kamar abinci da sutura)</t>
  </si>
  <si>
    <t>hhmem_age11</t>
  </si>
  <si>
    <t>Gabon</t>
  </si>
  <si>
    <t>98. The following questions ask what you would expect to happen if ${pm_name} decided to travel to a neighboring country for work for at least one month.</t>
  </si>
  <si>
    <t>98. Les questions suivantes vous demandent ce à quoi vous vous attendriez si ${pm_name} décidait de se rendre dans un pays voisin pour travailler pendant au moins un mois.</t>
  </si>
  <si>
    <t>98. Tambayoyi masu zuwa suna magana akan abin da kuke tsammanin zai faru idan ${pm_name} ya yanke shawarar tafiya zuwa ƙasar maƙwabta don aiki na aƙalla wata ɗaya.</t>
  </si>
  <si>
    <t>item-at(linebreak(), ${hoh_roster_above16_agelist}, 10)</t>
  </si>
  <si>
    <t>99. How much money would you expect them to earn each month (before paying your expenses) in CFA?</t>
  </si>
  <si>
    <t>99. Combien d'argent espérez-vous qu'il gagne chaque mois (sans dépense) en CFA ?</t>
  </si>
  <si>
    <t>99. Nawa kuke tsammanin zai iya samu kowane wata (kafin kashe kuɗinku)?</t>
  </si>
  <si>
    <t>hhmem_age12</t>
  </si>
  <si>
    <t>Ghana</t>
  </si>
  <si>
    <t>100. Imagine that five years from now ${pm_name} is are living in another West African country like Cote d'Ivoire or Nigeria. How much money do you think you would earn per month in CFA?</t>
  </si>
  <si>
    <t>100. Imaginez que dans cinq ans, ${pm_name} vivra dans un autre pays d'Afrique de l'Ouest comme la Côte d'Ivoire ou le Nigeria. Combien d’argent pensez-vous gagner par mois en CFA ?</t>
  </si>
  <si>
    <t>100. Ka yi tunanin cewa shekaru biyar masu zuwa daga yanzu ${pm_name} yana rayuwa a wata ƙasa ta Yammacin Afirka kamar Cote d'Ivoire ko Najeriya. Kudi nawa kuke tsammanin za ku samu kowane wata a CFA?</t>
  </si>
  <si>
    <t>item-at(linebreak(), ${hoh_roster_above16_agelist}, 11)</t>
  </si>
  <si>
    <t>101. How much money would you expect them to share with your household each month in CFA?</t>
  </si>
  <si>
    <t>101. Combien d'argent vous attendez-vous à ce qu'il partage avec votre ménage chaque mois en CFA ?</t>
  </si>
  <si>
    <t>101. Nawa kuke tsammanin za ya baiya da gidanku kowane wata?</t>
  </si>
  <si>
    <t>hhmem_age13</t>
  </si>
  <si>
    <t>102. How much money would you expect ${pm_name} to put aside to save for the future each month?</t>
  </si>
  <si>
    <t>102. Combien d'argent pensez-vous que ${pm_name} mettrait de côté chaque mois pour épargner ?</t>
  </si>
  <si>
    <t>102. Nawa kuke tsammanin ${pm_name} za ya warewa a kowane wata don gaba ?</t>
  </si>
  <si>
    <t>item-at(linebreak(), ${hoh_roster_above16_agelist}, 12)</t>
  </si>
  <si>
    <t>103. How many times would you expect them to contact members of your household each month?</t>
  </si>
  <si>
    <t>103. Combien de fois vous attendriez-vous à ce qu'il contacte les membres de votre ménage chaque mois ?</t>
  </si>
  <si>
    <t>103. Sau nawa za ku yi tsammanin su tuntuɓi ƴan gidanku kowane wata?</t>
  </si>
  <si>
    <t>112. Five years from now, are you more likely to live somewhere else in Niger or in another country?</t>
  </si>
  <si>
    <t>112. Dans cinq ans, pensez vous vivre ailleurs au Niger ou dans un autre pays ?</t>
  </si>
  <si>
    <t>112. Cikin shekaru biyar masu zuwa, ko kuna tunanin zama a wani wuri a Nijar ko a wata ƙasa daban?</t>
  </si>
  <si>
    <t>hhmem_age14</t>
  </si>
  <si>
    <t>item-at(linebreak(), ${hoh_roster_above16_agelist}, 13)</t>
  </si>
  <si>
    <t>104. Now I will ask about things you or your family may have done in preparation for ${pm_name}'s migration.</t>
  </si>
  <si>
    <t>104. Je vais maintenant vous poser des questions sur les choses que vous ou votre famille avez pu faire en préparation de la migration de ${pm_name}.</t>
  </si>
  <si>
    <t>104. Yanzu zan yi muku tambayoyi game da abubuwan da ku ko danginku kuka yi don shirye-shiryen zuwa biɗan ${pm_name}.</t>
  </si>
  <si>
    <t>hhmem_age15</t>
  </si>
  <si>
    <t>comments</t>
  </si>
  <si>
    <t>item-at(linebreak(), ${hoh_roster_above16_agelist}, 14)</t>
  </si>
  <si>
    <t>105. Gathered resources in order to prepare for their migration? This could include saving money, selling assets, or taking a loan.</t>
  </si>
  <si>
    <t>105. A-t-il rassemblé des ressources pour préparer sa migration ? Il peut s'agir d'économiser de l'argent, de vendre des actifs ou de contracter un prêt.</t>
  </si>
  <si>
    <t>105. Ko ya yi tanadin guzuri don shirya zuwa biɗarshi? Wannan na iya haɗawa da ajiyar kuɗi, saida kadarori, ko ɗaukan bashi.</t>
  </si>
  <si>
    <t>106. prepared any legal paperwork, such as marriage documents, birth certificates, or proof of property?</t>
  </si>
  <si>
    <t>hhmem_age16</t>
  </si>
  <si>
    <t>106. A-t-il préparé des documents juridiques, tels que des documents de mariage, des certificats de naissance ou une preuve de propriété ?</t>
  </si>
  <si>
    <t>106. Shirya duk wata takarda ta doka, kamar takardun aure, takardun haifuwa, ko shaidar dukiya?</t>
  </si>
  <si>
    <t>Guinea</t>
  </si>
  <si>
    <t>Guinée</t>
  </si>
  <si>
    <t>Gini</t>
  </si>
  <si>
    <t>item-at(linebreak(), ${hoh_roster_above16_agelist}, 15)</t>
  </si>
  <si>
    <t>107. Contacted anybody in the places ${pm_name} might want to go?</t>
  </si>
  <si>
    <t>107. A-t-il contacté quelqu'un dans les endroits où ${pm_name} pourrait vouloir aller ?</t>
  </si>
  <si>
    <t>107. An tuntuɓi wani a wuraren da mai zuwa ${pm_name} zai iya zuwa?</t>
  </si>
  <si>
    <t>hhmem_age17</t>
  </si>
  <si>
    <t>116. The next set of questions are about your opinions regarding the roles that women and men play</t>
  </si>
  <si>
    <t>Libya</t>
  </si>
  <si>
    <t>116. La prochaine série de questions porte sur vos opinions concernant les rôles que jouent les femmes et les hommes</t>
  </si>
  <si>
    <t>Libye</t>
  </si>
  <si>
    <t>116. Tambayoyi na gaba sun ta'allaka ne da ra'ayoyin ku game da rawar da mata da maza suke takawa.</t>
  </si>
  <si>
    <t>item-at(linebreak(), ${hoh_roster_above16_agelist}, 16)</t>
  </si>
  <si>
    <t>108. The next few questions ask about your knowledge of official rules for people from Niger to travel to neighboring countries</t>
  </si>
  <si>
    <t>108. Les prochaines questions portent sur votre connaissance des règles officielles permettant aux Nigériens de se rendre dans les pays voisins.</t>
  </si>
  <si>
    <t>108. Tambayoyi masu zuwa za'a yi su game da saninku bisa dokokinda suke bawa mutanen Nijar damar zuwa biɗa kasashen makwabta</t>
  </si>
  <si>
    <t>hhmem_age18</t>
  </si>
  <si>
    <t>Mali</t>
  </si>
  <si>
    <t>109. Suppose you want to travel to Cote d'Ivoire, what documents would you need to bring with you to travel there legally?</t>
  </si>
  <si>
    <t>109. Supposons que vous souhaiteriez vous rendre en Côte d'Ivoire, quels documents devriez-vous apporter pour vous y rendre légalement ?</t>
  </si>
  <si>
    <t>109. A ce kuna son tafiya zuwa Cote d'Ivoire, waɗanne takardu za ku buƙaci ku kawo tare da ku don tafiya can bisa doka?</t>
  </si>
  <si>
    <t>item-at(linebreak(), ${hoh_roster_above16_agelist}, 17)</t>
  </si>
  <si>
    <t>110. Suppose you instead want to travel to Libya, what documents would you need to bring with you to travel there legally?</t>
  </si>
  <si>
    <t>110. Supposons que vous vouliez plutôt vous rendre en Libye, quels documents devriez-vous apporter avec vous pour vous y rendre légalement ?</t>
  </si>
  <si>
    <t>110. A ce a maimakon haka kuna son tafiya Libya, waɗanne takardu za ku buƙaci kawowa tare da ku don tafiya can bisa doka?</t>
  </si>
  <si>
    <t>hhmem_age19</t>
  </si>
  <si>
    <t>item-at(linebreak(), ${hoh_roster_above16_agelist}, 18)</t>
  </si>
  <si>
    <t>111. If you want to travel to Nigeria to find work, how long can you work there without getting a formal work authorization (in months)?</t>
  </si>
  <si>
    <t>111. Si vous souhaitez vous rendre au Nigeria pour trouver du travail, combien de temps pouvez-vous y travailler sans obtenir une autorisation de travail formelle (en mois) ?</t>
  </si>
  <si>
    <t>111. Idan kuna son tafiya Najeriya don neman aiki, tsawon wane lokaci za ku iya yin aiki a can ba tare da samun takardar izinin aiki a cikin doka (a cikin watanni)?</t>
  </si>
  <si>
    <t>112. If you want to travel to Senegal, what vaccinations are required in order to travel there legally?</t>
  </si>
  <si>
    <t>112. Si vous souhaitez vous rendre au Sénégal, quels vaccins sont nécessaires pour y voyager légalement ?</t>
  </si>
  <si>
    <t>112. Idan kuna son tafiya Senegal, waɗanne alluran rigakafi ake wajabta muku don tafiya can bisa doka?</t>
  </si>
  <si>
    <t>hhmem_age20</t>
  </si>
  <si>
    <t>122. Whether the husband will migrate to find work</t>
  </si>
  <si>
    <t>122. Si le mari va migrer pour trouver du travail</t>
  </si>
  <si>
    <t>122. Ko mijin zai yi tahiya don neman aiki</t>
  </si>
  <si>
    <t>item-at(linebreak(), ${hoh_roster_above16_agelist}, 19)</t>
  </si>
  <si>
    <t>113. What are the potential risks of migrating?</t>
  </si>
  <si>
    <t>113. Quels sont les risques potentiels liés à la migration ?</t>
  </si>
  <si>
    <t>113. Menene haɗarin zuwa biɗa?</t>
  </si>
  <si>
    <t>hhmem_age21</t>
  </si>
  <si>
    <t>(${age1}+${age2}+${age3}) div 3</t>
  </si>
  <si>
    <t>114. What are some things that you could do to mitigate some of the risks associated with traveling to a neighboring country to find work?</t>
  </si>
  <si>
    <t>114. Quelles mesures pourriez-vous prendre pour atténuer certains des risques associés au voyage dans un pays voisin pour trouver du travail ?</t>
  </si>
  <si>
    <t>114. Wadanne abubuwa ne za ku iya yi don rage wasu haɗarin da ke tattare da tafiya zuwa wata ƙasa maƙwabta don neman aiki?</t>
  </si>
  <si>
    <t>item-at(linebreak(), ${hoh_roster_above16_agelist}, 20)</t>
  </si>
  <si>
    <t>125. Children's enrollment in school</t>
  </si>
  <si>
    <t>125. Inscription des enfants à l'école</t>
  </si>
  <si>
    <t>Senegal</t>
  </si>
  <si>
    <t>125. Rubuta yara a makaranta</t>
  </si>
  <si>
    <t>Sénégal</t>
  </si>
  <si>
    <t>123. I am now going to mention some things that families sometimes speak about. Please tell me if you and other adults in your household talk about these things</t>
  </si>
  <si>
    <t>123. Je vais maintenant évoquer certaines choses dont les familles parlent parfois. S'il vous plaît, dites-moi si vous et d'autres adultes de votre ménage parlez de ces choses.</t>
  </si>
  <si>
    <t>hhmem_age22</t>
  </si>
  <si>
    <t>123. Yanzu zan ambaci wasu abubuwa da wani lokaci mutane suke magana akai. Don Allah ku gaya mani idan ku da sauran mutanen gidanku kuna magana akan waɗannan abubuwan</t>
  </si>
  <si>
    <t>115. Now, I'd like you to think about your life five years from now. 
In five years, how likely are you to live in Tahoua region, including at home, compared to somewhere else</t>
  </si>
  <si>
    <t>115. Maintenant, j'aimerais que vous pensiez à votre vie dans les cinq ans à venir. Dans les cinq ans à venir, quelle est la probabilité que vous viviez dans la région de Tahoua, y compris chez vous, ou ailleurs ?</t>
  </si>
  <si>
    <t>115. Yanzu, Ina son ku yi tunani game da rayuwar ku a cikin shekaru biyar masu zuwa daga yanzu. A cikin shekaru biyar masu zuwa, yaya kuke ganin yiwuwar zamanku a jahar Tahoua, har da ƙauyenku, ko a wani wuri dabam?</t>
  </si>
  <si>
    <t>Togo</t>
  </si>
  <si>
    <t>item-at(linebreak(), ${hoh_roster_above16_agelist}, 21)</t>
  </si>
  <si>
    <t>116. Five years from now, are you more likely to live somewhere else in Niger or in another country?</t>
  </si>
  <si>
    <t>116. Dans cinq ans, pensez vous vivre ailleurs au Niger ou dans un autre pays ?</t>
  </si>
  <si>
    <t>116. Cikin shekaru biyar masu zuwa, ko kuna tunanin zama a wani wuri a Nijar ko a wata ƙasa daban?</t>
  </si>
  <si>
    <t>hhmem_age23</t>
  </si>
  <si>
    <t>126. I am now going to mention some things that families sometimes speak about. Please tell me if you and other adults in your household talk about these things</t>
  </si>
  <si>
    <t>126. Je vais maintenant évoquer certaines choses dont les familles parlent parfois. S'il vous plaît, dites-moi si vous et d'autres adultes de votre ménage parlez de ces choses.</t>
  </si>
  <si>
    <t>126. Yanzu zan ambaci wasu abubuwa da wani lokaci mutane suke magana akai. Don Allah ku gaya mani idan ku da sauran mutanen gidanku kuna magana akan waɗannan abubuwan</t>
  </si>
  <si>
    <t>Cape Verde</t>
  </si>
  <si>
    <t>Cap-Vert</t>
  </si>
  <si>
    <t>item-at(linebreak(), ${hoh_roster_above16_agelist}, 22)</t>
  </si>
  <si>
    <t>127. Things that happen at work or in the fields?</t>
  </si>
  <si>
    <t>127. Des choses qui se passent au travail ou dans les champs ?</t>
  </si>
  <si>
    <t>127. Abubuwan da ke faruwa a wurin aiki ko a gona?</t>
  </si>
  <si>
    <t>once(format-date-time(now(), '%Y-%b-%e %H:%M:%S'))</t>
  </si>
  <si>
    <t>128. Things that happen in the community?</t>
  </si>
  <si>
    <t>128. Des choses qui se passent dans la communauté ?</t>
  </si>
  <si>
    <t>128. Abubuwan da ke faruwa a cikin al'umma?</t>
  </si>
  <si>
    <t>Guinea-Bissau</t>
  </si>
  <si>
    <t>hhmem_age24</t>
  </si>
  <si>
    <t>Guinée-Bissau</t>
  </si>
  <si>
    <t>129. Who to vote for in local elections?</t>
  </si>
  <si>
    <t>129. Pour qui voter aux élections municipales ?</t>
  </si>
  <si>
    <t>129. Wanene za'a zaɓa a zaɓen ƙananan hukumomi?</t>
  </si>
  <si>
    <t>item-at(linebreak(), ${hoh_roster_above16_agelist}, 23)</t>
  </si>
  <si>
    <t>130. How to you invest your money such as whether to improve your house</t>
  </si>
  <si>
    <t>130. Comment investir votre argent, par exemple pour améliorer votre maison</t>
  </si>
  <si>
    <t>Liberia</t>
  </si>
  <si>
    <t>130. Yadda za ku kashe kuɗin ku, kamar gyaran gidanku</t>
  </si>
  <si>
    <t>Libéria</t>
  </si>
  <si>
    <t>Laberiya</t>
  </si>
  <si>
    <t>117. The next set of questions are about your opinions regarding the roles that women and men play</t>
  </si>
  <si>
    <t>117. La prochaine série de questions porte sur vos opinions concernant les rôles que jouent les femmes et les hommes</t>
  </si>
  <si>
    <t>117. Tambayoyi na gaba sun ta'allaka ne da ra'ayoyin ku game da rawar da mata da maza suke takawa.</t>
  </si>
  <si>
    <t>hhmem_age25</t>
  </si>
  <si>
    <t>Nigeria</t>
  </si>
  <si>
    <t>Najeriya</t>
  </si>
  <si>
    <t>118. How often, if ever do you talk about the role of women in society with other people?</t>
  </si>
  <si>
    <t>118. À quelle fréquence, si jamais cela arrive, parlez-vous du rôle des femmes dans la société avec d'autres personnes ?</t>
  </si>
  <si>
    <t>item-at(linebreak(), ${hoh_roster_above16_agelist}, 24)</t>
  </si>
  <si>
    <t>118. Sau nawa, idan ya na faruwa, kuke yin magana game da taka rawan mata a cikin al'umma tare da sauran mutane?</t>
  </si>
  <si>
    <t>p = 50</t>
  </si>
  <si>
    <t>119. In your opinion, how much influence a wife should have over the following decisions within a couple?</t>
  </si>
  <si>
    <t>119. Selon vous, quelle influence une épouse devrait-elle avoir sur les décisions suivantes au sein d'un couple ?</t>
  </si>
  <si>
    <t>119. A ra'ayinka, wane tasiri mace ya kamata ta yi bisa yanke shawarwari da zan zana a tsakanin ta da mijinta?</t>
  </si>
  <si>
    <t>Sierra Leone</t>
  </si>
  <si>
    <t>hhmem_age26</t>
  </si>
  <si>
    <t>Saliyo</t>
  </si>
  <si>
    <t>120. Daily household expenses (Less than 500 CFA)</t>
  </si>
  <si>
    <t>120. Dépenses quotidiennes du ménage (Moins de 500 CFA)</t>
  </si>
  <si>
    <t>120. Kashe kashen kuɗin gida na yau da kullun ( Kasa da dala ɗari)</t>
  </si>
  <si>
    <t>item-at(linebreak(), ${hoh_roster_above16_agelist}, 25)</t>
  </si>
  <si>
    <t>121. Household purchases worth more than 500 CFA</t>
  </si>
  <si>
    <t>121. Achats liés au bien être des ménages d'une valeur supérieure à 500 CFA</t>
  </si>
  <si>
    <t>121. Sayayyar gida na sama da ɗari</t>
  </si>
  <si>
    <t>Central African Republic</t>
  </si>
  <si>
    <t>122. Family planning (how many children to have)</t>
  </si>
  <si>
    <t>République centrafricaine</t>
  </si>
  <si>
    <t>122. Planification familiale (combien d'enfants avoir)</t>
  </si>
  <si>
    <t>122. Tsarin iyali (ƴaƴa nawa za a haifa)</t>
  </si>
  <si>
    <t>Jamhuriyar Afirka ta Tsakiya</t>
  </si>
  <si>
    <t>hhmem_age27</t>
  </si>
  <si>
    <t>123. Whether the husband will migrate to find work</t>
  </si>
  <si>
    <t>123. Si le mari va migrer pour trouver du travail</t>
  </si>
  <si>
    <t>123. Ko mijin zai yi tahiya don neman aiki</t>
  </si>
  <si>
    <t>p = 50; eventlog; choices</t>
  </si>
  <si>
    <t>item-at(linebreak(), ${hoh_roster_above16_agelist}, 26)</t>
  </si>
  <si>
    <t>124. Who to vote for in local elections?</t>
  </si>
  <si>
    <t>124. Pour qui voter aux élections municipales ?</t>
  </si>
  <si>
    <t>124. Wanene za'a zaɓa a zaɓen ƙananan hukumomi?</t>
  </si>
  <si>
    <t>Chad</t>
  </si>
  <si>
    <t>Tchad</t>
  </si>
  <si>
    <t>Cadi</t>
  </si>
  <si>
    <t>125. To whom your daughter should marry?</t>
  </si>
  <si>
    <t>125. Avec qui votre fille devrait-elle se marier ?</t>
  </si>
  <si>
    <t>125. Wa ya kamata ƴarku ta aura?</t>
  </si>
  <si>
    <t>126. Children's enrollment in school</t>
  </si>
  <si>
    <t>126. Inscription des enfants à l'école</t>
  </si>
  <si>
    <t>hhmem_age28</t>
  </si>
  <si>
    <t>126. Rubuta yara a makaranta</t>
  </si>
  <si>
    <t>138. Immigrants who come to Niger as foreign workers</t>
  </si>
  <si>
    <t>138. Les immigrés qui viennent au Niger en tant que travailleurs étrangers</t>
  </si>
  <si>
    <t>138. Baƙin haure masu zuwa Nijar a matsayin ma'aikata ƴan ƙasashen waje</t>
  </si>
  <si>
    <t>item-at(linebreak(), ${hoh_roster_above16_agelist}, 27)</t>
  </si>
  <si>
    <t>139. People of a different sect of Islam</t>
  </si>
  <si>
    <t>139. Les gens d'une autre secte de l'Islam</t>
  </si>
  <si>
    <t>139. Mabiya wasu ɗarikun musulunci</t>
  </si>
  <si>
    <t>audio audit</t>
  </si>
  <si>
    <t>140. Imagine one of your daughters wanted to marry someone of a different religious faith, would you give them your permission?</t>
  </si>
  <si>
    <t>140. Imaginez qu'une de vos filles veuille épouser quelqu'un d'une confession religieuse différente, leur donneriez-vous votre permission ?</t>
  </si>
  <si>
    <t>140. Ku ƙaddara da wata ɗaiyarku ta na son ta auri wani mai biyar wani addini daban, za ku bada izininku?</t>
  </si>
  <si>
    <t>p = 50; s = 0; d = 60</t>
  </si>
  <si>
    <t>hhmembers_above16</t>
  </si>
  <si>
    <t>127. I am now going to mention some things that families sometimes speak about. Please tell me if you and other adults in your household talk about these things</t>
  </si>
  <si>
    <t>127. Je vais maintenant évoquer certaines choses dont les familles parlent parfois. S'il vous plaît, dites-moi si vous et d'autres adultes de votre ménage parlez de ces choses.</t>
  </si>
  <si>
    <t>127. Yanzu zan ambaci wasu abubuwa da wani lokaci mutane suke magana akai. Don Allah ku gaya mani idan ku da sauran mutanen gidanku kuna magana akan waɗannan abubuwan</t>
  </si>
  <si>
    <t>if(empty(${hoh_roster_above16_list}), 0, count-items(linebreak(), ${hoh_roster_above16_list}))</t>
  </si>
  <si>
    <t>128. Things that happen at work or in the fields?</t>
  </si>
  <si>
    <t>128. Des choses qui se passent au travail ou dans les champs ?</t>
  </si>
  <si>
    <t>128. Abubuwan da ke faruwa a wurin aiki ko a gona?</t>
  </si>
  <si>
    <t>129. Things that happen in the community?</t>
  </si>
  <si>
    <t>129. Des choses qui se passent dans la communauté ?</t>
  </si>
  <si>
    <t>129. Abubuwan da ke faruwa a cikin al'umma?</t>
  </si>
  <si>
    <t>130. Who to vote for in local elections?</t>
  </si>
  <si>
    <t>130. Pour qui voter aux élections municipales ?</t>
  </si>
  <si>
    <t>130. Wanene za'a zaɓa a zaɓen ƙananan hukumomi?</t>
  </si>
  <si>
    <t>p = 50; s = 0-600; d = 60</t>
  </si>
  <si>
    <t>131. How to you invest your money such as whether to improve your house</t>
  </si>
  <si>
    <t>131. Comment investir votre argent, par exemple pour améliorer votre maison</t>
  </si>
  <si>
    <t>131. Yadda za ku kashe kuɗin ku, kamar gyaran gidanku</t>
  </si>
  <si>
    <t>select_one yesno</t>
  </si>
  <si>
    <t>resp_confirm</t>
  </si>
  <si>
    <t>9. You indicated that you are attempting to interview ${shm_name_bl} (age: ${shm_age_bl}). Is that correct?</t>
  </si>
  <si>
    <t>9. Vous avez indiqué que vous tentez d'interroger ${shm_name_bl} (âge : ${shm_age}). Est-ce exact ?</t>
  </si>
  <si>
    <t>9. Kun nuna cewa kuna ƙoƙarin yin hira da ${shm_name} (shekaru: ${shm_age_bl}). Shin hakan daidai ne?</t>
  </si>
  <si>
    <t>132. Household members decisions to migrate</t>
  </si>
  <si>
    <t>132. Planification familiale (quand avoir des enfants)</t>
  </si>
  <si>
    <t>132. Tsarin iyali (lokacin ɗaukan ciki)</t>
  </si>
  <si>
    <t>133. Do you and members of your household ever disagree about any of these topics?</t>
  </si>
  <si>
    <t>133. Vous et votre conjoint êtes-vous déjà en désaccord sur ces sujets ?</t>
  </si>
  <si>
    <t>133. Ko kai da matarka kun taɓa samun saɓani game da waɗannan batutuwa?</t>
  </si>
  <si>
    <t>select_one resp</t>
  </si>
  <si>
    <t>resp_interview</t>
  </si>
  <si>
    <t>134. Do these conversations ever get contentious?</t>
  </si>
  <si>
    <t>134. Ces conversations deviennent-elles parfois controversées ?</t>
  </si>
  <si>
    <t>134. Ko waɗannan hirarrakin sun taɓa zama sabani?</t>
  </si>
  <si>
    <t>p = 50; s = firstfield; d = lastfield</t>
  </si>
  <si>
    <t>${resp_confirm} = 0</t>
  </si>
  <si>
    <t>144. Woman Questions</t>
  </si>
  <si>
    <t xml:space="preserve">144. </t>
  </si>
  <si>
    <t>filter!=${w_shm}</t>
  </si>
  <si>
    <t>whyno_in</t>
  </si>
  <si>
    <t>145. I would like to ask you about different ways you may use money that you earn.</t>
  </si>
  <si>
    <t>145. Maintenant, je voudrais vous poser des questions sur les différentes façons dont vous pouvez utiliser l'argent que vous gagnez.</t>
  </si>
  <si>
    <t>Permanently moved away from household</t>
  </si>
  <si>
    <t>145. Yanzu ina so in tambaye ku hanyoyi daban-daban da zaku iya amfani da su wajen kashe kuɗin da kuke samu.</t>
  </si>
  <si>
    <t>resp_pm</t>
  </si>
  <si>
    <t>146. Do you currently have savings of each of the following types that you have put aside for yourself, separate from your household?</t>
  </si>
  <si>
    <t>146. Avez-vous actuellement des économies de chacun des types suivants que vous avez mises de côté pour vous-même, séparément de votre ménage ?</t>
  </si>
  <si>
    <t>146. Ko a halin yanzu kuna da tanadi na kowane nau'in waɗannan nau'ikan da kuka ware wa kanku?</t>
  </si>
  <si>
    <t>Définitivement parti du ménage</t>
  </si>
  <si>
    <t>Ya yi ƙaura daga gidan nan na dindindin</t>
  </si>
  <si>
    <t>${resp_interview} = 1</t>
  </si>
  <si>
    <t>147. Specify other:</t>
  </si>
  <si>
    <t>147. Précisez autre :</t>
  </si>
  <si>
    <t>groupname</t>
  </si>
  <si>
    <t>147. Ƙayyade wasu:</t>
  </si>
  <si>
    <t>Standard group</t>
  </si>
  <si>
    <t>147. Woman Questions</t>
  </si>
  <si>
    <t xml:space="preserve">147. </t>
  </si>
  <si>
    <t>resp_w</t>
  </si>
  <si>
    <t>148. Before we begin, I would like to ask you about the locations of other respondents of this household</t>
  </si>
  <si>
    <t xml:space="preserve">148. </t>
  </si>
  <si>
    <t>${resp_interview} = 2</t>
  </si>
  <si>
    <t>135. Now I wil ask you about your opinions about people who are different from you and the type of society you want to live in.</t>
  </si>
  <si>
    <t>135. Maintenant, je vais vous demander votre opinion sur les personnes différentes de vous et sur le type de société dans laquelle vous souhaitez vivre.</t>
  </si>
  <si>
    <t>135. Yanzu zan tambaye ra'ayinku game da wasu mutane daban, da kuma irin al'ummar da kuke son rayuwa a ciki.</t>
  </si>
  <si>
    <t>136. Could you tell me your general feeling about each group of people is positive or negative on a scale of 0 to 10 where 0 is very negative and 10 is very positive</t>
  </si>
  <si>
    <t>136. Pourriez-vous me dire votre sentiment général sur chaque groupe de personnes s'il est positif ou négatif sur une échelle de 0 à 10 où 0 est très négatif et 10 est très positif</t>
  </si>
  <si>
    <t>136. Ko za ku iya gaya mini yanda kuke gani game da kowane gungun mutane, yana da kyau ko baya da kyau akan kuranga 0 zuwa 10 inda 0 ba shi da kyau sosai kuma 10 yana da inganci sosai.</t>
  </si>
  <si>
    <t>resp_inhh</t>
  </si>
  <si>
    <t>13. Is ${shm_name_bl} still a member of this household?</t>
  </si>
  <si>
    <t>13. Est-ce que ${shm_name_bl} est toujours membre de ce ménage ?</t>
  </si>
  <si>
    <t>…</t>
  </si>
  <si>
    <t>13. Ko ${shm_name_bl} har yanzu dan wannan gidan ne?</t>
  </si>
  <si>
    <t>137. Followers of other religions</t>
  </si>
  <si>
    <t>137. Adeptes d'autres religions</t>
  </si>
  <si>
    <t>137. Mabiya wasu addinai</t>
  </si>
  <si>
    <t>${resp_confirm} = 1</t>
  </si>
  <si>
    <t>138. People of different ethnic groups</t>
  </si>
  <si>
    <t>138. Personnes de différents groupes ethniques</t>
  </si>
  <si>
    <t>138. Mutanen wasu kabilu daban</t>
  </si>
  <si>
    <t>139. Immigrants who come to Niger as foreign workers</t>
  </si>
  <si>
    <t>139. Les immigrés qui viennent au Niger en tant que travailleurs étrangers</t>
  </si>
  <si>
    <t>139. Baƙin haure masu zuwa Nijar a matsayin ma'aikata ƴan ƙasashen waje</t>
  </si>
  <si>
    <t>select_one members</t>
  </si>
  <si>
    <t>resp_alt</t>
  </si>
  <si>
    <t>14. Enumerator: In the Prospective migrant survey, we asked you to write down the name of the member who would be best positioned to answer Secondary Household Member survey if ${shm_name_bl} moved away from home. Please indicate the member in the list below:</t>
  </si>
  <si>
    <t>14. 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</si>
  <si>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14. Mai bincike: A cikin tambayoyin mai zuwa biɗa, mun nemi a rubuta sunan wanda zai fi dacewa ya bada amsa bisa ƴan gida idan ɗan gida na biyu ${shm_name_bl} ya ƙaura daga gida. Da fatan za a nuna sunan mutumen a cikin jerin sunayen da ke ƙasa:</t>
  </si>
  <si>
    <t>140. People of a different sect of Islam</t>
  </si>
  <si>
    <t>140. Les gens d'une autre secte de l'Islam</t>
  </si>
  <si>
    <t>140. Mabiya wasu ɗarikun musulunci</t>
  </si>
  <si>
    <t>${hhmembers_above16} &gt; 0 and ${resp_inhh} = 0</t>
  </si>
  <si>
    <t>filter&lt;=${hhmembers_above16}</t>
  </si>
  <si>
    <t>141. Imagine one of your daughters wanted to marry someone of a different religious faith, would you give them your permission?</t>
  </si>
  <si>
    <t>141. Imaginez qu'une de vos filles veuille épouser quelqu'un d'une confession religieuse différente, leur donneriez-vous votre permission ?</t>
  </si>
  <si>
    <t>141. Ku ƙaddara da wata ɗaiyarku ta na son ta auri wani mai biyar wani addini daban, za ku bada izininku?</t>
  </si>
  <si>
    <t>142. Imagine one of your sons wanted to marry someone of a different religious faith, would you give them your permission?</t>
  </si>
  <si>
    <t>142. Imaginez que l'un de vos fils veuille épouser quelqu'un d'une confession religieuse différente, leur donneriez-vous votre permission ?</t>
  </si>
  <si>
    <t>142. Ku ƙaddara da wani ɗanku ya na son ya auri wata ƴan addini daban, za ku bada izininku?</t>
  </si>
  <si>
    <t>alt_shm_name</t>
  </si>
  <si>
    <t>143. Imagine one of your daughters wanted to marry someone of a different ethnic group, would you give them your permission?</t>
  </si>
  <si>
    <t>143. Imaginez qu'une de vos filles veuille épouser quelqu'un d'un groupe ethnique différent, leur donneriez-vous votre permission ?</t>
  </si>
  <si>
    <t>143. Ku ƙaddara da wata ɗiyarka tana son ta auri ɗan wata kabila daban, za ku bada izininka?</t>
  </si>
  <si>
    <t>item-at(linebreak(), ${hoh_roster_above16_namelist}, ${resp_alt})</t>
  </si>
  <si>
    <t>144. Imagine one of your sons wanted to marry someone of a different ethnic group, would you give them your permission?</t>
  </si>
  <si>
    <t>144. Imaginez que l'un de vos fils veuille épouser quelqu'un d'un groupe ethnique différent, leur donneriez-vous votre permission ?</t>
  </si>
  <si>
    <t>144. Ku ƙaddara da wani ɗanku ya na son ya auri wata ƴar wata ƙabila daban, za ku bada izininku?</t>
  </si>
  <si>
    <t>Married out of family</t>
  </si>
  <si>
    <t>Marié hors famille</t>
  </si>
  <si>
    <t>Ya yi aure a wani gidan daban.</t>
  </si>
  <si>
    <t>alt_shm_age</t>
  </si>
  <si>
    <t>145.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</si>
  <si>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145.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</si>
  <si>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145. 1) Tsarin dimoraɗiyya ta fi kowace irin tsari mulki
 2) A wani yanayi ana iya fifita gwamnatin da ba ta dimokraɗiyya ba
 3) Ga mai irina, ba ruwanmu da wace irin gwamnati muke da ita”.</t>
  </si>
  <si>
    <t>item-at(linebreak(), ${hoh_roster_above16_agelist}, ${resp_alt})</t>
  </si>
  <si>
    <t>repeatname</t>
  </si>
  <si>
    <t>Standard repeated group</t>
  </si>
  <si>
    <t>146.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</si>
  <si>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146.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</si>
  <si>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Divorced</t>
  </si>
  <si>
    <t>146.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</si>
  <si>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Divorcé</t>
  </si>
  <si>
    <t>An rabu</t>
  </si>
  <si>
    <t>shm_name</t>
  </si>
  <si>
    <t>147.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</si>
  <si>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147.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</si>
  <si>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147.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</si>
  <si>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if(${hhmembers_above16} &gt; 0 and ${resp_inhh} = 0, ${alt_shm_name}, ${shm_name_bl})</t>
  </si>
  <si>
    <t>162. Other, specify:</t>
  </si>
  <si>
    <t>162. Autre précisez:</t>
  </si>
  <si>
    <t>Deceased</t>
  </si>
  <si>
    <t>162. Sauran, bayar da cikakkun bayanai:</t>
  </si>
  <si>
    <t>Décédé</t>
  </si>
  <si>
    <t>Ya Mutu</t>
  </si>
  <si>
    <t>shm_age</t>
  </si>
  <si>
    <t>163. I would like to ask you about different ways you may use money that you earn.</t>
  </si>
  <si>
    <t>163. Maintenant, je voudrais vous poser des questions sur les différentes façons dont vous pouvez utiliser l'argent que vous gagnez.</t>
  </si>
  <si>
    <t>163. Yanzu ina so in tambaye ku hanyoyi daban-daban da zaku iya amfani da su wajen kashe kuɗin da kuke samu.</t>
  </si>
  <si>
    <t>if(${hhmembers_above16} &gt; 0 and ${resp_inhh} = 0, ${alt_shm_age}, ${shm_age_bl})</t>
  </si>
  <si>
    <t>164. Do you currently have savings of each of the following types that you have put aside for yourself, separate from your household?</t>
  </si>
  <si>
    <t>164. Avez-vous actuellement des économies de chacun des types suivants que vous avez mises de côté pour vous-même, séparément de votre ménage ?</t>
  </si>
  <si>
    <t>164. Ko a halin yanzu kuna da tanadi na kowane nau'in waɗannan nau'ikan da kuka ware wa kanku?</t>
  </si>
  <si>
    <t>shm_hoh</t>
  </si>
  <si>
    <t>165. Specify other:</t>
  </si>
  <si>
    <t>165. Précisez autre :</t>
  </si>
  <si>
    <t>165. Ƙayyade wasu:</t>
  </si>
  <si>
    <t>if(${hhmembers_above16} &gt; 0 and ${resp_inhh} = 0, 0, ${shm_hoh_bl})</t>
  </si>
  <si>
    <t>157. Now I am going to ask you about some situations which happen to some women. Please tell me if these apply to your relationship with your husband?</t>
  </si>
  <si>
    <t>157. Maintenant, je vais vous poser des questions sur certaines situations qui arrivent à certaines femmes. Veuillez me dire si cela s'applique à votre relation avec votre mari ?</t>
  </si>
  <si>
    <t>157. To, yanzu zan tambaye ku game da wasu al’amura da suke faruwa ga wasu mata. Ko kun gaya mini idan waɗannan sun shafi zamantakewarku da mijinku?</t>
  </si>
  <si>
    <t>158. He does not trust your fidelty</t>
  </si>
  <si>
    <t>158. Il est jaloux et vous montre qu'il n’a pas confiance en vous ?</t>
  </si>
  <si>
    <t>resp_available</t>
  </si>
  <si>
    <t>158. Yana zargin ku kullum da nuna rashin yarda?</t>
  </si>
  <si>
    <t>15. Is ${shm_name} available to be interviewed?</t>
  </si>
  <si>
    <t>15. Est-ce que ${shm_name} est disponible pour être interviewé ?</t>
  </si>
  <si>
    <t>15. Ko ${shm_name} yana da damar yin hira mu?</t>
  </si>
  <si>
    <t>159. He (does/did) not permit you to meet your girl friends?</t>
  </si>
  <si>
    <t>159. Il ne vous a pas permis de rencontrer vos copines ?</t>
  </si>
  <si>
    <t>159. Bai baku izinin ganin ƙawayenku ba?</t>
  </si>
  <si>
    <t>166. Please share with us your best estimate of the value in CFA ${w_savings_name}</t>
  </si>
  <si>
    <t>166. Veuillez partager avec nous votre meilleure estimation de la valeur en CFA ${w_savings_name}</t>
  </si>
  <si>
    <t>166. Da fatan zaku faɗa mana ƙimar da kuke ganin yayi daidai a cikin CFA ${w_savings_name}</t>
  </si>
  <si>
    <t>illness</t>
  </si>
  <si>
    <t>malaria</t>
  </si>
  <si>
    <t>Paludisme</t>
  </si>
  <si>
    <t>select_one unavail_why</t>
  </si>
  <si>
    <t>resp_available_why</t>
  </si>
  <si>
    <t>Masassarar cizon sauro</t>
  </si>
  <si>
    <t>16. Enumerator: Please specify why ${shm_name} is not available right now:</t>
  </si>
  <si>
    <t>167. Do you earn interest on this money ${w_savings_name}?</t>
  </si>
  <si>
    <t>167. Gagnez-vous des intérêts sur cet argent ${w_savings_name} ?</t>
  </si>
  <si>
    <t>16. Enqueteur: veuillez specifier pourquoi ${shm_name} n'est pas disponible maintenant</t>
  </si>
  <si>
    <t>167. Kuna samun riba akan wannan kuɗin ${w_savings_name}?</t>
  </si>
  <si>
    <t>16. Dan binkike: dan mine ${shm_name} bai nan a yanzu</t>
  </si>
  <si>
    <t>${resp_available} = 0</t>
  </si>
  <si>
    <t>148. Woman Questions</t>
  </si>
  <si>
    <t>161. Now if you will permit me, I need to ask some more questions about your relationship with your husband. Does he ever?</t>
  </si>
  <si>
    <t>161. Maintenant, si vous me le permettez, je dois poser quelques questions supplémentaires sur votre relation avec votre mari. Est-ce qu'il a jamais?</t>
  </si>
  <si>
    <t>161. Yanzu idan za ki ba ni izini, Ina bukatar yin wasu tambayoyi game da dangantakarki da mijinki. Ko ya taba?</t>
  </si>
  <si>
    <t>resp_available_why_o</t>
  </si>
  <si>
    <t>17. Other, specify:</t>
  </si>
  <si>
    <t>17. Autre précisez:</t>
  </si>
  <si>
    <t>17. Sauran, bayar da cikakkun bayanai:</t>
  </si>
  <si>
    <t>149. Before we begin, I would like to ask you about the locations of other respondents of this household</t>
  </si>
  <si>
    <t xml:space="preserve">149. </t>
  </si>
  <si>
    <t>${resp_available_why} = -777</t>
  </si>
  <si>
    <t>tuberculosis</t>
  </si>
  <si>
    <t>Tuberculose</t>
  </si>
  <si>
    <t>Babban Tari</t>
  </si>
  <si>
    <t>Group repeated exactly three times</t>
  </si>
  <si>
    <t>yellow fever</t>
  </si>
  <si>
    <t>Fièvre jaune</t>
  </si>
  <si>
    <t>Farar masassara</t>
  </si>
  <si>
    <t>consent</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</si>
  <si>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</si>
  <si>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</si>
  <si>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</si>
  <si>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${resp_available} = 1</t>
  </si>
  <si>
    <t>typhoid</t>
  </si>
  <si>
    <t>Typhoïde</t>
  </si>
  <si>
    <t>Masassarar kayan ɗanye</t>
  </si>
  <si>
    <t>speedcheck_intro_end</t>
  </si>
  <si>
    <t>Is ${shm_name_bl} still a member of this household?</t>
  </si>
  <si>
    <t>Est-ce que ${shm_name_bl} est toujours membre de ce ménage ?</t>
  </si>
  <si>
    <t>Ko ${shm_name_bl} har yanzu dan wannan gidan ne?</t>
  </si>
  <si>
    <t>cholera</t>
  </si>
  <si>
    <t>Choléra</t>
  </si>
  <si>
    <t>kwalara</t>
  </si>
  <si>
    <t>Enumerator: In the Prospective migrant survey, we asked you to write down the name of the member who would be best positioned to answer Secondary Household Member survey if ${shm_name_bl} moved away from home. Please indicate the member in the list below:</t>
  </si>
  <si>
    <t>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</si>
  <si>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Mai bincike: A cikin tambayoyin mai zuwa biɗa, mun nemi a rubuta sunan wanda zai fi dacewa ya bada amsa bisa ƴan gida idan ɗan gida na biyu ${shm_name_bl} ya ƙaura daga gida. Da fatan za a nuna sunan mutumen a cikin jerin sunayen da ke ƙasa:</t>
  </si>
  <si>
    <t>dur_intro</t>
  </si>
  <si>
    <t>${speedcheck_intro_end} - ${speedcheck_intro_start}</t>
  </si>
  <si>
    <t>diarrhea</t>
  </si>
  <si>
    <t>Diarrhée</t>
  </si>
  <si>
    <t>zawo</t>
  </si>
  <si>
    <t>156. Enumerator: Enter other town</t>
  </si>
  <si>
    <t>156. Enquêteur : Entrez un autre ville</t>
  </si>
  <si>
    <t>156. Ɗan bincike: Shigar da wata gari</t>
  </si>
  <si>
    <t>consented</t>
  </si>
  <si>
    <t>Consent: Yes</t>
  </si>
  <si>
    <t>${consent} = 1</t>
  </si>
  <si>
    <t>157. Will ${pm_name} be in the household within the next two weeks?</t>
  </si>
  <si>
    <t xml:space="preserve">157. </t>
  </si>
  <si>
    <t>meningitis</t>
  </si>
  <si>
    <t>Méningite</t>
  </si>
  <si>
    <t>Sanƙarau</t>
  </si>
  <si>
    <t>158. Is ${shm_name} currently living in your household?</t>
  </si>
  <si>
    <t>form_questions</t>
  </si>
  <si>
    <t>158. ${shm_name} vit-il actuellement dans votre ménage?</t>
  </si>
  <si>
    <t>158. Ko ${shm_name} yana zaune a gidan ku a hali yanzu?</t>
  </si>
  <si>
    <t>speed violations count</t>
  </si>
  <si>
    <t>159. Where is ${shm_name} living?
Enumerator: Is location in Niger?</t>
  </si>
  <si>
    <t>159. Où habite ${shm_name}?
 Enquêteur : le lieu est-il au Niger?</t>
  </si>
  <si>
    <t>159. A ina ${shm_name} ya zaune?
 Mai bincike: Wurin a Nijar ne?</t>
  </si>
  <si>
    <t>chicken pox</t>
  </si>
  <si>
    <t>Varicelle</t>
  </si>
  <si>
    <t>160. Enumerator: Select region in Niger</t>
  </si>
  <si>
    <t>160. Enquêteur : Sélectionnez une région au Niger</t>
  </si>
  <si>
    <t>160. Ɗan bincike: Zaɓi Jaha ɗaya a Nijar</t>
  </si>
  <si>
    <t>Kashin kaji/Farankama</t>
  </si>
  <si>
    <t>13. Is ${shm_name} available to be interviewed?</t>
  </si>
  <si>
    <t>13. Est-ce que ${shm_name} est disponible pour être interviewé ?</t>
  </si>
  <si>
    <t>13. Ko ${shm_name} yana da damar yin hira mu?</t>
  </si>
  <si>
    <t>speed violations list</t>
  </si>
  <si>
    <t>Enumerator: Please specify why ${shm_name} is not available right now:</t>
  </si>
  <si>
    <t>Enqueteur: veuillez specifier pourquoi ${shm_name} n'est pas disponible maintenant</t>
  </si>
  <si>
    <t>speedcheck_shm_start</t>
  </si>
  <si>
    <t>speed violations audit</t>
  </si>
  <si>
    <t>v = 5; d = 120</t>
  </si>
  <si>
    <t>shm_questions</t>
  </si>
  <si>
    <t>SHM Questionnaire</t>
  </si>
  <si>
    <t>sensor_stream movement</t>
  </si>
  <si>
    <t>shm_note</t>
  </si>
  <si>
    <t>19. SHM Questions</t>
  </si>
  <si>
    <t>19. Questions du second membre (SHM)</t>
  </si>
  <si>
    <t>19. Tambayoyin SHM</t>
  </si>
  <si>
    <t>shm_home_questions</t>
  </si>
  <si>
    <t>Questions if at home</t>
  </si>
  <si>
    <t>period = 1</t>
  </si>
  <si>
    <t>speedcheck_shm_loc_start</t>
  </si>
  <si>
    <t>sensor_statistic pct_movement_between</t>
  </si>
  <si>
    <t>shm_home</t>
  </si>
  <si>
    <t>20. Are you living at home in ${pm_home_location}?</t>
  </si>
  <si>
    <t>20. Habitez-vous chez vous à ${pm_home_location}?</t>
  </si>
  <si>
    <t>20. Kuna zaune a gida a ${pm_home_location}?</t>
  </si>
  <si>
    <t>min = 0.25; max = 2</t>
  </si>
  <si>
    <t>Dan binkike: dan mine ${shm_name} bai nan a yanzu</t>
  </si>
  <si>
    <t>shm_married</t>
  </si>
  <si>
    <t>21. Are you married?</t>
  </si>
  <si>
    <t>21. Êtes-vous marié?</t>
  </si>
  <si>
    <t>21. Ko ka na da aure?</t>
  </si>
  <si>
    <t>pneumonia</t>
  </si>
  <si>
    <t>Pneumonie</t>
  </si>
  <si>
    <t>ciwon huhu</t>
  </si>
  <si>
    <t>Quick reference for relevance, constraint, and selected calculation expressions</t>
  </si>
  <si>
    <t>shm_current_in_niger</t>
  </si>
  <si>
    <t>22. Enumerator: Is location in Niger?</t>
  </si>
  <si>
    <t>22. Enquêteur : La localité est-elle au Niger ?</t>
  </si>
  <si>
    <t>22. Ɗan bincike : Wurin a Nijar ne ?</t>
  </si>
  <si>
    <t>Other, specify:</t>
  </si>
  <si>
    <t>Autre précisez:</t>
  </si>
  <si>
    <t>Sauran, bayar da cikakkun bayanai:</t>
  </si>
  <si>
    <t>${shm_home} = 0</t>
  </si>
  <si>
    <t>select_one region</t>
  </si>
  <si>
    <t>shm_current_region</t>
  </si>
  <si>
    <t>23. Enumerator: Select region in Niger</t>
  </si>
  <si>
    <t>23. Enquêteur : Sélectionnez la région de Niger</t>
  </si>
  <si>
    <t>23. Ɗan bincike: Zaɓi Jaha ɗaya a Nijar</t>
  </si>
  <si>
    <t>164. Enumerator: Enter other town</t>
  </si>
  <si>
    <t>164. Enquêteur : Entrez un autre ville</t>
  </si>
  <si>
    <t>164. Ɗan bincike: Shigar da wata gari</t>
  </si>
  <si>
    <t>${shm_current_in_niger} = 1</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</si>
  <si>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</si>
  <si>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</si>
  <si>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</si>
  <si>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Learn about all available expressions in "Using expressions in your forms: a reference for all operators and functions"</t>
  </si>
  <si>
    <t>select_one countries</t>
  </si>
  <si>
    <t>shm_current_country</t>
  </si>
  <si>
    <t>24. Enumerator: Select country</t>
  </si>
  <si>
    <t>24. Enquêteur : sélectionnez le pays</t>
  </si>
  <si>
    <t>24. Ɗan bincike: Zaɓi ƙasa</t>
  </si>
  <si>
    <t>${shm_current_in_niger} = 0</t>
  </si>
  <si>
    <t>schools</t>
  </si>
  <si>
    <t>180. Enjoyment</t>
  </si>
  <si>
    <t>180. Plaisir</t>
  </si>
  <si>
    <t>180. jin daɗi</t>
  </si>
  <si>
    <t>Public school</t>
  </si>
  <si>
    <t>École publique</t>
  </si>
  <si>
    <t>Makarantar gwamnati</t>
  </si>
  <si>
    <t>shm_current_country_o</t>
  </si>
  <si>
    <t>25. Enumerator: Enter other country</t>
  </si>
  <si>
    <t>25. Enquêteur : Entrez un autre pays</t>
  </si>
  <si>
    <t>25. Ɗan bincike: Shigar da wata ƙasa</t>
  </si>
  <si>
    <t>Operation</t>
  </si>
  <si>
    <t>Operator</t>
  </si>
  <si>
    <t>Franco Arab School</t>
  </si>
  <si>
    <t>Example</t>
  </si>
  <si>
    <t>Ecole franco arabe</t>
  </si>
  <si>
    <t>Example answer</t>
  </si>
  <si>
    <t>Makarantar Franco Arab /madarissa</t>
  </si>
  <si>
    <t>Addition</t>
  </si>
  <si>
    <t>+</t>
  </si>
  <si>
    <t>1 + 1</t>
  </si>
  <si>
    <t>${shm_current_country} = -777</t>
  </si>
  <si>
    <t>Subtraction</t>
  </si>
  <si>
    <t>-</t>
  </si>
  <si>
    <t>Koranic School</t>
  </si>
  <si>
    <t>Makarantar Kur'ani/makarantar allo</t>
  </si>
  <si>
    <t>Multiplication</t>
  </si>
  <si>
    <t>*</t>
  </si>
  <si>
    <t>3 * 2</t>
  </si>
  <si>
    <t>Division</t>
  </si>
  <si>
    <t>div</t>
  </si>
  <si>
    <t>10 div 2</t>
  </si>
  <si>
    <t>select_one towns</t>
  </si>
  <si>
    <t>Modulus</t>
  </si>
  <si>
    <t>shm_current_town</t>
  </si>
  <si>
    <t>26. Enumerator: Select town</t>
  </si>
  <si>
    <t>mod</t>
  </si>
  <si>
    <t>26. Enquêteur : Sélectionnez la ville</t>
  </si>
  <si>
    <t>181. Happiness</t>
  </si>
  <si>
    <t>26. Ɗan bincike: Zaɓi gari</t>
  </si>
  <si>
    <t>181. Bonheur</t>
  </si>
  <si>
    <t>9 mod 2</t>
  </si>
  <si>
    <t>181. Farin ciki</t>
  </si>
  <si>
    <t>Private School</t>
  </si>
  <si>
    <t>École privée</t>
  </si>
  <si>
    <t>search('towns', 'matches', 'country_id', ${shm_current_country})</t>
  </si>
  <si>
    <t>Equal</t>
  </si>
  <si>
    <t>Makaranta masu zaman kansu/ marantar biya</t>
  </si>
  <si>
    <t>=</t>
  </si>
  <si>
    <t>${shm_current_in_niger} = 0 and ${shm_current_country} != -999</t>
  </si>
  <si>
    <t>${fieldname} = 3</t>
  </si>
  <si>
    <t>true or false</t>
  </si>
  <si>
    <t>Not equal</t>
  </si>
  <si>
    <t>!=</t>
  </si>
  <si>
    <t>182. Stress</t>
  </si>
  <si>
    <t>182. Babbar Damuwa</t>
  </si>
  <si>
    <t>${fieldname} != 3</t>
  </si>
  <si>
    <t>Greater-than</t>
  </si>
  <si>
    <t>&gt;</t>
  </si>
  <si>
    <t>${fieldname} &gt; 3</t>
  </si>
  <si>
    <t>166. I would like to ask you about different ways you may use money that you earn.</t>
  </si>
  <si>
    <t>166. Maintenant, je voudrais vous poser des questions sur les différentes façons dont vous pouvez utiliser l'argent que vous gagnez.</t>
  </si>
  <si>
    <t>166. Yanzu ina so in tambaye ku hanyoyi daban-daban da zaku iya amfani da su wajen kashe kuɗin da kuke samu.</t>
  </si>
  <si>
    <t>&gt;-or-equal</t>
  </si>
  <si>
    <t>&gt;=</t>
  </si>
  <si>
    <t>${fieldname} &gt;= 3</t>
  </si>
  <si>
    <t>Less-than</t>
  </si>
  <si>
    <t>&lt;</t>
  </si>
  <si>
    <t>shm_current_town_id</t>
  </si>
  <si>
    <t>167. Do you currently have savings of each of the following types that you have put aside for yourself, separate from your household?</t>
  </si>
  <si>
    <t>${fieldname} &lt; 3</t>
  </si>
  <si>
    <t>167. Avez-vous actuellement des économies de chacun des types suivants que vous avez mises de côté pour vous-même, séparément de votre ménage ?</t>
  </si>
  <si>
    <t>167. Ko a halin yanzu kuna da tanadi na kowane nau'in waɗannan nau'ikan da kuka ware wa kanku?</t>
  </si>
  <si>
    <t>&lt;-or-equal</t>
  </si>
  <si>
    <t>&lt;=</t>
  </si>
  <si>
    <t>${fieldname} &lt;= 3</t>
  </si>
  <si>
    <t>168. Specify other:</t>
  </si>
  <si>
    <t>168. Précisez autre :</t>
  </si>
  <si>
    <t>168. Ƙayyade wasu:</t>
  </si>
  <si>
    <t>concat(${shm_current_country}, '-', ${shm_current_town})</t>
  </si>
  <si>
    <t>Or</t>
  </si>
  <si>
    <t>or</t>
  </si>
  <si>
    <t>unit</t>
  </si>
  <si>
    <t>${fieldname} = 3 or ${fieldname} = 4</t>
  </si>
  <si>
    <t>186. Loneliness</t>
  </si>
  <si>
    <t>186. Solitude</t>
  </si>
  <si>
    <t>186. kadaici</t>
  </si>
  <si>
    <t>kg</t>
  </si>
  <si>
    <t>And</t>
  </si>
  <si>
    <t>and</t>
  </si>
  <si>
    <t>kilo</t>
  </si>
  <si>
    <t>${fieldname} &gt; 3 and ${fieldname} &lt; 5</t>
  </si>
  <si>
    <t>Not</t>
  </si>
  <si>
    <t>not()</t>
  </si>
  <si>
    <t>not(${fieldname} &gt; 3 and ${fieldname} &lt; 5)</t>
  </si>
  <si>
    <t>false or true</t>
  </si>
  <si>
    <t>169. Please share with us your best estimate of the value in CFA ${w_savings_name}</t>
  </si>
  <si>
    <t>shm_current_town_name</t>
  </si>
  <si>
    <t>169. Veuillez partager avec nous votre meilleure estimation de la valeur en CFA ${w_savings_name}</t>
  </si>
  <si>
    <t>169. Da fatan zaku faɗa mana ƙimar da kuke ganin yayi daidai a cikin CFA ${w_savings_name}</t>
  </si>
  <si>
    <t>170. Do you earn interest on this money ${w_savings_name}?</t>
  </si>
  <si>
    <t>170. Gagnez-vous des intérêts sur cet argent ${w_savings_name} ?</t>
  </si>
  <si>
    <t>if(${shm_current_in_niger} = 1, choice-label(${shm_current_region}, ${shm_current_region}), pulldata('towns', 'town_name', 'combo_id', ${shm_current_town_id}))</t>
  </si>
  <si>
    <t>box</t>
  </si>
  <si>
    <t>170. Kuna samun riba akan wannan kuɗin ${w_savings_name}?</t>
  </si>
  <si>
    <t>boîte</t>
  </si>
  <si>
    <t>Function</t>
  </si>
  <si>
    <t>kwanko</t>
  </si>
  <si>
    <t>188. I feel I do not have much to be proud of.</t>
  </si>
  <si>
    <t>188. Je sens que je n'ai pas beaucoup de raisons d'être fier (comblé).</t>
  </si>
  <si>
    <t>relevant(field)</t>
  </si>
  <si>
    <t>188. Ina jin ba ni da hujjojin jin daɗi.</t>
  </si>
  <si>
    <t>relevant(${followup_question})</t>
  </si>
  <si>
    <t>empty(field)</t>
  </si>
  <si>
    <t>189. At times I think I am no good at all.</t>
  </si>
  <si>
    <t>empty(${consent})</t>
  </si>
  <si>
    <t>189. Parfois, je pense que je suis utile a rien</t>
  </si>
  <si>
    <t>189. A wasu lokuta ina ganin bani da amfani.</t>
  </si>
  <si>
    <t>shm_current_location</t>
  </si>
  <si>
    <t>tia</t>
  </si>
  <si>
    <t>Calculate current location</t>
  </si>
  <si>
    <t>tiya</t>
  </si>
  <si>
    <t>once(expression)</t>
  </si>
  <si>
    <t>once(random())</t>
  </si>
  <si>
    <t>if(${shm_home} = 1, ${pm_home_location}, ${shm_current_town_name})</t>
  </si>
  <si>
    <t>190.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</si>
  <si>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190.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</si>
  <si>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50kg sack</t>
  </si>
  <si>
    <t>190.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</si>
  <si>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sac de 50 kg</t>
  </si>
  <si>
    <t>Buhun kilo 50</t>
  </si>
  <si>
    <t>pulldata(csvname, colname, lookupcolname, lookupval)</t>
  </si>
  <si>
    <t>pulldata('hhplotdata', 'plot1size', 'hhid_key', ${hhid})</t>
  </si>
  <si>
    <t>string-length(field)</t>
  </si>
  <si>
    <t>string-length(.) &gt; 3</t>
  </si>
  <si>
    <t>100 kg sack</t>
  </si>
  <si>
    <t>count-selected(field)</t>
  </si>
  <si>
    <t>sac de 100 kg</t>
  </si>
  <si>
    <t>select_one purpose</t>
  </si>
  <si>
    <t>count-selected(.) &gt;= 1</t>
  </si>
  <si>
    <t>Buhun kilo 100</t>
  </si>
  <si>
    <t>shm_location_purpose</t>
  </si>
  <si>
    <t>27. What is the main reason you are living in ${shm_current_location}?</t>
  </si>
  <si>
    <t>27. Quelle est la principale raison pour laquelle vous vivez dans ${shm_current_location}?</t>
  </si>
  <si>
    <t>27. Menene babban dalilin da yasa kuke rayuwa a ${shm_current_location}?</t>
  </si>
  <si>
    <t>selected(field, value)</t>
  </si>
  <si>
    <t>selected(${fieldname}, 'Male')</t>
  </si>
  <si>
    <t>selected-at(field, number)</t>
  </si>
  <si>
    <t>selected-at(${fieldname}, 0) = 'Shona'</t>
  </si>
  <si>
    <t>choice-label(field, value)</t>
  </si>
  <si>
    <t>choice-label(${selectonefield}, ${selectonefield})</t>
  </si>
  <si>
    <t>basket</t>
  </si>
  <si>
    <t>panier</t>
  </si>
  <si>
    <t>sanho</t>
  </si>
  <si>
    <t>concat(fieldorstring, fieldorstring, ...)</t>
  </si>
  <si>
    <t>concat(${firstname}, ' ', ${lastname})</t>
  </si>
  <si>
    <t>count(repeatgroup)</t>
  </si>
  <si>
    <t>count(${repeatgroupname})</t>
  </si>
  <si>
    <t>unité</t>
  </si>
  <si>
    <t>ɗaya</t>
  </si>
  <si>
    <t>shm_location_weeks</t>
  </si>
  <si>
    <t>sum(repeatedfield)</t>
  </si>
  <si>
    <t>sum(${loan_size})</t>
  </si>
  <si>
    <t>28. How long have you been in ${shm_current_location} in weeks?</t>
  </si>
  <si>
    <t>28. Depuis combien de temps êtes-vous dans ${shm_current_location} en semaines?</t>
  </si>
  <si>
    <t>28. Tun yaushe kuke a ${shm_current_location} a makonni?</t>
  </si>
  <si>
    <t>join(string, repeatedfield)</t>
  </si>
  <si>
    <t>join(' ,', ${hh_member_name})</t>
  </si>
  <si>
    <t>. &gt; 0</t>
  </si>
  <si>
    <t>maraba (1.5 tia)</t>
  </si>
  <si>
    <t>min(repeatedfield)</t>
  </si>
  <si>
    <t>Demi tiya (1.5 tia)</t>
  </si>
  <si>
    <t>min(${hh_member_age})</t>
  </si>
  <si>
    <t>171. I would like to ask you a few questions about your health and wellbeing</t>
  </si>
  <si>
    <t>max(repeatedfield)</t>
  </si>
  <si>
    <t>171. Je voudrais vous poser quelques questions sur votre santé et votre bien-être</t>
  </si>
  <si>
    <t>171. Ina so in yi muku wasu ƴan tambayoyi game da lafiyar jikinku da jin daɗin ku</t>
  </si>
  <si>
    <t>max(${hh_member_age})</t>
  </si>
  <si>
    <t>indexed-repeat(repeatedfield, repeatgroup, index)</t>
  </si>
  <si>
    <t>indexed-repeat(${name}, ${names}, 1)</t>
  </si>
  <si>
    <t>172. In general, how would you characterize your physical health?</t>
  </si>
  <si>
    <t>172. En général, comment caractériseriez-vous votre santé physique ?</t>
  </si>
  <si>
    <t>172. A taƙaice, yaya za ku siffanta lafiyar jikin ku?</t>
  </si>
  <si>
    <t>substr(fieldorstring, startindex, endindex)</t>
  </si>
  <si>
    <t>ladle</t>
  </si>
  <si>
    <t>substr(${phone}, 0, 3)</t>
  </si>
  <si>
    <t>15. Questions du second membre (SHM)</t>
  </si>
  <si>
    <t>louche</t>
  </si>
  <si>
    <t>15. Tambayoyin SHM</t>
  </si>
  <si>
    <t>lude</t>
  </si>
  <si>
    <t>speedcheck_shm_loc_end</t>
  </si>
  <si>
    <t>coalesce(field1, field2)</t>
  </si>
  <si>
    <t>coalesce(${id}, ${id2})</t>
  </si>
  <si>
    <t>round(field, digits)</t>
  </si>
  <si>
    <t>round(${interest_rate}, 2)</t>
  </si>
  <si>
    <t>packet</t>
  </si>
  <si>
    <t>regex(field, expression)</t>
  </si>
  <si>
    <t>paquet</t>
  </si>
  <si>
    <t>pake</t>
  </si>
  <si>
    <t>regex(., '[A-Za-z0-9._%+-]+@[A-Za-z0-9.-]+.[A-Za-z]{2,4}')</t>
  </si>
  <si>
    <t>174. What illness limits you in this way?</t>
  </si>
  <si>
    <t>174. Quelle maladie vous limite de cette manière ?</t>
  </si>
  <si>
    <t>174. Wace cuta ce ke tsaida ku a kan wannan?</t>
  </si>
  <si>
    <t>if(expression, valueiftrue, valueiffalse)</t>
  </si>
  <si>
    <t>if(selected(${country}, 'South Africa') or selected(${country}, 'Zimbabwe'), 'SADC', 'Non-SADC')</t>
  </si>
  <si>
    <t>175. Other, specify:</t>
  </si>
  <si>
    <t>175. Autre précisez:</t>
  </si>
  <si>
    <t>175. Sauran, bayar da cikakkun bayanai:</t>
  </si>
  <si>
    <t>dur_shm_loc</t>
  </si>
  <si>
    <t>today()</t>
  </si>
  <si>
    <t>bundle</t>
  </si>
  <si>
    <t>botte</t>
  </si>
  <si>
    <t>Dame</t>
  </si>
  <si>
    <t>format-date-time(today(), '%Y-%b-%e')</t>
  </si>
  <si>
    <t>${speedcheck_shm_loc_end} - ${speedcheck_shm_loc_start}</t>
  </si>
  <si>
    <t>17. Êtes-vous marié?</t>
  </si>
  <si>
    <t>now()</t>
  </si>
  <si>
    <t>17. Ko ka na da aure?</t>
  </si>
  <si>
    <t>username()</t>
  </si>
  <si>
    <t>other (to specify)</t>
  </si>
  <si>
    <t>autre unite (a specifier)</t>
  </si>
  <si>
    <t>Wani daban ( a baiyyana)</t>
  </si>
  <si>
    <t>18. Ɗan bincike : Wurin a Nijar ne ?</t>
  </si>
  <si>
    <t>rank-index(index, repeatedfield)</t>
  </si>
  <si>
    <t>rank-index(1, ${random_draw})</t>
  </si>
  <si>
    <t>rank-value(fieldorvalue, fieldorlist)</t>
  </si>
  <si>
    <t>rank-value(${random_draw}, ${list_of_draws})</t>
  </si>
  <si>
    <t>19. Enumerator: Select region in Niger</t>
  </si>
  <si>
    <t>de-duplicate(string, field)</t>
  </si>
  <si>
    <t>de-duplicate(' ', join(' ', ${repeatedfield}))</t>
  </si>
  <si>
    <t>distance-between(geopointfield1, geopointfield2)</t>
  </si>
  <si>
    <t>distance-between(${start_gps}, ${end_gps})</t>
  </si>
  <si>
    <t>area(repeatedgeopointfield)</t>
  </si>
  <si>
    <t>area(${gps_reading})</t>
  </si>
  <si>
    <t>phone-call-log()</t>
  </si>
  <si>
    <t>crops</t>
  </si>
  <si>
    <t>plug-in-metadata(field)</t>
  </si>
  <si>
    <t>plug-in-metadata(${counter})</t>
  </si>
  <si>
    <t>speedcheck_shm_health_start</t>
  </si>
  <si>
    <t>Amaranth</t>
  </si>
  <si>
    <t>Amarante</t>
  </si>
  <si>
    <t>alaiyahu</t>
  </si>
  <si>
    <t>19. Enquêteur : Sélectionnez la région de Niger</t>
  </si>
  <si>
    <t>19. Ɗan bincike: Zaɓi Jaha ɗaya a Nijar</t>
  </si>
  <si>
    <t>shm_wellbeing_note</t>
  </si>
  <si>
    <t>29. I would like to ask you a few questions about your health and wellbeing</t>
  </si>
  <si>
    <t>29. Je voudrais vous poser quelques questions sur votre santé et votre bien-être</t>
  </si>
  <si>
    <t>29. Ina so in yi muku wasu ƴan tambayoyi game da lafiyar jikinku da jin daɗin ku</t>
  </si>
  <si>
    <t>Bitter tomato</t>
  </si>
  <si>
    <t>Tomate amère</t>
  </si>
  <si>
    <t>Tumatir mai ɗaci</t>
  </si>
  <si>
    <t>select_one health</t>
  </si>
  <si>
    <t>Calabash</t>
  </si>
  <si>
    <t>shm_physical_health</t>
  </si>
  <si>
    <t>Calebasse</t>
  </si>
  <si>
    <t>30. In general, how would you characterize your physical health?</t>
  </si>
  <si>
    <t>30. En général, comment caractériseriez-vous votre santé physique ?</t>
  </si>
  <si>
    <t>kwarya/ duma</t>
  </si>
  <si>
    <t>30. A taƙaice, yaya za ku siffanta lafiyar jikin ku?</t>
  </si>
  <si>
    <t>202. Debts owed to others</t>
  </si>
  <si>
    <t>202. Dettes envers autrui</t>
  </si>
  <si>
    <t>202. Bashi da wasu ke binku</t>
  </si>
  <si>
    <t>Clove</t>
  </si>
  <si>
    <t>Clou de girofle</t>
  </si>
  <si>
    <t>181. I want to ask a few questions about the members of your household who are currently residing here.</t>
  </si>
  <si>
    <t>181. Je veux poser quelques questions sur les membres de votre ménage qui résident actuellement ici.</t>
  </si>
  <si>
    <t>karamfani</t>
  </si>
  <si>
    <t>181. Ina so in muku ƴan tambayoyi bisa yan gidanku da ke zaune a gida a yanzu.</t>
  </si>
  <si>
    <t>shm_illness_limit</t>
  </si>
  <si>
    <t>31. Do you currently suffer from any illness or disability that limits your ability to travel or work?</t>
  </si>
  <si>
    <t>31. Souffrez-vous actuellement d'une maladie ou d'un handicap qui limite votre capacité à voyager ou à travailler ?</t>
  </si>
  <si>
    <t>31. A halin yanzu, ko kuna fama da wata rashin lafiya ko naƙasa da ke iya kawo muku cikas game da tahiya bulaguro ko yin aiki?</t>
  </si>
  <si>
    <t>Corn</t>
  </si>
  <si>
    <t>Maïs</t>
  </si>
  <si>
    <t>183. Enjoyment</t>
  </si>
  <si>
    <t>Masara</t>
  </si>
  <si>
    <t>183. Plaisir</t>
  </si>
  <si>
    <t>183. jin daɗi</t>
  </si>
  <si>
    <t>184. Happiness</t>
  </si>
  <si>
    <t>184. Bonheur</t>
  </si>
  <si>
    <t>184. Farin ciki</t>
  </si>
  <si>
    <t>select_one illness</t>
  </si>
  <si>
    <t>shm_illness_limit_type</t>
  </si>
  <si>
    <t>32. What illness limits you in this way?</t>
  </si>
  <si>
    <t>32. Quelle maladie vous limite de cette manière ?</t>
  </si>
  <si>
    <t>32. Wace cuta ce ke tsaida ku a kan wannan?</t>
  </si>
  <si>
    <t>185. Stress</t>
  </si>
  <si>
    <t>${shm_illness_limit} = 1</t>
  </si>
  <si>
    <t>185. Babbar Damuwa</t>
  </si>
  <si>
    <t>Cowpeas</t>
  </si>
  <si>
    <t>Niébé</t>
  </si>
  <si>
    <t>Wake</t>
  </si>
  <si>
    <t>shm_illness_limit_type_o</t>
  </si>
  <si>
    <t>Fonio</t>
  </si>
  <si>
    <t>33. Other, specify:</t>
  </si>
  <si>
    <t>33. Autre précisez:</t>
  </si>
  <si>
    <t>33. Sauran, bayar da cikakkun bayanai:</t>
  </si>
  <si>
    <t>Waken Awara</t>
  </si>
  <si>
    <t>24. Depuis combien de temps êtes-vous dans ${shm_current_location} en semaines?</t>
  </si>
  <si>
    <t>24. Tun yaushe kuke a ${shm_current_location} a makonni?</t>
  </si>
  <si>
    <t>${shm_illness_limit_type} = -777</t>
  </si>
  <si>
    <t>Groundnut</t>
  </si>
  <si>
    <t>Arachide</t>
  </si>
  <si>
    <t>Gyada /Gujiya</t>
  </si>
  <si>
    <t>188. Physical pain</t>
  </si>
  <si>
    <t>188. Douleur physique</t>
  </si>
  <si>
    <t>188. ciwon jiki</t>
  </si>
  <si>
    <t>shm_illness</t>
  </si>
  <si>
    <t>34. In the past three months, did you suffer from an illness or injury that disrupted your daily life?</t>
  </si>
  <si>
    <t>34. Au cours des trois derniers mois, avez-vous souffert d'une maladie ou d'une blessure qui a perturbé votre vie quotidienne ?</t>
  </si>
  <si>
    <t>34. A cikin watanni uku da suka wuce, ko kun yi fama da wata rashin lafiya ko rauni wanda ya kawo muku cikas a rayuwarku na yau da kullun?</t>
  </si>
  <si>
    <t>189. Loneliness</t>
  </si>
  <si>
    <t>189. Solitude</t>
  </si>
  <si>
    <t>189. kadaici</t>
  </si>
  <si>
    <t>${round} != 1</t>
  </si>
  <si>
    <t>Manioc</t>
  </si>
  <si>
    <t>Rogo</t>
  </si>
  <si>
    <t>208. Threat of physical violence/attack</t>
  </si>
  <si>
    <t>208. Menace de violence physique/agression</t>
  </si>
  <si>
    <t>208. Barazanar ​​harin jiki</t>
  </si>
  <si>
    <t>209. Theft of either money or property?</t>
  </si>
  <si>
    <t>209. Vol d'argent ou de propriété?</t>
  </si>
  <si>
    <t>209. Satar kudi ko dukiya?</t>
  </si>
  <si>
    <t>shm_illness_type</t>
  </si>
  <si>
    <t>35. What type of illness or injury did you experience?</t>
  </si>
  <si>
    <t>35. Preciser le type de maladie ou de blessure</t>
  </si>
  <si>
    <t>35. Baiyana irin ciwo ko raunin da kuka yi fama da shi?</t>
  </si>
  <si>
    <t>Millet</t>
  </si>
  <si>
    <t>Enumerator: do not read options, code based on response</t>
  </si>
  <si>
    <t>Enquêteur : ne pas lire les options, code basé sur la réponse</t>
  </si>
  <si>
    <t>Ɗan bincike: kar a karanta zaɓuɓɓuka, lamba bisa amsa</t>
  </si>
  <si>
    <t>Gero/ Hatsi</t>
  </si>
  <si>
    <t>${shm_illness} = 1</t>
  </si>
  <si>
    <t>190. I will now read out several statements. You should tell me whether these statements are true for you by using the following scale.</t>
  </si>
  <si>
    <t>190. Je vais maintenant lire plusieurs déclarations. Vous devez me dire si ces affirmations sont vraies pour vous en utilisant l'échelle suivante.</t>
  </si>
  <si>
    <t>190. Yanzu zan karanta wasu maganganu da yawa. Za ku gaya mini ko waɗannan maganganun sun yi daidai da ku ta hanyar yin amfani da kuranga mai zuwa.</t>
  </si>
  <si>
    <t>191. I feel I do not have much to be proud of.</t>
  </si>
  <si>
    <t>191. Je sens que je n'ai pas beaucoup de raisons d'être fier (comblé).</t>
  </si>
  <si>
    <t>191. Ina jin ba ni da hujjojin jin daɗi.</t>
  </si>
  <si>
    <t>Mint</t>
  </si>
  <si>
    <t>Menthe</t>
  </si>
  <si>
    <t>Mant</t>
  </si>
  <si>
    <t>192. At times I think I am no good at all.</t>
  </si>
  <si>
    <t>192. Parfois, je pense que je suis utile a rien</t>
  </si>
  <si>
    <t>192. A wasu lokuta ina ganin bani da amfani.</t>
  </si>
  <si>
    <t>shm_illness_type_o</t>
  </si>
  <si>
    <t>36. Specify other illness or injury</t>
  </si>
  <si>
    <t>36. Preciser le type de maladie ou de blessure</t>
  </si>
  <si>
    <t>36. Baiyana irin ciwo ko raunin da kuka fama?</t>
  </si>
  <si>
    <t>211. Now I would like to ask you to tell me more about your specific experience with:</t>
  </si>
  <si>
    <t>211. J'aimerais maintenant vous demander de m'en dire un peu plus sur votre expérience spécifique avec :</t>
  </si>
  <si>
    <t>${shm_illness_type} = -777</t>
  </si>
  <si>
    <t>211. Yanzu ina so in tambaye ku ƙarin bayani game da takamaiman gogewarku na masamman game da:</t>
  </si>
  <si>
    <t>Nutgrass</t>
  </si>
  <si>
    <t>Souchet</t>
  </si>
  <si>
    <t>Aya</t>
  </si>
  <si>
    <t>shm_seek_treatment</t>
  </si>
  <si>
    <t>37. Did you seek any treatment for any illness or injury?</t>
  </si>
  <si>
    <t>37. Avez-vous cherché un traitement pour une maladie ou une blessure ?</t>
  </si>
  <si>
    <t>37. Ko kun nemi wani magani don wata cuta ko rauni?</t>
  </si>
  <si>
    <t>Okra</t>
  </si>
  <si>
    <t>Gombo</t>
  </si>
  <si>
    <t>kuɓewa/ Miyar guro</t>
  </si>
  <si>
    <t>213. Threat of physical violence/attack</t>
  </si>
  <si>
    <t>213. Menace de violence physique/agression</t>
  </si>
  <si>
    <t>213. Barazanar ​​harin jiki</t>
  </si>
  <si>
    <t>214. Theft of either money or property?</t>
  </si>
  <si>
    <t>214. Vol d'argent ou de propriété?</t>
  </si>
  <si>
    <t>214. Satar kudi ko dukiya?</t>
  </si>
  <si>
    <t>Onions</t>
  </si>
  <si>
    <t>Oignons</t>
  </si>
  <si>
    <t>shm_past_week_note</t>
  </si>
  <si>
    <t>Albasa</t>
  </si>
  <si>
    <t>38. Now I want to ask you about the past week (7 days)</t>
  </si>
  <si>
    <t>38. Maintenant, je veux vous poser des questions sur la semaine dernière (7 jours)</t>
  </si>
  <si>
    <t>38. Yanzu ina son in muku tambayoyi bisa satin (makon) da ya wuce (kwana 7)</t>
  </si>
  <si>
    <t>Paddy rice</t>
  </si>
  <si>
    <t>Riz non décortiqué</t>
  </si>
  <si>
    <t>shinkafa maras sissika</t>
  </si>
  <si>
    <t>shm_sleep</t>
  </si>
  <si>
    <t>39. How many hours of sleep per night did you get on average in the last seven days?</t>
  </si>
  <si>
    <t>39. Combien d'heures de sommeil par nuit avez-vous dormi en moyenne au cours des sept derniers jours ?</t>
  </si>
  <si>
    <t>39. Misalin Sa'o'i nawa a taƙaice kuke yin barci a kowane dare a cikin kwanaki bakwai na ƙarshe da suka wuce?</t>
  </si>
  <si>
    <t>. &gt;= 0 and . &lt;= 16</t>
  </si>
  <si>
    <t>Peanuts</t>
  </si>
  <si>
    <t>Cacahuètes</t>
  </si>
  <si>
    <t>Gyada</t>
  </si>
  <si>
    <t>shm_emotions</t>
  </si>
  <si>
    <t>Peppers</t>
  </si>
  <si>
    <t>Poivrons</t>
  </si>
  <si>
    <t>field-list</t>
  </si>
  <si>
    <t>${w_shm} = 0</t>
  </si>
  <si>
    <t>tattase</t>
  </si>
  <si>
    <t>Sesame</t>
  </si>
  <si>
    <t>Sésame</t>
  </si>
  <si>
    <t>Riɗi</t>
  </si>
  <si>
    <t>select_one freq</t>
  </si>
  <si>
    <t>shm_emotion</t>
  </si>
  <si>
    <t>40. In the past week, how often did you experience the following feelings?</t>
  </si>
  <si>
    <t>40. Au cours de la semaine dernière, à quelle fréquence avez-vous ressenti les sentiments suivants ?</t>
  </si>
  <si>
    <t>40. A cikin satin da ya wuce, sau nawa kuka ji irin waɗannan abubuwan a ranku?</t>
  </si>
  <si>
    <t>Sorghum</t>
  </si>
  <si>
    <t>Sorgho</t>
  </si>
  <si>
    <t>Dawa</t>
  </si>
  <si>
    <t>shm_emotion1</t>
  </si>
  <si>
    <t>41. Enjoyment</t>
  </si>
  <si>
    <t>41. Plaisir</t>
  </si>
  <si>
    <t>41. jin daɗi</t>
  </si>
  <si>
    <t>list-nolabel</t>
  </si>
  <si>
    <t>Sorrel</t>
  </si>
  <si>
    <t>Oseille</t>
  </si>
  <si>
    <t>Yakuwa</t>
  </si>
  <si>
    <t>shm_emotion2</t>
  </si>
  <si>
    <t>42. Happiness</t>
  </si>
  <si>
    <t>42. Bonheur</t>
  </si>
  <si>
    <t>42. Farin ciki</t>
  </si>
  <si>
    <t>Squash</t>
  </si>
  <si>
    <t>Courge</t>
  </si>
  <si>
    <t>Kabewa</t>
  </si>
  <si>
    <t>204. Death of a family member</t>
  </si>
  <si>
    <t>204. Décès d'un membre de la famille</t>
  </si>
  <si>
    <t>204. Mutuwar wani ɗan uwa</t>
  </si>
  <si>
    <t>36. In the past week, how often did you experience the following feelings?</t>
  </si>
  <si>
    <t>36. Au cours de la semaine dernière, à quelle fréquence avez-vous ressenti les sentiments suivants ?</t>
  </si>
  <si>
    <t>36. A cikin satin da ya wuce, sau nawa kuka ji irin waɗannan abubuwan a ranku?</t>
  </si>
  <si>
    <t>Sweet potatoes</t>
  </si>
  <si>
    <t>shm_emotion3</t>
  </si>
  <si>
    <t>Patates douces</t>
  </si>
  <si>
    <t>43. Stress</t>
  </si>
  <si>
    <t>Dankali</t>
  </si>
  <si>
    <t>43. Babbar Damuwa</t>
  </si>
  <si>
    <t>Wheat</t>
  </si>
  <si>
    <t>Blé</t>
  </si>
  <si>
    <t>225. How many days?</t>
  </si>
  <si>
    <t>225. Pendant combien de jours?</t>
  </si>
  <si>
    <t>Alkama</t>
  </si>
  <si>
    <t>225. 155a Tsawon kwanaki nawa?</t>
  </si>
  <si>
    <t>shm_emotion4</t>
  </si>
  <si>
    <t>44. Worry</t>
  </si>
  <si>
    <t>44. Inquiétude</t>
  </si>
  <si>
    <t>44. Damuwa</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</si>
  <si>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</si>
  <si>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</si>
  <si>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</si>
  <si>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Yam</t>
  </si>
  <si>
    <t>Igname</t>
  </si>
  <si>
    <t>Doya</t>
  </si>
  <si>
    <t>shm_emotion5</t>
  </si>
  <si>
    <t>45. Anger</t>
  </si>
  <si>
    <t>45. Colère</t>
  </si>
  <si>
    <t>45. Fushi</t>
  </si>
  <si>
    <t>shm_emotion6</t>
  </si>
  <si>
    <t>46. Physical pain</t>
  </si>
  <si>
    <t>46. Douleur physique</t>
  </si>
  <si>
    <t>46. ciwon jiki</t>
  </si>
  <si>
    <t>assets</t>
  </si>
  <si>
    <t>Generator</t>
  </si>
  <si>
    <t>Groupe electrogene</t>
  </si>
  <si>
    <t>Ganareto</t>
  </si>
  <si>
    <t>shm_emotion7</t>
  </si>
  <si>
    <t>47. Loneliness</t>
  </si>
  <si>
    <t>47. Solitude</t>
  </si>
  <si>
    <t>47. kadaici</t>
  </si>
  <si>
    <t>TV set</t>
  </si>
  <si>
    <t>poste de télévision</t>
  </si>
  <si>
    <t>talabijan/ Tele</t>
  </si>
  <si>
    <t>Radio</t>
  </si>
  <si>
    <t>Rediyo</t>
  </si>
  <si>
    <t>Mobile Phone</t>
  </si>
  <si>
    <t>Téléphone mobile</t>
  </si>
  <si>
    <t>shm_esteem</t>
  </si>
  <si>
    <t>Wayar Hannu/ Salula</t>
  </si>
  <si>
    <t>203. In the past month (four weeks) how many days has ${hoh_roster_name} missed school for health reasons?</t>
  </si>
  <si>
    <t>203. Au cours du dernier mois (quatre semaines), combien de jours ${hoh_roster_name} a-t-il manqué l'école pour des raisons de santé ?</t>
  </si>
  <si>
    <t>203. A cikin watan da ya gabata (sati hudu), kwanaki nawa ${hoh_roster_name} yayi fashin zuwa makaranta saboda wata rishin lafiya?</t>
  </si>
  <si>
    <t>Traditional bed</t>
  </si>
  <si>
    <t>Lit traditionnel</t>
  </si>
  <si>
    <t>Gadon gargajiya</t>
  </si>
  <si>
    <t>204. In the past month (four weeks) how many days has ${hoh_roster_name} missed school for work or other reasons?</t>
  </si>
  <si>
    <t>204. Au cours du dernier mois (quatre semaines), combien de jours ${hoh_roster_name} a-t-il manqué l'école pour le travail ou pour d'autres raisons ?</t>
  </si>
  <si>
    <t>204. A cikin watan da ya gabata (makonni hudu), kwanaki nawa ${hoh_roster_name} yayi fashin makaranta saboda aiki ko wasu dalilai?</t>
  </si>
  <si>
    <t>select_one agree_likert</t>
  </si>
  <si>
    <t>shm_self_esteem_note</t>
  </si>
  <si>
    <t>48. I will now read out several statements. You should tell me whether these statements are true for you by using the following scale.</t>
  </si>
  <si>
    <t>48. Je vais maintenant lire plusieurs déclarations. Vous devez me dire si ces affirmations sont vraies pour vous en utilisant l'échelle suivante.</t>
  </si>
  <si>
    <t>48. Yanzu zan karanta wasu maganganu da yawa. Za ku gaya mini ko waɗannan maganganun sun yi daidai da ku ta hanyar yin amfani da kuranga mai zuwa.</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</si>
  <si>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</si>
  <si>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</si>
  <si>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Cikin waɗannan maganganun da za'a zana sai ka bada amsa idan ka yarda sosai, ka yarda, baka yarda ba, baka yarda ba sam sam da shi.</t>
  </si>
  <si>
    <t>Iron/wooden bed</t>
  </si>
  <si>
    <t>Lit en fer/bois</t>
  </si>
  <si>
    <t>Gadon ƙarfe / katako</t>
  </si>
  <si>
    <t>Flashlight</t>
  </si>
  <si>
    <t>Torche</t>
  </si>
  <si>
    <t>Tocila/ yer hannu</t>
  </si>
  <si>
    <t>shm_self_esteem_4</t>
  </si>
  <si>
    <t>49. I feel I do not have much to be proud of.</t>
  </si>
  <si>
    <t>49. Je sens que je n'ai pas beaucoup de raisons d'être fier (comblé).</t>
  </si>
  <si>
    <t>49. Ina jin ba ni da hujjojin jin daɗi</t>
  </si>
  <si>
    <t>Bike</t>
  </si>
  <si>
    <t>Vélo</t>
  </si>
  <si>
    <t>Keke/ Belo</t>
  </si>
  <si>
    <t>Motorbike</t>
  </si>
  <si>
    <t>Moto</t>
  </si>
  <si>
    <t>213. Detention or arrest by state security forces?</t>
  </si>
  <si>
    <t>213. Détention ou arrestation par les forces de sécurité de l'État ?</t>
  </si>
  <si>
    <t>Babur/ Moto</t>
  </si>
  <si>
    <t>213. Kaso ko kamu daga jami'an tsaron gwamnati?</t>
  </si>
  <si>
    <t>shm_self_esteem_9</t>
  </si>
  <si>
    <t>50. At times I think I am no good at all.</t>
  </si>
  <si>
    <t>50. Parfois, je pense que je suis utile a rien</t>
  </si>
  <si>
    <t>50. A wasu lokutta ina ganin bani da amfani.</t>
  </si>
  <si>
    <t>230. How much did your household spend on ${w_item_week} in the past week (in CFA)?</t>
  </si>
  <si>
    <t>230. Combien votre ménage a-t-il dépensé en ${w_item_week} la semaine dernière (en CFA) ?</t>
  </si>
  <si>
    <t>230. Nawa ne gidan ku ya kashe (a CFA) a ${w_item_week} satin da ya gabata ?</t>
  </si>
  <si>
    <t>Plow</t>
  </si>
  <si>
    <t>Charrue</t>
  </si>
  <si>
    <t>Galma</t>
  </si>
  <si>
    <t>208. Since ${period}, has ${hoh_roster_name} spent more than a week (7 days) away from home?</t>
  </si>
  <si>
    <t xml:space="preserve">208. </t>
  </si>
  <si>
    <t>214. Now I would like to ask you to tell me more about your specific experience with:</t>
  </si>
  <si>
    <t>214. J'aimerais maintenant vous demander de m'en dire un peu plus sur votre expérience spécifique avec :</t>
  </si>
  <si>
    <t>214. Yanzu ina so in tambaye ku ƙarin bayani game da takamaiman gogewarku na masamman game da:</t>
  </si>
  <si>
    <t>Cart</t>
  </si>
  <si>
    <t>Chariot</t>
  </si>
  <si>
    <t>Amalanke</t>
  </si>
  <si>
    <t>Pickaxe</t>
  </si>
  <si>
    <t>Pioche</t>
  </si>
  <si>
    <t>Diga</t>
  </si>
  <si>
    <t>shm_worries</t>
  </si>
  <si>
    <t>select_one worries</t>
  </si>
  <si>
    <t>shm_risk_prob_note</t>
  </si>
  <si>
    <t>51. How stressed are you about the following areas of your life?</t>
  </si>
  <si>
    <t>51. Dans quelle mesure êtes-vous stressé par les domaines suivants de votre vie ?</t>
  </si>
  <si>
    <t>51. Yaya damuwarku game da abubuwa na rayuwarku da zan zana?</t>
  </si>
  <si>
    <t>218. Detention or arrest by state security forces?</t>
  </si>
  <si>
    <t>218. Détention ou arrestation par les forces de sécurité de l'État ?</t>
  </si>
  <si>
    <t>218. Kaso ko kamu daga jami'an tsaron gwamnati?</t>
  </si>
  <si>
    <t>235. Poultry</t>
  </si>
  <si>
    <t>235. Volaille</t>
  </si>
  <si>
    <t>235. Kaji</t>
  </si>
  <si>
    <t>livestock</t>
  </si>
  <si>
    <t>Poultry</t>
  </si>
  <si>
    <t>Volaille</t>
  </si>
  <si>
    <t>shm_health_problems</t>
  </si>
  <si>
    <t>52. Your own health problems, illness</t>
  </si>
  <si>
    <t>52. Vos propres problèmes de santé</t>
  </si>
  <si>
    <t>52. Matsalolin lafiyar jikinku</t>
  </si>
  <si>
    <t>Kaji</t>
  </si>
  <si>
    <t>219. I will now ask you about meals people in your household have consumed in the past 7 days.</t>
  </si>
  <si>
    <t>219. Je vais maintenant vous poser des questions sur les repas que les membres de votre ménage ont consommé au cours des 7 derniers jours.</t>
  </si>
  <si>
    <t>219. Yanzu zan tambaye ku bisa abincin da mutanen gidanku suka ci a cikin kwanaki 7 da suka wuce.</t>
  </si>
  <si>
    <t>Goats</t>
  </si>
  <si>
    <t>Chèvres</t>
  </si>
  <si>
    <t>shm_home_problems</t>
  </si>
  <si>
    <t>53. Problems at home and with relatives</t>
  </si>
  <si>
    <t>Awaki</t>
  </si>
  <si>
    <t>53. Problèmes au sein du menage et avec les proches</t>
  </si>
  <si>
    <t>53. Matsalolin gida da na dangi</t>
  </si>
  <si>
    <t>Sheep</t>
  </si>
  <si>
    <t>Mouton</t>
  </si>
  <si>
    <t>Tumaki</t>
  </si>
  <si>
    <t>shm_accidents_disasters</t>
  </si>
  <si>
    <t>54. Accidents and disasters</t>
  </si>
  <si>
    <t>54. Accidents et catastrophes</t>
  </si>
  <si>
    <t>54. Hatsari da masifu</t>
  </si>
  <si>
    <t>Cattle</t>
  </si>
  <si>
    <t>Vaches</t>
  </si>
  <si>
    <t>Shanu</t>
  </si>
  <si>
    <t>shm_prob_other_ethnicity</t>
  </si>
  <si>
    <t>Horses</t>
  </si>
  <si>
    <t>Les chevaux</t>
  </si>
  <si>
    <t>Dawaki</t>
  </si>
  <si>
    <t>55. Problems with people in other ethnic groups</t>
  </si>
  <si>
    <t>55. Problèmes avec les personnes d'autres groupes ethniques</t>
  </si>
  <si>
    <t>55. Matsaloli da mutanen wasu kabilu daban</t>
  </si>
  <si>
    <t>shm_money_problems</t>
  </si>
  <si>
    <t>Camels</t>
  </si>
  <si>
    <t>Chameaux</t>
  </si>
  <si>
    <t>Rakumma</t>
  </si>
  <si>
    <t>shm_cant_educate_children</t>
  </si>
  <si>
    <t>56. Not enough money for basic needs (such as food and clothing)</t>
  </si>
  <si>
    <t>56. Pas assez d'argent pour les besoins de base (tels que la nourriture et les vêtements)</t>
  </si>
  <si>
    <t>56. Rashin isassun kuɗi don buƙatun asali (kamar abinci da sutura)</t>
  </si>
  <si>
    <t>Donkey</t>
  </si>
  <si>
    <t>Âne</t>
  </si>
  <si>
    <t>Jaki</t>
  </si>
  <si>
    <t>shm_cant_find_work</t>
  </si>
  <si>
    <t>shm_idleness</t>
  </si>
  <si>
    <t>57. Not being able to educate all children</t>
  </si>
  <si>
    <t>57. Ne pas pouvoir scolariser tous les enfants</t>
  </si>
  <si>
    <t>57. Rashin iya rubuta dukkan yara a makarantar boko</t>
  </si>
  <si>
    <t>shm_alcohol_consumption</t>
  </si>
  <si>
    <t>58. Difficulty finding work</t>
  </si>
  <si>
    <t>58. Difficulté à trouver du travail</t>
  </si>
  <si>
    <t>58. Wahalar neman aiki</t>
  </si>
  <si>
    <t>activities</t>
  </si>
  <si>
    <t>Farming/Agriculture</t>
  </si>
  <si>
    <t>Agriculture</t>
  </si>
  <si>
    <t>Noma</t>
  </si>
  <si>
    <t>Herding</t>
  </si>
  <si>
    <t>59. Idleness of children or spouse</t>
  </si>
  <si>
    <t>59. L'oisiveté des enfants ou du conjoint</t>
  </si>
  <si>
    <t>Élevage</t>
  </si>
  <si>
    <t>59. Zaman banza na yara ko miji</t>
  </si>
  <si>
    <t>Kiwo</t>
  </si>
  <si>
    <t>${shm_married} = 1</t>
  </si>
  <si>
    <t>Small business</t>
  </si>
  <si>
    <t>Petit commerce</t>
  </si>
  <si>
    <t>Ƙananan kasuwanci</t>
  </si>
  <si>
    <t>60. Alcohol comsumption of children or spouse</t>
  </si>
  <si>
    <t>60. Consommation d'alcool des enfants ou du conjoint</t>
  </si>
  <si>
    <t>60. Shan giya na yara ko miji</t>
  </si>
  <si>
    <t>242. Reduce spending on food or change your food consumption?</t>
  </si>
  <si>
    <t>242. Réduire les dépenses alimentaires ou changé des habitudes de consommation ?</t>
  </si>
  <si>
    <t>242. Rage kashe kuɗi akan abinci ko canza abincin?</t>
  </si>
  <si>
    <t>Artisan production</t>
  </si>
  <si>
    <t>Production Artisanale</t>
  </si>
  <si>
    <t>Aikin hannu</t>
  </si>
  <si>
    <t>219. Specify other reason</t>
  </si>
  <si>
    <t>219. Précisez une autre raison</t>
  </si>
  <si>
    <t>219. Baiyana wani dalili daban</t>
  </si>
  <si>
    <t>shm_family_death</t>
  </si>
  <si>
    <t>Butcher</t>
  </si>
  <si>
    <t>61. Death of a family member</t>
  </si>
  <si>
    <t>Boucher</t>
  </si>
  <si>
    <t>243. For ${w_emergency_name}
What was the value of the following in CFA?</t>
  </si>
  <si>
    <t>mahauci</t>
  </si>
  <si>
    <t>243. Par rapport à ${w_emergency_name}
Quelle était la valeur des éléments suivantes en CFA?</t>
  </si>
  <si>
    <t>243. Game da ${w_emergency_name}
 Nawa ne kimar waɗannan abubuwan a kuɗin CFA?</t>
  </si>
  <si>
    <t>61. Décès d'un membre de la famille</t>
  </si>
  <si>
    <t>61. Mutuwar wani dan uwa</t>
  </si>
  <si>
    <t>244. Assets you sold</t>
  </si>
  <si>
    <t>244. Les actifs que vous avez vendus</t>
  </si>
  <si>
    <t>244. Kadarorin da kuka saida</t>
  </si>
  <si>
    <t>shm_debt_owed</t>
  </si>
  <si>
    <t>Lumberjack/woodcutter</t>
  </si>
  <si>
    <t>Bûcheron</t>
  </si>
  <si>
    <t>Mai saran itace</t>
  </si>
  <si>
    <t>246. Savings you spent?</t>
  </si>
  <si>
    <t>246. L'épargne que vous avez utilisé</t>
  </si>
  <si>
    <t>246. Ajiyar da kuka kashe</t>
  </si>
  <si>
    <t>62. Debts owed to others</t>
  </si>
  <si>
    <t>62. Dettes envers autrui</t>
  </si>
  <si>
    <t>62. Bashi da wasu ke binku</t>
  </si>
  <si>
    <t>Domestic labor</t>
  </si>
  <si>
    <t>Domestique</t>
  </si>
  <si>
    <t>Aikin gida</t>
  </si>
  <si>
    <t>232. Has your household spent money on the following types of expenses in the past week?</t>
  </si>
  <si>
    <t>232. Votre ménage a-t-il dépensé de l'argent pour les types de dépenses suivants au cours de la semaine dernière ?</t>
  </si>
  <si>
    <t>232. Ko gidanku sun kashe kuɗi akan ire iren waɗannan abubuwan a cikin satin da ya gabata?</t>
  </si>
  <si>
    <t>Marabout</t>
  </si>
  <si>
    <t>Malumci</t>
  </si>
  <si>
    <t>Mechanic/driver</t>
  </si>
  <si>
    <t>Mécanicien/chauffeur</t>
  </si>
  <si>
    <t>Makaniki/direba</t>
  </si>
  <si>
    <t>226. Specify other unit:</t>
  </si>
  <si>
    <t>226. Spécifiez une autre unité :</t>
  </si>
  <si>
    <t>226. Baiyana wani amfanin gonar daban:</t>
  </si>
  <si>
    <t>shm_ladder_scale</t>
  </si>
  <si>
    <t>63.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</si>
  <si>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63.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</si>
  <si>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63. A ce saman kuranga tana nuna mafi kyawun rayuwa a gare ku kuma kasan kuranga tana nuna mafi munin rayuwa a gareku. Idan matakin saman ya kasance 10 kuma matakin ƙasa shine 0, akan wane mataki na kurangar kake jin kai da kanka kake a halin yanzu?</t>
  </si>
  <si>
    <t>Blacksmith</t>
  </si>
  <si>
    <t>Forgeron</t>
  </si>
  <si>
    <t>C'est une mesure de 0 à 10,</t>
  </si>
  <si>
    <t>Wannan ma'auni ne daga 0 zuwa 10</t>
  </si>
  <si>
    <t>Maƙeri</t>
  </si>
  <si>
    <t>. &gt;= 0 and . &lt;= 10</t>
  </si>
  <si>
    <t>Salaried employee</t>
  </si>
  <si>
    <t>Employé salarié</t>
  </si>
  <si>
    <t>Ma'aikaci mai albashi</t>
  </si>
  <si>
    <t>speedcheck_shm_health_end</t>
  </si>
  <si>
    <t>Mason</t>
  </si>
  <si>
    <t>Maçon</t>
  </si>
  <si>
    <t>Magini</t>
  </si>
  <si>
    <t>dur_shm_health</t>
  </si>
  <si>
    <t>wani daban</t>
  </si>
  <si>
    <t>227. What quantity (${hoh_crop_unit_name}) of ${hoh_crop_name} did your household sell since the last harvest?</t>
  </si>
  <si>
    <t>227. Quelle quantité (${hoh_crop_unit_name}) de ${hoh_crop_name} votre ménage a-t-il vendu depuis la dernière récolte ?</t>
  </si>
  <si>
    <t>${speedcheck_shm_health_end} - ${speedcheck_shm_health_start}</t>
  </si>
  <si>
    <t>227. Nawa ne yawan (${hoh_crop_unit_name}) na ${hoh_crop_name} gidanku ya saida tun daga kaka na ƙarshe?</t>
  </si>
  <si>
    <t>248. I would like to ask you about how decisions are made in your household. Please tell me to what degree does your opinion matter in decisions related to the following topics:</t>
  </si>
  <si>
    <t>248. Je voudrais vous poser quelques quetions sur la prise de décision dans votre ménage, dans quelle mesure votre opinion compte-t-elle dans les décisions liées aux sujets suivants :</t>
  </si>
  <si>
    <t>248. Ina son in tambaye ku yadda ake yanke hukunci a gidanku. Da fatan za ku gaya mani matsayin ra'ayinku a yanke shawara bisa abubuwa masu zuwa:</t>
  </si>
  <si>
    <t>234. For Tabaski, did your household purchase any of the following?</t>
  </si>
  <si>
    <t>234. Pour la Tabaski, votre ménage a-t-il acheté l'un des articles suivants ?</t>
  </si>
  <si>
    <t>234. Don sallar layya, gidanku ya sayi ɗaya daga cikin waɗannan abubuwa?</t>
  </si>
  <si>
    <t>235. Clothing</t>
  </si>
  <si>
    <t>235. Vêtements</t>
  </si>
  <si>
    <t>235. Tufafi</t>
  </si>
  <si>
    <t>money_transfer</t>
  </si>
  <si>
    <t>Hand cash directly to recipient</t>
  </si>
  <si>
    <t>Remettre l'argent directement au destinataire</t>
  </si>
  <si>
    <t>Bada kudi hannu da hannu kai tsaye ga mai karɓa</t>
  </si>
  <si>
    <t>speedcheck_shm_vict_start</t>
  </si>
  <si>
    <t>Through a family member or close friend</t>
  </si>
  <si>
    <t>Par l'intermédiaire d'un membre de la famille ou d'un ami proche</t>
  </si>
  <si>
    <t>Ta hanyar dangi ko aboki na kusa</t>
  </si>
  <si>
    <t>Through someone you know</t>
  </si>
  <si>
    <t>Par quelqu'un que tu connais</t>
  </si>
  <si>
    <t>shm_three_months_note</t>
  </si>
  <si>
    <t>Ta hanyar wanda a ka sani</t>
  </si>
  <si>
    <t>64. Now I will ask about some things that may have happened to you during the past three months.</t>
  </si>
  <si>
    <t>64. Maintenant, je vais vous poser des questions sur certaines choses qui vous sont peut-être arrivées au cours des trois derniers mois.</t>
  </si>
  <si>
    <t>64. Yanzu zan yi tambayoyi game da wasu abubuwa da wataƙila sun faru da ku a cikin watanni uku da suka wuce.</t>
  </si>
  <si>
    <t>Through an app on a mobile phone</t>
  </si>
  <si>
    <t>Via une application sur un téléphone mobile</t>
  </si>
  <si>
    <t>Ta hanyar salula</t>
  </si>
  <si>
    <t>shm_disc</t>
  </si>
  <si>
    <t>65. How often, if at all, were you personally discriminated against based on your identity (ethnicity, religion, nationality)?</t>
  </si>
  <si>
    <t>65. À quelle fréquence, si ça vous est déjà arrivé, avez-vous personnellement été victime de discrimination liée a votre identité (ethnie, religion, nationalité) ?</t>
  </si>
  <si>
    <t>65. Sau nawa, idan ya faru a gareku, aka nuna muku wariya dangance da kabilarku, ko addininku, ko ƙasarku2?</t>
  </si>
  <si>
    <t>Through an exchange house</t>
  </si>
  <si>
    <t>Par l'intermédiaire d'un bureau de change</t>
  </si>
  <si>
    <t>Ta hanyar wani ofishin canji</t>
  </si>
  <si>
    <t>shm_felt_unsafe</t>
  </si>
  <si>
    <t>Through money transfer companies</t>
  </si>
  <si>
    <t>66. How often, if ever, have you felt unsafe walking in the neighborhood where you are staying?</t>
  </si>
  <si>
    <t>66. Combien de fois, vous vous êtes-vous senti en danger en vous promenant dans le quartier où vous séjournez, si cela vous est jamais arrivé ?</t>
  </si>
  <si>
    <t>66. Sau nawa, idan ya faru a gareku, kuka ji kuna cikin hatsari yayin da kuke yawo a cikin unguwar da kuke zaune?</t>
  </si>
  <si>
    <t>Compagnies de Transfert (Nita, Alizza, Amana…)</t>
  </si>
  <si>
    <t>236. Sheep</t>
  </si>
  <si>
    <t xml:space="preserve">Other  </t>
  </si>
  <si>
    <t>236. Mouton</t>
  </si>
  <si>
    <t>236. Rago</t>
  </si>
  <si>
    <t>Wani abu daban</t>
  </si>
  <si>
    <t>237. Goat</t>
  </si>
  <si>
    <t>237. Chèvre</t>
  </si>
  <si>
    <t>237. Akuya</t>
  </si>
  <si>
    <t>shm_vict</t>
  </si>
  <si>
    <t>goods_transfer</t>
  </si>
  <si>
    <t>Hand directly to recipient</t>
  </si>
  <si>
    <t>Remettre directement au destinataire</t>
  </si>
  <si>
    <t>Bada tsabar kuɗi hannu da hannu ga mai karɓa</t>
  </si>
  <si>
    <t>254. Whether you will migrate to find work or stay at home</t>
  </si>
  <si>
    <t>254. Si vous migrez pour trouver du travail ou rester à la maison</t>
  </si>
  <si>
    <t>254. Ko za ku yi tahiya wurin biɗa ko za ku zauna a gida</t>
  </si>
  <si>
    <t>shm_experienced_note</t>
  </si>
  <si>
    <t>231. How much did your household spend on the following types of expenses during the last agricultural season in CFA?</t>
  </si>
  <si>
    <t>67. Have you experienced any of the following during ${period}?</t>
  </si>
  <si>
    <t>231. Combien votre ménage a-t-il dépensé pour les types de dépenses suivantes au cours de la dernière saison agricole (en CFA) ?</t>
  </si>
  <si>
    <t>67. Avez-vous vécu l'une des situations suivantes depuis le debut de ${period_french} ?</t>
  </si>
  <si>
    <t>231. Nawa ne gidanku ya kashe akan waɗannan abubuwan a lokacin noman da ya wuce (a sefa)?</t>
  </si>
  <si>
    <t>67. Ko kun taɓa fuskantar ɗayan waɗannan abubuwan a wannan wurin, lokacin ${period_hausa}?</t>
  </si>
  <si>
    <t>255. Can you make your own decisions, without the input of anyone else if you want to regarding:</t>
  </si>
  <si>
    <t>255. Pouvez-vous prendre vos propres décisions, sans l'intervention de quelqu'un d'autre, si vous le souhaitez concernant :</t>
  </si>
  <si>
    <t>255. Za ku iya yanke shawara da kanku, ba tare da sa bakin wani ba idan kuna so dangance da:</t>
  </si>
  <si>
    <t>Ta hanyar dangi ko aboki na kurkusa</t>
  </si>
  <si>
    <t>Ta hanyar wanda ka sani</t>
  </si>
  <si>
    <t>shm_phys_attacked</t>
  </si>
  <si>
    <t>68. Physical attack</t>
  </si>
  <si>
    <t>68. Attaque physique</t>
  </si>
  <si>
    <t>68. harin jiki</t>
  </si>
  <si>
    <t>258. Household purchases (over 500 CFA)</t>
  </si>
  <si>
    <t>258. Achats du ménage (plus de 500 CFA)</t>
  </si>
  <si>
    <t>258. Sayayya na gida (sama da dala ɗari CFA 500)</t>
  </si>
  <si>
    <t>259. What job you do</t>
  </si>
  <si>
    <t>259. Quel travail tu fais</t>
  </si>
  <si>
    <t>shm_phys_threat</t>
  </si>
  <si>
    <t>259. Wane aiki kuke yi</t>
  </si>
  <si>
    <t>69. Threat of physical violence/attack</t>
  </si>
  <si>
    <t>69. Menace de violence physique/agression</t>
  </si>
  <si>
    <t>69. Barazanar ​​harin jiki</t>
  </si>
  <si>
    <t>260. Whether you will migrate to find work</t>
  </si>
  <si>
    <t>260. Si vous migrez pour trouver du travail</t>
  </si>
  <si>
    <t>260. Ko za ku yi tahiya don neman aiki</t>
  </si>
  <si>
    <t>241. In response to ${w_emergency_name}, did you or your household take the following actions?</t>
  </si>
  <si>
    <t>241. En réponse à ${w_emergency_name}, avez-vous vous ou votre ménage pris les mesures suivantes ??</t>
  </si>
  <si>
    <t>241. Dangance da ${w_emergency_name}, ku ko ƴan gindanku kun ɗauki waɗannan matakai?</t>
  </si>
  <si>
    <t>emergency</t>
  </si>
  <si>
    <t>shm_theft</t>
  </si>
  <si>
    <t>70. Theft of either money or property?</t>
  </si>
  <si>
    <t>70. Vol d'argent ou de propriété?</t>
  </si>
  <si>
    <t>70. Satar kudi ko dukiya?</t>
  </si>
  <si>
    <t>Serious illness or injury to self</t>
  </si>
  <si>
    <t>Maladie grave ou blessure personnelle</t>
  </si>
  <si>
    <t>Mummunan cuta ko rauni</t>
  </si>
  <si>
    <t>Serious injury or illness of household member</t>
  </si>
  <si>
    <t>Blessure grave ou maladie d'un membre du ménage</t>
  </si>
  <si>
    <t>Mummunan rauni ko rashin lafiya na ɗan gida</t>
  </si>
  <si>
    <t>shm_arrest</t>
  </si>
  <si>
    <t>71. Detention or arrest by state security forces?</t>
  </si>
  <si>
    <t>71. Détention ou arrestation par les forces de sécurité de l'État ?</t>
  </si>
  <si>
    <t>71. Kaso ko kamu daga jami'an tsaron gwamnati?</t>
  </si>
  <si>
    <t>Death of household member</t>
  </si>
  <si>
    <t>Décès d'un membre du ménage</t>
  </si>
  <si>
    <t>Mutuwar ɗan gida</t>
  </si>
  <si>
    <t>Loss of asset/livestock due to theft/death/accident</t>
  </si>
  <si>
    <t>Perte de biens/bétail suite à un vol/un décès/un accident</t>
  </si>
  <si>
    <t>Asarar kadara/dabbobi saboda sata/mutuwa/hatsari</t>
  </si>
  <si>
    <t>266. How to you invest your money such as whether to improve your house</t>
  </si>
  <si>
    <t>Loss of job or income</t>
  </si>
  <si>
    <t>266. Comment investir votre argent, par exemple pour améliorer votre maison</t>
  </si>
  <si>
    <t>Perte d'emploi ou de revenu</t>
  </si>
  <si>
    <t>266. Yadda za ku kashe kuɗin ku, kamar gyaran gidanku</t>
  </si>
  <si>
    <t>Ɓadda aiki ko kuɗin shiga</t>
  </si>
  <si>
    <t>shm_vict_text</t>
  </si>
  <si>
    <t>267. Family planning (when to have children)</t>
  </si>
  <si>
    <t>Flood</t>
  </si>
  <si>
    <t>267. Planification familiale (quand avoir des enfants)</t>
  </si>
  <si>
    <t>Inondation</t>
  </si>
  <si>
    <t>267. Tsarin iyali (lokacin ɗaukan ciki)</t>
  </si>
  <si>
    <t>Ambaliyar ruwa</t>
  </si>
  <si>
    <t>${shm_phys_attacked} = 1 or ${shm_phys_attacked} = 1 or ${shm_theft} = 1 or ${shm_arrest} = 1</t>
  </si>
  <si>
    <t>Drought</t>
  </si>
  <si>
    <t>Sécheresse</t>
  </si>
  <si>
    <t>Fari</t>
  </si>
  <si>
    <t>247. Assets you sold</t>
  </si>
  <si>
    <t>247. Les actifs que vous avez vendus</t>
  </si>
  <si>
    <t>247. Kadarorin da kuka saida</t>
  </si>
  <si>
    <t>shm_vict_text_note</t>
  </si>
  <si>
    <t>72. Now I would like to ask you to tell me more about your specific experience with:</t>
  </si>
  <si>
    <t>72. J'aimerais maintenant vous demander de m'en dire un peu plus sur votre expérience spécifique avec :</t>
  </si>
  <si>
    <t>72. Yanzu ina so in tambaye ku ƙarin bayani game da takamaiman gogewarku na masamman game da:</t>
  </si>
  <si>
    <t>248. Loan(s) you took</t>
  </si>
  <si>
    <t>248. Les prêt(s) que vous avez contracté</t>
  </si>
  <si>
    <t>Pest infestation/crop or livestock disease</t>
  </si>
  <si>
    <t>248. Bashin da kuka ɗauka</t>
  </si>
  <si>
    <t>Infestation des ravageurs/maladie des cultures ou du bétail</t>
  </si>
  <si>
    <t>Bannar kwari / amfanin gona ko cututtukan dabbobi</t>
  </si>
  <si>
    <t>Divorce or abandonment by husband</t>
  </si>
  <si>
    <t>Divorce ou abandon par le mari</t>
  </si>
  <si>
    <t>Saki ko miji ya tsere ya bar mata</t>
  </si>
  <si>
    <t>272. I should always sacrifice my personal needs and wants to satisfy my parents.</t>
  </si>
  <si>
    <t>272. Je devrais toujours sacrifier mes besoins personnels et vouloir satisfaire mes parents.</t>
  </si>
  <si>
    <t>272. Dole ne ko yaushe in sadaukar da bukatuna na kaina don in gamsar da iyayena.</t>
  </si>
  <si>
    <t>273. If I had an emergency that required 5,000 CFA urgently (within 3 days), I would be able to find the money.</t>
  </si>
  <si>
    <t>273. Si j'avais une urgence qui nécessitait 5 000 CFA en urgence (dans les 3 jours), je serais capable de trouver l'argent.</t>
  </si>
  <si>
    <t>shm_attack_note</t>
  </si>
  <si>
    <t>Cut-off or decrease of remittances to household</t>
  </si>
  <si>
    <t>273. Idan ina da biƙatar gaggawa na 5,000 CFA (a cikin kwanaki 3), zan iya samun kuɗin.</t>
  </si>
  <si>
    <t>73. Physical attack</t>
  </si>
  <si>
    <t>Manque ou insuffisance des envois de fonds au ménage</t>
  </si>
  <si>
    <t>73. Attaque physique</t>
  </si>
  <si>
    <t>Rashi ko rage kuɗaɗen da ake turawa gida</t>
  </si>
  <si>
    <t>73. harin jiki</t>
  </si>
  <si>
    <t>If they refuse, enter -888</t>
  </si>
  <si>
    <t>S'il refuse, entrez -888</t>
  </si>
  <si>
    <t>Idan ya ƙiya, shigar da -888</t>
  </si>
  <si>
    <t>274. What type of person would you go to first for this money?</t>
  </si>
  <si>
    <t>274. Vers quel type de personne iriez-vous en premier pour cet argent ?</t>
  </si>
  <si>
    <t>274. Wane irin mutum ne za ku fara zuwa wurin shi don wannan kuɗin?</t>
  </si>
  <si>
    <t>${shm_phys_attacked} = 1</t>
  </si>
  <si>
    <t>Unexpected increase in price of food/other essential commodity</t>
  </si>
  <si>
    <t>Augmentation inattendue du prix des aliments/autres produits essentiels</t>
  </si>
  <si>
    <t>Hawan ba zata na farashin abinci/sauran kayan da ake buƙata</t>
  </si>
  <si>
    <t>276. The next set of questions are about your opinions regarding the roles that women and men play</t>
  </si>
  <si>
    <t>shm_phys_threat_note</t>
  </si>
  <si>
    <t>276. La prochaine série de questions porte sur vos opinions concernant les rôles que jouent les femmes et les hommes</t>
  </si>
  <si>
    <t>74. Threat of physical violence/attack</t>
  </si>
  <si>
    <t>276. Tambayoyi na gaba sun ta'allaƙa ne da ra'ayoyin ku game da rawar da mata da maza suke takawa.</t>
  </si>
  <si>
    <t>74. Menace de violence physique/agression</t>
  </si>
  <si>
    <t>74. Barazanar ​​harin jiki</t>
  </si>
  <si>
    <t>Unexpected decrease in price of commodity/product you sell</t>
  </si>
  <si>
    <t>Baisse inattendue du prix de la marchandise/du produit que vous vendez</t>
  </si>
  <si>
    <t>Faɗuwar ba zata na farashin kayayyaki/abubuwan da kuke saidawa</t>
  </si>
  <si>
    <t>${shm_phys_threat} = 1</t>
  </si>
  <si>
    <t>shm_theft_note</t>
  </si>
  <si>
    <t>75. Theft of either money or property?</t>
  </si>
  <si>
    <t>75. Vol d'argent ou de propriété?</t>
  </si>
  <si>
    <t>shm_arrest_note</t>
  </si>
  <si>
    <t>75. Satar kudi ko dukiya?</t>
  </si>
  <si>
    <t>${shm_theft} = 1</t>
  </si>
  <si>
    <t>254. Household purchases (over 500 CFA)</t>
  </si>
  <si>
    <t>254. Achats du ménage (plus de 500 CFA)</t>
  </si>
  <si>
    <t>254. Sayayya na gida (sama da dala ɗari CFA 500)</t>
  </si>
  <si>
    <t>cons_month</t>
  </si>
  <si>
    <t>speedcheck_shm_vict_end</t>
  </si>
  <si>
    <t>Education (children, excluding school fees)</t>
  </si>
  <si>
    <t>Education (enfants, hors frais de scolarité)</t>
  </si>
  <si>
    <t>Tarbiya (yara, ban da kuɗin makaranta)</t>
  </si>
  <si>
    <t>255. What to do if someone in your household falls ill</t>
  </si>
  <si>
    <t>255. Que faire si un membre de votre ménage tombe malade</t>
  </si>
  <si>
    <t>76. Detention or arrest by state security forces?</t>
  </si>
  <si>
    <t>255. Abin da za'a yi idan wani a cikin gidanku ya kamu da rashin lafiya</t>
  </si>
  <si>
    <t>76. Détention ou arrestation par les forces de sécurité de l'État ?</t>
  </si>
  <si>
    <t>76. Kaso ko kamu daga jami'an tsaron gwamnati?</t>
  </si>
  <si>
    <t>dur_shm_vict</t>
  </si>
  <si>
    <t>${shm_arrest} = 1</t>
  </si>
  <si>
    <t>256. Whether children attend school or not</t>
  </si>
  <si>
    <t>256. Que les enfants soient scolarisés ou non</t>
  </si>
  <si>
    <t>Education (adults, including vocational training)</t>
  </si>
  <si>
    <t>256. Ko za'a rubuta yara makaranta ko a'a</t>
  </si>
  <si>
    <t>Éducation (adultes, y compris la formation professionnelle)</t>
  </si>
  <si>
    <t>Ilimi (manya, gami da koyar da sana'a)</t>
  </si>
  <si>
    <t>257. Whether you will migrate to find work or stay at home</t>
  </si>
  <si>
    <t>257. Si vous migrez pour trouver du travail ou rester à la maison</t>
  </si>
  <si>
    <t>257. Ko za ku yi tahiya wurin biɗa ko za ku zauna a gida</t>
  </si>
  <si>
    <t>284. To whom your daughter should marry?</t>
  </si>
  <si>
    <t>284. Avec qui votre fille devrait-elle se marier ?</t>
  </si>
  <si>
    <t>284. Wa ya kamata ƴarku ta aura?</t>
  </si>
  <si>
    <t>Healthcare</t>
  </si>
  <si>
    <t>Soins de santé</t>
  </si>
  <si>
    <t>Kiwon lafiya</t>
  </si>
  <si>
    <t>shm_pm_questions</t>
  </si>
  <si>
    <t>Questions about PM</t>
  </si>
  <si>
    <t>Questions sur le Potentiel Migrant</t>
  </si>
  <si>
    <t>Tambayoyi bisa mai nufin zuwa biɗa</t>
  </si>
  <si>
    <t>258. Can you make your own decisions, without the input of anyone else if you want to regarding:</t>
  </si>
  <si>
    <t>258. Pouvez-vous prendre vos propres décisions, sans l'intervention de quelqu'un d'autre, si vous le souhaitez concernant :</t>
  </si>
  <si>
    <t>258. Za ku iya yanke shawara da kanku, ba tare da sa bakin wani ba idan kuna so dangance da:</t>
  </si>
  <si>
    <t>speedcheck_shm_pmmig_start</t>
  </si>
  <si>
    <t>Ceremonies</t>
  </si>
  <si>
    <t>Cérémonies</t>
  </si>
  <si>
    <t>bukukuwa</t>
  </si>
  <si>
    <t>259. How to use money that you earn</t>
  </si>
  <si>
    <t>259. Comment utiliser l'argent que vous gagnez</t>
  </si>
  <si>
    <t>259. Yadda ake amfani da kuɗin da kuke samu</t>
  </si>
  <si>
    <t>shm_pm_note</t>
  </si>
  <si>
    <t>Clothes + shoes</t>
  </si>
  <si>
    <t>Vêtements + chaussures</t>
  </si>
  <si>
    <t>Tufafi + takalma</t>
  </si>
  <si>
    <t>shm_pm_work</t>
  </si>
  <si>
    <t>shm_pm_earn</t>
  </si>
  <si>
    <t>75. Idan kuka ƙaddara, nawa kuke ganin ${pm_name} zai samu daga wannan aikin a cikin watan da ya gabata?</t>
  </si>
  <si>
    <t>${speedcheck_shm_vict_end} - ${speedcheck_shm_vict_start}</t>
  </si>
  <si>
    <t>select_one yesnodk</t>
  </si>
  <si>
    <t>shm_pm_home</t>
  </si>
  <si>
    <t>shm_pm_in_niger</t>
  </si>
  <si>
    <t>77. Where is ${pm_name} living right now?
 Enumerator: Is location in Niger?</t>
  </si>
  <si>
    <t>77. Où est ${pm_name} en ce moment?
  Énquêteur: le lieu est-il au Niger?</t>
  </si>
  <si>
    <t>77. Ina ${pm_name} yake a yanzu?
  Dan bincike: Ko wurin a Nijar ne?</t>
  </si>
  <si>
    <t>shm_pm_region</t>
  </si>
  <si>
    <t>cons_week</t>
  </si>
  <si>
    <t>Food (for household members)</t>
  </si>
  <si>
    <t>Nourriture (pour les membres du ménage)</t>
  </si>
  <si>
    <t>Abinci (ga mutanen gida)</t>
  </si>
  <si>
    <t>select_one mig_countries</t>
  </si>
  <si>
    <t>shm_pm_country</t>
  </si>
  <si>
    <t>Mobile phone credit + charging</t>
  </si>
  <si>
    <t>Crédit mobile + recharge</t>
  </si>
  <si>
    <t>shm_pm_country_o</t>
  </si>
  <si>
    <t>Kuɗin /kiredin kira a salula + caji</t>
  </si>
  <si>
    <t>shm_pm_town</t>
  </si>
  <si>
    <t>Fuel for home/ cooking (i.e. lighting, electricity, firewood)</t>
  </si>
  <si>
    <t>Combustible pour la maison/la cuisine (c.-à-d. éclairage, électricité, bois de chauffage)</t>
  </si>
  <si>
    <t>Makamashi na gidan don / dafa abinci ( haske gida , wutar lantarki, itacen jin wuta)</t>
  </si>
  <si>
    <t>77. Now I would like to ask you a few questions about ${pm_name}</t>
  </si>
  <si>
    <t>77. Maintenant, je voudrais vous poser quelques questions sur ${pm_name}</t>
  </si>
  <si>
    <t>77. Yanzu ina so in muku wasu tambayoyi game da ${pm_name}</t>
  </si>
  <si>
    <t>shm_pm_town_o</t>
  </si>
  <si>
    <t>Fuel for vehicles</t>
  </si>
  <si>
    <t>Carburant pour véhicules</t>
  </si>
  <si>
    <t>Man fetur/isansi na mota</t>
  </si>
  <si>
    <t>shm_pm_home_2w</t>
  </si>
  <si>
    <t>83. Est-ce que ${pm_name} sera dans le ménage au cours des deux prochaines semaines ?</t>
  </si>
  <si>
    <t>78. To the best of your knowledge has ${pm_name} worked for pay in the past month?</t>
  </si>
  <si>
    <t>83. Ko ${pm_name} zai kasance a gidan nan cikin sati biyu masu zuwa?</t>
  </si>
  <si>
    <t>78. Au meilleur de vos connaissances, ${pm_name} a-t-il travaillé pour gagner un salaire au cours du dernier mois?</t>
  </si>
  <si>
    <t>78. A iya saninku ${pm_name} ya yi aiki don samun biya a cikin watan da ya gabata?</t>
  </si>
  <si>
    <t>shm_pm_travel_pay</t>
  </si>
  <si>
    <t>Transportation fare (taxi, moto taxi)</t>
  </si>
  <si>
    <t>Frais de transport (taxi, moto taxi)</t>
  </si>
  <si>
    <t>Kuɗin (taxi, kabu- kabu )</t>
  </si>
  <si>
    <t>79. If you had to guess, how much money do you think ${pm_name} earned from work in the past month?</t>
  </si>
  <si>
    <t>79. Si vous deviez deviner, combien d'argent pensez-vous que ${pm_name} gagne du travail au cours du dernier mois?</t>
  </si>
  <si>
    <t>79. Idan kuka ƙaddara, nawa kuke ganin ${pm_name} zai samu daga wannan aikin a cikin watan da ya gabata?</t>
  </si>
  <si>
    <t>. &gt;= 0</t>
  </si>
  <si>
    <t>shm_pm_away_time</t>
  </si>
  <si>
    <t>${shm_pm_work} = 1</t>
  </si>
  <si>
    <t>Water (to drink)</t>
  </si>
  <si>
    <t>Eau (à boire)</t>
  </si>
  <si>
    <t>Ruwa (don sha)</t>
  </si>
  <si>
    <t>shm_pm_contact</t>
  </si>
  <si>
    <t>80. Is ${pm_name} currently living in your household?</t>
  </si>
  <si>
    <t>80. ${pm_name} vit-il actuellement dans votre ménage?</t>
  </si>
  <si>
    <t>80. Ko ${pm_name} yana zaune a gidan ku a hali yanzu?</t>
  </si>
  <si>
    <t>shm_pm_consult</t>
  </si>
  <si>
    <t>81. Where is ${pm_name} living right now?
 Enumerator: Is location in Niger?</t>
  </si>
  <si>
    <t>81. Où est ${pm_name} en ce moment?
 Énquêteur: le lieu est-il au Niger?</t>
  </si>
  <si>
    <t>81. Ina ${pm_name} yake a yanzu?
 Dan bincike: Ko wurin a Nijar ne?</t>
  </si>
  <si>
    <t>${shm_pm_home} = 0</t>
  </si>
  <si>
    <t>shm_member_send_money</t>
  </si>
  <si>
    <t>82. Enumerator: Select region in Niger</t>
  </si>
  <si>
    <t>select_multiple transmit</t>
  </si>
  <si>
    <t>82. Enquêteur : Sélectionnez une région au Niger</t>
  </si>
  <si>
    <t>shm_member_send_method</t>
  </si>
  <si>
    <t>82. Ɗan bincike: Zaɓi Jaha ɗaya a Nijar</t>
  </si>
  <si>
    <t>${shm_pm_in_niger} = 1</t>
  </si>
  <si>
    <t>support</t>
  </si>
  <si>
    <t>shm_pm_mig_intent</t>
  </si>
  <si>
    <t>83. Enumerator: Select country</t>
  </si>
  <si>
    <t>83. Enquêteur : sélectionnez le pays</t>
  </si>
  <si>
    <t>83. Ɗan bincike: Zaɓi ƙasa</t>
  </si>
  <si>
    <t>shm_pm_mig_note</t>
  </si>
  <si>
    <t>${shm_pm_in_niger} = 0</t>
  </si>
  <si>
    <t>Action Pour le Bien-Être (APBE)</t>
  </si>
  <si>
    <t>filter!=0</t>
  </si>
  <si>
    <t>shm_pm_mig_intent_country</t>
  </si>
  <si>
    <t>84. Enumerator: Enter other country</t>
  </si>
  <si>
    <t>84. Enquêteur : Entrez un autre pays</t>
  </si>
  <si>
    <t>ADKOUL</t>
  </si>
  <si>
    <t>84. Ɗan bincike: Shigar da wata ƙasa</t>
  </si>
  <si>
    <t>shm_pm_mig_intent_region</t>
  </si>
  <si>
    <t>${shm_pm_country} = -777</t>
  </si>
  <si>
    <t>shm_pm_mig_intent_town</t>
  </si>
  <si>
    <t>AND</t>
  </si>
  <si>
    <t>85. Enumerator: Select town</t>
  </si>
  <si>
    <t>85. Enquêteur : Sélectionnez la ville</t>
  </si>
  <si>
    <t>85. Ɗan bincike: Zaɓi gari</t>
  </si>
  <si>
    <t>search('towns', 'matches', 'country_id', ${shm_pm_country})</t>
  </si>
  <si>
    <t>shm_discuss_mig</t>
  </si>
  <si>
    <t>${shm_pm_in_niger} = 0 and ${shm_pm_country} != -999</t>
  </si>
  <si>
    <t>ANIMAS SUTURA</t>
  </si>
  <si>
    <t>shm_discuss_responsibilities</t>
  </si>
  <si>
    <t>86. Enumerator: Enter other town</t>
  </si>
  <si>
    <t>86. Enquêteur : Entrez un autre ville</t>
  </si>
  <si>
    <t>86. Ɗan bincike: Shigar da wata gari</t>
  </si>
  <si>
    <t>${shm_pm_town} = -777</t>
  </si>
  <si>
    <t>shm_save_pm</t>
  </si>
  <si>
    <t>Assainissement Total Piloté par la Communauté (ATPC)</t>
  </si>
  <si>
    <t>87. Will ${pm_name} be in the household within the next two weeks?</t>
  </si>
  <si>
    <t>87. Est-ce que ${pm_name} sera dans le ménage au cours des deux prochaines semaines ?</t>
  </si>
  <si>
    <t>87. Ko ${pm_name} zai kasance a gidan nan cikin sati biyu masu zuwa?</t>
  </si>
  <si>
    <t>Enumerator: If yes, please ask the respondent when the best time to return to survey ${pm_name} and note it down. We would like you to return to the household then to survey ${pm_name}.</t>
  </si>
  <si>
    <t>Enquêteur : Si oui, veuillez demander au répondant quel est le meilleur moment pour revenir à l'enquête ${pm_name} et notez-le. Nous aimerions que vous retourniez au ménage pour enquêter ${pm_name}.</t>
  </si>
  <si>
    <t>Mai bincike: Idan eh ne, ka tambayi mai bada amsa lokacin da ya fi dacewa don komawa binciken ${pm_name} kuma arubuta shi. Da fatan za'a koma gidan don yin binciken ${pm_name}.</t>
  </si>
  <si>
    <t>speedcheck_shm_pmmig_end</t>
  </si>
  <si>
    <t>CADEV</t>
  </si>
  <si>
    <t>285. Whether the husband will migrate to find work</t>
  </si>
  <si>
    <t>285. Si le mari va migrer pour trouver du travail</t>
  </si>
  <si>
    <t>285. Ko miji zai yi tahiya don neman aiki</t>
  </si>
  <si>
    <t>88. How much did ${pm_name} have to pay to travel to destination?</t>
  </si>
  <si>
    <t>88. Combien ${pm_name} a-t-il dû payer pour voyager à destination?</t>
  </si>
  <si>
    <t>dur_shm_pmmig</t>
  </si>
  <si>
    <t>88. Nawa ne ${pm_name} ya biya don zuwa wurin?</t>
  </si>
  <si>
    <t>If they do not know, enter -999</t>
  </si>
  <si>
    <t>S'ils ne le savent pas, entrez -999</t>
  </si>
  <si>
    <t>Idan ba su sani ba, shigar da -999</t>
  </si>
  <si>
    <t>. &gt;= 0 or . = -999</t>
  </si>
  <si>
    <t>286. Who to vote for in local elections?</t>
  </si>
  <si>
    <t>286. Pour qui voter aux élections municipales ?</t>
  </si>
  <si>
    <t>286. Wanene za'a zaɓa a zaɓen ƙananan hukumomi?</t>
  </si>
  <si>
    <t>shm_decide_travel</t>
  </si>
  <si>
    <t>CŒUR CITOYEN</t>
  </si>
  <si>
    <t>287. To whom your daughter should marry?</t>
  </si>
  <si>
    <t>287. Avec qui votre fille devrait-elle se marier ?</t>
  </si>
  <si>
    <t>287. Wa ya kamata ƴarku ta aura?</t>
  </si>
  <si>
    <t>speedcheck_shm_future_start</t>
  </si>
  <si>
    <t>89. How long has ${pm_name} been away from household (in months)?</t>
  </si>
  <si>
    <t>89. Depuis combien de temps ${pm_name} est-il loin du ménage (en mois)?</t>
  </si>
  <si>
    <t>89. Tun daga yaushe ${pm_name} yake nesa da gida (a cikin watanni)?</t>
  </si>
  <si>
    <t>288. Children's enrollment in school</t>
  </si>
  <si>
    <t>288. Inscription des enfants à l'école</t>
  </si>
  <si>
    <t>288. Rubuta yara a makaranta</t>
  </si>
  <si>
    <t>shm_future_note</t>
  </si>
  <si>
    <t>Concern</t>
  </si>
  <si>
    <t>90. Have you spoken with ${pm_name} in the past month?</t>
  </si>
  <si>
    <t>90. Avez-vous parlé avec ${pm_name} au cours du dernier mois?</t>
  </si>
  <si>
    <t>90. Ko kun yi magana da ${pm_name} a watan da ya gabata?</t>
  </si>
  <si>
    <t>${shm_pm_away_time} &gt; 0</t>
  </si>
  <si>
    <t>shm_future_earn</t>
  </si>
  <si>
    <t>CRA</t>
  </si>
  <si>
    <t>91. Did ${pm_name} discuss their decision to move with you before they left?</t>
  </si>
  <si>
    <t>91. ${pm_name} a-t-il discuté de sa décision de déménager avec vous avant de partir?</t>
  </si>
  <si>
    <t>91. Ko kun tattauna da ${pm_name} game da shawararshi ta tahiya kafin ya tafi?</t>
  </si>
  <si>
    <t>shm_future_earn_away</t>
  </si>
  <si>
    <t>shm_future_share</t>
  </si>
  <si>
    <t>FAO</t>
  </si>
  <si>
    <t>92. Approximately how much money (if any) has ${pm_name} sent to the household in the past month?</t>
  </si>
  <si>
    <t>92. Environ combien d'argent (s'il y a eu) a-t-il envoyé ${pm_name} au ménage au cours du dernier mois?</t>
  </si>
  <si>
    <t>92. Kimanin nawa (idan akwai) ${pm_name} ya aiko zuwa gida a watan da ya gabata?</t>
  </si>
  <si>
    <t>shm_future_save_shm</t>
  </si>
  <si>
    <t>Filets Sociaux</t>
  </si>
  <si>
    <t>shm_future_contact</t>
  </si>
  <si>
    <t>93. How do they send this money?</t>
  </si>
  <si>
    <t>93. Comment envoie t-ils cet argent?</t>
  </si>
  <si>
    <t>93. Ta yaya ya aika wannan kuɗin?</t>
  </si>
  <si>
    <t>${shm_member_send_money} &gt; 0</t>
  </si>
  <si>
    <t>FIM</t>
  </si>
  <si>
    <t>295. Women and men should have equal rights to their inheritance (Women should not be denied their right)</t>
  </si>
  <si>
    <t>295. Les femmes et les hommes devraient avoir des droits égaux à l'héritage (les femmes ne devraient pas être privées de leur droit)</t>
  </si>
  <si>
    <t>94. Think about the next six months, starting from today. To the best of your knowledge does ${pm_name} plan to move somewhere outside of Tahoua and remain away for more than a month?</t>
  </si>
  <si>
    <t>295. Ya kamata mata da maza su samu haƙƙi daidai akan gado (Bai Kamata a hana ma mata haƙƙinsu ba)</t>
  </si>
  <si>
    <t>94. Pensez aux six prochains mois, à partir d’aujourd’hui. À votre connaissance, ${pm_name} envisage-t-il de déménager quelque part en dehors de Tahoua et de rester absent pendant plus d'un mois ?</t>
  </si>
  <si>
    <t>94. Ku tuna da watanni shida masu zuwa daga yau, A saninku ko ${pm_name} yanada niyyar yin bulaguro zuwa wani wuri ba'a cikin jahar Tawa ba kuma ya zauna a can tsawon fiye da wata ?</t>
  </si>
  <si>
    <t>shm_prep</t>
  </si>
  <si>
    <t>If ${pm_name} is away from home location, please ask about migration from current location</t>
  </si>
  <si>
    <t>296. A woman can reject a marriage that her family chose for her without her consent</t>
  </si>
  <si>
    <t>296. Une femme peut refuser un mariage que sa famille a choisi pour elle sans son consentement</t>
  </si>
  <si>
    <t>296. Mace za ta iya ƙin auren da danginta suka zaɓa mata idan bata yarda ba</t>
  </si>
  <si>
    <t>shm_pm_prepare_note</t>
  </si>
  <si>
    <t>95. If ${pm_name} migrates, where would they intended to travel?</t>
  </si>
  <si>
    <t>95. Si ${pm_name} voyage, où aurait-il l'intention d'aller ?</t>
  </si>
  <si>
    <t>FIM (Fondation Issoufou Mahamadou)</t>
  </si>
  <si>
    <t>95. Idan ${pm_name} zai yi tahiya, ina zaya iya tafiya?</t>
  </si>
  <si>
    <t>Enumerator: Probe if in Niger or another country</t>
  </si>
  <si>
    <t>Enquêteur : Sonder si au Niger ou dans un autre pays</t>
  </si>
  <si>
    <t>Ɗan bincike: Bincika idan a Najar ne ko a wata ƙasa</t>
  </si>
  <si>
    <t>shm_mig_prep_savings</t>
  </si>
  <si>
    <t>${shm_pm_mig_intent}=1</t>
  </si>
  <si>
    <t>96. What is the name of the country ${pm_name} would move to?</t>
  </si>
  <si>
    <t>96. Quel est le nom du pays dans lequel ${pm_name} souhaiterait voyager ?</t>
  </si>
  <si>
    <t>96. Menene sunan ƙasar da ${pm_name} yake son tahiya?</t>
  </si>
  <si>
    <t>274. Do you have a permanent location (i.e. building)?</t>
  </si>
  <si>
    <t>274. Avez-vous un emplacement permanent (c'est-à-dire un bâtiment) ?</t>
  </si>
  <si>
    <t>GIEEN</t>
  </si>
  <si>
    <t>274. Kuna da wurin dindindin (kamar gini)?</t>
  </si>
  <si>
    <t>shm_mig_prep_legal</t>
  </si>
  <si>
    <t>97. Where in Niger would ${pm_name} move to?</t>
  </si>
  <si>
    <t>97. Où au Niger ${pm_name} se déplcerait-il ?</t>
  </si>
  <si>
    <t>97. Ina a Nijar ${pm_name} zai koma?</t>
  </si>
  <si>
    <t>shm_mig_prep_contact</t>
  </si>
  <si>
    <t>${shm_pm_mig_intent_country} = 1</t>
  </si>
  <si>
    <t>GIZ/ProEmploi</t>
  </si>
  <si>
    <t>98. What is the name of the town ${pm_name} would move to?</t>
  </si>
  <si>
    <t>98. Quel est le nom de la ville où ${pm_name} irait ?</t>
  </si>
  <si>
    <t>98. Menene sunan garin da ${pm_name} zai ƙaura ?</t>
  </si>
  <si>
    <t>search('towns', 'matches', 'country_id', ${shm_pm_mig_intent_country})</t>
  </si>
  <si>
    <t>${shm_pm_mig_intent}=1 and not(${shm_pm_mig_intent_country} = 1 or ${shm_pm_mig_intent_country} = -999)</t>
  </si>
  <si>
    <t>301. She argues with him</t>
  </si>
  <si>
    <t>301. Elle se dispute avec lui</t>
  </si>
  <si>
    <t>301. Ta yi mishi gardama</t>
  </si>
  <si>
    <t>Mercy Corps</t>
  </si>
  <si>
    <t>shm_knowledge_note</t>
  </si>
  <si>
    <t>99. Have you and ${pm_name} discussed his plans or desire to travel to another country to find work in the past month?</t>
  </si>
  <si>
    <t>99. Avez-vous discuté vous et ${pm_name} de ses projets ou de son désir de voyager dans un autre pays pour trouver du travail au cours du mois dernier ?</t>
  </si>
  <si>
    <t>99. Ko kun tattauna ku da ${pm_name} kan shiriye-shiriyenshi ko sha'awar tafiyarshi wata ƙasa don neman aiki a cikin watan da ya gabata?</t>
  </si>
  <si>
    <t>select_multiple docs</t>
  </si>
  <si>
    <t>shm_docs_required_civ</t>
  </si>
  <si>
    <t>100. Have you discussed with ${pm_name} how his household responsibilities would be managed if he migrates?</t>
  </si>
  <si>
    <t>100. Avez-vous discuté avec ${pm_name} de la manière dont ses responsabilités domestiques seraient gérées s'il migre ?</t>
  </si>
  <si>
    <t>NAZARI</t>
  </si>
  <si>
    <t>100. Ko kun tattauna da ${pm_name} yadda za a gudanar da ayyukan da suka rataya a wuyanshi idan ya yi hijira?</t>
  </si>
  <si>
    <t>319. Punch you with his fist or with something that could hurt you</t>
  </si>
  <si>
    <t>319. Vous frapper avec son poing ou avec quelque chose qui pourrait vous blesser</t>
  </si>
  <si>
    <t>319. Yi muku naushi da hannu ko da wani abu da zai iya cutar da ku</t>
  </si>
  <si>
    <t>shm_docs_required_libya</t>
  </si>
  <si>
    <t>Organisation International pour la Migration (OIM)</t>
  </si>
  <si>
    <t>101. In the past month has ${pm_name} put aside any money for the future?</t>
  </si>
  <si>
    <t>101. Au cours du mois dernier, ${pm_name} a-t-il mis de l'argent de côté pour l'avenir ?</t>
  </si>
  <si>
    <t>101. A cikin watan da ya gabata ko ${pm_name} ya ajiye wani kuɗi don gaba?</t>
  </si>
  <si>
    <t>shm_time_ecowas</t>
  </si>
  <si>
    <t>PARIS</t>
  </si>
  <si>
    <t>322. threaten you with a knife, gun, or other type of weapon</t>
  </si>
  <si>
    <t>322. Vous menacer avec un couteau, une arme à feu ou tout autre type d'arme</t>
  </si>
  <si>
    <t>322. yi muku barazana da wuka, bindiga, ko wani makami daban</t>
  </si>
  <si>
    <t>PASAN</t>
  </si>
  <si>
    <t>323. attack you with a knife, gun, or other type of weapon</t>
  </si>
  <si>
    <t>323. Vous attaquer avec un couteau, une arme à feu ou tout autre type d'arme</t>
  </si>
  <si>
    <t>323. Kawo muku hari da wuka, bindiga, ko wani makami daban</t>
  </si>
  <si>
    <t>324. force you to perform sexual actswith him even when you did not want to</t>
  </si>
  <si>
    <t>324. vous forcer à accomplir des actes sexuels avec lui même lorsque vous ne le vouliez pas</t>
  </si>
  <si>
    <t>324. tilasta muku ka yin jima'i da shi ko da ba ki da buƙata</t>
  </si>
  <si>
    <t>${speedcheck_shm_pmmig_end} - ${speedcheck_shm_pmmig_start}</t>
  </si>
  <si>
    <t>PASEC</t>
  </si>
  <si>
    <t>272. How many days did people in your household work to care for your animals in a typical week in the past three months?</t>
  </si>
  <si>
    <t>272. Dans les trois derniers mois, au cours d'une semaine normale, combien de jours les membres de votre ménage ont-ils travaillé pour s'occuper de vos animaux ?</t>
  </si>
  <si>
    <t>272. A cikin watanni uku da suka wuce, kwana nawa a cikin sati mutanen gidanku suka yi aiki don kula da bisashenku?</t>
  </si>
  <si>
    <t>select_multiple vax</t>
  </si>
  <si>
    <t>shm_vax_req</t>
  </si>
  <si>
    <t>PECAP</t>
  </si>
  <si>
    <t>307. visiting your family or friends?</t>
  </si>
  <si>
    <t>307. rendre visite à votre famille ou à vos amis ?</t>
  </si>
  <si>
    <t>307. ziyartar danginku ko abokananku?</t>
  </si>
  <si>
    <t>select_multiple risks</t>
  </si>
  <si>
    <t>shm_mig_risk</t>
  </si>
  <si>
    <t>PICAD</t>
  </si>
  <si>
    <t>PICCT</t>
  </si>
  <si>
    <t>276. You paid ${hoh_hire_livestock_total} in CFA for people to care for your animals, is this correct?</t>
  </si>
  <si>
    <t>276. Vous avez payé ${hoh_hire_livestock_total} (en CFA) aux personnes qui s'occupent de vos animaux, est-ce exact ?</t>
  </si>
  <si>
    <t>276. ${hoh_hire_livestock_total} (a sefa) kuka biya, ko daidai ne?</t>
  </si>
  <si>
    <t>102. The following questions ask what you would expect to happen if ${pm_name} decided to travel to a neighboring country for work for at least one month.</t>
  </si>
  <si>
    <t>102. Les questions suivantes vous demandent ce à quoi vous vous attendriez si ${pm_name} décidait de se rendre dans un pays voisin pour travailler pendant au moins un mois.</t>
  </si>
  <si>
    <t>102. Tambayoyi masu zuwa suna magana akan abin da kuke tsammanin zai faru idan ${pm_name} ya yanke shawarar tafiya zuwa ƙasar maƙwabta don aiki na aƙalla wata ɗaya.</t>
  </si>
  <si>
    <t>277. In the past three months, did any member of your household care for livestock owned by other people?</t>
  </si>
  <si>
    <t>277. Au cours des trois derniers mois, un membre de votre ménage s'est-il occupé du bétail appartenant à d'autres personnes ?</t>
  </si>
  <si>
    <t>277. A cikin watanni uku da suka wuce, akwai wani ɗan gidanku da ya kula da dabbobin wasu mutane?</t>
  </si>
  <si>
    <t>278. In a typical week, how many days did they do this job?</t>
  </si>
  <si>
    <t>PLAN Niger</t>
  </si>
  <si>
    <t>278. Au cours d'une semaine normale, combien de jours ont-ils fait ce travail ?</t>
  </si>
  <si>
    <t>278. A cikin mako, kwana nawa suka yi wannan aikin?</t>
  </si>
  <si>
    <t>279. What was the daily wage paid to household members who cared for livestock owned by other people?</t>
  </si>
  <si>
    <t>279. Quel étaient les frais journaliers payés aux membres de votre ménage qui s'occupent des animaux du bétail appartenant à d'autres personnes en CFA ?</t>
  </si>
  <si>
    <t>103. How much money would you expect them to earn each month (before paying your expenses) in CFA?</t>
  </si>
  <si>
    <t>279. Nawa ne biyan wuni na ƴan gida masu kula da dabbobin wasu mutane (a kuɗin CFA)?</t>
  </si>
  <si>
    <t>103. Combien d'argent espérez-vous qu'il gagne chaque mois (sans dépense) en CFA ?</t>
  </si>
  <si>
    <t>select_multiple mitigate</t>
  </si>
  <si>
    <t>103. Nawa kuke tsammanin zai iya samu kowane wata (kafin kashe kuɗinku)?</t>
  </si>
  <si>
    <t>shm_mig_risk_mitigate</t>
  </si>
  <si>
    <t>PRADEL</t>
  </si>
  <si>
    <t>PRAPS</t>
  </si>
  <si>
    <t>310. When two people marry or live together, they share both good and bad moments. In your relationship with your husband/partner do the following happen frequently, only sometimes, or never?</t>
  </si>
  <si>
    <t>310. Lorsque deux personnes se marient ou vivent ensemble, elles partagent de bons et de mauvais moments. Dans votre relation avec votre mari/partenaire, les situations suivantes se produisent-elles a quelle frequence?</t>
  </si>
  <si>
    <t>104. Imagine that five years from now ${pm_name} is are living in another West African country like Cote d'Ivoire or Nigeria. How much money do you think you would earn per month in CFA?</t>
  </si>
  <si>
    <t>310. Idan mutum biyu suka yi aure ko suna zaune tare, suna raba lokutta masu daɗi da marasa daɗi. A cikin zamantakewarku da mijinki/abokin zaman, ko waɗannan abubuwan suna faruwa kai-aka?</t>
  </si>
  <si>
    <t>104. Imaginez que dans cinq ans, ${pm_name} vivra dans un autre pays d'Afrique de l'Ouest comme la Côte d'Ivoire ou le Nigeria. Combien d’argent pensez-vous gagner par mois en CFA ?</t>
  </si>
  <si>
    <t>104. Ka yi tunanin cewa shekaru biyar masu zuwa daga yanzu ${pm_name} yana rayuwa a wata ƙasa ta Yammacin Afirka kamar Cote d'Ivoire ko Najeriya. Kudi nawa kuke tsammanin za ku samu kowane wata a CFA?</t>
  </si>
  <si>
    <t>311. He is affectionnate with you</t>
  </si>
  <si>
    <t>311. Il est affectueux avec vous</t>
  </si>
  <si>
    <t>311. Yana nuna muku soyayya</t>
  </si>
  <si>
    <t>select_one live_home</t>
  </si>
  <si>
    <t>shm_future_live_home</t>
  </si>
  <si>
    <t>115. Now, I'd like you to think about your life five years from now. 
 In five years, how likely are you to live in Tahoua region, including at home, compared to somewhere else</t>
  </si>
  <si>
    <t>PRODAF</t>
  </si>
  <si>
    <t>105. How much money would you expect them to share with your household each month in CFA?</t>
  </si>
  <si>
    <t>105. Combien d'argent vous attendez-vous à ce qu'il partage avec votre ménage chaque mois en CFA ?</t>
  </si>
  <si>
    <t>105. Nawa kuke tsammanin za ya baiya da gidanku kowane wata?</t>
  </si>
  <si>
    <t>Programme Alimentaire Mondial (PAM)</t>
  </si>
  <si>
    <t>284. Does anyone in the household fully, or partly own and operate an income generating activity that is not farming or herding? (i.e. a shop where you sell goods, restaurant, butcher shop)?</t>
  </si>
  <si>
    <t>106. How much money would you expect ${pm_name} to put aside to save for the future each month?</t>
  </si>
  <si>
    <t>284. Quelqu'un dans le ménage possède-t-il entièrement ou partiellement une activité génératrice de revenus autre que l'agriculture ou l'élevage ? (C'est-à-dire un magasin où vous vendez des marchandises, un restaurant, une boucherie) ?</t>
  </si>
  <si>
    <t>106. Combien d'argent pensez-vous que ${pm_name} mettrait de côté chaque mois pour épargner ?</t>
  </si>
  <si>
    <t>284. Ko akwai wani ɗan gidanku mai sana'a wanda jarin gaba daya nashi ko na hadin gwiwa ne banda noma da kiyo? ( kantin saida kaya, gidan abinci, fawa)?</t>
  </si>
  <si>
    <t>106. Nawa kuke tsammanin ${pm_name} za ya warewa a kowane wata don gaba ?</t>
  </si>
  <si>
    <t>select_one live_away</t>
  </si>
  <si>
    <t>shm_future_in_niger</t>
  </si>
  <si>
    <t>Programme pour la promotion de l'éductaion (PPE)</t>
  </si>
  <si>
    <t>speedcheck_shm_future_end</t>
  </si>
  <si>
    <t>107. How many times would you expect them to contact members of your household each month?</t>
  </si>
  <si>
    <t>107. Combien de fois vous attendriez-vous à ce qu'il contacte les membres de votre ménage chaque mois ?</t>
  </si>
  <si>
    <t>107. Sau nawa za ku yi tsammanin su tuntuɓi ƴan gidanku kowane wata?</t>
  </si>
  <si>
    <t>314. He does not trust your fidelty</t>
  </si>
  <si>
    <t>314. Il est jaloux et vous montre qu'il n’a pas confiance en vous ?</t>
  </si>
  <si>
    <t>PROGRES</t>
  </si>
  <si>
    <t>314. Yana zargin ku kullum da nuna rashin yarda?</t>
  </si>
  <si>
    <t>dur_shm_future</t>
  </si>
  <si>
    <t>315. He (does/did) not permit you to meet your girl friends?</t>
  </si>
  <si>
    <t>315. Il ne vous a pas permis de rencontrer vos copines ?</t>
  </si>
  <si>
    <t>315. Bai baku izinin ganin ƙawayenku ba?</t>
  </si>
  <si>
    <t>Projet LIRE</t>
  </si>
  <si>
    <t>316. He (tries/tried) to limit your contact with your family?</t>
  </si>
  <si>
    <t>316. Il essaie de limiter vos contacts avec votre famille ?</t>
  </si>
  <si>
    <t>316. Ya na ƙoƙarin ya rage hulɗarku da danginku?</t>
  </si>
  <si>
    <t>288. How many people outside of your household do you employ in this business?</t>
  </si>
  <si>
    <t>288. Combien de personnes en dehors de votre ménage employez-vous dans cette entreprise ?</t>
  </si>
  <si>
    <t>288. Mutane nawa ne kuka dauka aiki banda ƴan gidan a wannan kasuwancin?</t>
  </si>
  <si>
    <t>Projet Pôles Ruraux (PPR)</t>
  </si>
  <si>
    <t>327. A household is a group of people, related or unrelated, who live together in the same housing, pool their resources together, share their meals and recognize the authority of the same one person who is the head of household.</t>
  </si>
  <si>
    <t>327. Un ménage est l’ensemble des personnes apparentées ou non qui vivent habituellement dans un même logement, mettent en commun leurs ressources, partagent leurs repas, et reconnaissent l’autorité d’une seule et même personne appelée chef de ménage.</t>
  </si>
  <si>
    <t>327. Gida shine mutanen da ko dangi ko a'a wanda suke rayuwa cikin gida guda, sun sa dukiyar su tare, suna cin abinci tare, kuma sun yarda da shugabancin mutum ɗaya wanda a ke ce ma mai gida.</t>
  </si>
  <si>
    <t>shm_spouse_consult</t>
  </si>
  <si>
    <t>Spouse consultation</t>
  </si>
  <si>
    <t>317. Now if you will permit me, I need to ask some more questions about your relationship with your husband. Does he ever?</t>
  </si>
  <si>
    <t>317. Maintenant, si vous me le permettez, je dois poser quelques questions supplémentaires sur votre relation avec votre mari. Est-ce qu'il a jamais?</t>
  </si>
  <si>
    <t>317. Yanzu idan za ki ba ni izini, Ina bukatar yin wasu tambayoyi game da dangantakarki da mijinki. Ko ya taba?</t>
  </si>
  <si>
    <t>speedcheck_shm_consult_start</t>
  </si>
  <si>
    <t>PROMAP-ADKOUL</t>
  </si>
  <si>
    <t>108. Now I will ask about things you or your family may have done in preparation for ${pm_name}'s migration.</t>
  </si>
  <si>
    <t>318. Say or do something to humiliate you in front of others</t>
  </si>
  <si>
    <t>108. Je vais maintenant vous poser des questions sur les choses que vous ou votre famille avez pu faire en préparation de la migration de ${pm_name}.</t>
  </si>
  <si>
    <t>318. Dit ou fait quelque chose pour vous humilier devant les autres</t>
  </si>
  <si>
    <t>108. Yanzu zan yi muku tambayoyi game da abubuwan da ku ko danginku kuka yi don shirye-shiryen zuwa biɗan ${pm_name}.</t>
  </si>
  <si>
    <t>318. Fadi ko yin wani abu don wulaƙanta ku a gaban wasu</t>
  </si>
  <si>
    <t>shm_roles_note</t>
  </si>
  <si>
    <t>REVE</t>
  </si>
  <si>
    <t>shm_discuss_women</t>
  </si>
  <si>
    <t>109. Gathered resources in order to prepare for their migration? This could include saving money, selling assets, or taking a loan.</t>
  </si>
  <si>
    <t>SNV</t>
  </si>
  <si>
    <t>109. A-t-il rassemblé des ressources pour préparer sa migration ? Il peut s'agir d'économiser de l'argent, de vendre des actifs ou de contracter un prêt.</t>
  </si>
  <si>
    <t>109. Ko ya yi tanadin guzuri don shirya zuwa biɗarshi? Wannan na iya haɗawa da ajiyar kuɗi, saida kadarori, ko ɗaukan bashi.</t>
  </si>
  <si>
    <t>shm_influence_note</t>
  </si>
  <si>
    <t>TATTALI IYALI</t>
  </si>
  <si>
    <t>110. prepared any legal paperwork, such as marriage documents, birth certificates, or proof of property?</t>
  </si>
  <si>
    <t>select_one husbandwife</t>
  </si>
  <si>
    <t>110. A-t-il préparé des documents juridiques, tels que des documents de mariage, des certificats de naissance ou une preuve de propriété ?</t>
  </si>
  <si>
    <t>shm_daily_hh_expenses_couple</t>
  </si>
  <si>
    <t>110. Shirya duk wata takarda ta doka, kamar takardun aure, takardun haifuwa, ko shaidar dukiya?</t>
  </si>
  <si>
    <t>UNICEF</t>
  </si>
  <si>
    <t>shm_hh_purchases_couple</t>
  </si>
  <si>
    <t>111. Contacted anybody in the places ${pm_name} might want to go?</t>
  </si>
  <si>
    <t>111. A-t-il contacté quelqu'un dans les endroits où ${pm_name} pourrait vouloir aller ?</t>
  </si>
  <si>
    <t>111. An tuntuɓi wani a wuraren da mai zuwa ${pm_name} zai iya zuwa?</t>
  </si>
  <si>
    <t>Union Internationale pour la Conservation de la Nature (UICN)</t>
  </si>
  <si>
    <t>shm_fam_plan_couple</t>
  </si>
  <si>
    <t>shm_migrate_couple</t>
  </si>
  <si>
    <t>WHH</t>
  </si>
  <si>
    <t>shm_vote_couple</t>
  </si>
  <si>
    <t>112. The next few questions ask about your knowledge of official rules for people from Niger to travel to neighboring countries</t>
  </si>
  <si>
    <t>Word Vision</t>
  </si>
  <si>
    <t>112. Les prochaines questions portent sur votre connaissance des règles officielles permettant aux Nigériens de se rendre dans les pays voisins.</t>
  </si>
  <si>
    <t>112. Tambayoyi masu zuwa za'a yi su game da saninku bisa dokokinda suke bawa mutanen Nijar damar zuwa biɗa kasashen makwabta</t>
  </si>
  <si>
    <t>shm_marry_couple</t>
  </si>
  <si>
    <t>ZARES</t>
  </si>
  <si>
    <t>113. Suppose you want to travel to Cote d'Ivoire, what documents would you need to bring with you to travel there legally?</t>
  </si>
  <si>
    <t>113. Supposons que vous souhaiteriez vous rendre en Côte d'Ivoire, quels documents devriez-vous apporter pour vous y rendre légalement ?</t>
  </si>
  <si>
    <t>113. A ce kuna son tafiya zuwa Cote d'Ivoire, waɗanne takardu za ku buƙaci ku kawo tare da ku don tafiya can bisa doka?</t>
  </si>
  <si>
    <t>305. How much did your household send to people elsewhere in Niger?</t>
  </si>
  <si>
    <t>305. Combien votre ménage a-t-il envoyé à des personnes qui sont quelque part au Niger ?</t>
  </si>
  <si>
    <t>305. Nawa ne gidanku ya aikawa mutanen da ke wasu wurare a Nijar?</t>
  </si>
  <si>
    <t>not(count-selected(.) &gt; 1 and selected(., 0))</t>
  </si>
  <si>
    <t>306. How did you transmit the money to the recipient?</t>
  </si>
  <si>
    <t>306. Comment avez-vous envoyé l'argent au destinataire ?</t>
  </si>
  <si>
    <t>306. Ta wace hanya kuka aika kuɗin ga mai karɓa?</t>
  </si>
  <si>
    <t>shm_school_couple</t>
  </si>
  <si>
    <t>114. Suppose you instead want to travel to Libya, what documents would you need to bring with you to travel there legally?</t>
  </si>
  <si>
    <t>114. Supposons que vous vouliez plutôt vous rendre en Libye, quels documents devriez-vous apporter avec vous pour vous y rendre légalement ?</t>
  </si>
  <si>
    <t>114. A ce a maimakon haka kuna son tafiya Libya, waɗanne takardu za ku buƙaci kawowa tare da ku don tafiya can bisa doka?</t>
  </si>
  <si>
    <t>333. What is ${hoh_new_mem_name}'s sex?</t>
  </si>
  <si>
    <t>333. Quel est le sexe de ${hoh_new_mem_name} ?</t>
  </si>
  <si>
    <t>mig_countries</t>
  </si>
  <si>
    <t>333. Menene jinsin ${hoh_new_mem_name}?</t>
  </si>
  <si>
    <t>334. What is ${hoh_new_mem_name}'s age?</t>
  </si>
  <si>
    <t>334. Quel âge a ${hoh_new_mem_name} ?</t>
  </si>
  <si>
    <t>334. ${hoh_new_mem_name} Shekarun shi/ta nawa?</t>
  </si>
  <si>
    <t>297. Specify the activity</t>
  </si>
  <si>
    <t>297. Précisez l'activité</t>
  </si>
  <si>
    <t>297. Baiyana aikin</t>
  </si>
  <si>
    <t>115. If you want to travel to Nigeria to find work, how long can you work there without getting a formal work authorization (in months)?</t>
  </si>
  <si>
    <t>115. Si vous souhaitez vous rendre au Nigeria pour trouver du travail, combien de temps pouvez-vous y travailler sans obtenir une autorisation de travail formelle (en mois) ?</t>
  </si>
  <si>
    <t>115. Idan kuna son tafiya Najeriya don neman aiki, tsawon wane lokaci za ku iya yin aiki a can ba tare da samun takardar izinin aiki a cikin doka (a cikin watanni)?</t>
  </si>
  <si>
    <t>311. Specify other transfer method</t>
  </si>
  <si>
    <t>. &gt;= 0 and . &lt; 100</t>
  </si>
  <si>
    <t>311. Precisez la methode du transfert</t>
  </si>
  <si>
    <t>311. Wani daban a Bayyana</t>
  </si>
  <si>
    <t>298. How much does ${hoh_member_act_name} earn from this activity during an average week (that they are engaged in ${hoh_member_other_activity_name})?</t>
  </si>
  <si>
    <t>298. Combien ${hoh_member_act_name} gagne-t-il grâce à cette activité au cours d'une semaine en moyenne (pendant laquelle il est engagé comme ${hoh_member_other_activity_name}) ?</t>
  </si>
  <si>
    <t>298. A takaice nawa ${hoh_member_act_name} yake samu daga wannan aiki a cikin sati (a lokacin da suke cikin aikin ${hoh_member_other_activity_name})?</t>
  </si>
  <si>
    <t>299. Think about the past 3 months how many weeks did they engage in ${hoh_member_other_activity_name}?</t>
  </si>
  <si>
    <t>299. Pensez aux 3 derniers mois, combien de semaines ont-ils participé à ${hoh_member_other_activity_name} ?</t>
  </si>
  <si>
    <t>299. A watanni 3 da suka gabata, sati nawa suka yi aikin ${hoh_member_other_activity_name}?</t>
  </si>
  <si>
    <t>116. If you want to travel to Senegal, what vaccinations are required in order to travel there legally?</t>
  </si>
  <si>
    <t>116. Si vous souhaitez vous rendre au Sénégal, quels vaccins sont nécessaires pour y voyager légalement ?</t>
  </si>
  <si>
    <t>116. Idan kuna son tafiya Senegal, waɗanne alluran rigakafi ake wajabta muku don tafiya can bisa doka?</t>
  </si>
  <si>
    <t>329. HoH Questions</t>
  </si>
  <si>
    <t xml:space="preserve">329. </t>
  </si>
  <si>
    <t>335. I want to ask a few questions about the members of your household who are currently residing here.</t>
  </si>
  <si>
    <t>335. Je veux poser quelques questions sur les membres de votre ménage qui résident actuellement ici.</t>
  </si>
  <si>
    <t>335. Ina so in muku ƴan tambayoyi bisa yan gidanku da ke zaune a gida a yanzu.</t>
  </si>
  <si>
    <t>316. In the past three months, have you or anyone in your household shared or sent goods (payment in kind) to someone who is not a member of your household and who lives in a foreign country (outside of Niger)?</t>
  </si>
  <si>
    <t>316. Au cours des trois derniers mois, vous ou quelqu'un de votre ménage avez-vous partagé ou envoyé &lt;b&gt;des biens&lt;/b&gt; (paiement en nature) à quelqu'un qui n'est pas membre de votre ménage et qui habite &lt;b&gt;à l'extérieur du Niger&lt;/b&gt; (dans un autre pays) ?</t>
  </si>
  <si>
    <t>316. A cikin watanni uku da suka wuce, kai ko wani a cikin gidanku kun bada ko kun aika kaya (a matsayin biya) ga wanda ba ɗan gidanku ba da ke zaune a wajen Nijar (a wata kasa)?</t>
  </si>
  <si>
    <t>317. What was the value of the goods members of your household sent to people out of Niger?</t>
  </si>
  <si>
    <t>317. Quel était le valeur au total des biens que les membres de votre ménage ont envoyé aux personnes qui sont quelques part hors du Niger ?</t>
  </si>
  <si>
    <t>317. Nawa ne kimar kayan da ƴan gidanku suka aikawa wasu mutane da ke wani wuri ba a Nijar ba?</t>
  </si>
  <si>
    <t>117. What are the potential risks of migrating?</t>
  </si>
  <si>
    <t>117. Quels sont les risques potentiels liés à la migration ?</t>
  </si>
  <si>
    <t>117. Menene haɗarin zuwa biɗa?</t>
  </si>
  <si>
    <t>301. In the past three months, have you or anyone in your household received money from someone who is not a member of your household and who lives elsewhere in Niger (outside your village)?</t>
  </si>
  <si>
    <t>301. Au cours des trois derniers mois, vous ou un membre de votre ménage avez reçu &lt;b&gt;de l'argent&lt;/b&gt; d'une personne qui n'est pas membre de votre ménage et qui habite &lt;b&gt;ailleurs au Niger&lt;/b&gt; (en dehors de votre village)?</t>
  </si>
  <si>
    <t>301. A cikin watanni uku da suka wuce, kai ko ɗan gidanku kun samu kuɗi daga wani da ba ɗan gidanku ba wanda yake zaune a wani gari a Nijar (wajen kauyenku)?</t>
  </si>
  <si>
    <t>302. How much in total did members of your household receive from people elsewhere in Niger (in CFA)?</t>
  </si>
  <si>
    <t>302. Combien au total les membres de votre ménage ont-ils reçu des personnes qui sont quelques part au Niger (en USD)?</t>
  </si>
  <si>
    <t>302. Nawa ne ƴan gidanku suka samu daga wasu matanen da ke wani gari a Nijar (in CFA)?</t>
  </si>
  <si>
    <t>118. What are some things that you could do to mitigate some of the risks associated with traveling to a neighboring country to find work?</t>
  </si>
  <si>
    <t>118. Quelles mesures pourriez-vous prendre pour atténuer certains des risques associés au voyage dans un pays voisin pour trouver du travail ?</t>
  </si>
  <si>
    <t>118. Wadanne abubuwa ne za ku iya yi don rage wasu haɗarin da ke tattare da tafiya zuwa wata ƙasa maƙwabta don neman aiki?</t>
  </si>
  <si>
    <t>303. How was this money transmitted to your household?</t>
  </si>
  <si>
    <t>303. Comment cet argent a-t-il été envoyé à votre ménage ?</t>
  </si>
  <si>
    <t>not(selected(${shm_mig_risk}, '0'))</t>
  </si>
  <si>
    <t>303. Ta wace hanya aka aikawa gidanku wannan kuɗin ?</t>
  </si>
  <si>
    <t>304. Specify other transfer method</t>
  </si>
  <si>
    <t>304. Précisez la méthode du transfert</t>
  </si>
  <si>
    <t>304. Wani daban a Bayyana</t>
  </si>
  <si>
    <t>305. In the past three months, have you or anyone in your household received goods (payment in kind) from someone who is not a member of your household and who lives elsewhere in Niger (outside your village)?</t>
  </si>
  <si>
    <t>305. Au cours des trois derniers mois, vous ou un membre de votre ménage avez reçu &lt;b&gt;des biens&lt;/b&gt; (paiement en nature) d'une personne qui n'est pas membre de votre ménage et qui habite &lt;b&gt;ailleurs au Niger&lt;/b&gt; (en dehors de votre village)?</t>
  </si>
  <si>
    <t>305. A cikin watanni ukun da suka wuce, kai ko wani a cikin gidanku kun karɓi kaya (a matsayin biya) daga wani wanda ba ɗan gidanku ba ne kuma yana zaune a wani wuri a Nijar (Ba'a garinku ba)?</t>
  </si>
  <si>
    <t>306. What was the value of the goods members of your household receive from people elsewhere in Niger (in CFA)?</t>
  </si>
  <si>
    <t>306. Quel était la valeur au totale des biens que les membres de votre ménage ont reçu des personnes qui sont quelques part au Niger 
(en USD)?</t>
  </si>
  <si>
    <t>306. Nawa kimar kayayyakin da ƴan gidanku suka karba daga wasu mutane a wasu wurare a Nijar (in CFA)?</t>
  </si>
  <si>
    <t>330. A household is a group of people, related or unrelated, who live together in the same housing, pool their resources together, share their meals and recognize the authority of the same one person who is the head of household.</t>
  </si>
  <si>
    <t>330. Un ménage est l’ensemble des personnes apparentées ou non qui vivent habituellement dans un même logement, mettent en commun leurs ressources, partagent leurs repas, et reconnaissent l’autorité d’une seule et même personne appelée chef de ménage.</t>
  </si>
  <si>
    <t>330. Gida shine mutanen da ko dangi ko a'a wanda suke rayuwa cikin gida guda, sun sa dukiyar su tare, suna cin abinci tare, kuma sun yarda da shugabancin mutum ɗaya wanda a ke ce ma mai gida.</t>
  </si>
  <si>
    <t>shm_fam_consult</t>
  </si>
  <si>
    <t>Family consultation</t>
  </si>
  <si>
    <t>331. Are there new members in the household since we last spoke to you? For reference, these are the members you mentioned:
${hoh_roster_list}</t>
  </si>
  <si>
    <t>331. Y a-t-il de nouveaux membres dans le foyer depuis notre dernière conversation ? Pour référence, voici les membres que vous avez mentionnés : 
${hoh_roster_list}</t>
  </si>
  <si>
    <t>331. Shin akwai sabbin membobi a gidan tun da muka yi magana da ku a ƙarshe? Don tunani, waɗannan su ne membobin da ka ambata: 
${hoh_roster_list}</t>
  </si>
  <si>
    <t>shm_fam_discuss</t>
  </si>
  <si>
    <t>119. Now, I'd like you to think about your life five years from now. 
 In five years, how likely are you to live in Tahoua region, including at home, compared to somewhere else</t>
  </si>
  <si>
    <t>119. Maintenant, j'aimerais que vous pensiez à votre vie dans les cinq ans à venir. Dans les cinq ans à venir, quelle est la probabilité que vous viviez dans la région de Tahoua, y compris chez vous, ou ailleurs ?</t>
  </si>
  <si>
    <t>119. Yanzu, Ina son ku yi tunani game da rayuwar ku a cikin shekaru biyar masu zuwa daga yanzu. A cikin shekaru biyar masu zuwa, yaya kuke ganin yiwuwar zamanku a jahar Tahoua, har da ƙauyenku, ko a wani wuri dabam?</t>
  </si>
  <si>
    <t>310. How much in total did members of your household receive from people out of Niger?</t>
  </si>
  <si>
    <t>310. Combien au total les membres de votre ménage ont-ils reçu des personnes qui ne sont pas au Niger ?</t>
  </si>
  <si>
    <t>310. Nawa ne yan gidanku ya samu daga mutanen da ke zaune a ƙasar waje ba Nijar ba?</t>
  </si>
  <si>
    <t>120. Five years from now, are you more likely to live somewhere else in Niger or in another country?</t>
  </si>
  <si>
    <t>120. Dans cinq ans, pensez vous vivre ailleurs au Niger ou dans un autre pays ?</t>
  </si>
  <si>
    <t>120. Cikin shekaru biyar masu zuwa, ko kuna tunanin zama a wani wuri a Nijar ko a wata ƙasa daban?</t>
  </si>
  <si>
    <t>311. How was this money transmitted to your household?</t>
  </si>
  <si>
    <t>311. Comment cet argent a-t-il été envoyé à votre ménage ?</t>
  </si>
  <si>
    <t>311. Ta wace hanya aka aikawa gidanku wannan kuɗin ?</t>
  </si>
  <si>
    <t>${shm_future_live_home} &gt;3</t>
  </si>
  <si>
    <t>336. ${hoh_roster_name}
Sex: ${hoh_roster_sex}
Age: ${hoh_roster_age}</t>
  </si>
  <si>
    <t>337. Is ${hoh_roster_name} a Nigerien national?</t>
  </si>
  <si>
    <t>337. ${hoh_roster_name} est-il un citoyen(ne) du Niger ?</t>
  </si>
  <si>
    <t>337. Ko ${hoh_roster_name} ɗan ƙasar Nijar ne?</t>
  </si>
  <si>
    <t>338. Where are they a cititzen of?</t>
  </si>
  <si>
    <t xml:space="preserve">338. </t>
  </si>
  <si>
    <t>339. Please enter the nationality of ${hoh_roster_name}</t>
  </si>
  <si>
    <t xml:space="preserve">339. </t>
  </si>
  <si>
    <t>340. Is ${hoh_roster_name} still a member of this household?</t>
  </si>
  <si>
    <t>340. ${hoh_roster_name} est-il toujours membre de ce ménage ?</t>
  </si>
  <si>
    <t>340. Ko suna yana cikin ƴan gidan nan?</t>
  </si>
  <si>
    <t>shm_fam_discuss_work</t>
  </si>
  <si>
    <t>shm_fam_discuss_community</t>
  </si>
  <si>
    <t>${speedcheck_shm_future_end} - ${speedcheck_shm_future_start}</t>
  </si>
  <si>
    <t>343. Enumerator: Record any details about the death of the family member</t>
  </si>
  <si>
    <t>343. Enqueteur: Veuillez noter toute information pertinente concernant le décès</t>
  </si>
  <si>
    <t>344. Is ${hoh_roster_name} currently living in your household?</t>
  </si>
  <si>
    <t>344. Est-ce que ${hoh_roster_name} vit actuellement dans votre ménage ?</t>
  </si>
  <si>
    <t>344. Ko ${hoh_roster_name} yana zaune a gidanku a halin yanzu ?</t>
  </si>
  <si>
    <t>shm_fam_discuss_election</t>
  </si>
  <si>
    <t>shm_fam_discuss_invest</t>
  </si>
  <si>
    <t>shm_fam_discuss_migrate</t>
  </si>
  <si>
    <t>348. Specify other</t>
  </si>
  <si>
    <t>348. Autre à préciser</t>
  </si>
  <si>
    <t>348. Wani daban a Bayyana</t>
  </si>
  <si>
    <t>121. The next set of questions are about your opinions regarding the roles that women and men play</t>
  </si>
  <si>
    <t>121. La prochaine série de questions porte sur vos opinions concernant les rôles que jouent les femmes et les hommes</t>
  </si>
  <si>
    <t>121. Tambayoyi na gaba sun ta'allaka ne da ra'ayoyin ku game da rawar da mata da maza suke takawa.</t>
  </si>
  <si>
    <t>349. Enumerator: Select town</t>
  </si>
  <si>
    <t>349. Enquêteur : Sélectionnez la ville</t>
  </si>
  <si>
    <t>349. Ɗan bincike: Zaɓi gari</t>
  </si>
  <si>
    <t>350. Specify other</t>
  </si>
  <si>
    <t>350. Autre à préciser</t>
  </si>
  <si>
    <t>350. Wani daban a Bayyana</t>
  </si>
  <si>
    <t>122. How often, if ever do you talk about the role of women in society with other people?</t>
  </si>
  <si>
    <t>122. À quelle fréquence, si jamais cela arrive, parlez-vous du rôle des femmes dans la société avec d'autres personnes ?</t>
  </si>
  <si>
    <t>327. How did you transmit the money to the recipient?</t>
  </si>
  <si>
    <t>122. Sau nawa, idan ya na faruwa, kuke yin magana game da taka rawan mata a cikin al'umma tare da sauran mutane?</t>
  </si>
  <si>
    <t>327. Comment avez-vous transmis l'argent au destinataire ?</t>
  </si>
  <si>
    <t>327. Ta wace hanya kuka aika kuɗin ga mai karɓa?</t>
  </si>
  <si>
    <t>351. Does ${hoh_roster_name} currently suffer from any illness or disability that limits their ability to travel or work?</t>
  </si>
  <si>
    <t>351. Est-ce que ${hoh_roster_name} souffre actuellement d'une maladie ou d'un handicap qui limite sa capacité à voyager ou à travailler ?</t>
  </si>
  <si>
    <t>351. ko a halin yanzu ${hoh_roster_name} yana da rashin lafiya ko naƙasa wanda ke iya hanashi zuwa balaguro ko yin aiki?</t>
  </si>
  <si>
    <t>shm_fam_disagree</t>
  </si>
  <si>
    <t>123. In your opinion, how much influence a wife should have over the following decisions within a couple?</t>
  </si>
  <si>
    <t>123. Selon vous, quelle influence une épouse devrait-elle avoir sur les décisions suivantes au sein d'un couple ?</t>
  </si>
  <si>
    <t>123. A ra'ayinka, wane tasiri mace ya kamata ta yi bisa yanke shawarwari da zan zana a tsakanin ta da mijinta?</t>
  </si>
  <si>
    <t>353. Other, specify:</t>
  </si>
  <si>
    <t>353. Autre précisez:</t>
  </si>
  <si>
    <t>353. Sauran, bayar da cikakkun bayanai:</t>
  </si>
  <si>
    <t>354. Does ${hoh_roster_name} have children?</t>
  </si>
  <si>
    <t>354. Est-ce que ${hoh_roster_name} a des enfants ?</t>
  </si>
  <si>
    <t>354. ko ${hoh_roster_name} yana da yara?</t>
  </si>
  <si>
    <t>355. How many children is ${hoh_roster_name} responsible for?</t>
  </si>
  <si>
    <t>355. De combien d'enfants ${hoh_roster_name} est-il responsable ?</t>
  </si>
  <si>
    <t>travel</t>
  </si>
  <si>
    <t>355. Yara nawa ne ${hoh_roster_name} yake ɗauke da Nauyinsu?</t>
  </si>
  <si>
    <t>bus</t>
  </si>
  <si>
    <t>356. What is the highest level of education that ${hoh_roster_name} has completed?</t>
  </si>
  <si>
    <t>356. Quel est le plus haut niveau d'études atteint par ${hoh_roster_name} ?</t>
  </si>
  <si>
    <t>356. Menene mafi girman mastayin ilimi da ${hoh_roster_name} ya kai?</t>
  </si>
  <si>
    <t>bas</t>
  </si>
  <si>
    <t>124. Daily household expenses (Less than 500 CFA)</t>
  </si>
  <si>
    <t>124. Dépenses quotidiennes du ménage (Moins de 500 CFA)</t>
  </si>
  <si>
    <t>124. Kashe kashen kuɗin gida na yau da kullun ( Kasa da dala ɗari)</t>
  </si>
  <si>
    <t>357. Is ${hoh_roster_name} currently enrolled in school?</t>
  </si>
  <si>
    <t>357. Est-ce que ${hoh_roster_name} est actuellement inscrit à l'école ?</t>
  </si>
  <si>
    <t>357. Ko ${hoh_roster_name} yana yin lakwal a halin yanzu?</t>
  </si>
  <si>
    <t>358. What kind of school is ${hoh_roster_name} enrolled in?</t>
  </si>
  <si>
    <t>358. Dans quel type d'école est inscrit ${hoh_roster_name} ?</t>
  </si>
  <si>
    <t>358. Wace irin makaranta aka rubuta ${hoh_roster_name}?</t>
  </si>
  <si>
    <t>taxi</t>
  </si>
  <si>
    <t>Taxi</t>
  </si>
  <si>
    <t>359. What is the cost of school fees for the current academic year in CFA?</t>
  </si>
  <si>
    <t>359. Quel est le coût des frais de scolarité pour l'année scolaire en cours (en CFA) ?</t>
  </si>
  <si>
    <t>359. Nawa ne kuɗin makaranta na wannan shekarar (a sefa)?</t>
  </si>
  <si>
    <t>360. In the past month (four weeks) how many days has ${hoh_roster_name} missed school for health reasons?</t>
  </si>
  <si>
    <t>125. Household purchases worth more than 500 CFA</t>
  </si>
  <si>
    <t>360. Au cours du dernier mois (quatre semaines), combien de jours ${hoh_roster_name} a-t-il manqué l'école pour des raisons de santé ?</t>
  </si>
  <si>
    <t>125. Achats liés au bien être des ménages d'une valeur supérieure à 500 CFA</t>
  </si>
  <si>
    <t>360. A cikin watan da ya gabata (sati hudu), kwanaki nawa ${hoh_roster_name} yayi fashin zuwa makaranta saboda wata rishin lafiya?</t>
  </si>
  <si>
    <t>125. Sayayyar gida na sama da ɗari</t>
  </si>
  <si>
    <t>on foot</t>
  </si>
  <si>
    <t>à pied</t>
  </si>
  <si>
    <t>a kafa</t>
  </si>
  <si>
    <t>361. In the past month (four weeks) how many days has ${hoh_roster_name} missed school for work or other reasons?</t>
  </si>
  <si>
    <t>361. Au cours du dernier mois (quatre semaines), combien de jours ${hoh_roster_name} a-t-il manqué l'école pour le travail ou pour d'autres raisons ?</t>
  </si>
  <si>
    <t>361. A cikin watan da ya gabata (makonni hudu), kwanaki nawa ${hoh_roster_name} yayi fashin makaranta saboda aiki ko wasu dalilai?</t>
  </si>
  <si>
    <t>362. Is ${hoh_roster_name} married?</t>
  </si>
  <si>
    <t>362. Est-ce que ${hoh_roster_name} est marié ?</t>
  </si>
  <si>
    <t>362. Ko ${hoh_roster_name} yanada aure?</t>
  </si>
  <si>
    <t>363. How many wives does ${hoh_new_mem_name} have?</t>
  </si>
  <si>
    <t>363. Combien de femmes a ${hoh_roster_name} ?</t>
  </si>
  <si>
    <t>363. Mata nawa ${hoh_roster_name} yake da su?</t>
  </si>
  <si>
    <t>126. Family planning (how many children to have)</t>
  </si>
  <si>
    <t>126. Planification familiale (combien d'enfants avoir)</t>
  </si>
  <si>
    <t>126. Tsarin iyali (ƴaƴa nawa za a haifa)</t>
  </si>
  <si>
    <t>motorcycle</t>
  </si>
  <si>
    <t>moto</t>
  </si>
  <si>
    <t>babur</t>
  </si>
  <si>
    <t>339. Improve roof</t>
  </si>
  <si>
    <t>339. Réfectionner le toit</t>
  </si>
  <si>
    <t>339. gyara rufin gida</t>
  </si>
  <si>
    <t>340. Other improvement</t>
  </si>
  <si>
    <t>340. Autre amélioration</t>
  </si>
  <si>
    <t>340. Wasu gyare gyare daban</t>
  </si>
  <si>
    <t>shm_fam_contentious</t>
  </si>
  <si>
    <t>127. Whether the husband will migrate to find work</t>
  </si>
  <si>
    <t>127. Si le mari va migrer pour trouver du travail</t>
  </si>
  <si>
    <t>127. Ko mijin zai yi tahiya don neman aiki</t>
  </si>
  <si>
    <t>reason_nowork</t>
  </si>
  <si>
    <t>speedcheck_shm_consult_end</t>
  </si>
  <si>
    <t>Health reasons</t>
  </si>
  <si>
    <t>Raisons de santé</t>
  </si>
  <si>
    <t>Dalilan lafiya</t>
  </si>
  <si>
    <t>340. Is ${hoh_roster_name} a Nigerien national?</t>
  </si>
  <si>
    <t>340. ${hoh_roster_name} est-il un citoyen(ne) du Niger ?</t>
  </si>
  <si>
    <t>340. Ko ${hoh_roster_name} ɗan ƙasar Nijar ne?</t>
  </si>
  <si>
    <t>dur_shm_fam_consult</t>
  </si>
  <si>
    <t>341. Where are they a cititzen of?</t>
  </si>
  <si>
    <t>341. D'où sont-ils citoyens ?</t>
  </si>
  <si>
    <t>341. Ƴan wace ƙasa ce?</t>
  </si>
  <si>
    <t>128. Who to vote for in local elections?</t>
  </si>
  <si>
    <t>128. Pour qui voter aux élections municipales ?</t>
  </si>
  <si>
    <t>Studies / school</t>
  </si>
  <si>
    <t>128. Wanene za'a zaɓa a zaɓen ƙananan hukumomi?</t>
  </si>
  <si>
    <t>Études / école</t>
  </si>
  <si>
    <t>Karatu / makaranta</t>
  </si>
  <si>
    <t>342. Please enter the nationality of ${hoh_roster_name}</t>
  </si>
  <si>
    <t>342. Veuillez saisir la nationalité de ${hoh_roster_name}</t>
  </si>
  <si>
    <t>342. Da fatan za a shigar da ƙasar ${hoh_roster_name}</t>
  </si>
  <si>
    <t>343. Is ${hoh_roster_name} still a member of this household?</t>
  </si>
  <si>
    <t>343. ${hoh_roster_name} est-il toujours membre de ce ménage ?</t>
  </si>
  <si>
    <t>343. Ko suna yana cikin ƴan gidan nan?</t>
  </si>
  <si>
    <t>shm_society_opinions</t>
  </si>
  <si>
    <t>Society Opinions</t>
  </si>
  <si>
    <t>344. Why are they not a member of this household?</t>
  </si>
  <si>
    <t>344. Pourquoi ne font-ils pas partie de ce ménage ?</t>
  </si>
  <si>
    <t>Took time off for leisure</t>
  </si>
  <si>
    <t>344. Me ya sa ba su cikin ƴan gidan nan ?</t>
  </si>
  <si>
    <t>129. To whom your daughter should marry?</t>
  </si>
  <si>
    <t>A pris du temps pour les loisirs</t>
  </si>
  <si>
    <t>129. Avec qui votre fille devrait-elle se marier ?</t>
  </si>
  <si>
    <t>speedcheck_shm_soc_op_start</t>
  </si>
  <si>
    <t>129. Wa ya kamata ƴarku ta aura?</t>
  </si>
  <si>
    <t>Ya ɗauki lokaci don nashaɗi</t>
  </si>
  <si>
    <t>345. Other, specify:</t>
  </si>
  <si>
    <t>345. Autre précisez:</t>
  </si>
  <si>
    <t>345. Sauran, bayar da cikakkun bayanai:</t>
  </si>
  <si>
    <t>shm_societytype_note</t>
  </si>
  <si>
    <t>130. Children's enrollment in school</t>
  </si>
  <si>
    <t>130. Inscription des enfants à l'école</t>
  </si>
  <si>
    <t>130. Rubuta yara a makaranta</t>
  </si>
  <si>
    <t>Could not find work</t>
  </si>
  <si>
    <t>Je n'ai pas trouvé de travail</t>
  </si>
  <si>
    <t>Ban samu aiki ba</t>
  </si>
  <si>
    <t>shm_tol_qs</t>
  </si>
  <si>
    <t>shm_tol_relig</t>
  </si>
  <si>
    <t>shm_tol_eth</t>
  </si>
  <si>
    <t>shm_tol_mig</t>
  </si>
  <si>
    <t>shm_tol_muslim</t>
  </si>
  <si>
    <t>docs</t>
  </si>
  <si>
    <t>131. I am now going to mention some things that families sometimes speak about. Please tell me if you and other adults in your household talk about these things</t>
  </si>
  <si>
    <t>131. Je vais maintenant évoquer certaines choses dont les familles parlent parfois. S'il vous plaît, dites-moi si vous et d'autres adultes de votre ménage parlez de ces choses.</t>
  </si>
  <si>
    <t>131. Yanzu zan ambaci wasu abubuwa da wani lokaci mutane suke magana akai. Don Allah ku gaya mani idan ku da sauran mutanen gidanku kuna magana akan waɗannan abubuwan</t>
  </si>
  <si>
    <t>shm_marry_daughter_relig</t>
  </si>
  <si>
    <t>shm_marry_son_relig</t>
  </si>
  <si>
    <t>132. Things that happen at work or in the fields?</t>
  </si>
  <si>
    <t>132. Des choses qui se passent au travail ou dans les champs ?</t>
  </si>
  <si>
    <t>132. Abubuwan da ke faruwa a wurin aiki ko a gona?</t>
  </si>
  <si>
    <t>Birth certificate</t>
  </si>
  <si>
    <t>Extrait de naissance</t>
  </si>
  <si>
    <t>Takardar shaidar haihuwa</t>
  </si>
  <si>
    <t>369. Specify other</t>
  </si>
  <si>
    <t>369. Autre à préciser</t>
  </si>
  <si>
    <t>369. Wani daban a Bayyana</t>
  </si>
  <si>
    <t>133. Things that happen in the community?</t>
  </si>
  <si>
    <t>133. Des choses qui se passent dans la communauté ?</t>
  </si>
  <si>
    <t>133. Abubuwan da ke faruwa a cikin al'umma?</t>
  </si>
  <si>
    <t>shm_marry_daughter_eth</t>
  </si>
  <si>
    <t>Passport</t>
  </si>
  <si>
    <t>Passeport</t>
  </si>
  <si>
    <t>Fasfo</t>
  </si>
  <si>
    <t>shm_marry_son_eth</t>
  </si>
  <si>
    <t>134. Who to vote for in local elections?</t>
  </si>
  <si>
    <t>134. Pour qui voter aux élections municipales ?</t>
  </si>
  <si>
    <t>134. Wanene za'a zaɓa a zaɓen ƙananan hukumomi?</t>
  </si>
  <si>
    <t>National ID card</t>
  </si>
  <si>
    <t>Carte d'identité nationale</t>
  </si>
  <si>
    <t>Katin ID na kasa</t>
  </si>
  <si>
    <t>select_one statement</t>
  </si>
  <si>
    <t>shm_governance_opinion</t>
  </si>
  <si>
    <t>145.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</si>
  <si>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145.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</si>
  <si>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145. 1) Tsarin dimoraɗiyya ta fi kowace irin tsari mulki
  2) A wani yanayi ana iya fifita gwamnatin da ba ta dimokraɗiyya ba
  3) Ga mai irina, ba ruwanmu da wace irin gwamnati muke da ita”.</t>
  </si>
  <si>
    <t>135. How to you invest your money such as whether to improve your house</t>
  </si>
  <si>
    <t>135. Comment investir votre argent, par exemple pour améliorer votre maison</t>
  </si>
  <si>
    <t>135. Yadda za ku kashe kuɗin ku, kamar gyaran gidanku</t>
  </si>
  <si>
    <t>Vaccine booklet</t>
  </si>
  <si>
    <t>Carnet de vaccins</t>
  </si>
  <si>
    <t>Littafin rigakafi</t>
  </si>
  <si>
    <t>select_one state_likert</t>
  </si>
  <si>
    <t>shm_rule_law</t>
  </si>
  <si>
    <t>146.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</si>
  <si>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146.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</si>
  <si>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146.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</si>
  <si>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ECOWAS ID card</t>
  </si>
  <si>
    <t>Carte d'identité CEDEAO</t>
  </si>
  <si>
    <t>Katin ID na ECOWAS</t>
  </si>
  <si>
    <t>136. Household members decisions to migrate</t>
  </si>
  <si>
    <t>136. Planification familiale (quand avoir des enfants)</t>
  </si>
  <si>
    <t>136. Tsarin iyali (lokacin ɗaukan ciki)</t>
  </si>
  <si>
    <t>shm_violence_justified</t>
  </si>
  <si>
    <t>147.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</si>
  <si>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147.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</si>
  <si>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147.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</si>
  <si>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Travel visa</t>
  </si>
  <si>
    <t>Visa de voyage</t>
  </si>
  <si>
    <t>Visa ta balaguro</t>
  </si>
  <si>
    <t>137. Do you and members of your household ever disagree about any of these topics?</t>
  </si>
  <si>
    <t>137. Vous et votre conjoint êtes-vous déjà en désaccord sur ces sujets ?</t>
  </si>
  <si>
    <t>137. Ko kai da matarka kun taɓa samun saɓani game da waɗannan batutuwa?</t>
  </si>
  <si>
    <t>speedcheck_shm_soc_op_end</t>
  </si>
  <si>
    <t>359. What is the highest level of education that ${hoh_roster_name} has completed?</t>
  </si>
  <si>
    <t>359. Quel est le plus haut niveau d'études atteint par ${hoh_roster_name} ?</t>
  </si>
  <si>
    <t>359. Menene mafi girman mastayin ilimi da ${hoh_roster_name} ya kai?</t>
  </si>
  <si>
    <t>dur_shm_soc_op</t>
  </si>
  <si>
    <t>360. Is ${hoh_roster_name} currently enrolled in school?</t>
  </si>
  <si>
    <t>138. Do these conversations ever get contentious?</t>
  </si>
  <si>
    <t>360. Est-ce que ${hoh_roster_name} est actuellement inscrit à l'école ?</t>
  </si>
  <si>
    <t>138. Ces conversations deviennent-elles parfois controversées ?</t>
  </si>
  <si>
    <t>360. Ko ${hoh_roster_name} yana yin lakwal a halin yanzu?</t>
  </si>
  <si>
    <t>138. Ko waɗannan hirarrakin sun taɓa zama sabani?</t>
  </si>
  <si>
    <t>${shm_fam_disagree} = 1</t>
  </si>
  <si>
    <t>361. What kind of school is ${hoh_roster_name} enrolled in?</t>
  </si>
  <si>
    <t>361. Dans quel type d'école est inscrit ${hoh_roster_name} ?</t>
  </si>
  <si>
    <t>361. Wace irin makaranta aka rubuta ${hoh_roster_name}?</t>
  </si>
  <si>
    <t>362. What is the cost of school fees for the current academic year in CFA?</t>
  </si>
  <si>
    <t>362. Quel est le coût des frais de scolarité pour l'année scolaire en cours (en CFA) ?</t>
  </si>
  <si>
    <t>362. Nawa ne kuɗin makaranta na wannan shekarar (a sefa)?</t>
  </si>
  <si>
    <t>speedcheck_shm_end</t>
  </si>
  <si>
    <t>363. In the past month (four weeks) how many days has ${hoh_roster_name} missed school for health reasons?</t>
  </si>
  <si>
    <t>363. Au cours du dernier mois (quatre semaines), combien de jours ${hoh_roster_name} a-t-il manqué l'école pour des raisons de santé ?</t>
  </si>
  <si>
    <t>363. A cikin watan da ya gabata (sati hudu), kwanaki nawa ${hoh_roster_name} yayi fashin zuwa makaranta saboda wata rishin lafiya?</t>
  </si>
  <si>
    <t>dur_shm</t>
  </si>
  <si>
    <t>364. In the past month (four weeks) how many days has ${hoh_roster_name} missed school for work or other reasons?</t>
  </si>
  <si>
    <t>364. Au cours du dernier mois (quatre semaines), combien de jours ${hoh_roster_name} a-t-il manqué l'école pour le travail ou pour d'autres raisons ?</t>
  </si>
  <si>
    <t>364. A cikin watan da ya gabata (makonni hudu), kwanaki nawa ${hoh_roster_name} yayi fashin makaranta saboda aiki ko wasu dalilai?</t>
  </si>
  <si>
    <t>365. Is ${hoh_roster_name} married?</t>
  </si>
  <si>
    <t>365. Est-ce que ${hoh_roster_name} est marié ?</t>
  </si>
  <si>
    <t>365. Ko ${hoh_roster_name} yanada aure?</t>
  </si>
  <si>
    <t>speedcheck_w_start</t>
  </si>
  <si>
    <t>${speedcheck_shm_consult_end}-${speedcheck_shm_consult_start}</t>
  </si>
  <si>
    <t>366. How many wives does ${hoh_new_mem_name} have?</t>
  </si>
  <si>
    <t>366. Combien de femmes a ${hoh_roster_name} ?</t>
  </si>
  <si>
    <t>366. Mata nawa ${hoh_roster_name} yake da su?</t>
  </si>
  <si>
    <t>376. In ${hoh_failed_country}, what was the name of the city or town that ${hoh_roster_name} planned to move to?</t>
  </si>
  <si>
    <t xml:space="preserve">376. </t>
  </si>
  <si>
    <t>377. Specify other</t>
  </si>
  <si>
    <t>377. Autre à préciser</t>
  </si>
  <si>
    <t>377. Wani daban a Bayyana</t>
  </si>
  <si>
    <t>378. In ${hoh_failed_country}, what was the name of the region that ${hoh_roster_name} planned to move to?</t>
  </si>
  <si>
    <t xml:space="preserve">378. </t>
  </si>
  <si>
    <t>w_questions</t>
  </si>
  <si>
    <t>Woman Questionnaire</t>
  </si>
  <si>
    <t>367. We would now like to ask you about the migration history of ${hoh_roster_name}.</t>
  </si>
  <si>
    <t>367. Nous aimerions maintenant vous poser des questions sur l'historique de migration de ${hoh_roster_name}.</t>
  </si>
  <si>
    <t>367. Yanzu muna so mu tambaye ka tarihin zuwa biɗa na ${hoh_roster_name}.</t>
  </si>
  <si>
    <t>w_note</t>
  </si>
  <si>
    <t>148. Questions de femme</t>
  </si>
  <si>
    <t>148. Tambayoyin Mata</t>
  </si>
  <si>
    <t>speedcheck_w_loc_start</t>
  </si>
  <si>
    <t>369. Since ${period}, in which of the following countries has ${hoh_roster_name} spent more than one week? Select all that apply</t>
  </si>
  <si>
    <t>369. Depuis cette ${period_french}, dans lequel des pays suivants hoh_roster_name a-t-il passé plus d'une semaine ? Sélectionnez tout ce qui s'y rapporte</t>
  </si>
  <si>
    <t>369. Tun daga wancan ${period_hausa}, a cikin waɗanne ƙasashe ne ${hoh_roster_name} ya shafe fiye da mako ɗaya? Zaɓi duk abin da ya dace</t>
  </si>
  <si>
    <t>w_resp_location</t>
  </si>
  <si>
    <t>149. Avant de commencer, j'aimerais vous poser des questions sur l'endroit o' se trouvent les autres répondants de ce ménage.</t>
  </si>
  <si>
    <t>149. Kafin mu fara, Ina so in tambaye ku game da wuraren da sauran masu amsa wannan gidan</t>
  </si>
  <si>
    <t>travail domestique</t>
  </si>
  <si>
    <t>370. For Tabaski, did your household purchase any of the following?</t>
  </si>
  <si>
    <t>370. Pour la Tabaski, votre ménage a-t-il acheté l'un des articles suivants ?</t>
  </si>
  <si>
    <t>370. Don sallar layya, gidanku ya sayi ɗaya daga cikin waɗannan abubuwa?</t>
  </si>
  <si>
    <t>139. Now I wil ask you about your opinions about people who are different from you and the type of society you want to live in.</t>
  </si>
  <si>
    <t>139. Maintenant, je vais vous demander votre opinion sur les personnes différentes de vous et sur le type de société dans laquelle vous souhaitez vivre.</t>
  </si>
  <si>
    <t>139. Yanzu zan tambaye ra'ayinku game da wasu mutane daban, da kuma irin al'ummar da kuke son rayuwa a ciki.</t>
  </si>
  <si>
    <t>364. Now I would like to ask you about any money that you and your family owe to other people; money you have borrowed from people outside your household.</t>
  </si>
  <si>
    <t>364. Maintenant, je voudrais vous poser des questions sur l'argent que vous et votre ménage devez à d'autres personnes ; l'argent que vous avez emprunté à des personnes extérieures à votre ménage.</t>
  </si>
  <si>
    <t>364. Yanzu ina son in tambaye ku game da duk wani kuɗin da ku da ƴan gidanku kuka ɗauko daga wajen wasu mutane; kuɗin da kuka aro daga mutane wanda ba ƴan gidanku ba.</t>
  </si>
  <si>
    <t>365. In the last three months did you or a member of your household try to secure a loan from any source but were refused?</t>
  </si>
  <si>
    <t>365. Au cours des trois derniers mois, vous ou un membre de votre ménage avez-vous essayé d'obtenir un prêt auprès de n'importe quelle source, mais cela a été refusé ?</t>
  </si>
  <si>
    <t>365. A cikin watanni uku da suka wuce kai ko wani dan gidanku kun yi ƙoƙarin samun bashi daga kowace hanya amma an ƙi?</t>
  </si>
  <si>
    <t>366. What was the value of the loan in CFA?</t>
  </si>
  <si>
    <t>366. Quelle était la valeur du prêt en CFA?</t>
  </si>
  <si>
    <t>366. Nawa ne yawan kuɗin bashin a sefa?</t>
  </si>
  <si>
    <t>140. Could you tell me your general feeling about each group of people is positive or negative on a scale of 0 to 10 where 0 is very negative and 10 is very positive</t>
  </si>
  <si>
    <t>140. Pourriez-vous me dire votre sentiment général sur chaque groupe de personnes s'il est positif ou négatif sur une échelle de 0 à 10 où 0 est très négatif et 10 est très positif</t>
  </si>
  <si>
    <t>140. Ko za ku iya gaya mini yanda kuke gani game da kowane gungun mutane, yana da kyau ko baya da kyau akan kuranga 0 zuwa 10 inda 0 ba shi da kyau sosai kuma 10 yana da inganci sosai.</t>
  </si>
  <si>
    <t>367. Think about all the people you or members of your household owe money, including recent loans, what is the total value your household owes (in CFA)?</t>
  </si>
  <si>
    <t>367. Pensez à toutes les personnes que vous ou les membres de votre ménage devez de l'argent, y compris les prêts récents, quelle est la valeur totale que votre ménage doit (en CFA) ?</t>
  </si>
  <si>
    <t>367. Ku tuna da duk mutanen da ke bin da ƴan gidanku kuɗi, dukan basussuka sabi da tsohi, nawa jimillar kuɗin a ke bin gidanku (a kuɗin sefa CFA)?</t>
  </si>
  <si>
    <t>368. I will now ask you about meals people in your household have consumed in the past 7 days.</t>
  </si>
  <si>
    <t>368. Je vais maintenant vous poser des questions sur les repas que les membres de votre ménage ont consommé au cours des 7 derniers jours.</t>
  </si>
  <si>
    <t>368. Yanzu zan tambaye ku bisa abincin da mutanen gidanku suka ci a cikin kwanaki 7 da suka wuce.</t>
  </si>
  <si>
    <t>369. In the last 7 days, have adults gone a whole day without meals?</t>
  </si>
  <si>
    <t>369. Au cours des 7 derniers jours, des adultes sont-ils restés une journée entière sans manger de repas ?</t>
  </si>
  <si>
    <t>369. A cikin kwanaki 7 da suka wuce, ko manya gidanku sun zauna tsawon wuni guda basu ci abinci ba?</t>
  </si>
  <si>
    <t>141. Followers of other religions</t>
  </si>
  <si>
    <t>141. Adeptes d'autres religions</t>
  </si>
  <si>
    <t>141. Mabiya wasu addinai</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</si>
  <si>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</si>
  <si>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</si>
  <si>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</si>
  <si>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370. How many days?</t>
  </si>
  <si>
    <t>370. Pendant combien de jours?</t>
  </si>
  <si>
    <t>370. 151a Tsawon kwanaki nawa?</t>
  </si>
  <si>
    <t>w_pm_home</t>
  </si>
  <si>
    <t>150. Is ${pm_name} currently living in your household?</t>
  </si>
  <si>
    <t>150. ${pm_name} vit-il actuellement dans votre ménage?</t>
  </si>
  <si>
    <t>150. Ko ${pm_name} yana zaune a gidan ku a hali yanzu?</t>
  </si>
  <si>
    <t>142. People of different ethnic groups</t>
  </si>
  <si>
    <t>142. Personnes de différents groupes ethniques</t>
  </si>
  <si>
    <t>142. Mutanen wasu kabilu daban</t>
  </si>
  <si>
    <t>w_pm_in_niger</t>
  </si>
  <si>
    <t>151. Where is ${pm_name} living right now?
 Enumerator: Is location in Niger?</t>
  </si>
  <si>
    <t>151. Où est ${pm_name} en ce moment?
  Énquêteur: le lieu est-il au Niger?</t>
  </si>
  <si>
    <t>151. Ina ${pm_name} yake a yanzu?
  Dan bincike: Ko wurin a Nijar ne?</t>
  </si>
  <si>
    <t>w_pm_region</t>
  </si>
  <si>
    <t>152. Enumerator: Select region in Niger</t>
  </si>
  <si>
    <t>152. Enquêteur : Sélectionnez une région au Niger</t>
  </si>
  <si>
    <t>152. Ɗan bincike: Zaɓi Jaha ɗaya a Nijar</t>
  </si>
  <si>
    <t>143. Immigrants who come to Niger as foreign workers</t>
  </si>
  <si>
    <t>143. Les immigrés qui viennent au Niger en tant que travailleurs étrangers</t>
  </si>
  <si>
    <t>143. Baƙin haure masu zuwa Nijar a matsayin ma'aikata ƴan ƙasashen waje</t>
  </si>
  <si>
    <t>w_pm_country</t>
  </si>
  <si>
    <t>153. Enumerator: Select country</t>
  </si>
  <si>
    <t>153. Enquêteur : sélectionnez le pays</t>
  </si>
  <si>
    <t>153. Ɗan bincike: Zaɓi ƙasa</t>
  </si>
  <si>
    <t>nopay</t>
  </si>
  <si>
    <t>Family business / land</t>
  </si>
  <si>
    <t>Entreprise familiale / terre</t>
  </si>
  <si>
    <t>Kasuwancin iyali / ƙasa</t>
  </si>
  <si>
    <t>w_pm_country_o</t>
  </si>
  <si>
    <t>154. Enumerator: Enter other country</t>
  </si>
  <si>
    <t>144. People of a different sect of Islam</t>
  </si>
  <si>
    <t>154. Enquêteur : Entrez un autre pays</t>
  </si>
  <si>
    <t>154. Ɗan bincike: Shigar da wata ƙasa</t>
  </si>
  <si>
    <t>144. Les gens d'une autre secte de l'Islam</t>
  </si>
  <si>
    <t>144. Mabiya wasu ɗarikun musulunci</t>
  </si>
  <si>
    <t>Employer refused to pay me</t>
  </si>
  <si>
    <t>L'employeur a refusé de me payer</t>
  </si>
  <si>
    <t>Mai gida ya ƙi biya na</t>
  </si>
  <si>
    <t>376. In the last 7 days, have children (&lt;14) cut the size of meals or skipped meals?</t>
  </si>
  <si>
    <t>376. Au cours des 7 derniers jours, des enfants (&lt;14) ont-ils réduit la taille de leurs repas ou les ont-ils sauté?</t>
  </si>
  <si>
    <t>376. A cikin kwanaki 7 na ƙarshe, suna da yara (&lt;14) sun rage yawan abinci ko sun rasa gaba ɗaya?</t>
  </si>
  <si>
    <t>383. Now I will ask you about how your household manages its resources.</t>
  </si>
  <si>
    <t>383. Je vais maintenant vous demander comment votre ménage gère ses ressources.</t>
  </si>
  <si>
    <t>383. Yanzu zan tambaye ku yadda gidanku yake sarrafa dukiyoyinshi.</t>
  </si>
  <si>
    <t>145. Imagine one of your daughters wanted to marry someone of a different religious faith, would you give them your permission?</t>
  </si>
  <si>
    <t>145. Imaginez qu'une de vos filles veuille épouser quelqu'un d'une confession religieuse différente, leur donneriez-vous votre permission ?</t>
  </si>
  <si>
    <t>145. Ku ƙaddara da wata ɗaiyarku ta na son ta auri wani mai biyar wani addini daban, za ku bada izininku?</t>
  </si>
  <si>
    <t>384. Do you or another member of the household own this house?</t>
  </si>
  <si>
    <t>384. Est-ce que vous ou un autre membre du ménage êtes propriétaire de cette maison ?</t>
  </si>
  <si>
    <t>384. Shin wannan gidan mallakarku ne kai ko wani dan cikin gidan ?</t>
  </si>
  <si>
    <t>w_pm_town</t>
  </si>
  <si>
    <t>155. Enumerator: Select town</t>
  </si>
  <si>
    <t>Paid out debt through work</t>
  </si>
  <si>
    <t>155. Enquêteur : Sélectionnez la ville</t>
  </si>
  <si>
    <t>Rembourser la dette par le travail</t>
  </si>
  <si>
    <t>155. Ɗan bincike: Zaɓi gari</t>
  </si>
  <si>
    <t>Biyan bashi ta hanyar aiki</t>
  </si>
  <si>
    <t>w_pm_town_o</t>
  </si>
  <si>
    <t>146. Imagine one of your sons wanted to marry someone of a different religious faith, would you give them your permission?</t>
  </si>
  <si>
    <t>146. Imaginez que l'un de vos fils veuille épouser quelqu'un d'une confession religieuse différente, leur donneriez-vous votre permission ?</t>
  </si>
  <si>
    <t>146. Ku ƙaddara da wani ɗanku ya na son ya auri wata ƴan addini daban, za ku bada izininku?</t>
  </si>
  <si>
    <t>w_pm_home_2w</t>
  </si>
  <si>
    <t>Self-employed but did not earn profit</t>
  </si>
  <si>
    <t>157. Est-ce que ${pm_name} sera dans le menage dans les deux prochaines semaines ?</t>
  </si>
  <si>
    <t>Indépendant mais n'a pas réalisé de profit</t>
  </si>
  <si>
    <t>157. Ko ${pm_name} zai kasance a cikin gida a cikin sati biyu masu zuwa?</t>
  </si>
  <si>
    <t>Mai aikin kansa amma bai samu riba ba</t>
  </si>
  <si>
    <t>147. Imagine one of your daughters wanted to marry someone of a different ethnic group, would you give them your permission?</t>
  </si>
  <si>
    <t>147. Imaginez qu'une de vos filles veuille épouser quelqu'un d'un groupe ethnique différent, leur donneriez-vous votre permission ?</t>
  </si>
  <si>
    <t>381. Do you have a Whatsapp account/ phone number you use for WhatsApp?</t>
  </si>
  <si>
    <t>147. Ku ƙaddara da wata ɗiyarka tana son ta auri ɗan wata kabila daban, za ku bada izininka?</t>
  </si>
  <si>
    <t>381. Avez-vous un compte/numéro de téléphone Whatsapp que vous utilisez pour WhatsApp ?</t>
  </si>
  <si>
    <t>381. Kuna yin WhatsApp / lambar wayar da kuke amfani da ita ta WhatsApp ce?</t>
  </si>
  <si>
    <t>Apprenticeship</t>
  </si>
  <si>
    <t>Apprentissage</t>
  </si>
  <si>
    <t>Koyo</t>
  </si>
  <si>
    <t>382. Is this the phone number you use for whatsapp?</t>
  </si>
  <si>
    <t>382. Est-ce le numéro de téléphone que vous utilisez pour WhatsApp ?</t>
  </si>
  <si>
    <t>382. Wannan ita ce lambar wayar da kuke amfani da ita don yin whatsapp?</t>
  </si>
  <si>
    <t>380. How much did your household spend on ${hoh_item} in the past month (in CFA)?</t>
  </si>
  <si>
    <t>380. Combien votre ménage a-t-il dépensé pour ${hoh_item} au cours du dernier mois (en CFA) ?</t>
  </si>
  <si>
    <t>380. Nawa ne (a CFA) gidanku ya kashe akan ${hoh_item} cikin watan da ya gabata ?</t>
  </si>
  <si>
    <t>388. How many ${hoh_livestock_name} does your household own?</t>
  </si>
  <si>
    <t>388. Combien de ${hoh_livestock_name} votre ménage possède-t-il ?</t>
  </si>
  <si>
    <t>388. ${hoh_livestock_name} Nawa gidan ku ya mallaka ?</t>
  </si>
  <si>
    <t>148. Imagine one of your sons wanted to marry someone of a different ethnic group, would you give them your permission?</t>
  </si>
  <si>
    <t>w_shm_home</t>
  </si>
  <si>
    <t>148. Imaginez que l'un de vos fils veuille épouser quelqu'un d'un groupe ethnique différent, leur donneriez-vous votre permission ?</t>
  </si>
  <si>
    <t>148. Ku ƙaddara da wani ɗanku ya na son ya auri wata ƴar wata ƙabila daban, za ku bada izininku?</t>
  </si>
  <si>
    <t>w_shm_in_niger</t>
  </si>
  <si>
    <t>159. Where is ${shm_name} living?
 Enumerator: Is location in Niger?</t>
  </si>
  <si>
    <t>159. Où habite ${shm_name}?
  Enquêteur : le lieu est-il au Niger?</t>
  </si>
  <si>
    <t>159. A ina ${shm_name} ya zaune?
  Mai bincike: Wurin a Nijar ne?</t>
  </si>
  <si>
    <t>149.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</si>
  <si>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149.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</si>
  <si>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149. 1) Tsarin dimoraɗiyya ta fi kowace irin tsari mulki
 2) A wani yanayi ana iya fifita gwamnatin da ba ta dimokraɗiyya ba
 3) Ga mai irina, ba ruwanmu da wace irin gwamnati muke da ita”.</t>
  </si>
  <si>
    <t>w_shm_region</t>
  </si>
  <si>
    <t>w_shm_country</t>
  </si>
  <si>
    <t>161. Enumerator: Select country</t>
  </si>
  <si>
    <t>161. Enquêteur : sélectionnez le pays</t>
  </si>
  <si>
    <t>161. Ɗan bincike: Zaɓi ƙasa</t>
  </si>
  <si>
    <t>150.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</si>
  <si>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150.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</si>
  <si>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150.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</si>
  <si>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</si>
  <si>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</si>
  <si>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</si>
  <si>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w_shm_country_o</t>
  </si>
  <si>
    <t>162. Enumerator: Enter other country</t>
  </si>
  <si>
    <t>162. Enquêteur : Entrez un autre pays</t>
  </si>
  <si>
    <t>162. Ɗan bincike: Shigar da wata ƙasa</t>
  </si>
  <si>
    <t>w_shm_town</t>
  </si>
  <si>
    <t>163. Enumerator: Select town</t>
  </si>
  <si>
    <t>163. Enquêteur : Sélectionnez la ville</t>
  </si>
  <si>
    <t>163. Ɗan bincike: Zaɓi gari</t>
  </si>
  <si>
    <t>151.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</si>
  <si>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151.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</si>
  <si>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151.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</si>
  <si>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employer</t>
  </si>
  <si>
    <t>w_shm_town_o</t>
  </si>
  <si>
    <t>Self-employed</t>
  </si>
  <si>
    <t>Travailleur indépendant</t>
  </si>
  <si>
    <t>Aikin-kai</t>
  </si>
  <si>
    <t>393. How much of this land, if any have you sold in the past year?</t>
  </si>
  <si>
    <t>393. Quelle superficie de ce terrain, si c'est déjà arrivé, avez-vous vendu au cours de l'année écoulée ?</t>
  </si>
  <si>
    <t>Employed by individual</t>
  </si>
  <si>
    <t>393. Eka nawa ne kuka saida, idan ya taɓa faruwa, a cikin shekarar da ta gabata?</t>
  </si>
  <si>
    <t>Employé par un particulier</t>
  </si>
  <si>
    <t>Mutum wani mutum mai gida</t>
  </si>
  <si>
    <t>394. How much of this land, if any have you purchased in the past year?</t>
  </si>
  <si>
    <t>394. Quelle superficie de ce terrain, si c'est déjà arrivé, avez-vous acheté au cours de la dernière année ?</t>
  </si>
  <si>
    <t>394. Eka nawa ne kuka saye, idan ya faru, a cikin shekarar da ta gabata?</t>
  </si>
  <si>
    <t>395. How much of this land (in hectares) did you rent during the last agricultural season?</t>
  </si>
  <si>
    <t>395. Quelle superficie de cette terre (en hectares) avez-vous louée au cours de la dernière saison agricole ?</t>
  </si>
  <si>
    <t>395. Eka nawa ne kuka yi haya a lokacin noman da ta wuce?</t>
  </si>
  <si>
    <t>Employed by private businesss</t>
  </si>
  <si>
    <t>Employé par des entreprises privées</t>
  </si>
  <si>
    <t>Yin aiki da kamfanoni masu zaman kansu</t>
  </si>
  <si>
    <t>396. How much did you pay to rent this land during the last agricultural season (in CFA)?</t>
  </si>
  <si>
    <t>396. A combien avez-vous loué ce terrain (en CFA) au cours de la dernière saison agricole ?</t>
  </si>
  <si>
    <t>396. A nawa kuka yi hayar wannan gonar a lokacin noman da ta wuce (a sefa)?</t>
  </si>
  <si>
    <t>397. Now we will focus on agricultural activities during last agricultural season</t>
  </si>
  <si>
    <t>397. Maintenant, nous allons nous concentrer sur les activités agricoles au cours de la dernière saison agricole</t>
  </si>
  <si>
    <t>397. Yanzu za mu maida hankali kan ayyukan noma a lokacin damanar da ta wuce</t>
  </si>
  <si>
    <t>398. Which of the following crops did your household grow during the last agricultural season?</t>
  </si>
  <si>
    <t>398. Laquelle des cultures suivantes votre ménage a-t-il cultivées au cours de la dernière saison agricole ?</t>
  </si>
  <si>
    <t>Employed by public sector</t>
  </si>
  <si>
    <t>398. Wanne daga cikin waɗannan amfanin gidanku ya noma a damanar da ta gabata?</t>
  </si>
  <si>
    <t>Employé par le secteur public</t>
  </si>
  <si>
    <t>Ma'aikaci na gwamnati</t>
  </si>
  <si>
    <t>${speedcheck_shm_soc_op_end} - ${speedcheck_shm_soc_op_start}</t>
  </si>
  <si>
    <t>399. Specify other:</t>
  </si>
  <si>
    <t>399. Précisez la culture</t>
  </si>
  <si>
    <t>399. Baiyana wani abu daban:</t>
  </si>
  <si>
    <t>394. Just to confirm, is this the number? 
 ${secondary_name1}
 ${secondary_phone1}</t>
  </si>
  <si>
    <t>394. Juste pour confirmer, est-ce bien le numéro ?
 ${secondary_name1}
 ${secondary_phone1}</t>
  </si>
  <si>
    <t>394. Don tabbatarwa kawai, da wannan itace lambar?
 ${secondary_name1}
 ${secondary_phone1}</t>
  </si>
  <si>
    <t>395. Please go back and correct the name and phone number.</t>
  </si>
  <si>
    <t>395. Veuillez revenir en arrière et corriger le nom et le numéro de téléphone.</t>
  </si>
  <si>
    <t>395. Da fatan za ka koma baya don ka gyara suna da lambar waya.</t>
  </si>
  <si>
    <t>396. I am going to call this phone number to confirm it is correct. [Enumerator: Did the phone ring?]</t>
  </si>
  <si>
    <t>396. Je vais appeler ce numéro de téléphone pour confirmer qu'il est correct. [Enquêteur : Le téléphone a-t-il sonné ?]</t>
  </si>
  <si>
    <t>396. Zan kirayi wannan lambar wayar don tabbatar da daidai ce. [Ɗan bincike: Wayar ta yi ƙara?]</t>
  </si>
  <si>
    <t>397. Please go back and enter a new phone number.</t>
  </si>
  <si>
    <t>397. Veuillez ressaisir le numéro</t>
  </si>
  <si>
    <t>397. Da fatan zaku rubuta lambar</t>
  </si>
  <si>
    <t>purpose</t>
  </si>
  <si>
    <t>For work</t>
  </si>
  <si>
    <t>Pour le travail</t>
  </si>
  <si>
    <t>Don aiki</t>
  </si>
  <si>
    <t>400. How much of ${hoh_crop_name} did your household produce?</t>
  </si>
  <si>
    <t>400. Quelle quantité de ${hoh_crop_name} votre ménage a-t-il produit ?</t>
  </si>
  <si>
    <t>400. ${hoh_crop_name} Nawa gidanku ya samu?</t>
  </si>
  <si>
    <t>401. Select crop unit for ${hoh_crop_name}</t>
  </si>
  <si>
    <t>401. Sélectionnez l'unité de culture pour ${hoh_crop_name}</t>
  </si>
  <si>
    <t>401. Zaɓi amfanin gonar don ${hoh_crop_name}</t>
  </si>
  <si>
    <t>388. As I mentioned at the beginning of our interview, we would like to stay in touch with you.</t>
  </si>
  <si>
    <t>For social reasons (visit family/friends, attend ceremony)</t>
  </si>
  <si>
    <t>388. Comme je l'ai mentionné au début de notre entretien, nous aimerions rester en contact avec vous.</t>
  </si>
  <si>
    <t>Pour des raisons sociales (visiter famille/amis, assister à une cérémonie)</t>
  </si>
  <si>
    <t>388. Kamar yadda na faɗa a farkon hirarmu, muna son mu ci gaba da tuntuɓar ku.</t>
  </si>
  <si>
    <t>Don dalilai na zamantakewa (ziyarci dangi/abokai, halartar bikin)</t>
  </si>
  <si>
    <t>402. Specify other unit:</t>
  </si>
  <si>
    <t>402. Spécifiez une autre unité :</t>
  </si>
  <si>
    <t>402. Baiyana wani amfanin gonar daban:</t>
  </si>
  <si>
    <t>w_shm_home_2w</t>
  </si>
  <si>
    <t>165. Will ${shm_name} be in the household within the next two weeks?</t>
  </si>
  <si>
    <t>165. Est-ce que ${shm_name} sera dans le menage dans les deux prochaines semaines ?</t>
  </si>
  <si>
    <t>165. Shin ${shm_name} zai kasance a cikin gida a cikin sati biyu masu zuwa?</t>
  </si>
  <si>
    <t>Accompany/reunify with spouse</t>
  </si>
  <si>
    <t>Accompagner/réunifier avec le conjoint</t>
  </si>
  <si>
    <t>Rakiya/sake haduwa da miji</t>
  </si>
  <si>
    <t>speedcheck_w_loc_end</t>
  </si>
  <si>
    <t>${speedcheck_shm_end} - ${speedcheck_shm_start}</t>
  </si>
  <si>
    <t>387. Do you or another member of the household own this house?</t>
  </si>
  <si>
    <t>For studies</t>
  </si>
  <si>
    <t>387. Est-ce que vous ou un autre membre du ménage êtes propriétaire de cette maison ?</t>
  </si>
  <si>
    <t>387. Shin wannan gidan mallakarku ne kai ko wani dan cikin gidan ?</t>
  </si>
  <si>
    <t>Pour les études</t>
  </si>
  <si>
    <t>Domin karatu</t>
  </si>
  <si>
    <t>dur_w_loc</t>
  </si>
  <si>
    <t>388. What is your best estimate of the value of your home in CFA?</t>
  </si>
  <si>
    <t>388. Quelle est votre meilleure estimation de la valeur de votre maison en CFA ?</t>
  </si>
  <si>
    <t>388. A ganinka wannan gidan aƙalla ya yi nawa a kudin CFA ?</t>
  </si>
  <si>
    <t>speedcheck_w_savings_start</t>
  </si>
  <si>
    <t>For medical reasons</t>
  </si>
  <si>
    <t>Pour des raisons médicales</t>
  </si>
  <si>
    <t>389. Does your household own the following goods?</t>
  </si>
  <si>
    <t>389. Votre ménage possède-t-il les biens suivants ?</t>
  </si>
  <si>
    <t>389. Ko gidanku na da kadarori masu zuwa?</t>
  </si>
  <si>
    <t>w_savings_note</t>
  </si>
  <si>
    <t>Transit (on my way somewhere else)</t>
  </si>
  <si>
    <t>Transit (en route ailleurs)</t>
  </si>
  <si>
    <t>Tafiya (a kan hanya ta zuwa wani wuri)</t>
  </si>
  <si>
    <t>406. The amount you have left (${hoh_qty_left}) is negative. Please return and revise your responses.</t>
  </si>
  <si>
    <t xml:space="preserve">406. </t>
  </si>
  <si>
    <t>${w_shm} = 1</t>
  </si>
  <si>
    <t>407. Based on your responses, you had ${hoh_qty_left} ${hoh_crop_unit_name} left over. Does this sound correct?</t>
  </si>
  <si>
    <t xml:space="preserve">407. </t>
  </si>
  <si>
    <t>other</t>
  </si>
  <si>
    <t>autre</t>
  </si>
  <si>
    <t>397. I am going read back the phone number you just shared with me as your Whatsapp number. Is this the phone number you use for whatsapp? ${phone_whatsapp_number}</t>
  </si>
  <si>
    <t>397. Je vais relire le numéro de téléphone que vous nous avez donné comme votre numéro Whatsapp. Est-ce le numéro de téléphone que vous utilisez pour WhatsApp ? ${phone_whatsapp_number}</t>
  </si>
  <si>
    <t>397. Zan sake karanta lambar wayar da kuka bani a zaman lambar Whatsapp dinku. Wannan shine lambar wayar da kuke amfani da ita don yin whatsapp? ${phone_whatsapp_number}</t>
  </si>
  <si>
    <t>select_multiple savings</t>
  </si>
  <si>
    <t>152. Woman Questions</t>
  </si>
  <si>
    <t>w_separate_savings</t>
  </si>
  <si>
    <t>152. Questions de femme</t>
  </si>
  <si>
    <t>152. Tambayoyin Mata</t>
  </si>
  <si>
    <t>w_separate_savings_o</t>
  </si>
  <si>
    <t>stay</t>
  </si>
  <si>
    <t>Home (owned by own household)</t>
  </si>
  <si>
    <t>Maison (appartenant à son propre ménage)</t>
  </si>
  <si>
    <t>Gida (mallakar gidan kansa)</t>
  </si>
  <si>
    <t>400. How many other additional phone numbers?</t>
  </si>
  <si>
    <t>400. Y-a t-il d'autres numéros de téléphone supplémentaires ?</t>
  </si>
  <si>
    <t>400. 220 a. Ko akwai ƙarin wasu lambobin waya?</t>
  </si>
  <si>
    <t>407. How interested was the resppondent</t>
  </si>
  <si>
    <t>407. Dans quelle mesure le répondant était-il intéressé</t>
  </si>
  <si>
    <t>407. Yaya kake ganin maida hankalin mai bada amsa yake</t>
  </si>
  <si>
    <t>Home of friends/familiy (no cost)</t>
  </si>
  <si>
    <t>Maison d'amis/famille (sans frais)</t>
  </si>
  <si>
    <t>Gidan abokai/iyali (ba farashi)</t>
  </si>
  <si>
    <t>153. Before we begin, I would like to ask you about the locations of other respondents of this household</t>
  </si>
  <si>
    <t>153. Avant de commencer, j'aimerais vous poser des questions sur l'endroit o' se trouvent les autres répondants de ce ménage.</t>
  </si>
  <si>
    <t>153. Kafin mu fara, Ina so in tambaye ku game da wuraren da sauran masu amsa wannan gidan</t>
  </si>
  <si>
    <t>401. What are these additional phone numbers?</t>
  </si>
  <si>
    <t>401. Quels sont les numéros de téléphone supplémentaires ?</t>
  </si>
  <si>
    <t>401. Waɗannene ƙarin lambobin wayan?</t>
  </si>
  <si>
    <t>408. How much did your household spend on the following types of expenses during the last agricultural season in CFA?</t>
  </si>
  <si>
    <t>408. Combien votre ménage a-t-il dépensé pour les types de dépenses suivantes au cours de la dernière saison agricole (en CFA) ?</t>
  </si>
  <si>
    <t>408. Nawa ne gidanku ya kashe akan waɗannan abubuwan a lokacin noman da ya wuce (a sefa)?</t>
  </si>
  <si>
    <t>Rented accomodation alone</t>
  </si>
  <si>
    <t>w_savings_amt</t>
  </si>
  <si>
    <t>Savings Amount</t>
  </si>
  <si>
    <t>154. Is ${pm_name} currently living in your household?</t>
  </si>
  <si>
    <t>Montant de l'épargne</t>
  </si>
  <si>
    <t>154. ${pm_name} vit-il actuellement dans votre ménage?</t>
  </si>
  <si>
    <t>Logement loué seul</t>
  </si>
  <si>
    <t>154. Ko ${pm_name} yana zaune a gidan ku a hali yanzu?</t>
  </si>
  <si>
    <t>Yawan kuɗin ajiye</t>
  </si>
  <si>
    <t>Gidan haya shi kaɗai</t>
  </si>
  <si>
    <t>393. Now we'll talk about your households' agricultural and and animal husbandry activities. 
Let's starting with the most recent agricultural season</t>
  </si>
  <si>
    <t>393. Maintenant, nous allons parler des activités agricoles et d'élevage de votre ménage.
Commençons par la dernière saison agricole</t>
  </si>
  <si>
    <t>393. Yanzu za mu yi hira bisa aikin noma da kiwo na gidanku.</t>
  </si>
  <si>
    <t>w_savings_name</t>
  </si>
  <si>
    <t>Savings Type Name</t>
  </si>
  <si>
    <t>Nom du type d'épargne</t>
  </si>
  <si>
    <t>Sunan Nau'in Ajiya</t>
  </si>
  <si>
    <t>Rented accomodation with others</t>
  </si>
  <si>
    <t>394. Thinking of all the agricultural land your household owned, rented or and had access to during the last agricultural season, please estimate its total size in hectres</t>
  </si>
  <si>
    <t>Logement en location avec d'autres</t>
  </si>
  <si>
    <t>394. En pensant à toutes les terres agricoles que votre ménage possédait, louait ou auxquelles il avait accès au cours de la dernière saison agricole, veuillez estimer leur superficie totale en hectares</t>
  </si>
  <si>
    <t>394. A ganinka da gonakan da kuka mallaka da na haya da na aro wanda kuka noma a bana sun kai eka nawa?</t>
  </si>
  <si>
    <t>Hayar gida tare da wasu</t>
  </si>
  <si>
    <t>w_savings_type_amt</t>
  </si>
  <si>
    <t>155. Where is ${pm_name} living right now?
 Enumerator: Is location in Niger?</t>
  </si>
  <si>
    <t>155. Où est ${pm_name} en ce moment?
 Énquêteur: le lieu est-il au Niger?</t>
  </si>
  <si>
    <t>155. Ina ${pm_name} yake a yanzu?
 Dan bincike: Ko wurin a Nijar ne?</t>
  </si>
  <si>
    <t>${w_pm_home} = 0</t>
  </si>
  <si>
    <t>Street</t>
  </si>
  <si>
    <t>Rue</t>
  </si>
  <si>
    <t>Titi</t>
  </si>
  <si>
    <t>w_savings_interest</t>
  </si>
  <si>
    <t>156. Enumerator: Select region in Niger</t>
  </si>
  <si>
    <t>156. Enquêteur : Sélectionnez une région au Niger</t>
  </si>
  <si>
    <t>156. Ɗan bincike: Zaɓi Jaha ɗaya a Nijar</t>
  </si>
  <si>
    <t>Shelter (mosque, association)</t>
  </si>
  <si>
    <t>Abri (mosquée, association)</t>
  </si>
  <si>
    <t>Matsuguni (masallaci, ƙungiya)</t>
  </si>
  <si>
    <t>${w_pm_in_niger} = 1</t>
  </si>
  <si>
    <t>397. How much of this land, if any have you purchased in the past year?</t>
  </si>
  <si>
    <t>397. Quelle superficie de ce terrain, si c'est déjà arrivé, avez-vous acheté au cours de la dernière année ?</t>
  </si>
  <si>
    <t>397. Eka nawa ne kuka saye, idan ya faru, a cikin shekarar da ta gabata?</t>
  </si>
  <si>
    <t>speedcheck_w_savings_end</t>
  </si>
  <si>
    <t>Hotel</t>
  </si>
  <si>
    <t>Hôtel</t>
  </si>
  <si>
    <t>Otal</t>
  </si>
  <si>
    <t>157. Enumerator: Select country</t>
  </si>
  <si>
    <t>398. How much of this land (in hectares) did you rent during the last agricultural season?</t>
  </si>
  <si>
    <t>157. Enquêteur : sélectionnez le pays</t>
  </si>
  <si>
    <t>398. Quelle superficie de cette terre (en hectares) avez-vous louée au cours de la dernière saison agricole ?</t>
  </si>
  <si>
    <t>157. Ɗan bincike: Zaɓi ƙasa</t>
  </si>
  <si>
    <t>398. Eka nawa ne kuka yi haya a lokacin noman da ta wuce?</t>
  </si>
  <si>
    <t>dur_w_savings</t>
  </si>
  <si>
    <t>${w_pm_in_niger} = 0</t>
  </si>
  <si>
    <t>Employer provided room</t>
  </si>
  <si>
    <t>Chambre fournie par l'employeur</t>
  </si>
  <si>
    <t>Maigida ya ba da daki</t>
  </si>
  <si>
    <t>399. How much did you pay to rent this land during the last agricultural season (in CFA)?</t>
  </si>
  <si>
    <t>399. A combien avez-vous loué ce terrain (en CFA) au cours de la dernière saison agricole ?</t>
  </si>
  <si>
    <t>399. A nawa kuka yi hayar wannan gonar a lokacin noman da ta wuce (a sefa)?</t>
  </si>
  <si>
    <t>414. Think about the last agricultural season. How many weeks were people working in your fields? This includes work by people who are members of your household and those who are not members of your household.</t>
  </si>
  <si>
    <t>414. Pensez à la dernière saison agricole. Combien de semaines au total les gens ont-ils travaillé dans vos champs ? Cela inclut le travail des personnes qui sont membres de votre ménage et celles qui ne le sont pas.</t>
  </si>
  <si>
    <t>414. Ku tuna da lokacin noma na ƙarshe. Makonni nawa mutane ke aiki a filayenku? Wannan ya haɗa da aikin mutanen da ke cikin gidanku da waɗanda ba ƴan gidanku ba ne.</t>
  </si>
  <si>
    <t>158. Enumerator: Enter other country</t>
  </si>
  <si>
    <t>158. Enquêteur : Entrez un autre pays</t>
  </si>
  <si>
    <t>158. Ɗan bincike: Shigar da wata ƙasa</t>
  </si>
  <si>
    <t>415. Think about a typical week during the last agricultural season. How many days were people working in your fields? This includes work by people who are members of your household and those who are not members of your household.</t>
  </si>
  <si>
    <t>415. Pensez à une semaine typique au cours de la dernière saison agricole. Combien de jours les gens ont-ils travaillé dans vos champs par semaine ? Cela inclut le travail des personnes qui sont membres de votre ménage et celles qui ne le sont pas.</t>
  </si>
  <si>
    <t>415. Ku tuna da mako guda na lokacin damana ta ƙarshe. Kwanaki nawa mutane suke aiki a gonkinku a cikin kowane sati? Wannan ya haɗa da aikin mutanen da ke cikin gidan ku da waɗanda ba 'yan gidan ku ba ne.</t>
  </si>
  <si>
    <t>${w_pm_country} = -777</t>
  </si>
  <si>
    <t>400. Now we will focus on agricultural activities during last agricultural season</t>
  </si>
  <si>
    <t>400. Maintenant, nous allons nous concentrer sur les activités agricoles au cours de la dernière saison agricole</t>
  </si>
  <si>
    <t>400. Yanzu za mu maida hankali kan ayyukan noma a lokacin damanar da ta wuce</t>
  </si>
  <si>
    <t>speedcheck_w_nothoh_start</t>
  </si>
  <si>
    <t>159. Enumerator: Select town</t>
  </si>
  <si>
    <t>159. Enquêteur : Sélectionnez la ville</t>
  </si>
  <si>
    <t>159. Ɗan bincike: Zaɓi gari</t>
  </si>
  <si>
    <t>search('towns', 'matches', 'country_id', ${w_pm_country})</t>
  </si>
  <si>
    <t>401. Which of the following crops did your household grow during the last agricultural season?</t>
  </si>
  <si>
    <t>401. Laquelle des cultures suivantes votre ménage a-t-il cultivées au cours de la dernière saison agricole ?</t>
  </si>
  <si>
    <t>401. Wanne daga cikin waɗannan amfanin gidanku ya noma a damanar da ta gabata?</t>
  </si>
  <si>
    <t>${w_pm_in_niger} = 0  and ${w_pm_country} != -999</t>
  </si>
  <si>
    <t>w_not_hoh</t>
  </si>
  <si>
    <t>402. Specify other:</t>
  </si>
  <si>
    <t>402. Précisez la culture</t>
  </si>
  <si>
    <t>402. Baiyana wani abu daban:</t>
  </si>
  <si>
    <t>160. Enumerator: Enter other town</t>
  </si>
  <si>
    <t>160. Enquêteur : Entrez un autre ville</t>
  </si>
  <si>
    <t>160. Ɗan bincike: Shigar da wata gari</t>
  </si>
  <si>
    <t>411.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</si>
  <si>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selected(${w_pm_town}, '-777')</t>
  </si>
  <si>
    <t>411.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</si>
  <si>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411.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</si>
  <si>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416. Can you estimate how many days during the last agricultural season did ${hoh_labor_name} work in field?</t>
  </si>
  <si>
    <t xml:space="preserve">416. </t>
  </si>
  <si>
    <t>161. Will ${pm_name} be in the household within the next two weeks?</t>
  </si>
  <si>
    <t>161. Est-ce que ${pm_name} sera dans le menage dans les deux prochaines semaines ?</t>
  </si>
  <si>
    <t>161. Ko ${pm_name} zai kasance a cikin gida a cikin sati biyu masu zuwa?</t>
  </si>
  <si>
    <t>413. What is the first name of this person</t>
  </si>
  <si>
    <t>413. Quel est le prénom de cette personne?</t>
  </si>
  <si>
    <t>413. Menene sunan wannan mutumen?</t>
  </si>
  <si>
    <t>w_wellbeing_note</t>
  </si>
  <si>
    <t>162. Is ${shm_name} currently living in your household?</t>
  </si>
  <si>
    <t>162. ${shm_name} vit-il actuellement dans votre ménage?</t>
  </si>
  <si>
    <t>162. Ko ${shm_name} yana zaune a gidan ku a hali yanzu?</t>
  </si>
  <si>
    <t>w_physical_health</t>
  </si>
  <si>
    <t>417. The following questions about agricultural labor are for the last agricultural season (last 180 days).</t>
  </si>
  <si>
    <t xml:space="preserve">417. </t>
  </si>
  <si>
    <t>w_illness_limit</t>
  </si>
  <si>
    <t>173. Do you currently suffer from any illness or disability that limits your ability to travel or work?</t>
  </si>
  <si>
    <t>173. Souffrez-vous actuellement d'une maladie ou d'un handicap qui limite votre capacité à voyager ou à travailler ?</t>
  </si>
  <si>
    <t>173. A halin yanzu, ko kuna fama da wata rashin lafiya ko naƙasa da ke iya kawo muku cikas game da tahiya bulaguro ko yin aiki?</t>
  </si>
  <si>
    <t>163. Where is ${shm_name} living?
 Enumerator: Is location in Niger?</t>
  </si>
  <si>
    <t>163. Où habite ${shm_name}?
 Enquêteur : le lieu est-il au Niger?</t>
  </si>
  <si>
    <t>163. A ina ${shm_name} ya zaune?
 Mai bincike: Wurin a Nijar ne?</t>
  </si>
  <si>
    <t>${w_shm_home} = 0</t>
  </si>
  <si>
    <t>419. How many different people did you hire people to work in your fields?</t>
  </si>
  <si>
    <t>419. Combien de personnes avez-vous embauchées pour travailler dans vos champs ?</t>
  </si>
  <si>
    <t>419. Mutane nawa kuka ɗauka don yin aiki a gonakinku?</t>
  </si>
  <si>
    <t>select_multiple illness</t>
  </si>
  <si>
    <t>w_illness_limit_type</t>
  </si>
  <si>
    <t>164. Enumerator: Select region in Niger</t>
  </si>
  <si>
    <t>164. Enquêteur : Sélectionnez une région au Niger</t>
  </si>
  <si>
    <t>164. Ɗan bincike: Zaɓi Jaha ɗaya a Nijar</t>
  </si>
  <si>
    <t>${w_shm_in_niger} = 1</t>
  </si>
  <si>
    <t>w_illness_limit_type_o</t>
  </si>
  <si>
    <t>165. Enumerator: Select country</t>
  </si>
  <si>
    <t>165. Enquêteur : sélectionnez le pays</t>
  </si>
  <si>
    <t>165. Ɗan bincike: Zaɓi ƙasa</t>
  </si>
  <si>
    <t>${w_shm_in_niger} = 0</t>
  </si>
  <si>
    <t>w_illness</t>
  </si>
  <si>
    <t>176. In the past three months, did you suffer from an illness or injury that disrupted your daily life?</t>
  </si>
  <si>
    <t>176. Au cours des trois derniers mois, avez-vous souffert d'une maladie ou d'une blessure qui a perturbé votre vie quotidienne ?</t>
  </si>
  <si>
    <t>176. A cikin watanni uku da suka wuce, ko kun yi fama da wata rashin lafiya ko rauni wanda ya kawo muku cikas a rayuwarku na yau da kullun?</t>
  </si>
  <si>
    <t>166. Enumerator: Enter other country</t>
  </si>
  <si>
    <t>166. Enquêteur : Entrez un autre pays</t>
  </si>
  <si>
    <t>166. Ɗan bincike: Shigar da wata ƙasa</t>
  </si>
  <si>
    <t>${w_shm_country} = -777</t>
  </si>
  <si>
    <t>422. Thinking of your expenses related to labor and investment in your fields during the last agricultural season, you spent a total of ${hoh_total_paid} in CFA, is this correct?</t>
  </si>
  <si>
    <t>422. Pour toutes les dépenses pour vos champs dont nous avons parlé, vous avez payé ${hoh_total_paid} en CFA, est-ce correct ?</t>
  </si>
  <si>
    <t>422. Ku tuna da dukkan kuɗaɗen da kuka kashe a kan aikin gona a lokacin aikin noma na ƙarshe, kun kashe jimillar ${hoh_total_paid} a CFA, wannan daidai ne?</t>
  </si>
  <si>
    <t>w_illness_type</t>
  </si>
  <si>
    <t>167. Enumerator: Select town</t>
  </si>
  <si>
    <t>177. What type of illness or injury did you experience?</t>
  </si>
  <si>
    <t>167. Enquêteur : Sélectionnez la ville</t>
  </si>
  <si>
    <t>167. Ɗan bincike: Zaɓi gari</t>
  </si>
  <si>
    <t>177. Preciser le type de maladie ou de blessure</t>
  </si>
  <si>
    <t>177. Baiyana irin ciwo ko raunin da kuka yi fama da shi?</t>
  </si>
  <si>
    <t>search('towns', 'matches', 'country_id', ${w_shm_country})</t>
  </si>
  <si>
    <t>${w_shm_in_niger} = 0 and ${w_shm_country} != -999</t>
  </si>
  <si>
    <t>w_illness_type_o</t>
  </si>
  <si>
    <t>178. Specify other illness or injury</t>
  </si>
  <si>
    <t>178. Preciser le type de maladie ou de blessure</t>
  </si>
  <si>
    <t>178. Baiyana irin ciwo ko raunin da kuka fama?</t>
  </si>
  <si>
    <t>168. Enumerator: Enter other town</t>
  </si>
  <si>
    <t>168. Enquêteur : Entrez un autre ville</t>
  </si>
  <si>
    <t>168. Ɗan bincike: Shigar da wata gari</t>
  </si>
  <si>
    <t>selected(${w_shm_town}, '-777')</t>
  </si>
  <si>
    <t>420. How interested was the resppondent</t>
  </si>
  <si>
    <t>420. Dans quelle mesure le répondant était-il intéressé</t>
  </si>
  <si>
    <t>420. Yaya kake ganin maida hankalin mai bada amsa yake</t>
  </si>
  <si>
    <t>421. How impatient was the respondent?</t>
  </si>
  <si>
    <t>421. À quel point le répondant était-il impatient ?</t>
  </si>
  <si>
    <t>421. Yaya kake ganin rashin haƙurin mai bada amsa?</t>
  </si>
  <si>
    <t>169. Will ${shm_name} be in the household within the next two weeks?</t>
  </si>
  <si>
    <t>169. Est-ce que ${shm_name} sera dans le menage dans les deux prochaines semaines ?</t>
  </si>
  <si>
    <t>169. Shin ${shm_name} zai kasance a cikin gida a cikin sati biyu masu zuwa?</t>
  </si>
  <si>
    <t>Enumerator: If yes, please ask the respondent when the best time to return to survey ${shm_name} and note it down. We would like you to return to the household then to survey ${shm_name}.</t>
  </si>
  <si>
    <t>422. How well did the respondent understand the questions?</t>
  </si>
  <si>
    <t>422. Dans quelle mesure le répondant a-t-il compris les questions ?</t>
  </si>
  <si>
    <t>422. Yaya kake ganin mai bada amsa ya fahimci tambayoyin?</t>
  </si>
  <si>
    <t>423. Was the interview conducted in the presence of other people?</t>
  </si>
  <si>
    <t>423. L'entretien a-t-il été réalisé en présence d'autres personnes ?</t>
  </si>
  <si>
    <t>423. Ko an yi hirar ne a gaban wasu mutane?</t>
  </si>
  <si>
    <t>w_seek_treatment</t>
  </si>
  <si>
    <t>179. Did you seek any treatment for any illness or injury?</t>
  </si>
  <si>
    <t>179. Avez-vous cherché un traitement pour une maladie ou une blessure ?</t>
  </si>
  <si>
    <t>179. Ko kun nemi wani magani don wata cuta ko rauni?</t>
  </si>
  <si>
    <t>w_past_week_note</t>
  </si>
  <si>
    <t>180. Now I want to ask you about the past week (7 days)</t>
  </si>
  <si>
    <t>180. Maintenant, je veux vous poser des questions sur la semaine dernière (7 jours)</t>
  </si>
  <si>
    <t>180. Yanzu ina son in muku tambayoyi bisa satin (makon) da ya wuce (kwana 7)</t>
  </si>
  <si>
    <t>w_sleep</t>
  </si>
  <si>
    <t>181. How many hours of sleep per night did you get on average in the last seven days?</t>
  </si>
  <si>
    <t>181. Combien d'heures de sommeil par nuit avez-vous dormi en moyenne au cours des sept derniers jours ?</t>
  </si>
  <si>
    <t>181. Misalin Sa'o'i nawa a taƙaice kuke yin barci a kowane dare a cikin kwanaki bakwai na ƙarshe da suka wuce?</t>
  </si>
  <si>
    <t>paytype</t>
  </si>
  <si>
    <t xml:space="preserve">${speedcheck_w_loc_end} - ${speedcheck_w_loc_start} </t>
  </si>
  <si>
    <t>Cash</t>
  </si>
  <si>
    <t>Especes</t>
  </si>
  <si>
    <t>Kuɗi fari</t>
  </si>
  <si>
    <t>414. Renting machines and tools (i.e. for plowing or spraying)</t>
  </si>
  <si>
    <t>414. Location de machines et d'outils (c'est-à-dire pour labourer ou pulvériser)</t>
  </si>
  <si>
    <t>414. Hayar injina da kayan aiki ( don noma ko feshi)</t>
  </si>
  <si>
    <t>w_emotions</t>
  </si>
  <si>
    <t>In-kind</t>
  </si>
  <si>
    <t>415. Water</t>
  </si>
  <si>
    <t>Nature</t>
  </si>
  <si>
    <t>415. Eau</t>
  </si>
  <si>
    <t>415. Ruwa</t>
  </si>
  <si>
    <t>Wani kaya</t>
  </si>
  <si>
    <t>425. That is the end of the survey. Thank you for your time.</t>
  </si>
  <si>
    <t>425. C'est la fin de l'enquête. Merci pour votre temps.</t>
  </si>
  <si>
    <t>425. Karshen tambayoyin kenan. Na gode da lokacin da kuka bani.</t>
  </si>
  <si>
    <t>427. Thinking about the last agricultural season, did you need to pay other expenses we did not ask you about?</t>
  </si>
  <si>
    <t>427. En pensant à la dernière saison agricole, avez-vous dû faire d'autres dépenses dont nous n'avons pas parlé ?</t>
  </si>
  <si>
    <t>427. A tunaninka a lokacin noman da ya gabata, akwai wasu kashe kashen kuɗi da kuka yi wanda ba mu yi zancen su ba?</t>
  </si>
  <si>
    <t>170. I would like to ask you about different ways you may use money that you earn.</t>
  </si>
  <si>
    <t>170. Maintenant, je voudrais vous poser des questions sur les différentes façons dont vous pouvez utiliser l'argent que vous gagnez.</t>
  </si>
  <si>
    <t>170. Yanzu ina so in tambaye ku hanyoyi daban-daban da zaku iya amfani da su wajen kashe kuɗin da kuke samu.</t>
  </si>
  <si>
    <t>428. What was the expense?</t>
  </si>
  <si>
    <t>428. Quelle était la dépense ?</t>
  </si>
  <si>
    <t>428. wane kashe kuɗi ne ?</t>
  </si>
  <si>
    <t>429. What was the approximate value of ${hoh_ag_exp_other_name} in CFA?</t>
  </si>
  <si>
    <t>benefits</t>
  </si>
  <si>
    <t>429. Quelle était la valeur approximative de ${hoh_ag_exp_other_name} en CFA ?</t>
  </si>
  <si>
    <t>429. Nawa farashin ${hoh_ag_exp_other_name} a wacan lokacin a sefa?</t>
  </si>
  <si>
    <t>Housing</t>
  </si>
  <si>
    <t>w_emotion</t>
  </si>
  <si>
    <t>Logement</t>
  </si>
  <si>
    <t>182. In the past week, how often did you experience the following feelings?</t>
  </si>
  <si>
    <t>Gidaje</t>
  </si>
  <si>
    <t>182. Au cours de la semaine dernière, à quelle fréquence avez-vous ressenti les sentiments suivants ?</t>
  </si>
  <si>
    <t>182. A cikin satin da ya wuce, sau nawa kuka ji irin waɗannan abubuwan a ranku?</t>
  </si>
  <si>
    <t>171. Do you currently have savings of each of the following types that you have put aside for yourself, separate from your household?</t>
  </si>
  <si>
    <t>171. Avez-vous actuellement des économies de chacun des types suivants que vous avez mises de côté pour vous-même, séparément de votre ménage ?</t>
  </si>
  <si>
    <t>171. Ko a halin yanzu kuna da tanadi na kowane nau'in waɗannan nau'ikan da kuka ware wa kanku?</t>
  </si>
  <si>
    <t xml:space="preserve"> </t>
  </si>
  <si>
    <t>w_emotion1</t>
  </si>
  <si>
    <t>Food</t>
  </si>
  <si>
    <t>Nourriture</t>
  </si>
  <si>
    <t>Abinci</t>
  </si>
  <si>
    <t>w_emotion2</t>
  </si>
  <si>
    <t>172. Specify other:</t>
  </si>
  <si>
    <t>172. Précisez autre :</t>
  </si>
  <si>
    <t>172. Ƙayyade wasu:</t>
  </si>
  <si>
    <t>selected(${w_separate_savings}, '-777')</t>
  </si>
  <si>
    <t>w_emotion3</t>
  </si>
  <si>
    <t>Phone Credit</t>
  </si>
  <si>
    <t>Crédit téléphonique</t>
  </si>
  <si>
    <t>not(selected(${w_separate_savings}, '0'))</t>
  </si>
  <si>
    <t>Kuɗin kira/Kiredi</t>
  </si>
  <si>
    <t>count-selected(${w_separate_savings})</t>
  </si>
  <si>
    <t>430. Total income: ${hoh_total_income}
Does this seem right?</t>
  </si>
  <si>
    <t>430. Revenu total : ${hoh_total_income}
 Cela vous semble-t-il juste ?</t>
  </si>
  <si>
    <t>430. Jimillar kuɗin shiga: ${hoh_total_income}
 ko kuna ganin hakan yayi daidai?</t>
  </si>
  <si>
    <t>w_emotion4</t>
  </si>
  <si>
    <t>186. Worry</t>
  </si>
  <si>
    <t>186. Inquiétude</t>
  </si>
  <si>
    <t>186. Damuwa</t>
  </si>
  <si>
    <t>if(selected-at(${w_separate_savings}, index()-1) = '-777', ${w_separate_savings_o}, choice-label(${w_separate_savings}, selected-at(${w_separate_savings}, index()-1)))</t>
  </si>
  <si>
    <t>w_emotion5</t>
  </si>
  <si>
    <t>187. Anger</t>
  </si>
  <si>
    <t>187. Colère</t>
  </si>
  <si>
    <t>187. Fushi</t>
  </si>
  <si>
    <t>173. Please share with us your best estimate of the value in CFA ${w_savings_name}</t>
  </si>
  <si>
    <t>173. Veuillez partager avec nous votre meilleure estimation de la valeur en CFA ${w_savings_name}</t>
  </si>
  <si>
    <t>173. Da fatan zaku faɗa mana ƙimar da kuke ganin yayi daidai a cikin CFA ${w_savings_name}</t>
  </si>
  <si>
    <t>w_emotion6</t>
  </si>
  <si>
    <t>174. Do you earn interest on this money ${w_savings_name}?</t>
  </si>
  <si>
    <t>174. Gagnez-vous des intérêts sur cet argent ${w_savings_name} ?</t>
  </si>
  <si>
    <t>174. Kuna samun riba akan wannan kuɗin ${w_savings_name}?</t>
  </si>
  <si>
    <t>w_emotion7</t>
  </si>
  <si>
    <t>424. What was the daily wage you paid for people to work in your fields, or how much would you pay in CFA?</t>
  </si>
  <si>
    <t>424. Quel était le salaire journalier que vous payiez pour que les gens travaillent dans vos champs, ou combien paieriez-vous en CFA ?</t>
  </si>
  <si>
    <t>424. Nawa ne kuke biyan waɗanda suka yi aiki a gonakinku a dukkan wuni a sefa ?</t>
  </si>
  <si>
    <t>433. How many ${hoh_livestock_act_name} did you sell?</t>
  </si>
  <si>
    <t>433. Au cours des trois derniers mois, combien de ${hoh_livestock_act_name} avez-vous vendu ?</t>
  </si>
  <si>
    <t>433. ${hoh_livestock_act_name} nawa kuka saida?</t>
  </si>
  <si>
    <t>w_esteem</t>
  </si>
  <si>
    <t>425. Thinking of your expenses related to labor and investment in your fields during the last agricultural season, you spent a total of ${hoh_total_paid} in CFA, is this correct?</t>
  </si>
  <si>
    <t>425. Pour toutes les dépenses pour vos champs dont nous avons parlé, vous avez payé ${hoh_total_paid} en CFA, est-ce correct ?</t>
  </si>
  <si>
    <t>425. Ku tuna da dukkan kuɗaɗen da kuka kashe a kan aikin gona a lokacin aikin noma na ƙarshe, kun kashe jimillar ${hoh_total_paid} a CFA, wannan daidai ne?</t>
  </si>
  <si>
    <t>w_self_esteem_note</t>
  </si>
  <si>
    <t xml:space="preserve">${speedcheck_w_savings_end} - ${speedcheck_w_savings_start} </t>
  </si>
  <si>
    <t>w_self_esteem_4</t>
  </si>
  <si>
    <t>experience</t>
  </si>
  <si>
    <t>No did not experience</t>
  </si>
  <si>
    <t>Non je n'ai pas fait l'expérience</t>
  </si>
  <si>
    <t>A'a ban taɓa godawa ba</t>
  </si>
  <si>
    <t>435. In the past three months, how much did you spend on food and health expense for all of your animals (in CFA)?</t>
  </si>
  <si>
    <t>435. Au cours des trois derniers mois, combien avez-vous dépensé en frais de nourriture et de santé pour tous vos animaux (en CFA) ?</t>
  </si>
  <si>
    <t>435. Nawa kuka kashe akan abinci da kiwon lafiyar dukkan dabbobinku (a sefa) ?</t>
  </si>
  <si>
    <t>Threatened</t>
  </si>
  <si>
    <t>Menacé</t>
  </si>
  <si>
    <t>Barazana</t>
  </si>
  <si>
    <t>436. When thinking about the past three months, I would like to ask you about how many days a typical week people in your household worked. We know people may work more during some weeks rather than others, please think about what happens during most weeks.</t>
  </si>
  <si>
    <t>436.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</si>
  <si>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436. Tuna da watanni uku da suka wuce. Ina son in tambaye ku game da yawan kwanaki da ƴan gidanku ke yin aiki a cikin sati na yau da kullun. Mun san da mutane na iya yin aiki a cikin wani sati fiye da wani satin, amma yi tunanin abinda ke kasancewa a yawancin makonni.</t>
  </si>
  <si>
    <t>437. How many days did people in your household work to care for your animals in a typical week in the past three months?</t>
  </si>
  <si>
    <t>437. Dans les trois derniers mois, au cours d'une semaine normale, combien de jours les membres de votre ménage ont-ils travaillé pour s'occuper de vos animaux ?</t>
  </si>
  <si>
    <t>Experienced</t>
  </si>
  <si>
    <t>Vécu</t>
  </si>
  <si>
    <t>437. A cikin watanni uku da suka wuce, kwana nawa a cikin sati mutanen gidanku suka yi aiki don kula da bisashenku?</t>
  </si>
  <si>
    <t>Kwarewa</t>
  </si>
  <si>
    <t>${w_shm_home} = 1 or ${w_pm_home} = 1</t>
  </si>
  <si>
    <t>438. In the past three months, did you hire anyone outside your household to care for your animals?</t>
  </si>
  <si>
    <t>438. Au cours des trois derniers mois, avez-vous embauché quelqu'un en dehors de votre ménage pour s'occuper de vos animaux ?</t>
  </si>
  <si>
    <t>438. A cikin watanni uku da suka wuce, Ko kun ɗauki wani wanda ba ɗan gidanku ba don kula da dabbobinku?</t>
  </si>
  <si>
    <t>439. In the last 3 months, for how many weeks did you hire people to care for your livestock?</t>
  </si>
  <si>
    <t>439. Au cours des trois derniers mois, combien de semaines avez-vous embauché des personnes pour s'occuper de votre bétail ?</t>
  </si>
  <si>
    <t>175. I would like to ask you a few questions about your health and wellbeing</t>
  </si>
  <si>
    <t>175. Je voudrais vous poser quelques questions sur votre santé et votre bien-être</t>
  </si>
  <si>
    <t>439. A cikin watanni 3 da suka wuce, sati nawa kuka dauki ƴan aiki don kula da dabbobinku?</t>
  </si>
  <si>
    <t>175. Ina so in yi muku wasu ƴan tambayoyi game da lafiyar jikinku da jin daɗin ku</t>
  </si>
  <si>
    <t>w_self_esteem_9</t>
  </si>
  <si>
    <t>176. In general, how would you characterize your physical health?</t>
  </si>
  <si>
    <t>176. En général, comment caractériseriez-vous votre santé physique ?</t>
  </si>
  <si>
    <t>176. A taƙaice, yaya za ku siffanta lafiyar jikin ku?</t>
  </si>
  <si>
    <t>429. What was the daily wage paid to ${hoh_paid_name} working as a day laborer for someone else in CFA?</t>
  </si>
  <si>
    <t>429. Quel était le salaire journalier payé à ${hoh_paid_name} travaillant comme journalier pour quelqu'un d'autre en CFA ?</t>
  </si>
  <si>
    <t>429. Nawa biyan ${hoh_paid_name} na wuni a lokacin da yake barema a gonar wani a sefa?</t>
  </si>
  <si>
    <t>441. You paid ${hoh_hire_livestock_total} in CFA for people to care for your animals, is this correct?</t>
  </si>
  <si>
    <t>441. Vous avez payé ${hoh_hire_livestock_total} (en CFA) aux personnes qui s'occupent de vos animaux, est-ce exact ?</t>
  </si>
  <si>
    <t>441. ${hoh_hire_livestock_total} (a sefa) kuka biya, ko daidai ne?</t>
  </si>
  <si>
    <t>health</t>
  </si>
  <si>
    <t>177. Do you currently suffer from any illness or disability that limits your ability to travel or work?</t>
  </si>
  <si>
    <t>177. Souffrez-vous actuellement d'une maladie ou d'un handicap qui limite votre capacité à voyager ou à travailler ?</t>
  </si>
  <si>
    <t>Very poor</t>
  </si>
  <si>
    <t>177. A halin yanzu, ko kuna fama da wata rashin lafiya ko naƙasa da ke iya kawo muku cikas game da tahiya bulaguro ko yin aiki?</t>
  </si>
  <si>
    <t>Très faible</t>
  </si>
  <si>
    <t>Babu kyau</t>
  </si>
  <si>
    <t>442. In the past three months, did any member of your household care for livestock owned by other people?</t>
  </si>
  <si>
    <t>442. Au cours des trois derniers mois, un membre de votre ménage s'est-il occupé du bétail appartenant à d'autres personnes ?</t>
  </si>
  <si>
    <t>442. A cikin watanni uku da suka wuce, akwai wani ɗan gidanku da ya kula da dabbobin wasu mutane?</t>
  </si>
  <si>
    <t>443. In a typical week, how many days did they do this job?</t>
  </si>
  <si>
    <t>443. Au cours d'une semaine normale, combien de jours ont-ils fait ce travail ?</t>
  </si>
  <si>
    <t>443. A cikin mako, kwana nawa suka yi wannan aikin?</t>
  </si>
  <si>
    <t>Poor</t>
  </si>
  <si>
    <t>Faible</t>
  </si>
  <si>
    <t>444. What was the daily wage paid to household members who cared for livestock owned by other people?</t>
  </si>
  <si>
    <t>444. Quel étaient les frais journaliers payés aux membres de votre ménage qui s'occupent des animaux du bétail appartenant à d'autres personnes en CFA ?</t>
  </si>
  <si>
    <t>444. Nawa ne biyan wuni na ƴan gida masu kula da dabbobin wasu mutane (a kuɗin CFA)?</t>
  </si>
  <si>
    <t>178. What illness limits you in this way?</t>
  </si>
  <si>
    <t>178. Quelle maladie vous limite de cette manière ?</t>
  </si>
  <si>
    <t>178. Wace cuta ce ke tsaida ku a kan wannan?</t>
  </si>
  <si>
    <t>w_ladder_scale</t>
  </si>
  <si>
    <t>193.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</si>
  <si>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193.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</si>
  <si>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${w_illness_limit} = 1</t>
  </si>
  <si>
    <t>193.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</si>
  <si>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179. Other, specify:</t>
  </si>
  <si>
    <t>179. Autre précisez:</t>
  </si>
  <si>
    <t>179. Sauran, bayar da cikakkun bayanai:</t>
  </si>
  <si>
    <t>selected(${w_illness_limit_type} , '-777')</t>
  </si>
  <si>
    <t>431. What was the expense?</t>
  </si>
  <si>
    <t>431. Quelle était la dépense ?</t>
  </si>
  <si>
    <t>431. wane kashe kuɗi ne ?</t>
  </si>
  <si>
    <t>w_worries</t>
  </si>
  <si>
    <t>180. In the past three months, did you suffer from an illness or injury that disrupted your daily life?</t>
  </si>
  <si>
    <t>Worries</t>
  </si>
  <si>
    <t>180. Au cours des trois derniers mois, avez-vous souffert d'une maladie ou d'une blessure qui a perturbé votre vie quotidienne ?</t>
  </si>
  <si>
    <t>180. A cikin watanni uku da suka wuce, ko kun yi fama da wata rashin lafiya ko rauni wanda ya kawo muku cikas a rayuwarku na yau da kullun?</t>
  </si>
  <si>
    <t>432. What was the approximate value of ${hoh_ag_exp_other_name} in CFA?</t>
  </si>
  <si>
    <t>432. Quelle était la valeur approximative de ${hoh_ag_exp_other_name} en CFA ?</t>
  </si>
  <si>
    <t>432. Nawa farashin ${hoh_ag_exp_other_name} a wacan lokacin a sefa?</t>
  </si>
  <si>
    <t>448. In the past three months, what is the total value of interest from loans you have given to others in CFA?</t>
  </si>
  <si>
    <t>448. Au cours des trois derniers mois, quelle est la valeur totale des intérêts des prêts que vous avez accordés à d'autres en CFA?</t>
  </si>
  <si>
    <t>181. What type of illness or injury did you experience?</t>
  </si>
  <si>
    <t>448. A cikin watanni uku da suka gabata, nawa ne jimillar kudin ruwan basussuka da kuka baiwa wasu (a sefa)?</t>
  </si>
  <si>
    <t>181. Preciser le type de maladie ou de blessure</t>
  </si>
  <si>
    <t>181. Baiyana irin ciwo ko raunin da kuka yi fama da shi?</t>
  </si>
  <si>
    <t>${w_illness} = 1</t>
  </si>
  <si>
    <t>449. Does anyone in the household fully, or partly own and operate an income generating activity that is not farming or herding? (i.e. a shop where you sell goods, restaurant, butcher shop)?</t>
  </si>
  <si>
    <t>449. Quelqu'un dans le ménage possède-t-il entièrement ou partiellement une activité génératrice de revenus autre que l'agriculture ou l'élevage ? (C'est-à-dire un magasin où vous vendez des marchandises, un restaurant, une boucherie) ?</t>
  </si>
  <si>
    <t>449. Ko akwai wani ɗan gidanku mai sana'a wanda jarin gaba daya nashi ko na hadin gwiwa ne banda noma da kiyo? ( kantin saida kaya, gidan abinci, fawa)?</t>
  </si>
  <si>
    <t>Babu kyau sosai</t>
  </si>
  <si>
    <t>450. What type of business is this?</t>
  </si>
  <si>
    <t>450. Quel type d'entreprise est-ce?</t>
  </si>
  <si>
    <t>450. Wane irin kasuwanci ne?</t>
  </si>
  <si>
    <t>182. Specify other illness or injury</t>
  </si>
  <si>
    <t>182. Preciser le type de maladie ou de blessure</t>
  </si>
  <si>
    <t>182. Baiyana irin ciwo ko raunin da kuka fama?</t>
  </si>
  <si>
    <t>selected(${w_illness_type} , '-777')</t>
  </si>
  <si>
    <t>451. Specify other</t>
  </si>
  <si>
    <t>451. Autre à préciser :</t>
  </si>
  <si>
    <t>451. Baiyana wani abu daban:</t>
  </si>
  <si>
    <t>Neither good nor poor</t>
  </si>
  <si>
    <t>Ni bonne ni faible</t>
  </si>
  <si>
    <t>Ba mai kyau ba kuma ba maras kyau ba</t>
  </si>
  <si>
    <t>452. Do you have a permanent location (i.e. building)?</t>
  </si>
  <si>
    <t>452. Avez-vous un emplacement permanent (c'est-à-dire un bâtiment) ?</t>
  </si>
  <si>
    <t>452. Kuna da wurin dindindin (kamar gini)?</t>
  </si>
  <si>
    <t>183. Did you seek any treatment for any illness or injury?</t>
  </si>
  <si>
    <t>183. Avez-vous cherché un traitement pour une maladie ou une blessure ?</t>
  </si>
  <si>
    <t>183. Ko kun nemi wani magani don wata cuta ko rauni?</t>
  </si>
  <si>
    <t>453. How many people outside of your household do you employ in this business?</t>
  </si>
  <si>
    <t>453. Combien de personnes en dehors de votre ménage employez-vous dans cette entreprise ?</t>
  </si>
  <si>
    <t>453. Mutane nawa ne kuka dauka aiki banda ƴan gidan a wannan kasuwancin?</t>
  </si>
  <si>
    <t>Good</t>
  </si>
  <si>
    <t>Bonne</t>
  </si>
  <si>
    <t>Da kyau</t>
  </si>
  <si>
    <t>454. How much do you pay per day for people to work in this business in CFA?</t>
  </si>
  <si>
    <t>454. Combien payez-vous par jour pour que les gens travaillent dans cette entreprise (en CFA) ?</t>
  </si>
  <si>
    <t>454. Nawa kuke biyan su a wuni (a sefa) ?</t>
  </si>
  <si>
    <t>w_worries_note</t>
  </si>
  <si>
    <t>184. Now I want to ask you about the past week (7 days)</t>
  </si>
  <si>
    <t>194. Now I am going to ask you about the areas of your life that worry you.</t>
  </si>
  <si>
    <t>184. Maintenant, je veux vous poser des questions sur la semaine dernière (7 jours)</t>
  </si>
  <si>
    <t>194. Je voudrais maintenant vous poser des questions sur les choses qui vous inquiètent dans votre vie.</t>
  </si>
  <si>
    <t>184. Yanzu ina son in muku tambayoyi bisa satin (makon) da ya wuce (kwana 7)</t>
  </si>
  <si>
    <t>194. Yanzu ina son in tambaye ku bisa abubuwan da ke damun ku a cikin rayuwar ku.</t>
  </si>
  <si>
    <t>w_risk_prob_note</t>
  </si>
  <si>
    <t>195. How stressed are you about the following areas of your life?</t>
  </si>
  <si>
    <t>Very good</t>
  </si>
  <si>
    <t>195. Dans quelle mesure êtes-vous stressé par les domaines suivants de votre vie ?</t>
  </si>
  <si>
    <t>195. Yaya damuwarku game da abubuwa na rayuwarku da zan zana?</t>
  </si>
  <si>
    <t>Très bonne</t>
  </si>
  <si>
    <t>185. How many hours of sleep per night did you get on average in the last seven days?</t>
  </si>
  <si>
    <t>Da kyau sosai</t>
  </si>
  <si>
    <t>185. Combien d'heures de sommeil par nuit avez-vous dormi en moyenne au cours des sept derniers jours ?</t>
  </si>
  <si>
    <t>185. Misalin Sa'o'i nawa a taƙaice kuke yin barci a kowane dare a cikin kwanaki bakwai na ƙarshe da suka wuce?</t>
  </si>
  <si>
    <t>w_health_problems</t>
  </si>
  <si>
    <t>196. Your own health problems, illness</t>
  </si>
  <si>
    <t>196. Vos propres problèmes de santé</t>
  </si>
  <si>
    <t>196. Matsalolin lafiyar jikinku</t>
  </si>
  <si>
    <t>w_home_problems</t>
  </si>
  <si>
    <t>197. Problems at home and with relatives</t>
  </si>
  <si>
    <t>197. Problèmes dans le ménage et avec les proches</t>
  </si>
  <si>
    <t>197. Matsaloli na cikin gida da na dangi</t>
  </si>
  <si>
    <t>w_accidents_disasters</t>
  </si>
  <si>
    <t>agree_likert</t>
  </si>
  <si>
    <t>198. Accidents and disasters</t>
  </si>
  <si>
    <t>198. Accidents et catastrophes</t>
  </si>
  <si>
    <t>198. Hatsari da bala'o'i</t>
  </si>
  <si>
    <t>Strongly Disagree</t>
  </si>
  <si>
    <t>Pas du tout d'accord</t>
  </si>
  <si>
    <t>Ban yarda ba sam sam</t>
  </si>
  <si>
    <t>186. In the past week, how often did you experience the following feelings?</t>
  </si>
  <si>
    <t>186. Au cours de la semaine dernière, à quelle fréquence avez-vous ressenti les sentiments suivants ?</t>
  </si>
  <si>
    <t>186. A cikin satin da ya wuce, sau nawa kuka ji irin waɗannan abubuwan a ranku?</t>
  </si>
  <si>
    <t>456. Thinking about all of the revenues from this business in the past three months, what was the total amount of money coming in from this business in the last three months?</t>
  </si>
  <si>
    <t>456. Pense à tous les revenus de cette entreprise au cours des trois derniers mois, quel a été le montant total provenant de cette entreprise au cours des trois derniers mois ?</t>
  </si>
  <si>
    <t>456. Tuna da dukkan kuɗaɗen shiga na wannan kasuwancin a cikin watanni uku da suka wuce, nawa ne yawan kuɗin da aka samu daga wannan kasuwancin a cikin watanni uku da suka wuce?</t>
  </si>
  <si>
    <t>Disagree</t>
  </si>
  <si>
    <t>457. Thinking about all of the the expenses from this business, what was the total amount of money you spent on costs related to this business in the last three months?</t>
  </si>
  <si>
    <t>187. Enjoyment</t>
  </si>
  <si>
    <t>Pas D'accord</t>
  </si>
  <si>
    <t>457. Pense à toutes les dépenses de cette entreprise, quel a été le montant total que vous avez dépensé pour les coûts liés à cette entreprise au cours des trois derniers mois ?</t>
  </si>
  <si>
    <t>187. Plaisir</t>
  </si>
  <si>
    <t>187. jin daɗi</t>
  </si>
  <si>
    <t>457. Tuna da dukkan kuɗin da aka kashe don wannan kasuwancin, nawa ne jimillar kuɗin da kuka kashe a kan wannan kasuwancin a cikin watanni uku da suka wuce?</t>
  </si>
  <si>
    <t>Ban yarda ba</t>
  </si>
  <si>
    <t>w_money_problems</t>
  </si>
  <si>
    <t>199. Not enough money for basic needs (sucha as food and clothing)</t>
  </si>
  <si>
    <t>199. Pas assez d'argent pour les besoins de base (tels que la nourriture et les vêtements)</t>
  </si>
  <si>
    <t>199. Rashin isassun kuɗi don buƙatun asali (kamar abinci da sutura)</t>
  </si>
  <si>
    <t>w_cant_educate_children</t>
  </si>
  <si>
    <t>188. Happiness</t>
  </si>
  <si>
    <t>188. Bonheur</t>
  </si>
  <si>
    <t>200. Not being able to educate all children</t>
  </si>
  <si>
    <t>188. Farin ciki</t>
  </si>
  <si>
    <t>Neither agree nor disagree</t>
  </si>
  <si>
    <t>200. Ne pas pouvoir scolariser tous les enfants</t>
  </si>
  <si>
    <t>200. Rashin iya rubuta dukkan yara a makarantar boko</t>
  </si>
  <si>
    <t>Ni d'accord ni en désaccord</t>
  </si>
  <si>
    <t>Babu yarda ko rashin yarda</t>
  </si>
  <si>
    <t>w_cant_find_work</t>
  </si>
  <si>
    <t>201. Difficulty finding work</t>
  </si>
  <si>
    <t>201. Difficulté à trouver du travail</t>
  </si>
  <si>
    <t>201. Wahalar neman aiki</t>
  </si>
  <si>
    <t>189. Stress</t>
  </si>
  <si>
    <t>189. Babbar Damuwa</t>
  </si>
  <si>
    <t>Agree</t>
  </si>
  <si>
    <t>D'accord</t>
  </si>
  <si>
    <t>Na yarda</t>
  </si>
  <si>
    <t>w_idleness</t>
  </si>
  <si>
    <t>202. Idleness of children or spouse</t>
  </si>
  <si>
    <t>202. L'oisiveté des enfants ou du conjoint</t>
  </si>
  <si>
    <t>202. Zaman banza na yara ko mata</t>
  </si>
  <si>
    <t>Strongly Agree</t>
  </si>
  <si>
    <t>Totalement d'accord</t>
  </si>
  <si>
    <t>Na yarda sosai</t>
  </si>
  <si>
    <t>190. Worry</t>
  </si>
  <si>
    <t>190. Inquiétude</t>
  </si>
  <si>
    <t>w_alcohol_consumption</t>
  </si>
  <si>
    <t>190. Damuwa</t>
  </si>
  <si>
    <t>203. Alcohol comsumption of children or spouse</t>
  </si>
  <si>
    <t>203. Consommation d'alcool des enfants ou du conjoint</t>
  </si>
  <si>
    <t>203. Shan giya na yara ko mata</t>
  </si>
  <si>
    <t>w_family_death</t>
  </si>
  <si>
    <t>191. Anger</t>
  </si>
  <si>
    <t>191. Colère</t>
  </si>
  <si>
    <t>191. Fushi</t>
  </si>
  <si>
    <t>worries</t>
  </si>
  <si>
    <t>Not at all worried</t>
  </si>
  <si>
    <t>w_debt_owed</t>
  </si>
  <si>
    <t>Pas du tout inquiet</t>
  </si>
  <si>
    <t>205. Debts owed to others</t>
  </si>
  <si>
    <t>Ba damuwa ko kadan</t>
  </si>
  <si>
    <t>205. Dettes envers autrui</t>
  </si>
  <si>
    <t>205. Bashi da wasu ke binku</t>
  </si>
  <si>
    <t>192. Physical pain</t>
  </si>
  <si>
    <t>192. Douleur physique</t>
  </si>
  <si>
    <t>192. ciwon jiki</t>
  </si>
  <si>
    <t>Not very worried</t>
  </si>
  <si>
    <t>Pas très inquiet</t>
  </si>
  <si>
    <t>Ba damuwa sosai</t>
  </si>
  <si>
    <t>193. Loneliness</t>
  </si>
  <si>
    <t>193. Solitude</t>
  </si>
  <si>
    <t>193. kadaici</t>
  </si>
  <si>
    <t>445. In the past three months, did any member of your household care for livestock owned by other people?</t>
  </si>
  <si>
    <t>445. Au cours des trois derniers mois, un membre de votre ménage s'est-il occupé du bétail appartenant à d'autres personnes ?</t>
  </si>
  <si>
    <t>445. A cikin watanni uku da suka wuce, akwai wani ɗan gidanku da ya kula da dabbobin wasu mutane?</t>
  </si>
  <si>
    <t>Somewhat worried</t>
  </si>
  <si>
    <t>Un peu inquiet</t>
  </si>
  <si>
    <t>Dan damuwa</t>
  </si>
  <si>
    <t>446. In a typical week, how many days did they do this job?</t>
  </si>
  <si>
    <t>446. Au cours d'une semaine normale, combien de jours ont-ils fait ce travail ?</t>
  </si>
  <si>
    <t>446. A cikin mako, kwana nawa suka yi wannan aikin?</t>
  </si>
  <si>
    <t>w_three_months_note</t>
  </si>
  <si>
    <t>206. Now I will ask about some things that may have happened to you during the past three months.</t>
  </si>
  <si>
    <t>206. Maintenant, je vais vous poser des questions sur certaines choses qui vous sont peut-être arrivées au cours des trois derniers mois.</t>
  </si>
  <si>
    <t>206. Yanzu zan yi tambayoyi game da wasu abubuwa da wataƙila sun faru da ku a cikin watanni uku da suka wuce.</t>
  </si>
  <si>
    <t>w_disc</t>
  </si>
  <si>
    <t>207. How often, if at all, were you personally discriminated against based on your identity (ethnicity, religion, nationality)?</t>
  </si>
  <si>
    <t>207. À quelle fréquence, si ça vous est déjà arrivé, avez-vous personnellement été victime de discrimination liée a votre identité (ethnie, religion, nationalité) ?</t>
  </si>
  <si>
    <t>207. Sau nawa, idan ya faru a gareku, aka nuna muku wariya dangance da kabilarku, ko addininku, ko ƙasarku2?</t>
  </si>
  <si>
    <t>w_felt_unsafe</t>
  </si>
  <si>
    <t>208. How often, if ever, have you felt unsafe walking in the neighborhood where you are staying?</t>
  </si>
  <si>
    <t>194. I will now read out several statements. You should tell me whether these statements are true for you by using the following scale.</t>
  </si>
  <si>
    <t>194. Je vais maintenant lire plusieurs déclarations. Vous devez me dire si ces affirmations sont vraies pour vous en utilisant l'échelle suivante.</t>
  </si>
  <si>
    <t>208. Combien de fois, vous vous êtes-vous senti en danger en vous promenant dans le quartier où vous séjournez, si cela vous est jamais arrivé ?</t>
  </si>
  <si>
    <t>194. Yanzu zan karanta wasu maganganu da yawa. Za ku gaya mini ko waɗannan maganganun sun yi daidai da ku ta hanyar yin amfani da kuranga mai zuwa.</t>
  </si>
  <si>
    <t>208. Sau nawa, idan ya faru a gareku, kuka ji kuna cikin hatsari yayin da kuke yawo a cikin unguwar da kuke zaune?</t>
  </si>
  <si>
    <t>Very worried</t>
  </si>
  <si>
    <t>Très inquiet</t>
  </si>
  <si>
    <t>Damuwa sosai</t>
  </si>
  <si>
    <t>195. I feel I do not have much to be proud of.</t>
  </si>
  <si>
    <t>195. Je sens que je n'ai pas beaucoup de raisons d'être fier (comblé).</t>
  </si>
  <si>
    <t>195. Ina jin ba ni da hujjojin jin daɗi.</t>
  </si>
  <si>
    <t>450. In the past three months, what is the total revenue from rent of land or other property in CFA?</t>
  </si>
  <si>
    <t>450. Au cours des trois derniers mois, quel a été le revenu total provenant de la location d'un terrain ou d'une autre propriété en CFA?</t>
  </si>
  <si>
    <t>450. A cikin watanni uku da suka gabata, menene jimillar kuɗin da aka samu ta hanyar hayan filaye ko wasu kadarori (a sefa)?</t>
  </si>
  <si>
    <t>w_vict</t>
  </si>
  <si>
    <t>196. At times I think I am no good at all.</t>
  </si>
  <si>
    <t>196. Parfois, je pense que je suis utile a rien</t>
  </si>
  <si>
    <t>196. A wasu lokuta ina ganin bani da amfani.</t>
  </si>
  <si>
    <t>state_likert</t>
  </si>
  <si>
    <t>Strongly agree with Statement 1</t>
  </si>
  <si>
    <t>Tout à fait d'accord avec l'énoncé 1</t>
  </si>
  <si>
    <t>Amincewa sosai da Bayanin 1</t>
  </si>
  <si>
    <t>451. In the past three months, what is the total value of interest from loans you have given to others in CFA?</t>
  </si>
  <si>
    <t>451. Au cours des trois derniers mois, quelle est la valeur totale des intérêts des prêts que vous avez accordés à d'autres en CFA?</t>
  </si>
  <si>
    <t>451. A cikin watanni uku da suka gabata, nawa ne jimillar kudin ruwan basussuka da kuka baiwa wasu (a sefa)?</t>
  </si>
  <si>
    <t>w_experienced_note</t>
  </si>
  <si>
    <t>209. Have you experienced any of the following during ${period}?</t>
  </si>
  <si>
    <t>209. Avez-vous vécu l'une des situations suivantes depuis le debut de ${period_french} ?</t>
  </si>
  <si>
    <t>209. Ko kun taɓa fuskantar ɗayan waɗannan abubuwan a wannan wurin, lokacin ${period_hausa}?</t>
  </si>
  <si>
    <t>Agree with Statement 1</t>
  </si>
  <si>
    <t>D'accord avec l'énoncé 1</t>
  </si>
  <si>
    <t>Amincewa da Bayanin 1</t>
  </si>
  <si>
    <t>w_phys_attacked</t>
  </si>
  <si>
    <t>210. Physical attack</t>
  </si>
  <si>
    <t>210. Attaque physique</t>
  </si>
  <si>
    <t>210. harin jiki</t>
  </si>
  <si>
    <t>Agree with Statement 2</t>
  </si>
  <si>
    <t>D'accord avec l'énoncé 2</t>
  </si>
  <si>
    <t>Amincewa da Bayanin 2</t>
  </si>
  <si>
    <t>197.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</si>
  <si>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197.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</si>
  <si>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197.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</si>
  <si>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Use the scale from 0 to 10</t>
  </si>
  <si>
    <t>Ca C'est une mesure de 0 à 10</t>
  </si>
  <si>
    <t>w_phys_threat</t>
  </si>
  <si>
    <t>211. Threat of physical violence/attack</t>
  </si>
  <si>
    <t>211. Menace de violence physique/agression</t>
  </si>
  <si>
    <t>211. Barazanar ​​harin jiki</t>
  </si>
  <si>
    <t>Strongly agree with Statement 2</t>
  </si>
  <si>
    <t>Tout à fait d'accord avec l'énoncé 2</t>
  </si>
  <si>
    <t>468. How was this money transmitted to your household?</t>
  </si>
  <si>
    <t>468. Comment cet argent a-t-il été envoyé à votre ménage ?</t>
  </si>
  <si>
    <t>468. Ta wace hanya aka aikawa gidanku wannan kuɗin ?</t>
  </si>
  <si>
    <t>w_theft</t>
  </si>
  <si>
    <t>212. Theft of either money or property?</t>
  </si>
  <si>
    <t>212. Vol d'argent ou de propriété?</t>
  </si>
  <si>
    <t>212. Satar kudi ko dukiya?</t>
  </si>
  <si>
    <t>w_arrest</t>
  </si>
  <si>
    <t>statement</t>
  </si>
  <si>
    <t>Statement 1</t>
  </si>
  <si>
    <t>Énoncé 1</t>
  </si>
  <si>
    <t>Bayanin 1</t>
  </si>
  <si>
    <t>457. How much do you pay per day for people to work in this business in CFA?</t>
  </si>
  <si>
    <t>457. Combien payez-vous par jour pour que les gens travaillent dans cette entreprise (en CFA) ?</t>
  </si>
  <si>
    <t>457. Nawa kuke biyan su a wuni (a sefa) ?</t>
  </si>
  <si>
    <t>198. Now I am going to ask you about the areas of your life that worry you.</t>
  </si>
  <si>
    <t>198. Je voudrais maintenant vous poser des questions sur les choses qui vous inquiètent dans votre vie.</t>
  </si>
  <si>
    <t>198. Yanzu ina son in tambaye ku bisa abubuwan da ke damun ku a cikin rayuwar ku.</t>
  </si>
  <si>
    <t>472. How were these goods transmitted to your household?</t>
  </si>
  <si>
    <t>472. Comment ces biens ont-ils été envoyé à votre ménage ?</t>
  </si>
  <si>
    <t>472. Ta yaya aka aika waɗannan kayayyakin zuwa gidanku?</t>
  </si>
  <si>
    <t>Statement 2</t>
  </si>
  <si>
    <t>Énoncé 2</t>
  </si>
  <si>
    <t>Bayanin 2</t>
  </si>
  <si>
    <t>473. Specify other transfer method</t>
  </si>
  <si>
    <t>473. Précisez la méthode du transfert</t>
  </si>
  <si>
    <t>473. Wani daban a Bayyana</t>
  </si>
  <si>
    <t>474. In the past three months, have you or anyone in your household received money from someone who is not a member of your household and who lives in a foreign country (outside of Niger)?</t>
  </si>
  <si>
    <t>474. Au cours des trois derniers mois, vous ou un membre de votre ménage avez-vous reçu &lt;b&gt;de l'argent&lt;/b&gt; d'une personne qui n'est pas membre de votre ménage et qui habite &lt;b&gt;à l'extérieur du Niger&lt;/b&gt; (dans un autre pays)?</t>
  </si>
  <si>
    <t>474. A cikin watanni uku da suka wuce, kai ko dan gidanku kun samu kuɗi daga wanda ba dan gidanku ba da ke zaune a ƙetaren Nijar (a wata kasa)?</t>
  </si>
  <si>
    <t>199. How stressed are you about the following areas of your life?</t>
  </si>
  <si>
    <t>199. Dans quelle mesure êtes-vous stressé par les domaines suivants de votre vie ?</t>
  </si>
  <si>
    <t>199. Yaya damuwarku game da abubuwa na rayuwarku da zan zana?</t>
  </si>
  <si>
    <t>475. How much in total did members of your household receive from people out of Niger?</t>
  </si>
  <si>
    <t>Statement 3</t>
  </si>
  <si>
    <t>475. Combien au total les membres de votre ménage ont-ils reçu des personnes qui ne sont pas au Niger ?</t>
  </si>
  <si>
    <t>475. Nawa ne yan gidanku ya samu daga mutanen da ke zaune a ƙasar waje ba Nijar ba?</t>
  </si>
  <si>
    <t>Énoncé 3</t>
  </si>
  <si>
    <t>Bayanin 3</t>
  </si>
  <si>
    <t>476. How was this money transmitted to your household?</t>
  </si>
  <si>
    <t>476. Comment cet argent a-t-il été envoyé à votre ménage ?</t>
  </si>
  <si>
    <t>476. Ta wace hanya aka aikawa gidanku wannan kuɗin ?</t>
  </si>
  <si>
    <t>w_vict_text</t>
  </si>
  <si>
    <t>458. In a typical week during the past three months, how many days did ${hoh_biz_name} work in the household business?</t>
  </si>
  <si>
    <t>458. Au cours d'une semaine normale au cours des trois derniers mois, combien de jours ${hoh_biz_name} a-t-il travaillé dans l'entreprise familiale ?</t>
  </si>
  <si>
    <t>458. Kwanaki nawa a cikin kowane mako guda a cikin watanni uku da suka gabata, ${hoh_biz_name} yayi aiki a cikin kasuwancin gida?</t>
  </si>
  <si>
    <t>200. Your own health problems, illness</t>
  </si>
  <si>
    <t>200. Vos propres problèmes de santé</t>
  </si>
  <si>
    <t>200. Matsalolin lafiyar jikinku</t>
  </si>
  <si>
    <t>478. In the past three months, have you or anyone in your household received goods (payment in kind) from someone who is not a member of your household and who lives in a foreign country (outside of Niger)?</t>
  </si>
  <si>
    <t>478. Au cours des trois derniers mois, vous ou un membre de votre ménage avez reçu &lt;b&gt;des biens&lt;/b&gt; (paiement en nature) d'une personne qui n'est pas membre de votre ménage et qui habite &lt;b&gt;à l'extérieur du Niger&lt;/b&gt; (dans un autre pays)?</t>
  </si>
  <si>
    <t>478. A cikin wata uku da suka wuce, kai ko wani a cikin gidanku an baku wasu kaya (a matsayin biya) daga wani wanda ba ɗan gidanku ba da ke zaune a ƙetaren Nijar (a wata kasa)?</t>
  </si>
  <si>
    <t>479. What was the value of the goods members of your household receive from people out of Niger?</t>
  </si>
  <si>
    <t>479. Quel était la valeur au totale des biens que les membres de votre ménage ont reçu des personnes qui ne sont pas au Niger ?</t>
  </si>
  <si>
    <t>479. Nawa kimar kayan da ƴan gidanku suka samo daga mutanen da ke zaune a ƙasar waje ba Nijar ba?</t>
  </si>
  <si>
    <t>201. Problems at home and with relatives</t>
  </si>
  <si>
    <t>save_or_share</t>
  </si>
  <si>
    <t>201. Problèmes dans le ménage et avec les proches</t>
  </si>
  <si>
    <t>480. How were these goods transmitted to your household?</t>
  </si>
  <si>
    <t>201. Matsaloli na cikin gida da na dangi</t>
  </si>
  <si>
    <t>480. Comment ces biens ont-ils été envoyé à votre ménage ?</t>
  </si>
  <si>
    <t>480. Ta yaya aka aika waɗannan kayan zuwa gidanku?</t>
  </si>
  <si>
    <t>1. Save the surplus for the future</t>
  </si>
  <si>
    <t>w_vict_text_note</t>
  </si>
  <si>
    <t>1. Économisez le surplus pour l'avenir</t>
  </si>
  <si>
    <t>1. Ajiyar ƙarin don gaba</t>
  </si>
  <si>
    <t>202. Accidents and disasters</t>
  </si>
  <si>
    <t>202. Accidents et catastrophes</t>
  </si>
  <si>
    <t>202. Hatsari da bala'o'i</t>
  </si>
  <si>
    <t>w_attack_note</t>
  </si>
  <si>
    <t>215. Physical attack</t>
  </si>
  <si>
    <t>2. Share its surplus with less fortunate households in the village</t>
  </si>
  <si>
    <t>215. Attaque physique</t>
  </si>
  <si>
    <t>2. Partager son surplus avec les ménages moins fortunés du village</t>
  </si>
  <si>
    <t>215. harin jiki</t>
  </si>
  <si>
    <t>2. Raba ƙarin da sauran gidaje marasa galihu a garin</t>
  </si>
  <si>
    <t>483. How much did your household send to people elsewhere in Niger?</t>
  </si>
  <si>
    <t>483. Combien votre ménage a-t-il envoyé à des personnes qui sont quelque part au Niger ?</t>
  </si>
  <si>
    <t>483. Nawa ne gidanku ya aikawa mutanen da ke wasu wurare a Nijar?</t>
  </si>
  <si>
    <t>w_phys_threat_note</t>
  </si>
  <si>
    <t>216. Threat of physical violence/attack</t>
  </si>
  <si>
    <t>216. Menace de violence physique/agression</t>
  </si>
  <si>
    <t>203. Not enough money for basic needs (sucha as food and clothing)</t>
  </si>
  <si>
    <t>216. Barazanar ​​harin jiki</t>
  </si>
  <si>
    <t>203. Pas assez d'argent pour les besoins de base (tels que la nourriture et les vêtements)</t>
  </si>
  <si>
    <t>203. Rashin isassun kuɗi don buƙatun asali (kamar abinci da sutura)</t>
  </si>
  <si>
    <t>w_theft_note</t>
  </si>
  <si>
    <t>217. Theft of either money or property?</t>
  </si>
  <si>
    <t>217. Vol d'argent ou de propriété?</t>
  </si>
  <si>
    <t>217. Satar kudi ko dukiya?</t>
  </si>
  <si>
    <t>attitude</t>
  </si>
  <si>
    <t>204. Not being able to educate all children</t>
  </si>
  <si>
    <t>204. Ne pas pouvoir scolariser tous les enfants</t>
  </si>
  <si>
    <t>204. Rashin iya rubuta dukkan yara a makarantar boko</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</si>
  <si>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</si>
  <si>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</si>
  <si>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</si>
  <si>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486. In the past three months, have you or anyone in your household shared or sent goods (payment in kind) to someone who is not a member of your household and who lives elsewhere in Niger (outside your village)?</t>
  </si>
  <si>
    <t>486. Au cours des trois derniers mois, vous ou quelqu'un de votre ménage avez-vous partagé ou envoyé &lt;b&gt;des biens&lt;/b&gt; (paiement en nature) à quelqu'un qui n'est pas membre de votre ménage et qui habite &lt;b&gt;ailleurs au Niger&lt;/b&gt; (en dehors de votre village) ?</t>
  </si>
  <si>
    <t>486. A cikin watanni uku da suka wuce, kai ko wani a cikin gidanku kun bada ko kun aika kaya (a matsayin biya) ga wanda ba dan giɗanku ba da ke zaune a wani wuri a cikin Nijar (Ba'a garinku ba)?</t>
  </si>
  <si>
    <t>487. What was the value of the goods members of your household sent to people elsewhere in Niger?</t>
  </si>
  <si>
    <t>487. Quel était la valeur au totale des biens que les membres de votre ménage ont envoyé aux personnes qui sont quelques part au Niger ?</t>
  </si>
  <si>
    <t>487. Nawa ne kimar kayan da ƴan gidanku suka aika wa mutane a wasu wurare a cikin Nijar?</t>
  </si>
  <si>
    <t>205. Difficulty finding work</t>
  </si>
  <si>
    <t>205. Difficulté à trouver du travail</t>
  </si>
  <si>
    <t>205. Wahalar neman aiki</t>
  </si>
  <si>
    <t>2. Our society must be gradually improved by reforms</t>
  </si>
  <si>
    <t>488. How were these goods transmitted to the recipient?</t>
  </si>
  <si>
    <t>2. Notre société doit être progressivement améliorée par des réformes</t>
  </si>
  <si>
    <t>488. Comment ces biens ont-ils été envoyé au destinataire ?</t>
  </si>
  <si>
    <t>2. Dole ne a inganta al'ummarmu a hankali ta hanyar gyara</t>
  </si>
  <si>
    <t>488. Ta yaya aka aika waɗannan kayayyaki zuwa ga mai karɓa?</t>
  </si>
  <si>
    <t>489. Specify other transfer method</t>
  </si>
  <si>
    <t>489. Precisez la methode du transfert</t>
  </si>
  <si>
    <t>489. Wani daban a Bayyana</t>
  </si>
  <si>
    <t>w_arrest_note</t>
  </si>
  <si>
    <t>3. Our present society must be valiantly defended against all subversive forces</t>
  </si>
  <si>
    <t>206. Idleness of children or spouse</t>
  </si>
  <si>
    <t>3. Notre société actuelle doit être vaillamment défendue contre toutes les forces subversives</t>
  </si>
  <si>
    <t>206. L'oisiveté des enfants ou du conjoint</t>
  </si>
  <si>
    <t>206. Zaman banza na yara ko mata</t>
  </si>
  <si>
    <t>3. Dole ne al'ummarmu ta yanzu ta kasance da jajircewa wajen kare kai daga duk wani yunkuri na zagon kasa</t>
  </si>
  <si>
    <t>464. What was the activity?</t>
  </si>
  <si>
    <t>464. Quelle était l'activité ?</t>
  </si>
  <si>
    <t>464. Menene aikin?</t>
  </si>
  <si>
    <t>465. Specify the activity</t>
  </si>
  <si>
    <t>465. Précisez l'activité</t>
  </si>
  <si>
    <t>465. Baiyana aikin</t>
  </si>
  <si>
    <t>207. Alcohol comsumption of children or spouse</t>
  </si>
  <si>
    <t>207. Consommation d'alcool des enfants ou du conjoint</t>
  </si>
  <si>
    <t>207. Shan giya na yara ko mata</t>
  </si>
  <si>
    <t>493. Specify other transfer method</t>
  </si>
  <si>
    <t>493. Precisez la methode du transfert</t>
  </si>
  <si>
    <t>493. Wani daban a Bayyana</t>
  </si>
  <si>
    <t>w_meals_note</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</si>
  <si>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</si>
  <si>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</si>
  <si>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</si>
  <si>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</si>
  <si>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208. Death of a family member</t>
  </si>
  <si>
    <t>208. Décès d'un membre de la famille</t>
  </si>
  <si>
    <t>208. Mutuwar wani ɗan uwa</t>
  </si>
  <si>
    <t>w_adults_skip_days</t>
  </si>
  <si>
    <t>220. In the last 7 days, have adults gone a whole day without meals?</t>
  </si>
  <si>
    <t>220. Au cours des 7 derniers jours, des adultes sont-ils restés une journée entière sans manger de repas ?</t>
  </si>
  <si>
    <t>220. A cikin kwanaki 7 da suka wuce, ko manya gidanku sun zauna tsawon wuni guda basu ci abinci ba?</t>
  </si>
  <si>
    <t>2. There are not enough customs and habits in my society to guide me</t>
  </si>
  <si>
    <t>2. Il n'y a pas assez des us et coutumes dans ma société pour me guider</t>
  </si>
  <si>
    <t>2. Babu isassun al'adu da ɗabi'a a cikin al'ummata da za su jagorance ni</t>
  </si>
  <si>
    <t>209. Debts owed to others</t>
  </si>
  <si>
    <t>209. Dettes envers autrui</t>
  </si>
  <si>
    <t>209. Bashi da wasu ke binku</t>
  </si>
  <si>
    <t>w_adults_skip_days_num</t>
  </si>
  <si>
    <t>221. How many days?</t>
  </si>
  <si>
    <t>221. Pendant combien de jours?</t>
  </si>
  <si>
    <t>221. 151a Tsawon kwanaki nawa?</t>
  </si>
  <si>
    <t>3. There are just about the right amount of customs and habits in my society</t>
  </si>
  <si>
    <t>3. Il y a à peu près ce qu'il faut des us et coutumes dans ma société</t>
  </si>
  <si>
    <t>3. Akwai daidai adadin al'adu da halaye a cikin al'ummata</t>
  </si>
  <si>
    <t>497. Specify other transfer method</t>
  </si>
  <si>
    <t>497. Precisez la methode du transfert</t>
  </si>
  <si>
    <t>497. Wani daban a Bayyana</t>
  </si>
  <si>
    <t>498. In the past three months, have you received support from any of the following sources?</t>
  </si>
  <si>
    <t>498. Au cours des trois derniers mois, avez-vous reçu de l'aide de l'une des sources suivantes ?</t>
  </si>
  <si>
    <t>498. A cikin watanni uku da suka wuce, kun samu taimako daga ɗayan waɗannan hanyoyin?</t>
  </si>
  <si>
    <t>499. How much did ou receive from all the sources combined?</t>
  </si>
  <si>
    <t xml:space="preserve">499. </t>
  </si>
  <si>
    <t>500. In addition to the transfers we just discussed, what is the total value of income from charity or gifts your household has received &lt;b&gt;in the past three months&lt;/b&gt; in CFA?</t>
  </si>
  <si>
    <t>500. En dehors des transferts qu'on vient de citer, quelle est la valeur totale des revenus provenant d'œuvres caritatives ou de cadeaux que votre ménage a reçus &lt;b&gt; au cours des trois derniers mois&lt;/b&gt; (en CFA) ?</t>
  </si>
  <si>
    <t>500. Nawa ne yawan kuɗin taimako ko kyauta da ƴan gidanku suka samu a cikin watanni uku da suka gabata (a sefa) ?</t>
  </si>
  <si>
    <t>w_adults_skip_meals</t>
  </si>
  <si>
    <t>222. In the last 7 days, have adults cut the size of meals or skipped meals?</t>
  </si>
  <si>
    <t>222. Au cours des 7 derniers jours, les adultes ont-ils réduit la taille de leur repas ou les ont-ils sauté?</t>
  </si>
  <si>
    <t>222. A cikin kwanaki 7 na ƙarshe, ko manyan gidanku sun rage yawan abincin da suka saba ci ko sun tsallake shi?</t>
  </si>
  <si>
    <t>husbandwife</t>
  </si>
  <si>
    <t>Only wife decides</t>
  </si>
  <si>
    <t>Seule la femme décide</t>
  </si>
  <si>
    <t>Mace ce kawai ta yanke shawara</t>
  </si>
  <si>
    <t>210. Now I will ask about some things that may have happened to you during the past three months.</t>
  </si>
  <si>
    <t>210. Maintenant, je vais vous poser des questions sur certaines choses qui vous sont peut-être arrivées au cours des trois derniers mois.</t>
  </si>
  <si>
    <t>210. Yanzu zan yi tambayoyi game da wasu abubuwa da wataƙila sun faru da ku a cikin watanni uku da suka wuce.</t>
  </si>
  <si>
    <t>w_adults_skip_meal_num</t>
  </si>
  <si>
    <t>223. How many days?</t>
  </si>
  <si>
    <t>223. Pendant combien de jours?</t>
  </si>
  <si>
    <t>223. Tsawon kwanaki nawa?</t>
  </si>
  <si>
    <t>Somewhat more than the husband</t>
  </si>
  <si>
    <t>Un peu plus que le mari</t>
  </si>
  <si>
    <t>Da ɗan fiye da mijin</t>
  </si>
  <si>
    <t>w_adult_protein</t>
  </si>
  <si>
    <t>224. In the past week how many days have adults in your household consumed animal protein (including fish, meat, poultry)?</t>
  </si>
  <si>
    <t>224. Au cours des 7 derniers jours, combien de fois les adultes de votre ménage ont-ils consommé des protéines animales (y compris poisson, viande, volaille) ?</t>
  </si>
  <si>
    <t>224. A cikin kwanaki 7 da suka wuce sau nawa manyan gidanku suka ci abinci masu gina jiki kamar su kifi ko nama ko kaji?</t>
  </si>
  <si>
    <t>211. How often, if at all, were you personally discriminated against based on your identity (ethnicity, religion, nationality)?</t>
  </si>
  <si>
    <t>Equal to husband</t>
  </si>
  <si>
    <t>211. À quelle fréquence, si ça vous est déjà arrivé, avez-vous personnellement été victime de discrimination liée a votre identité (ethnie, religion, nationalité) ?</t>
  </si>
  <si>
    <t>211. Sau nawa, idan ya faru a gareku, aka nuna muku wariya dangance da kabilarku, ko addininku, ko ƙasarku2?</t>
  </si>
  <si>
    <t>Égal au mari</t>
  </si>
  <si>
    <t>w_child_skip_days</t>
  </si>
  <si>
    <t>225. In the last 7 days, have children (&lt;14) gone a whole day without meals?</t>
  </si>
  <si>
    <t>Daidai da miji</t>
  </si>
  <si>
    <t>225. Au cours des 7 derniers jours, des enfants (&lt;14) ont-ils passé une journée entière sans manger de repas ?</t>
  </si>
  <si>
    <t>225. A cikin kwanaki 7 na ƙarshe, ko yara ƴan ƙasa da shekara goma sha huɗu sun zauna tsawon wuni guda ba su ci da abinci ba?</t>
  </si>
  <si>
    <t>w_child_skip_days_num</t>
  </si>
  <si>
    <t>226. How many days?</t>
  </si>
  <si>
    <t>226. Pendant combien de jours?</t>
  </si>
  <si>
    <t>226. 154a Tsawon kwanaki nawa?</t>
  </si>
  <si>
    <t>Somewhat less than husband</t>
  </si>
  <si>
    <t>212. How often, if ever, have you felt unsafe walking in the neighborhood where you are staying?</t>
  </si>
  <si>
    <t>Un peu moins que le mari</t>
  </si>
  <si>
    <t>212. Combien de fois, vous vous êtes-vous senti en danger en vous promenant dans le quartier où vous séjournez, si cela vous est jamais arrivé ?</t>
  </si>
  <si>
    <t>212. Sau nawa, idan ya faru a gareku, kuka ji kuna cikin hatsari yayin da kuke yawo a cikin unguwar da kuke zaune?</t>
  </si>
  <si>
    <t>Kasan miji</t>
  </si>
  <si>
    <t>w_child_skip_meals</t>
  </si>
  <si>
    <t>227. In the last 7 days, have children (&lt;14) cut the size of meals or skipped meals?</t>
  </si>
  <si>
    <t>227. Au cours des 7 derniers jours, des enfants (&lt;14) ont-ils réduit la taille de leurs repas ou les ont-ils sauté?</t>
  </si>
  <si>
    <t>227. A cikin kwanaki 7 na ƙarshe, suna da yara (&lt;14) sun rage yawan abinci ko sun rasa gaba ɗaya?</t>
  </si>
  <si>
    <t>w_child_skip_meals_num</t>
  </si>
  <si>
    <t>228. How many days?</t>
  </si>
  <si>
    <t>228. Pendant combien de jours?</t>
  </si>
  <si>
    <t>228. 155a Tsawon kwanaki nawa?</t>
  </si>
  <si>
    <t>Only husband decides</t>
  </si>
  <si>
    <t>Seul le mari décide</t>
  </si>
  <si>
    <t>w_child_protein</t>
  </si>
  <si>
    <t>Miji ne kawai ya yanke shawara</t>
  </si>
  <si>
    <t>229. In the past week how many days have children in your household consumed animal protein (inlcuding fish, meat, poultry)?</t>
  </si>
  <si>
    <t>229. Au cours des 7 derniers jours, combien de fois les enfants de votre ménage ont-ils consommé des protéines animales (y compris poisson, viande, volaille) ?</t>
  </si>
  <si>
    <t>229. A cikin kwanaki 7 da suka gabata sau nawa yara a cikin gidanku suka ci abinci masu gina jiki kamar su kifi, nama, kaji ?</t>
  </si>
  <si>
    <t>477. In the past three months, have you or anyone in your household received money from someone who is not a member of your household and who lives in a foreign country (outside of Niger)?</t>
  </si>
  <si>
    <t>477. Au cours des trois derniers mois, vous ou un membre de votre ménage avez-vous reçu &lt;b&gt;de l'argent&lt;/b&gt; d'une personne qui n'est pas membre de votre ménage et qui habite &lt;b&gt;à l'extérieur du Niger&lt;/b&gt; (dans un autre pays)?</t>
  </si>
  <si>
    <t>477. A cikin watanni uku da suka wuce, kai ko dan gidanku kun samu kuɗi daga wanda ba dan gidanku ba da ke zaune a ƙetaren Nijar (a wata kasa)?</t>
  </si>
  <si>
    <t>w_consumption</t>
  </si>
  <si>
    <t>478. How much in total did members of your household receive from people out of Niger?</t>
  </si>
  <si>
    <t>478. Combien au total les membres de votre ménage ont-ils reçu des personnes qui ne sont pas au Niger ?</t>
  </si>
  <si>
    <t>478. Nawa ne yan gidanku ya samu daga mutanen da ke zaune a ƙasar waje ba Nijar ba?</t>
  </si>
  <si>
    <t>select_multiple cons_month</t>
  </si>
  <si>
    <t>w_monthly_consumption_any</t>
  </si>
  <si>
    <t>230. Has your household spent money on the following types of expenses in the past month?</t>
  </si>
  <si>
    <t>230. Votre ménage a-t-il dépensé de l'argent pour les types de dépenses suivants au cours du dernier mois ?</t>
  </si>
  <si>
    <t>230. Shin gidanku ya kashe kuɗi akan irin waɗannan abubuwan a cikin watan da ya gabata?</t>
  </si>
  <si>
    <t>live_home</t>
  </si>
  <si>
    <t>Will surely live at home</t>
  </si>
  <si>
    <t>213. Have you experienced any of the following during ${period}?</t>
  </si>
  <si>
    <t>213. Avez-vous vécu l'une des situations suivantes depuis le debut de ${period_french} ?</t>
  </si>
  <si>
    <t>Est presque sûr de toujours habiter ici</t>
  </si>
  <si>
    <t>213. Ko kun taɓa fuskantar ɗayan waɗannan abubuwan a wannan wurin, lokacin ${period_hausa}?</t>
  </si>
  <si>
    <t>Tabbas zai rayu a gida</t>
  </si>
  <si>
    <t>w_cons_month</t>
  </si>
  <si>
    <t>Consumption - Monthly</t>
  </si>
  <si>
    <t>Consommation - Mensuelle</t>
  </si>
  <si>
    <t>Cimaka - kowane wata</t>
  </si>
  <si>
    <t>480. Specify other transfer method</t>
  </si>
  <si>
    <t>480. Précisez la méthode du transfert</t>
  </si>
  <si>
    <t>480. Wani daban a Bayyana</t>
  </si>
  <si>
    <t>w_item</t>
  </si>
  <si>
    <t>item</t>
  </si>
  <si>
    <t>article</t>
  </si>
  <si>
    <t>kaya</t>
  </si>
  <si>
    <t>Very likely to live at home</t>
  </si>
  <si>
    <t>214. Physical attack</t>
  </si>
  <si>
    <t>Est probable de toujours habiter ici'</t>
  </si>
  <si>
    <t>481. In the past three months, have you or anyone in your household received goods (payment in kind) from someone who is not a member of your household and who lives in a foreign country (outside of Niger)?</t>
  </si>
  <si>
    <t>214. Attaque physique</t>
  </si>
  <si>
    <t>481. Au cours des trois derniers mois, vous ou un membre de votre ménage avez reçu &lt;b&gt;des biens&lt;/b&gt; (paiement en nature) d'une personne qui n'est pas membre de votre ménage et qui habite &lt;b&gt;à l'extérieur du Niger&lt;/b&gt; (dans un autre pays)?</t>
  </si>
  <si>
    <t>214. harin jiki</t>
  </si>
  <si>
    <t>481. A cikin wata uku da suka wuce, kai ko wani a cikin gidanku an baku wasu kaya (a matsayin biya) daga wani wanda ba ɗan gidanku ba da ke zaune a ƙetaren Nijar (a wata kasa)?</t>
  </si>
  <si>
    <t>w_monthly_consumption_amt</t>
  </si>
  <si>
    <t>231. How much did your household spend on ${w_item} in the past month (in CFA)?</t>
  </si>
  <si>
    <t>231. Combien votre ménage a-t-il dépensé pour ${w_item} au cours du dernier mois (en CFA) ?</t>
  </si>
  <si>
    <t>231. Nawa ne (a CFA) gidanku ya kashe akan ${w_item} cikin watan da ya gabata ?</t>
  </si>
  <si>
    <t>Yiwuwar zama a gida</t>
  </si>
  <si>
    <t>215. Threat of physical violence/attack</t>
  </si>
  <si>
    <t>483. How were these goods transmitted to your household?</t>
  </si>
  <si>
    <t>215. Menace de violence physique/agression</t>
  </si>
  <si>
    <t>483. Comment ces biens ont-ils été envoyé à votre ménage ?</t>
  </si>
  <si>
    <t>215. Barazanar ​​harin jiki</t>
  </si>
  <si>
    <t>483. Ta yaya aka aika waɗannan kayan zuwa gidanku?</t>
  </si>
  <si>
    <t>select_multiple cons_week</t>
  </si>
  <si>
    <t>More likely than not to live at home</t>
  </si>
  <si>
    <t>w_weekly_consumption_any</t>
  </si>
  <si>
    <t>Plus probable de toujours habiter ici qu'ailleurs</t>
  </si>
  <si>
    <t>Mafi kusantar zama a gida</t>
  </si>
  <si>
    <t>w_cons_week</t>
  </si>
  <si>
    <t>Consumption - Weekly</t>
  </si>
  <si>
    <t>Consommation - Hebdomadaire</t>
  </si>
  <si>
    <t>Cimakar - sati-sati</t>
  </si>
  <si>
    <t>216. Theft of either money or property?</t>
  </si>
  <si>
    <t>More likely than not to live elsewhere</t>
  </si>
  <si>
    <t>216. Vol d'argent ou de propriété?</t>
  </si>
  <si>
    <t>216. Satar kudi ko dukiya?</t>
  </si>
  <si>
    <t>Plus probable d'habiter ailleurs qu'ici</t>
  </si>
  <si>
    <t>Mai yuwuwa fiye da kada ku zauna a wani wuri</t>
  </si>
  <si>
    <t>485. In the past three months, have you or anyone in your household shared or sent money to someone who is not a member of your household and who lives elsewhere in Niger (outside your village)?</t>
  </si>
  <si>
    <t>485. Au cours des trois derniers mois, vous ou quelqu'un de votre ménage avez-vous partagé ou envoyé &lt;b&gt;de l'argent&lt;/b&gt; à quelqu'un qui n'est pas membre de votre ménage et qui habite &lt;b&gt;ailleurs au Niger&lt;/b&gt;(en dehors de votre village)</t>
  </si>
  <si>
    <t>485. A cikin watanni uku da suka wuce, kai ko wani a cikin gidanku kun bada ko kun aika kuɗi ga wani wanda ba dan gidanku ba da ke zaune a wani wuri a Nijar (wajen garinku)</t>
  </si>
  <si>
    <t>w_item_week</t>
  </si>
  <si>
    <t>item weekly</t>
  </si>
  <si>
    <t>article hebdomadaire</t>
  </si>
  <si>
    <t>kayan sati-sati</t>
  </si>
  <si>
    <t>486. How much did your household send to people elsewhere in Niger?</t>
  </si>
  <si>
    <t>486. Combien votre ménage a-t-il envoyé à des personnes qui sont quelque part au Niger ?</t>
  </si>
  <si>
    <t>486. Nawa ne gidanku ya aikawa mutanen da ke wasu wurare a Nijar?</t>
  </si>
  <si>
    <t>w_weekly_consumption_amt</t>
  </si>
  <si>
    <t>233. How much did your household spend on ${w_item_week} in the past week (in CFA)?</t>
  </si>
  <si>
    <t>233. Combien votre ménage a-t-il dépensé en ${w_item_week} la semaine dernière (en CFA) ?</t>
  </si>
  <si>
    <t>233. Nawa ne gidan ku ya kashe (a CFA) a ${w_item_week} satin da ya gabata ?</t>
  </si>
  <si>
    <t>Very likely to live elsewhere</t>
  </si>
  <si>
    <t>Est probable d'habiter ailleurs</t>
  </si>
  <si>
    <t>217. Detention or arrest by state security forces?</t>
  </si>
  <si>
    <t>Yiwuwar zama wani wuri</t>
  </si>
  <si>
    <t>217. Détention ou arrestation par les forces de sécurité de l'État ?</t>
  </si>
  <si>
    <t>217. Kaso ko kamu daga jami'an tsaron gwamnati?</t>
  </si>
  <si>
    <t>488. Specify other transfer method</t>
  </si>
  <si>
    <t>488. Précisez la méthode du transfert</t>
  </si>
  <si>
    <t>488. Wani daban a Bayyana</t>
  </si>
  <si>
    <t>Will surely live elsewhere</t>
  </si>
  <si>
    <t>w_tabaski</t>
  </si>
  <si>
    <t>Est presque sûr d'habiter ailleurs</t>
  </si>
  <si>
    <t>Tabbas zai rayu a wani wuri</t>
  </si>
  <si>
    <t>489. In the past three months, have you or anyone in your household shared or sent goods (payment in kind) to someone who is not a member of your household and who lives elsewhere in Niger (outside your village)?</t>
  </si>
  <si>
    <t>489. Au cours des trois derniers mois, vous ou quelqu'un de votre ménage avez-vous partagé ou envoyé &lt;b&gt;des biens&lt;/b&gt; (paiement en nature) à quelqu'un qui n'est pas membre de votre ménage et qui habite &lt;b&gt;ailleurs au Niger&lt;/b&gt; (en dehors de votre village) ?</t>
  </si>
  <si>
    <t>489. A cikin watanni uku da suka wuce, kai ko wani a cikin gidanku kun bada ko kun aika kaya (a matsayin biya) ga wanda ba dan giɗanku ba da ke zaune a wani wuri a cikin Nijar (Ba'a garinku ba)?</t>
  </si>
  <si>
    <t>w_purchase</t>
  </si>
  <si>
    <t>w_purchase_clothing</t>
  </si>
  <si>
    <t>${w_phys_attacked} = 1 or ${w_phys_threat} = 1 or ${w_theft} = 1 or ${w_arrest} = 1</t>
  </si>
  <si>
    <t>live_away</t>
  </si>
  <si>
    <t>Will surely live in Niger</t>
  </si>
  <si>
    <t>Est presque sûr de toujours habiter au Niger</t>
  </si>
  <si>
    <t>Tabbas ya fi son ya zauna ya rayu a Nijar</t>
  </si>
  <si>
    <t>218. Now I would like to ask you to tell me more about your specific experience with:</t>
  </si>
  <si>
    <t>w_purchase_sheep</t>
  </si>
  <si>
    <t>218. J'aimerais maintenant vous demander de m'en dire un peu plus sur votre expérience spécifique avec :</t>
  </si>
  <si>
    <t>218. Yanzu ina so in tambaye ku ƙarin bayani game da takamaiman gogewarku na masamman game da:</t>
  </si>
  <si>
    <t>Very likely to live in Niger</t>
  </si>
  <si>
    <t>Est probable de toujours habiter au Niger</t>
  </si>
  <si>
    <t>Ya fi son sosai ya zauna ya rayu a Nijar</t>
  </si>
  <si>
    <t>w_purchase_goat</t>
  </si>
  <si>
    <t>w_purchase_poultry</t>
  </si>
  <si>
    <t>238. Poultry</t>
  </si>
  <si>
    <t>219. Physical attack</t>
  </si>
  <si>
    <t>238. Volaille</t>
  </si>
  <si>
    <t>219. Attaque physique</t>
  </si>
  <si>
    <t>238. Kaji/zabi</t>
  </si>
  <si>
    <t>219. harin jiki</t>
  </si>
  <si>
    <t>More likely than not to live in Niger</t>
  </si>
  <si>
    <t>Plus probable de toujours habiter au Niger qu'ailleurs</t>
  </si>
  <si>
    <t>Ya fi son zama a Nijar fiye da wani wuri</t>
  </si>
  <si>
    <t>${w_phys_attacked} = 1</t>
  </si>
  <si>
    <t>hoh_tabaski</t>
  </si>
  <si>
    <t>495. How did you transmit the money to the recipient?</t>
  </si>
  <si>
    <t>495. Comment avez-vous transmis l'argent au destinataire ?</t>
  </si>
  <si>
    <t>495. Ta wace hanya kuka aika kuɗin ga mai karɓa?</t>
  </si>
  <si>
    <t>More likely than not to live in another country</t>
  </si>
  <si>
    <t>Plus probable d'habiter ailleurs que Niger</t>
  </si>
  <si>
    <t>Ya fi son sosai ya zauna ya rayu a wani wuri</t>
  </si>
  <si>
    <t>220. Threat of physical violence/attack</t>
  </si>
  <si>
    <t>220. Menace de violence physique/agression</t>
  </si>
  <si>
    <t>496. Specify other transfer method</t>
  </si>
  <si>
    <t>220. Barazanar ​​harin jiki</t>
  </si>
  <si>
    <t>496. Precisez la methode du transfert</t>
  </si>
  <si>
    <t>496. Wani daban a Bayyana</t>
  </si>
  <si>
    <t>${w_phys_threat} = 1</t>
  </si>
  <si>
    <t>497. In the past three months, have you or anyone in your household shared or sent goods (payment in kind) to someone who is not a member of your household and who lives in a foreign country (outside of Niger)?</t>
  </si>
  <si>
    <t>Very likely to live in another country</t>
  </si>
  <si>
    <t>497. Au cours des trois derniers mois, vous ou quelqu'un de votre ménage avez-vous partagé ou envoyé &lt;b&gt;des biens&lt;/b&gt; (paiement en nature) à quelqu'un qui n'est pas membre de votre ménage et qui habite &lt;b&gt;à l'extérieur du Niger&lt;/b&gt; (dans un autre pays) ?</t>
  </si>
  <si>
    <t>497. A cikin watanni uku da suka wuce, kai ko wani a cikin gidanku kun bada ko kun aika kaya (a matsayin biya) ga wanda ba ɗan gidanku ba da ke zaune a wajen Nijar (a wata kasa)?</t>
  </si>
  <si>
    <t>select_multiple emergency</t>
  </si>
  <si>
    <t>w_emergency</t>
  </si>
  <si>
    <t>239. During ${period}, was your household negatively affected by any of the following types of events?</t>
  </si>
  <si>
    <t>239. Au cours de ${period_french}, votre ménage a-t-il été affecté négativement par l'un des types d'événements suivants ?</t>
  </si>
  <si>
    <t>239. A lokacin ${period_hausa}, ko gidanku ya fuskanci wani daga cikin matsaloli nan masu zuwa? Zaɓi duk abin da ya dace</t>
  </si>
  <si>
    <t>221. Theft of either money or property?</t>
  </si>
  <si>
    <t>221. Vol d'argent ou de propriété?</t>
  </si>
  <si>
    <t>221. Satar kudi ko dukiya?</t>
  </si>
  <si>
    <t>Will surely live in another country</t>
  </si>
  <si>
    <t>${w_theft} = 1</t>
  </si>
  <si>
    <t>Tabbas ya zauna ya rayu a wani wuri</t>
  </si>
  <si>
    <t>w_emergency_o</t>
  </si>
  <si>
    <t>240. Please briefly describe the event(s) that negatveily affected your household</t>
  </si>
  <si>
    <t>240. Veuillez décrire brièvement le/les événement(s) qui ont eu des effets négatifs sur votre ménage au cours des 3 derniers mois</t>
  </si>
  <si>
    <t>240. Da fatan za ku yi taƙaitaccen bayani a kan abin da ya shafi gidan ku</t>
  </si>
  <si>
    <t>w_emerg_resp</t>
  </si>
  <si>
    <t>Emergency response</t>
  </si>
  <si>
    <t>222. Detention or arrest by state security forces?</t>
  </si>
  <si>
    <t>222. Détention ou arrestation par les forces de sécurité de l'État ?</t>
  </si>
  <si>
    <t>222. Kaso ko kamu daga jami'an tsaron gwamnati?</t>
  </si>
  <si>
    <t>${w_arrest} = 1</t>
  </si>
  <si>
    <t>500. Specify other transfer method</t>
  </si>
  <si>
    <t>500. Precisez la methode du transfert</t>
  </si>
  <si>
    <t>500. Wani daban a Bayyana</t>
  </si>
  <si>
    <t>w_emergency_name</t>
  </si>
  <si>
    <t>Emergency Name</t>
  </si>
  <si>
    <t>501. In the past three months, have you received support from any of the following sources?</t>
  </si>
  <si>
    <t>school_prefer_son</t>
  </si>
  <si>
    <t>501. Au cours des trois derniers mois, avez-vous reçu de l'aide de l'une des sources suivantes ?</t>
  </si>
  <si>
    <t>501. A cikin watanni uku da suka wuce, kun samu taimako daga ɗayan waɗannan hanyoyin?</t>
  </si>
  <si>
    <t>Strongly prefer sons complete koranic school</t>
  </si>
  <si>
    <t>w_emerg_yes</t>
  </si>
  <si>
    <t>Préfère fortement que les fils terminent l'école coranique</t>
  </si>
  <si>
    <t>Ya fi son sosai ƴaƴa maza su kammala karatun ƙur'ani</t>
  </si>
  <si>
    <t>502. How much did ou receive from all the sources combined?</t>
  </si>
  <si>
    <t>502. Combien avez-vous reçu de toutes les sources confondues ?</t>
  </si>
  <si>
    <t>502. Nawa kuka samu daga duk hanyoyin shiga gaba ɗayan su?</t>
  </si>
  <si>
    <t>w_emerg_note</t>
  </si>
  <si>
    <t>Somewhat prefer sons complete koranic school</t>
  </si>
  <si>
    <t>Préfère un peu que les fils terminent l'école coranique</t>
  </si>
  <si>
    <t>Ya ɗan fi son ƴaƴa maza su kammala karatun ƙur'ani</t>
  </si>
  <si>
    <t>521. In response to ${hoh_emergency_name}, did you or your household take the following actions?</t>
  </si>
  <si>
    <t>521. En réponse à ${hoh_emergency_name}, avez-vous vous ou votre ménage pris les mesures suivantes ??</t>
  </si>
  <si>
    <t>521. Dangance da ${hoh_emergency_name}, ku ko ƴan gindanku kun ɗauki waɗannan matakai?</t>
  </si>
  <si>
    <t>522. Sell assets?</t>
  </si>
  <si>
    <t>522. Vendre des actifs</t>
  </si>
  <si>
    <t>522. Saida kadarori</t>
  </si>
  <si>
    <t>Indifferent between completion of koranic school or bacalaureat</t>
  </si>
  <si>
    <t>Indifférent entre l'achèvement de l'école coranique et de l'école formelle jusqu'au baccalauréat</t>
  </si>
  <si>
    <t>Babu zaɓi tsakanin kammala karatun kur'ani ko boko har zuwa Bak</t>
  </si>
  <si>
    <t>523. Borrow money?</t>
  </si>
  <si>
    <t>523. Emprunter de l'argent</t>
  </si>
  <si>
    <t>523. Bashin kuɗi</t>
  </si>
  <si>
    <t>524. Spend your savings?</t>
  </si>
  <si>
    <t>524. Utiliser votre épargne</t>
  </si>
  <si>
    <t>524. Kashe kuɗin ajiyar ku</t>
  </si>
  <si>
    <t>w_emerg_sell</t>
  </si>
  <si>
    <t>242. Sell assets?</t>
  </si>
  <si>
    <t>242. Vendre des actifs</t>
  </si>
  <si>
    <t>242. Saida kadarori</t>
  </si>
  <si>
    <t>Somewhat prefer sons complete bacalaureat</t>
  </si>
  <si>
    <t>Préfère un peu que les fils terminent l'école jusqu'au bac</t>
  </si>
  <si>
    <t>Ya ɗan fi son ƴaƴa maza su kammala karatun boko har zuwa Bak</t>
  </si>
  <si>
    <t>223. I will now ask you about meals people in your household have consumed in the past 7 days.</t>
  </si>
  <si>
    <t>223. Je vais maintenant vous poser des questions sur les repas que les membres de votre ménage ont consommé au cours des 7 derniers jours.</t>
  </si>
  <si>
    <t>223. Yanzu zan tambaye ku bisa abincin da mutanen gidanku suka ci a cikin kwanaki 7 da suka wuce.</t>
  </si>
  <si>
    <t>w_emerg_borrow</t>
  </si>
  <si>
    <t>243. Borrow money?</t>
  </si>
  <si>
    <t>243. Emprunter de l'argent</t>
  </si>
  <si>
    <t>243. Bashin kuɗi</t>
  </si>
  <si>
    <t>Strongly prefer sons complete bacalaureat</t>
  </si>
  <si>
    <t>Préfère fortement que les garçons termnent l'école jusqu'au baccalauréat</t>
  </si>
  <si>
    <t>Ya fi son sosai ƴaƴa maza su kammala karatun boko har zuwa Bak</t>
  </si>
  <si>
    <t>w_emerg_spend</t>
  </si>
  <si>
    <t>244. Spend your savings?</t>
  </si>
  <si>
    <t>244. Utiliser votre épargne</t>
  </si>
  <si>
    <t>244. Kashe kuɗin ajiyar ku</t>
  </si>
  <si>
    <t>224. In the last 7 days, have adults gone a whole day without meals?</t>
  </si>
  <si>
    <t>224. Au cours des 7 derniers jours, des adultes sont-ils restés une journée entière sans manger de repas ?</t>
  </si>
  <si>
    <t>224. A cikin kwanaki 7 da suka wuce, ko manya gidanku sun zauna tsawon wuni guda basu ci abinci ba?</t>
  </si>
  <si>
    <t>w_emerg_consume</t>
  </si>
  <si>
    <t>245. Reduce spending on food or change your food consumption?</t>
  </si>
  <si>
    <t>245. Réduire les dépenses alimentaires ou changé des habitudes de consommation ?</t>
  </si>
  <si>
    <t>245. Rage kashe kuɗi akan abinci ko canza abincin?</t>
  </si>
  <si>
    <t>work_prefer_son</t>
  </si>
  <si>
    <t>Strongly prefer sons stay and work the land</t>
  </si>
  <si>
    <t>Préfère fortement que les fils restent et travaillent la terre</t>
  </si>
  <si>
    <t>Ya fi so sosai ƴaƴa maza su zauna su yi aikin gona</t>
  </si>
  <si>
    <t>225. 151a Tsawon kwanaki nawa?</t>
  </si>
  <si>
    <t>508. Improve roof</t>
  </si>
  <si>
    <t>508. Réfectionner le toit</t>
  </si>
  <si>
    <t>508. gyara rufin gida</t>
  </si>
  <si>
    <t>w_emerg_amt</t>
  </si>
  <si>
    <t>. &gt;= 0 and . &lt;= 7</t>
  </si>
  <si>
    <t>${w_adults_skip_days} = 1</t>
  </si>
  <si>
    <t>509. Other improvement</t>
  </si>
  <si>
    <t>509. Autre amélioration</t>
  </si>
  <si>
    <t>509. Wasu gyare gyare daban</t>
  </si>
  <si>
    <t>Somewhat prefer sons stay and work the land</t>
  </si>
  <si>
    <t>529. Savings you spent?</t>
  </si>
  <si>
    <t>Préfère un peu que les fils restent et travaillent la terre</t>
  </si>
  <si>
    <t>529. L'épargne que vous avez utilisé</t>
  </si>
  <si>
    <t>529. Ajiyar da kuka kashe</t>
  </si>
  <si>
    <t>Ya ɗan fi son ƴaƴa maza su zauna su yi aikin gona</t>
  </si>
  <si>
    <t>w_emerg_note2</t>
  </si>
  <si>
    <t>246. For ${w_emergency_name}
 What was the value of the following in CFA?</t>
  </si>
  <si>
    <t>246. Par rapport à ${w_emergency_name}
 Quelle était la valeur des éléments suivantes en CFA?</t>
  </si>
  <si>
    <t>246. Game da ${w_emergency_name}
  Nawa ne kimar waɗannan abubuwan a kuɗin CFA?</t>
  </si>
  <si>
    <t>226. In the last 7 days, have adults cut the size of meals or skipped meals?</t>
  </si>
  <si>
    <t>226. Au cours des 7 derniers jours, les adultes ont-ils réduit la taille de leur repas ou les ont-ils sauté?</t>
  </si>
  <si>
    <t>226. A cikin kwanaki 7 na ƙarshe, ko manyan gidanku sun rage yawan abincin da suka saba ci ko sun tsallake shi?</t>
  </si>
  <si>
    <t>w_emerg_sell_amt</t>
  </si>
  <si>
    <t>Indifferent between sons staying and leaving</t>
  </si>
  <si>
    <t>Indifférent entre les fils restent travailler la terre et partent en ville</t>
  </si>
  <si>
    <t>Bashi da zaɓi tsakanin ƴaƴa su zauna su yi aikin gona da su je birni</t>
  </si>
  <si>
    <t>w_emerg_borrow_amt</t>
  </si>
  <si>
    <t>227. How many days?</t>
  </si>
  <si>
    <t>227. Pendant combien de jours?</t>
  </si>
  <si>
    <t>227. Tsawon kwanaki nawa?</t>
  </si>
  <si>
    <t>Somewhat prefer sons go to a city to find professional opportunities</t>
  </si>
  <si>
    <t>Préfère un peu que les fils aillent en ville pour trouver des opportunités professionnelles</t>
  </si>
  <si>
    <t>${w_adults_skip_meals} = 1</t>
  </si>
  <si>
    <t>Ya ɗan fi son ƴaƴa maza su je birni don neman sana'a</t>
  </si>
  <si>
    <t>w_emerg_spend_amt</t>
  </si>
  <si>
    <t>249. Savings you spent?</t>
  </si>
  <si>
    <t>249. L'épargne que vous avez utilisé</t>
  </si>
  <si>
    <t>249. Ajiyar da kuka kashe</t>
  </si>
  <si>
    <t>228. In the past week how many days have adults in your household consumed animal protein (including fish, meat, poultry)?</t>
  </si>
  <si>
    <t>228. Au cours des 7 derniers jours, combien de fois les adultes de votre ménage ont-ils consommé des protéines animales (y compris poisson, viande, volaille) ?</t>
  </si>
  <si>
    <t>228. A cikin kwanaki 7 da suka wuce sau nawa manyan gidanku suka ci abinci masu gina jiki kamar su kifi ko nama ko kaji?</t>
  </si>
  <si>
    <t>Strongly prefer sons go to a city to find professional opportunities</t>
  </si>
  <si>
    <t>514. In the past 3 months did you make any investments to improve the productivity of your land?</t>
  </si>
  <si>
    <t>Préfère fortement que les fils partent en ville pour trouver des opportunités professionnelles</t>
  </si>
  <si>
    <t>514. Au cours des 3 derniers mois, avez-vous fait des investissements pour améliorer la productivité de votre terre ?</t>
  </si>
  <si>
    <t>514. A cikin watanni 3 da suka gabata, kun zuba kudi don inganta samun amfanin gonakinku?</t>
  </si>
  <si>
    <t>Ya fi so sosai ƴaƴa maza su je birni don neman sana'a</t>
  </si>
  <si>
    <t>515. Specify improvement to land</t>
  </si>
  <si>
    <t>515. Précisez les améliorations de votre terre que vous avez fait</t>
  </si>
  <si>
    <t>515. Ku bayyana kuɗin da kuka kashe don haɓɓaka gonarku</t>
  </si>
  <si>
    <t>229. In the last 7 days, have children (&lt;14) gone a whole day without meals?</t>
  </si>
  <si>
    <t>532. What was the value of the loan in CFA?</t>
  </si>
  <si>
    <t>229. Au cours des 7 derniers jours, des enfants (&lt;14) ont-ils passé une journée entière sans manger de repas ?</t>
  </si>
  <si>
    <t>532. Quelle était la valeur du prêt en CFA?</t>
  </si>
  <si>
    <t>532. Nawa ne yawan kuɗin bashin a sefa?</t>
  </si>
  <si>
    <t>229. A cikin kwanaki 7 na ƙarshe, ko yara ƴan ƙasa da shekara goma sha huɗu sun zauna tsawon wuni guda ba su ci da abinci ba?</t>
  </si>
  <si>
    <t>533. Think about all the people you or members of your household owe money, including recent loans, what is the total value your household owes (in CFA)?</t>
  </si>
  <si>
    <t>533. Pensez à toutes les personnes que vous ou les membres de votre ménage devez de l'argent, y compris les prêts récents, quelle est la valeur totale que votre ménage doit (en CFA) ?</t>
  </si>
  <si>
    <t>533. Ku tuna da duk mutanen da ke bin da ƴan gidanku kuɗi, dukan basussuka sabi da tsohi, nawa jimillar kuɗin a ke bin gidanku (a kuɗin sefa CFA)?</t>
  </si>
  <si>
    <t>534. Do you know if a loan was given to your household by a household that participated in the TSARI or other Mercy Corp programs?</t>
  </si>
  <si>
    <t xml:space="preserve">534. </t>
  </si>
  <si>
    <t>230. How many days?</t>
  </si>
  <si>
    <t>230. Pendant combien de jours?</t>
  </si>
  <si>
    <t>516. Now I will ask you about different ways your household may use money that you earn.</t>
  </si>
  <si>
    <t>230. 154a Tsawon kwanaki nawa?</t>
  </si>
  <si>
    <t>516. Je vais maintenant vous poser des questions sur les différentes façons dont votre ménage peut utiliser l'argent que vous gagnez.</t>
  </si>
  <si>
    <t>516. Yanzu zan yi muku tambayoyi game hanyoyi daban-daban da gidanku ke iya amfani da su don kashe kuɗin da yake samu.</t>
  </si>
  <si>
    <t>w_opinion_note</t>
  </si>
  <si>
    <t>250. I would like to ask your opinion about a several different topics. There are no right answers to these questions, we just want to understand what you think.</t>
  </si>
  <si>
    <t>${w_child_skip_days} = 1</t>
  </si>
  <si>
    <t>250. J'aimerais vous demander votre avis sur plusieurs sujets différents. Il n'y a pas de bonnes réponses à ces questions, nous voulons juste comprendre ce que vous pensez.</t>
  </si>
  <si>
    <t>250. Ina so in tambayi ra'ayin ku game bisa batutuwa daban-daban. Babu amsoshin da suka dace ga waɗannan tambayoyin, muna son mu fafimci ra'ayinki ne kawai.</t>
  </si>
  <si>
    <t>school_prefer_d</t>
  </si>
  <si>
    <t>w_opinion_matter</t>
  </si>
  <si>
    <t>Strongly prefer daughters complete koranic school</t>
  </si>
  <si>
    <t>231. In the last 7 days, have children (&lt;14) cut the size of meals or skipped meals?</t>
  </si>
  <si>
    <t>Préfère fortement que les filles terminent l'école coranique</t>
  </si>
  <si>
    <t>231. Au cours des 7 derniers jours, des enfants (&lt;14) ont-ils réduit la taille de leurs repas ou les ont-ils sauté?</t>
  </si>
  <si>
    <t>231. A cikin kwanaki 7 na ƙarshe, suna da yara (&lt;14) sun rage yawan abinci ko sun rasa gaba ɗaya?</t>
  </si>
  <si>
    <t>Ya fi son sosai ƴaƴa mata su kammala karatun ƙur'ani</t>
  </si>
  <si>
    <t>518. Specify other:</t>
  </si>
  <si>
    <t>518. Autre a préciser :</t>
  </si>
  <si>
    <t>518. Baiyana wani abu daban:</t>
  </si>
  <si>
    <t>537. I will now ask you about meals people in your household have consumed in the past 7 days.</t>
  </si>
  <si>
    <t>537. Je vais maintenant vous poser des questions sur les repas que les membres de votre ménage ont consommé au cours des 7 derniers jours.</t>
  </si>
  <si>
    <t>537. Yanzu zan tambaye ku bisa abincin da mutanen gidanku suka ci a cikin kwanaki 7 da suka wuce.</t>
  </si>
  <si>
    <t>538. In the last 7 days, have adults gone a whole day without meals?</t>
  </si>
  <si>
    <t>538. Au cours des 7 derniers jours, des adultes sont-ils restés une journée entière sans manger de repas ?</t>
  </si>
  <si>
    <t>538. A cikin kwanaki 7 da suka wuce, ko manya gidanku sun zauna tsawon wuni guda basu ci abinci ba?</t>
  </si>
  <si>
    <t>232. How many days?</t>
  </si>
  <si>
    <t>232. Pendant combien de jours?</t>
  </si>
  <si>
    <t>232. 155a Tsawon kwanaki nawa?</t>
  </si>
  <si>
    <t>539. How many days?</t>
  </si>
  <si>
    <t>539. Pendant combien de jours?</t>
  </si>
  <si>
    <t>539. 151a Tsawon kwanaki nawa?</t>
  </si>
  <si>
    <t>select_one opinion_important</t>
  </si>
  <si>
    <t>w_matter_note</t>
  </si>
  <si>
    <t>${w_child_skip_meals} = 1</t>
  </si>
  <si>
    <t>251. I would like to ask you about how decisions are made in your household. Please tell me to what degree does your opinion matter in decisions related to the following topics:</t>
  </si>
  <si>
    <t>Somewhat prefer daughters complete koranic school</t>
  </si>
  <si>
    <t>251. Je voudrais vous poser quelques quetions sur la prise de décision dans votre ménage, dans quelle mesure votre opinion compte-t-elle dans les décisions liées aux sujets suivants :</t>
  </si>
  <si>
    <t>Préfére un peu que les filles terminent l'école coranique</t>
  </si>
  <si>
    <t>251. Ina son in tambaye ku yadda ake yanke hukunci a gidanku. Da fatan za ku gaya mani matsayin ra'ayinku a yanke shawara bisa abubuwa masu zuwa:</t>
  </si>
  <si>
    <t>Ya ɗan fi son ƴaƴa mata su kammala karatun ƙur'ani</t>
  </si>
  <si>
    <t>w_use_money_opinion</t>
  </si>
  <si>
    <t>252. How to use money that you earn</t>
  </si>
  <si>
    <t>233. In the past week how many days have children in your household consumed animal protein (inlcuding fish, meat, poultry)?</t>
  </si>
  <si>
    <t>252. Comment utiliser l'argent que vous gagnez</t>
  </si>
  <si>
    <t>233. Au cours des 7 derniers jours, combien de fois les enfants de votre ménage ont-ils consommé des protéines animales (y compris poisson, viande, volaille) ?</t>
  </si>
  <si>
    <t>252. Yadda ake amfani da kuɗin da kuke samu</t>
  </si>
  <si>
    <t>233. A cikin kwanaki 7 da suka gabata sau nawa yara a cikin gidanku suka ci abinci masu gina jiki kamar su kifi, nama, kaji ?</t>
  </si>
  <si>
    <t>Indifférent entre l'achèvement de l'école coranique et le baccalauréat</t>
  </si>
  <si>
    <t>542. In the past week how many days have adults in your household consumed animal protein (including fish, meat, poultry)?</t>
  </si>
  <si>
    <t>542. Au cours des 7 derniers jours, combien de fois les adultes de votre ménage ont-ils consommé des protéines animales (y compris poisson, viande, volaille) ?</t>
  </si>
  <si>
    <t>542. A cikin kwanaki 7 da suka wuce sau nawa manyan gidanku suka ci abinci masu gina jiki kamar su kifi ko nama ko kaji?</t>
  </si>
  <si>
    <t>Somewhat prefer daughters complete bacalaureat</t>
  </si>
  <si>
    <t>Préfère un peu que les filles terminent l'école jusqu'au bac</t>
  </si>
  <si>
    <t>Ya ɗan fi son ƴaƴa mata su kammala karatun boko har zuwa Bak</t>
  </si>
  <si>
    <t>543. In the last 7 days, have children (&lt;14) gone a whole day without meals?</t>
  </si>
  <si>
    <t>543. Au cours des 7 derniers jours, des enfants (&lt;14) ont-ils passé une journée entière sans manger de repas ?</t>
  </si>
  <si>
    <t>543. A cikin kwanaki 7 na ƙarshe, ko yara ƴan ƙasa da shekara goma sha huɗu sun zauna tsawon wuni guda ba su ci da abinci ba?</t>
  </si>
  <si>
    <t>544. How many days?</t>
  </si>
  <si>
    <t>544. Pendant combien de jours?</t>
  </si>
  <si>
    <t>544. 154a Tsawon kwanaki nawa?</t>
  </si>
  <si>
    <t>545. In the last 7 days, have children (&lt;14) cut the size of meals or skipped meals?</t>
  </si>
  <si>
    <t>545. Au cours des 7 derniers jours, des enfants (&lt;14) ont-ils réduit la taille de leurs repas ou les ont-ils sauté?</t>
  </si>
  <si>
    <t>545. A cikin kwanaki 7 na ƙarshe, suna da yara (&lt;14) sun rage yawan abinci ko sun rasa gaba ɗaya?</t>
  </si>
  <si>
    <t>w_daily_hh_expenses_opinion</t>
  </si>
  <si>
    <t>253. Daily household expenses (Less than 500 CFA)</t>
  </si>
  <si>
    <t>253. Dépenses quotidiennes du ménage (Moins de 500 CFA)</t>
  </si>
  <si>
    <t>253. Kashe Kuɗin gidan na yau da kullum ( Kasa da dala ɗari CFA 500)</t>
  </si>
  <si>
    <t>Strongly prefer daughters complete bacalaureat</t>
  </si>
  <si>
    <t>Préfére fortement que les filles terminent l'école jusqu'au bac</t>
  </si>
  <si>
    <t>Ya fi son sosai ƴaƴa mata su kammala karatun boko har zuwa Bak</t>
  </si>
  <si>
    <t>547. In the past week how many days have children in your household consumed animal protein (inlcuding fish, meat, poultry)?</t>
  </si>
  <si>
    <t>547. Au cours des 7 derniers jours, combien de fois les enfants de votre ménage ont-ils consommé des protéines animales (y compris poisson, viande, volaille) ?</t>
  </si>
  <si>
    <t>547. A cikin kwanaki 7 da suka gabata sau nawa yara a cikin gidanku suka ci abinci masu gina jiki kamar su kifi, nama, kaji ?</t>
  </si>
  <si>
    <t>w_hh_purchases_opinion</t>
  </si>
  <si>
    <t>234. Has your household spent money on the following types of expenses in the past month?</t>
  </si>
  <si>
    <t>234. Votre ménage a-t-il dépensé de l'argent pour les types de dépenses suivants au cours du dernier mois ?</t>
  </si>
  <si>
    <t>234. Shin gidanku ya kashe kuɗi akan irin waɗannan abubuwan a cikin watan da ya gabata?</t>
  </si>
  <si>
    <t>not(selected(., '0') and count-selected(.)&gt; 1)</t>
  </si>
  <si>
    <t>w_illnesses_opinion</t>
  </si>
  <si>
    <t>548. Has your household spent money on the following types of expenses in the past month?</t>
  </si>
  <si>
    <t>548. Votre ménage a-t-il dépensé de l'argent pour les types de dépenses suivants au cours du dernier mois ?</t>
  </si>
  <si>
    <t>548. Shin gidanku ya kashe kuɗi akan irin waɗannan abubuwan a cikin watan da ya gabata?</t>
  </si>
  <si>
    <t>w_attend_school_opinion</t>
  </si>
  <si>
    <t>work_prefer_d</t>
  </si>
  <si>
    <t>not(selected(${w_monthly_consumption_any}, '0'))</t>
  </si>
  <si>
    <t>Strongly prefer daughters stay and work the land</t>
  </si>
  <si>
    <t>Préfère fortement que les filles restent et travaillent la terre</t>
  </si>
  <si>
    <t>count-selected(${w_monthly_consumption_any})</t>
  </si>
  <si>
    <t>Ya fi so sosai ƴaƴa mata su zauna su yi aikin gona</t>
  </si>
  <si>
    <t>w_migrate_opinion</t>
  </si>
  <si>
    <t>choice-label(${w_monthly_consumption_any}, selected-at(${w_monthly_consumption_any}, index()-1))</t>
  </si>
  <si>
    <t>526. Borrow money?</t>
  </si>
  <si>
    <t>526. Emprunter de l'argent</t>
  </si>
  <si>
    <t>526. Bashin kuɗi</t>
  </si>
  <si>
    <t>w_input_note</t>
  </si>
  <si>
    <t>Somewhat prefer daughters stay and work the land</t>
  </si>
  <si>
    <t>Préfère un peu que les filles restent et travaillent la terre</t>
  </si>
  <si>
    <t>Ya ɗan fi son ƴaƴa mata su zauna su yi aikin gona</t>
  </si>
  <si>
    <t>w_use_money_decide</t>
  </si>
  <si>
    <t>235. How much did your household spend on ${w_item} in the past month (in CFA)?</t>
  </si>
  <si>
    <t>235. Combien votre ménage a-t-il dépensé pour ${w_item} au cours du dernier mois (en CFA) ?</t>
  </si>
  <si>
    <t>235. Nawa ne (a CFA) gidanku ya kashe akan ${w_item} cikin watan da ya gabata ?</t>
  </si>
  <si>
    <t>551. How much did your household spend on ${hoh_item_week} in the past week (in CFA)?</t>
  </si>
  <si>
    <t>551. Combien votre ménage a-t-il dépensé en ${hoh_item_week} la semaine dernière (en CFA) ?</t>
  </si>
  <si>
    <t>551. Nawa ne gidan ku ya kashe (a CFA) a ${hoh_item_week} satin da ya gabata ?</t>
  </si>
  <si>
    <t>Indifferent between daughters staying and leaving</t>
  </si>
  <si>
    <t>w_daily_hh_expenses_decide</t>
  </si>
  <si>
    <t>260. Daily household expenses (less than 500 CFA)</t>
  </si>
  <si>
    <t>Indifférent entre les filles qui restent travailler la terre et partent en ville</t>
  </si>
  <si>
    <t>260. Dépenses quotidiennes du ménage (moins de 500 CFA)</t>
  </si>
  <si>
    <t>260. Kashe Kuɗin gida na yau da kullum ( Kasa da dala ɗari CFA 500)</t>
  </si>
  <si>
    <t>w_hh_purchases_decide</t>
  </si>
  <si>
    <t>261. Household purchases (over 500 CFA)</t>
  </si>
  <si>
    <t>261. Achats du ménage (plus de 500 CFA)</t>
  </si>
  <si>
    <t>261. Sayayya na gida (sama da dala ɗari CFA 500)</t>
  </si>
  <si>
    <t>Somewhat prefer daughters go to a city to find professional opportunities</t>
  </si>
  <si>
    <t>Préfèrent un peu que les filles aillent en ville pour trouver des opportunités professionnelles</t>
  </si>
  <si>
    <t>236. Has your household spent money on the following types of expenses in the past week?</t>
  </si>
  <si>
    <t>236. Votre ménage a-t-il dépensé de l'argent pour les types de dépenses suivants au cours de la semaine dernière ?</t>
  </si>
  <si>
    <t>Ya ɗan fi son ƴaƴa mata su je birni don neman sana'a</t>
  </si>
  <si>
    <t>236. Ko gidanku sun kashe kuɗi akan ire iren waɗannan abubuwan a cikin satin da ya gabata?</t>
  </si>
  <si>
    <t>w_job_decide</t>
  </si>
  <si>
    <t>262. What job you do</t>
  </si>
  <si>
    <t>262. Quel travail tu fais</t>
  </si>
  <si>
    <t>262. Wane aiki kuke yi</t>
  </si>
  <si>
    <t>w_migrate_decide</t>
  </si>
  <si>
    <t>263. Whether you will migrate to find work</t>
  </si>
  <si>
    <t>263. Si vous migrez pour trouver du travail</t>
  </si>
  <si>
    <t>263. Ko za ku yi tahiya don neman aiki</t>
  </si>
  <si>
    <t>Strongly prefer daughters go to a city to find professional opportunities</t>
  </si>
  <si>
    <t>Préfère fortement que les filles aillent en ville pour trouver des opportunités professionnelles</t>
  </si>
  <si>
    <t>Ya fi so sosai ƴaƴa mata su je birni don neman sana'a</t>
  </si>
  <si>
    <t>not(selected(${w_weekly_consumption_any}, '0'))</t>
  </si>
  <si>
    <t>count-selected(${w_weekly_consumption_any})</t>
  </si>
  <si>
    <t>553. Clothing</t>
  </si>
  <si>
    <t>553. Vêtements</t>
  </si>
  <si>
    <t>553. Tufafi</t>
  </si>
  <si>
    <t>554. Sheep</t>
  </si>
  <si>
    <t>554. Mouton</t>
  </si>
  <si>
    <t>554. Rago</t>
  </si>
  <si>
    <t>555. Goat</t>
  </si>
  <si>
    <t>555. Chèvre</t>
  </si>
  <si>
    <t>555. Akuya</t>
  </si>
  <si>
    <t>556. Poultry</t>
  </si>
  <si>
    <t>556. Volaille</t>
  </si>
  <si>
    <t>556. Kaji</t>
  </si>
  <si>
    <t>choice-label(${w_weekly_consumption_any}, selected-at(${w_weekly_consumption_any}, index()-1))</t>
  </si>
  <si>
    <t>w_married</t>
  </si>
  <si>
    <t>264. The next set of questions are for married women only. Are you married?</t>
  </si>
  <si>
    <t>264. La serie des questions suivantes s'adresse uniquement aux femmes mariées. Es-tu marié?</t>
  </si>
  <si>
    <t>264. Tambayoyi na gaba na matan aure ne kawai. Ko ki na da aure?</t>
  </si>
  <si>
    <t>237. How much did your household spend on ${w_item_week} in the past week (in CFA)?</t>
  </si>
  <si>
    <t>237. Combien votre ménage a-t-il dépensé en ${w_item_week} la semaine dernière (en CFA) ?</t>
  </si>
  <si>
    <t>237. Nawa ne gidan ku ya kashe (a CFA) a ${w_item_week} satin da ya gabata ?</t>
  </si>
  <si>
    <t>w_husband_wife_discuss</t>
  </si>
  <si>
    <t>265. I am now going to mention some things that husband and wives sometimes speak about. Please tell me if you and your spouse talk about these things</t>
  </si>
  <si>
    <t>265. Je vais maintenant mentionner certaines choses dont les maris et les femmes parlent parfois. Veuillez me dire si vous et votre conjoint parlez de ces choses</t>
  </si>
  <si>
    <t>265. Yanzu zan ambaci wasu abubuwa da mata da miji suke magana akai. Don Allah ku gaya mini idan ku da mijinku kuna magana a kan waɗannan abubuwan</t>
  </si>
  <si>
    <t>ethnicity</t>
  </si>
  <si>
    <t>Arab</t>
  </si>
  <si>
    <t>Arabe</t>
  </si>
  <si>
    <t>w_discuss_work</t>
  </si>
  <si>
    <t>266. Things that happen at work or in the fields?</t>
  </si>
  <si>
    <t>Balarabe</t>
  </si>
  <si>
    <t>266. Des choses qui se passent au travail ou dans les champs ?</t>
  </si>
  <si>
    <t>266. Abubuwan da ke faruwa a wurin aiki ko a gona?</t>
  </si>
  <si>
    <t>w_discuss_community</t>
  </si>
  <si>
    <t>267. Things that happen in the community?</t>
  </si>
  <si>
    <t>267. Des choses qui se passent dans la communauté ?</t>
  </si>
  <si>
    <t>267. Abubuwan da ke faruwa a cikin al'umma?</t>
  </si>
  <si>
    <t>w_discuss_election</t>
  </si>
  <si>
    <t>268. Who to vote for in local elections?</t>
  </si>
  <si>
    <t>268. Pour qui voter aux élections municipales ?</t>
  </si>
  <si>
    <t>268. Wanene za'a zaɓa a zaɓen ƙananan hukumomi?</t>
  </si>
  <si>
    <t>Djerma/Songhai</t>
  </si>
  <si>
    <t>Ba zabarme/ba songaye</t>
  </si>
  <si>
    <t>w_discuss_invest</t>
  </si>
  <si>
    <t>269. How to you invest your money such as whether to improve your house</t>
  </si>
  <si>
    <t>269. Comment investir votre argent, par exemple pour améliorer votre maison</t>
  </si>
  <si>
    <t>269. Yadda za ku kashe kuɗin ku, kamar gyaran gidanku</t>
  </si>
  <si>
    <t>w_discuss_children</t>
  </si>
  <si>
    <t>270. Family planning (when to have children)</t>
  </si>
  <si>
    <t>270. Planification familiale (quand avoir des enfants)</t>
  </si>
  <si>
    <t>270. Tsarin iyali (lokacin ɗaukan ciki)</t>
  </si>
  <si>
    <t>238. For Ramadan, did your household purchase any of the following?</t>
  </si>
  <si>
    <t>238. Pour la Ramadan, votre ménage a-t-il acheté l'un des articles suivants ?</t>
  </si>
  <si>
    <t>238. Ga watan azumi, gidanku ya sayi ɗaya daga cikin wadannan?</t>
  </si>
  <si>
    <t>Gourmantche</t>
  </si>
  <si>
    <t>Ba gurme</t>
  </si>
  <si>
    <t>w_spouse_disagree</t>
  </si>
  <si>
    <t>271. Do you and your spouse ever disagree about any of these topics?</t>
  </si>
  <si>
    <t>271. Vous et votre conjoint avez-vous déjà eu un désaccord sur ces sujets ?</t>
  </si>
  <si>
    <t>271. Ko ke da mijnki kun taɓa samun saɓani game da waɗannan batutuwa?</t>
  </si>
  <si>
    <t>Haoussa</t>
  </si>
  <si>
    <t>w_spouse_contentious</t>
  </si>
  <si>
    <t>272. Do these conversations ever get contentious?</t>
  </si>
  <si>
    <t>Ba haushe</t>
  </si>
  <si>
    <t>272. Ces conversations deviennent-elles parfois controversées ?</t>
  </si>
  <si>
    <t>272. Ko waɗannan hirarrakin sun taɓa zama sabani?</t>
  </si>
  <si>
    <t>239. Clothing</t>
  </si>
  <si>
    <t>239. Vêtements</t>
  </si>
  <si>
    <t>239. Tufafi</t>
  </si>
  <si>
    <t>w_agree_note</t>
  </si>
  <si>
    <t>273. I will read you several statements. Please tell me the extent do you agree/disagree with each:</t>
  </si>
  <si>
    <t>273. Je vais vous lire plusieurs déclarations. Veuillez me dire dans quelle mesure êtes-vous d'accord/pas d'accord avec chacun :</t>
  </si>
  <si>
    <t>273. Zan karanta muku maganganu da yawa. Da fatan za a gaya mini iya yarda/rishin yarda da kowanne:</t>
  </si>
  <si>
    <t>Kanouri-Manga</t>
  </si>
  <si>
    <t>Kanouri/ Ba mange</t>
  </si>
  <si>
    <t>w_respect_decision</t>
  </si>
  <si>
    <t>240. Sheep</t>
  </si>
  <si>
    <t>274. I must always respect decisions taken by my household even if you do not agree</t>
  </si>
  <si>
    <t>240. Mouton</t>
  </si>
  <si>
    <t>274. Je dois toujours respecter les décisions prises par mon ménage même si je ne suis pas d'accord</t>
  </si>
  <si>
    <t>240. Rago</t>
  </si>
  <si>
    <t>274. Dole ne in mutunta shawarar da gidanmu ya yanke ko da ba ra'ayina ba ne</t>
  </si>
  <si>
    <t>w_duty_family</t>
  </si>
  <si>
    <t>275. I should always sacrifice my personal needs and wants to satisfy my parents.</t>
  </si>
  <si>
    <t>275. Je devrais toujours sacrifier mes besoins personnels et vouloir satisfaire mes parents.</t>
  </si>
  <si>
    <t>275. Dole ne ko yaushe in sadaukar da bukatuna na kaina don in gamsar da iyayena.</t>
  </si>
  <si>
    <t>Peul</t>
  </si>
  <si>
    <t>241. Goat</t>
  </si>
  <si>
    <t>241. Chèvre</t>
  </si>
  <si>
    <t>241. Akuya</t>
  </si>
  <si>
    <t>Ba fullace</t>
  </si>
  <si>
    <t>w_emergency_capital</t>
  </si>
  <si>
    <t>276. If I had an emergency that required 5,000 CFA urgently (within 3 days), I would be able to find the money.</t>
  </si>
  <si>
    <t>276. Si j'avais une urgence qui nécessitait 5 000 CFA en urgence (dans les 3 jours), je serais capable de trouver l'argent.</t>
  </si>
  <si>
    <t>276. Idan ina da biƙatar gaggawa na 5,000 CFA (a cikin kwanaki 3), zan iya samun kuɗin.</t>
  </si>
  <si>
    <t>select_one contact_relation</t>
  </si>
  <si>
    <t>Touareg</t>
  </si>
  <si>
    <t>w_emergency_who</t>
  </si>
  <si>
    <t>277. What type of person would you go to first for this money?</t>
  </si>
  <si>
    <t>Bouzou/Ba abzine</t>
  </si>
  <si>
    <t>277. Vers quel type de personne iriez-vous en premier pour cet argent ?</t>
  </si>
  <si>
    <t>277. Wane irin mutum ne za ku fara zuwa wurin shi don wannan kuɗin?</t>
  </si>
  <si>
    <t>242. Poultry</t>
  </si>
  <si>
    <t>242. Volaille</t>
  </si>
  <si>
    <t>242. Kaji/zabi</t>
  </si>
  <si>
    <t>w_emergency_who_o</t>
  </si>
  <si>
    <t>278. Specify your relationship with this person</t>
  </si>
  <si>
    <t>278. Précisez votre relation avec cette personne</t>
  </si>
  <si>
    <t>278. Faɗi dangantakar ku da wannan mutumen</t>
  </si>
  <si>
    <t>Toubou</t>
  </si>
  <si>
    <t>Ba Tube</t>
  </si>
  <si>
    <t>w_roles_note</t>
  </si>
  <si>
    <t>279. The next set of questions are about your opinions regarding the roles that women and men play</t>
  </si>
  <si>
    <t>279. La prochaine série de questions porte sur vos opinions concernant les rôles que jouent les femmes et les hommes</t>
  </si>
  <si>
    <t>279. Tambayoyi na gaba sun ta'allaƙa ne da ra'ayoyin ku game da rawar da mata da maza suke takawa.</t>
  </si>
  <si>
    <t>w_discuss_women</t>
  </si>
  <si>
    <t>280. How often, if ever do you talk about the role of women in society with other people?</t>
  </si>
  <si>
    <t>280. À quelle fréquence, si jamais cela est arrivé, parlez-vous du rôle des femmes dans la société avec d'autres personnes ?</t>
  </si>
  <si>
    <t>280. Sau nawa, idan ya na faruwa, kuke yin magana game da taka rawan mata a cikin al'umma tare da sauran mutane?</t>
  </si>
  <si>
    <t>w_influence_note</t>
  </si>
  <si>
    <t>281. In your opinion, how much influence a wife should have over the following decisions within a couple?</t>
  </si>
  <si>
    <t>281. Selon vous, quelle influence une épouse devrait-elle avoir sur les décisions suivantes au sein d'un couple ?</t>
  </si>
  <si>
    <t>281. A ra'ayinka, wane tasiri mace ya kamata ta yi bisa yanke shawarwari da zan zana a tsakanin ta da mijinta?</t>
  </si>
  <si>
    <t>568. Do you have other phone numbers that you use regularly (i.e. other phone carriers)?</t>
  </si>
  <si>
    <t>568. Avez-vous d'autres numéros de téléphone que vous utilisez régulièrement (c'est-à-dire d'autres opérateurs téléphoniques) ?</t>
  </si>
  <si>
    <t>568. Ko kuna da wasu lambobin waya waɗanda kuke amfani da su kai-akai (layin wasu gidan wayar salula)?</t>
  </si>
  <si>
    <t>569. How many other additional phone numbers?</t>
  </si>
  <si>
    <t>569. Y-a t-il d'autres numéros de téléphone supplémentaires ?</t>
  </si>
  <si>
    <t>569. 220 a. Ko akwai ƙarin wasu lambobin waya?</t>
  </si>
  <si>
    <t>vax</t>
  </si>
  <si>
    <t>570. What are these additional phone numbers?</t>
  </si>
  <si>
    <t>570. Quels sont les numéros de téléphone supplémentaires ?</t>
  </si>
  <si>
    <t>Babu ko ɗaya</t>
  </si>
  <si>
    <t>570. Waɗannene ƙarin lambobin wayan?</t>
  </si>
  <si>
    <t>w_daily_hh_expenses_couple</t>
  </si>
  <si>
    <t>282. Daily household expenses (Less than 500 CFA)</t>
  </si>
  <si>
    <t>282. Dépenses quotidiennes du ménage (Moins de 500 CFA)</t>
  </si>
  <si>
    <t>282. Kashe kashen kuɗin gida na yau da kullun ( Kasa da dala ɗari CFA 500)</t>
  </si>
  <si>
    <t>Yellow Fever</t>
  </si>
  <si>
    <t>572. What is the last name of this person</t>
  </si>
  <si>
    <t>572. Quel est le nom de cette personne</t>
  </si>
  <si>
    <t>572. Menene sunan uban wannan mutumen?</t>
  </si>
  <si>
    <t>w_hh_purchases_couple</t>
  </si>
  <si>
    <t>Farar masara</t>
  </si>
  <si>
    <t>283. Household purchases worth more than 500 CFA</t>
  </si>
  <si>
    <t>283. Achats des ménages d'une valeur supérieure à 500 CFA</t>
  </si>
  <si>
    <t>283. Siyayyar gida na sama da dala ɗari 500 CFA</t>
  </si>
  <si>
    <t>243. During ${period}, was your household negatively affected by any of the following types of events?</t>
  </si>
  <si>
    <t>243. Au cours de ${period_french}, votre ménage a-t-il été affecté négativement par l'un des types d'événements suivants ?</t>
  </si>
  <si>
    <t>243. A lokacin ${period_hausa}, ko gidanku ya fuskanci wani daga cikin matsaloli nan masu zuwa? Zaɓi duk abin da ya dace</t>
  </si>
  <si>
    <t>Select all that apply</t>
  </si>
  <si>
    <t>not(selected(., '0') and count-selected(.) &gt; 1)</t>
  </si>
  <si>
    <t>w_fam_plan_couple</t>
  </si>
  <si>
    <t>284. Family planning (how many children to have)</t>
  </si>
  <si>
    <t>284. Planification familiale (combien d'enfants avoir)</t>
  </si>
  <si>
    <t>284. Tsarin iyali (ƴaƴa nawa za a haifa)</t>
  </si>
  <si>
    <t>Meningitis</t>
  </si>
  <si>
    <t>Sankarau</t>
  </si>
  <si>
    <t>574. What is their phone number?</t>
  </si>
  <si>
    <t>574. Quel est leur numéro de téléphone?</t>
  </si>
  <si>
    <t>574. Menene lambar wayarsu?</t>
  </si>
  <si>
    <t>244. Please briefly describe the event(s) that negatveily affected your household</t>
  </si>
  <si>
    <t>244. Veuillez décrire brièvement le/les événement(s) qui ont eu des effets négatifs sur votre ménage au cours des 3 derniers mois</t>
  </si>
  <si>
    <t>244. Da fatan za ku yi taƙaitaccen bayani a kan abin da ya shafi gidan ku</t>
  </si>
  <si>
    <t>575. What is ${secondary_name1}'s relationship to you?</t>
  </si>
  <si>
    <t>575. Quelle est la relation entre ${secondary_name1} et vous ?</t>
  </si>
  <si>
    <t>575. Menene alaƙar ku da ${secondary_name1} ?</t>
  </si>
  <si>
    <t>w_migrate_couple</t>
  </si>
  <si>
    <t>selected(${w_emergency}, '-777')</t>
  </si>
  <si>
    <t>COVID-19</t>
  </si>
  <si>
    <t>COVID 19</t>
  </si>
  <si>
    <t>CUTAR COVID 19</t>
  </si>
  <si>
    <t>577. Please go back and correct the name and phone number.</t>
  </si>
  <si>
    <t>577. Veuillez revenir en arrière et corriger le nom et le numéro de téléphone.</t>
  </si>
  <si>
    <t>577. Da fatan za ka koma baya don ka gyara suna da lambar waya.</t>
  </si>
  <si>
    <t>not(selected(${w_emergency}, '0'))</t>
  </si>
  <si>
    <t>count-selected(${hoh_emergency})</t>
  </si>
  <si>
    <t>578. I am going to call this phone number to confirm it is correct. [Enumerator: Did the phone ring?]</t>
  </si>
  <si>
    <t>578. Je vais appeler ce numéro de téléphone pour confirmer qu'il est correct. [Enquêteur : Le téléphone a-t-il sonné ?]</t>
  </si>
  <si>
    <t>578. Zan kirayi wannan lambar wayar don tabbatar da daidai ce. [Ɗan bincike: Wayar ta yi ƙara?]</t>
  </si>
  <si>
    <t>w_vote_couple</t>
  </si>
  <si>
    <t>Polio</t>
  </si>
  <si>
    <t>Cutar shan inna</t>
  </si>
  <si>
    <t>w_marry_couple</t>
  </si>
  <si>
    <t>if(selected-at(${w_emergency}, index()-1) = '-777', ${w_emergency_o}, choice-label(${w_emergency}, selected-at(${w_emergency}, index()-1)))</t>
  </si>
  <si>
    <t>w_school_couple</t>
  </si>
  <si>
    <t>Tuberculosis</t>
  </si>
  <si>
    <t>w_marry_daughter_relig</t>
  </si>
  <si>
    <t>289. Imagine one of your daughters wanted to marry someone of a different religious faith, would you give them your permission?</t>
  </si>
  <si>
    <t>289. Imaginez qu'une de vos filles veuille épouser quelqu'un d'une confession religieuse différente, leur donneriez-vous votre permission ?</t>
  </si>
  <si>
    <t>289. Ku ƙaddara da wata ɗiyarku ta na son ta auri wani mai bin wani addini daban, za ku bada izininku?</t>
  </si>
  <si>
    <t>Babban tari</t>
  </si>
  <si>
    <t>w_marry_son_relig</t>
  </si>
  <si>
    <t>290. Imagine one of your sons wanted to marry someone of a different religious faith, would you give them your permission?</t>
  </si>
  <si>
    <t>290. Imaginez que l'un de vos fils veuille épouser quelqu'un d'une confession religieuse différente, leur donneriez-vous votre permission ?</t>
  </si>
  <si>
    <t>290. Ku ƙaddara da wani ɗanku ya na son ya auri wata ƴa mai bin wani addini daban, za ku bada izininku?</t>
  </si>
  <si>
    <t>245. In response to ${w_emergency_name}, did you or your household take the following actions?</t>
  </si>
  <si>
    <t>245. En réponse à ${w_emergency_name}, avez-vous vous ou votre ménage pris les mesures suivantes ??</t>
  </si>
  <si>
    <t>245. Dangance da ${w_emergency_name}, ku ko ƴan gindanku kun ɗauki waɗannan matakai?</t>
  </si>
  <si>
    <t>583. What is their phone number?</t>
  </si>
  <si>
    <t>583. Quel est leur numéro de téléphone?</t>
  </si>
  <si>
    <t>583. Menene lambar wayarsu?</t>
  </si>
  <si>
    <t>584. What is ${secondary_name2}'s relationship to you?</t>
  </si>
  <si>
    <t>584. Quelle est la relation entre ${secondary_name2} et vous ?</t>
  </si>
  <si>
    <t>584. Menene alaƙar ku da ${secondary_name2} ?</t>
  </si>
  <si>
    <t>246. Sell assets?</t>
  </si>
  <si>
    <t>246. Vendre des actifs</t>
  </si>
  <si>
    <t>246. Saida kadarori</t>
  </si>
  <si>
    <t>585. Just to confirm, is this the number? 
 ${secondary_name2}
 ${secondary_phone2}</t>
  </si>
  <si>
    <t>585. Juste pour confirmer, est-ce bien le numéro ?
 ${secondary_name2}
 ${secondary_phone2}</t>
  </si>
  <si>
    <t>585. Don tabbatar kawai, da wannan itace lambar?
 ${secondary_name2}
 ${secondary_phone2}</t>
  </si>
  <si>
    <t>586. Please go back and correct the name and phone number.</t>
  </si>
  <si>
    <t>586. Veuillez revenir en arrière et corriger le nom et le numéro de téléphone.</t>
  </si>
  <si>
    <t>586. Da fatan za ka koma baya ka gyara suna da lambar waya.</t>
  </si>
  <si>
    <t>587. I am going to call this phone number to confirm it is correct. [Enumerator: Did the phone ring?]</t>
  </si>
  <si>
    <t>587. Je vais appeler ce numéro de téléphone pour confirmer qu'il est correct. [Enquêteur : Le téléphone a-t-il sonné ?]</t>
  </si>
  <si>
    <t>587. Zan kirayi wannan lambar wayar don tabbatar da daidai ce. [Ɗan bincike: Wayar ta yi ƙara?]</t>
  </si>
  <si>
    <t>247. Borrow money?</t>
  </si>
  <si>
    <t>247. Emprunter de l'argent</t>
  </si>
  <si>
    <t>247. Bashin kuɗi</t>
  </si>
  <si>
    <t>588. Please go back and enter a new phone number.</t>
  </si>
  <si>
    <t>588. Veuillez ressaisir le numéro</t>
  </si>
  <si>
    <t xml:space="preserve">588. </t>
  </si>
  <si>
    <t>589. How interested was the resppondent</t>
  </si>
  <si>
    <t>589. Dans quelle mesure le répondant était-il intéressé</t>
  </si>
  <si>
    <t>589. Yaya kake ganin maida hankalin mai bada amsa yake</t>
  </si>
  <si>
    <t>w_marry_daughter_eth</t>
  </si>
  <si>
    <t>291. Imagine one of your daughters wanted to marry someone of a different ethnic group, would you give them your permission?</t>
  </si>
  <si>
    <t>291. Imaginez qu'une de vos filles veuille épouser quelqu'un d'un groupe ethnique différent, leur donneriez-vous votre permission ?</t>
  </si>
  <si>
    <t>291. Ku ƙaddara da wata ɗiyarka tana son ta auri ɗan wata kabila daban, za ku bada izininka?</t>
  </si>
  <si>
    <t>248. Spend your savings?</t>
  </si>
  <si>
    <t>248. Utiliser votre épargne</t>
  </si>
  <si>
    <t>248. Kashe kuɗin ajiyar ku</t>
  </si>
  <si>
    <t>w_marry_son_eth</t>
  </si>
  <si>
    <t>292. Imagine one of your sons wanted to marry someone of a different ethnic group, would you give them your permission?</t>
  </si>
  <si>
    <t>292. Imaginez que l'un de vos fils veuille épouser quelqu'un d'un groupe ethnique différent, leur donneriez-vous votre permission ?</t>
  </si>
  <si>
    <t>292. Ku ƙaddara da wani ɗanku ya na son ya auri wani ɗan wata ƙabila daban, za ku bada izininka?</t>
  </si>
  <si>
    <t>w_statement_note</t>
  </si>
  <si>
    <t>293. Please tell me the degree to which you agree or disagree with the following statements.</t>
  </si>
  <si>
    <t>293. Veuillez me dire dans quelle mesure vous êtes d'accord ou pas d'accord avec les énoncés suivants.</t>
  </si>
  <si>
    <t>249. Reduce spending on food or change your food consumption?</t>
  </si>
  <si>
    <t>293. Yanzu ina son ku gaya mini har zuwa wane matsayi kuka yarda ko baku yarda ba da waɗannan maganganun da zan zana muku.</t>
  </si>
  <si>
    <t>249. Réduire les dépenses alimentaires ou changé des habitudes de consommation ?</t>
  </si>
  <si>
    <t>249. Rage kashe kuɗi akan abinci ko canza abincin?</t>
  </si>
  <si>
    <t>w_male_education_priority</t>
  </si>
  <si>
    <t>294. Middle school education for males is more important than middle school education for females.</t>
  </si>
  <si>
    <t>294. L'enseignement secondaire pour les hommes est plus important que l'enseignement secondaire pour les femmes.</t>
  </si>
  <si>
    <t>294. Ilimin koleji ga maza yana da mahimmanci fiye da ilimin koleji ga mata.</t>
  </si>
  <si>
    <t>languages</t>
  </si>
  <si>
    <t>French</t>
  </si>
  <si>
    <t>w_equal_rights_inheritance</t>
  </si>
  <si>
    <t>Français</t>
  </si>
  <si>
    <t>Faransanci</t>
  </si>
  <si>
    <t>w_woman_reject_marriage</t>
  </si>
  <si>
    <t>${w_emerg_sell} = 1 or ${w_emerg_borrow} = 1 or ${w_emerg_spend} = 1</t>
  </si>
  <si>
    <t>w_equal_rights_divorce</t>
  </si>
  <si>
    <t>297. Women and men should have equal rights in making the decision to divorce.</t>
  </si>
  <si>
    <t>297. Les femmes et les hommes devraient avoir des droits égaux dans la décision de divorcer.</t>
  </si>
  <si>
    <t>297. Yakamata a ce mata da maza suna da haƙƙi daidai wajen yanke shawarar rabuwar aure.</t>
  </si>
  <si>
    <t>250. For ${w_emergency_name}
 What was the value of the following in CFA?</t>
  </si>
  <si>
    <t>250. Par rapport à ${w_emergency_name}
 Quelle était la valeur des éléments suivantes en CFA?</t>
  </si>
  <si>
    <t>250. Game da ${w_emergency_name}
 Nawa ne kimar waɗannan abubuwan a kuɗin CFA?</t>
  </si>
  <si>
    <t>w_polygamy</t>
  </si>
  <si>
    <t>298. The law should not allow a man to marry more than one woman.</t>
  </si>
  <si>
    <t>298. La loi ne devrait pas permettre à un homme d'épouser plus d'une femme.</t>
  </si>
  <si>
    <t>Arabic</t>
  </si>
  <si>
    <t>298. Yakamata doka ta hana ma namiji ya auri fiye da mace ɗaya.</t>
  </si>
  <si>
    <t>arabe</t>
  </si>
  <si>
    <t>Larabci</t>
  </si>
  <si>
    <t>w_gbv</t>
  </si>
  <si>
    <t>251. Assets you sold</t>
  </si>
  <si>
    <t>251. Les actifs que vous avez vendus</t>
  </si>
  <si>
    <t>251. Kadarorin da kuka saida</t>
  </si>
  <si>
    <t>Assets include animals, food stock</t>
  </si>
  <si>
    <t>Par exemple, des animaux, vos stocks alimentaires</t>
  </si>
  <si>
    <t>Kadarorin sun haɗa da dabbobi, ajiyar abinci</t>
  </si>
  <si>
    <t>568. Please tell me the phone number you use for Whatsapp</t>
  </si>
  <si>
    <t>568. Veuillez me dire le numéro de téléphone que vous utilisez pour Whatsapp</t>
  </si>
  <si>
    <t>568. Don Allah ku gaya mini lambar wayar da kuke amfani da ita don yin Whatsapp</t>
  </si>
  <si>
    <t>w_gbv_note</t>
  </si>
  <si>
    <t>${w_emerg_sell} = 1</t>
  </si>
  <si>
    <t>299. In your opinion, is a husband justified in hitting or beating his wife if:</t>
  </si>
  <si>
    <t>299. A votre avis, est-il justifié pour un mari de frapper ou de battre sa femme si :</t>
  </si>
  <si>
    <t>299. A ganinku, ko ya cancanta miji ya bugi matarshi ko ya bata kashi idan:</t>
  </si>
  <si>
    <t>Haussa</t>
  </si>
  <si>
    <t>Hausa</t>
  </si>
  <si>
    <t>w_neglects_children</t>
  </si>
  <si>
    <t>300. She neglects the children</t>
  </si>
  <si>
    <t>300. Elle néglige les enfants</t>
  </si>
  <si>
    <t>300. Ta yi sakaci da yara</t>
  </si>
  <si>
    <t>252. Loan(s) you took</t>
  </si>
  <si>
    <t>252. Les prêt(s) que vous avez contracté</t>
  </si>
  <si>
    <t>252. Bashin da kuka ɗauka</t>
  </si>
  <si>
    <t>${w_emerg_borrow} = 1</t>
  </si>
  <si>
    <t>Songhai</t>
  </si>
  <si>
    <t>Songhaï</t>
  </si>
  <si>
    <t>w_argues</t>
  </si>
  <si>
    <t>Songhai/ zabarmanci</t>
  </si>
  <si>
    <t>253. Savings you spent?</t>
  </si>
  <si>
    <t>253. L'épargne que vous avez utilisé</t>
  </si>
  <si>
    <t>w_refuses_pray</t>
  </si>
  <si>
    <t>253. Ajiyar da kuka kashe</t>
  </si>
  <si>
    <t>302. She refuses to pray</t>
  </si>
  <si>
    <t>302. Elle refuse de prier</t>
  </si>
  <si>
    <t>302. Ta ƙi yin sallah</t>
  </si>
  <si>
    <t>${w_emerg_spend} = 1</t>
  </si>
  <si>
    <t>w_burns_food</t>
  </si>
  <si>
    <t>303. She burns the food</t>
  </si>
  <si>
    <t>303. Elle brûle la nourriture</t>
  </si>
  <si>
    <t>Tamasheq</t>
  </si>
  <si>
    <t>303. Ta ƙona abincin</t>
  </si>
  <si>
    <t>Buzanci</t>
  </si>
  <si>
    <t>574.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</si>
  <si>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574.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</si>
  <si>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574. Idan ba za mu iya samun ku ba, ko za ku iya ba mu suna da lambar wayar wani wanda ba na gidanku ba da za mu iya kira don neman lambar ku?
 Za mu kirayi mutumen ne kawai idan bamu sameku ba bayan kira biyu zuwa uku, hakan zai taimaka mana ci gaba da tuntuɓar ku.</t>
  </si>
  <si>
    <t>select_multiple changes</t>
  </si>
  <si>
    <t>w_other_changes</t>
  </si>
  <si>
    <t>Fulfulde</t>
  </si>
  <si>
    <t>304. I've asked you a lot of questions about your life in the past period in order to better understand your experiences. Is there anything else that has happened recently to you that has changed your life in an important way?</t>
  </si>
  <si>
    <t>304. Je vous ai posé beaucoup de questions sur votre vie au cours de la période écoulée afin de mieux comprendre vos expériences. Y a-t-il autre chose qui vous est arrivé récemment qui a changé votre vie de manière importante ?</t>
  </si>
  <si>
    <t>Hillanci/Fulatanci</t>
  </si>
  <si>
    <t>304. Na yi muku tambayoyi da yawa game da rayuwarku a cikin kwanakin da suka wuce don in gane yanda kuke tahiyar rayuwarku. Ko akwai wani abu da ya faru da ku cikin kwanan nan wanda ya kawo wani mahimmin canji ga rayuwarku ?</t>
  </si>
  <si>
    <t>w_other_change_desc</t>
  </si>
  <si>
    <t>305. Enumerator: Briefly summarize the changes described by the respondent</t>
  </si>
  <si>
    <t>305. Enquêteur : Résumez brièvement les changements décrits par le répondant</t>
  </si>
  <si>
    <t>305. Ɗan bincike: A taƙaice rubuta canje-canjen da mai bada amsa ya gaya maka</t>
  </si>
  <si>
    <t>Kanuri</t>
  </si>
  <si>
    <t>Kanuri /Barbarci</t>
  </si>
  <si>
    <t>577. What is their phone number?</t>
  </si>
  <si>
    <t>577. Quel est leur numéro de téléphone?</t>
  </si>
  <si>
    <t>577. Menene lambar wayarsu?</t>
  </si>
  <si>
    <t>speedcheck_w_nothoh_end</t>
  </si>
  <si>
    <t>578. What is ${secondary_name1}'s relationship to you?</t>
  </si>
  <si>
    <t>578. Quelle est la relation entre ${secondary_name1} et vous ?</t>
  </si>
  <si>
    <t>578. Menene alaƙar ku da ${secondary_name1} ?</t>
  </si>
  <si>
    <t>dur_w_nothoh</t>
  </si>
  <si>
    <t>Gourmanchema</t>
  </si>
  <si>
    <t>Gourmanci</t>
  </si>
  <si>
    <t>579. Just to confirm, is this the number? 
 ${secondary_name1}
 ${secondary_phone1}</t>
  </si>
  <si>
    <t>579. Juste pour confirmer, est-ce bien le numéro ?
 ${secondary_name1}
 ${secondary_phone1}</t>
  </si>
  <si>
    <t>579. Don tabbatarwa kawai, da wannan itace lambar?
 ${secondary_name1}
 ${secondary_phone1}</t>
  </si>
  <si>
    <t>w_private</t>
  </si>
  <si>
    <t>254. I would like to ask your opinion about a several different topics. There are no right answers to these questions, we just want to understand what you think.</t>
  </si>
  <si>
    <t>254. J'aimerais vous demander votre avis sur plusieurs sujets différents. Il n'y a pas de bonnes réponses à ces questions, nous voulons juste comprendre ce que vous pensez.</t>
  </si>
  <si>
    <t>254. Ina so in tambayi ra'ayin ku game bisa batutuwa daban-daban. Babu amsoshin da suka dace ga waɗannan tambayoyin, muna son mu fafimci ra'ayinki ne kawai.</t>
  </si>
  <si>
    <t>580. Please go back and correct the name and phone number.</t>
  </si>
  <si>
    <t>580. Veuillez revenir en arrière et corriger le nom et le numéro de téléphone.</t>
  </si>
  <si>
    <t>580. Da fatan za ka koma baya don ka gyara suna da lambar waya.</t>
  </si>
  <si>
    <t>w_private_note</t>
  </si>
  <si>
    <t>306.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</si>
  <si>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306.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</si>
  <si>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306.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</si>
  <si>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Tebu</t>
  </si>
  <si>
    <t>Tubanci</t>
  </si>
  <si>
    <t>w_prevent_visit</t>
  </si>
  <si>
    <t>w_prevent_work</t>
  </si>
  <si>
    <t>308. working outside the household?</t>
  </si>
  <si>
    <t>308. travailler en dehors du ménage ?</t>
  </si>
  <si>
    <t>308. aiki a wajen gidanku?</t>
  </si>
  <si>
    <t>255. I would like to ask you about how decisions are made in your household. Please tell me to what degree does your opinion matter in decisions related to the following topics:</t>
  </si>
  <si>
    <t>255. Je voudrais vous poser quelques quetions sur la prise de décision dans votre ménage, dans quelle mesure votre opinion compte-t-elle dans les décisions liées aux sujets suivants :</t>
  </si>
  <si>
    <t>255. Ina son in tambaye ku yadda ake yanke hukunci a gidanku. Da fatan za ku gaya mani matsayin ra'ayinku a yanke shawara bisa abubuwa masu zuwa:</t>
  </si>
  <si>
    <t>English</t>
  </si>
  <si>
    <t>Anglais</t>
  </si>
  <si>
    <t>Turanci</t>
  </si>
  <si>
    <t>584. What is the last name of this person</t>
  </si>
  <si>
    <t>584. Quel est le nom de cette personne?</t>
  </si>
  <si>
    <t>584. Menene sunan uban wannan mutumen?</t>
  </si>
  <si>
    <t>256. How to use money that you earn</t>
  </si>
  <si>
    <t>585. What is the first name of this person</t>
  </si>
  <si>
    <t>256. Comment utiliser l'argent que vous gagnez</t>
  </si>
  <si>
    <t>585. Quel est le prénom de cette personne?</t>
  </si>
  <si>
    <t>256. Yadda ake amfani da kuɗin da kuke samu</t>
  </si>
  <si>
    <t>585. Menene sunan wannan mutumen?</t>
  </si>
  <si>
    <t>586. What is their phone number?</t>
  </si>
  <si>
    <t>586. Quel est leur numéro de téléphone?</t>
  </si>
  <si>
    <t>586. Menene lambar wayarsu?</t>
  </si>
  <si>
    <t>w_married_only</t>
  </si>
  <si>
    <t>587. What is ${secondary_name2}'s relationship to you?</t>
  </si>
  <si>
    <t>587. Quelle est la relation entre ${secondary_name2} et vous ?</t>
  </si>
  <si>
    <t>257. Daily household expenses (Less than 500 CFA)</t>
  </si>
  <si>
    <t>587. Menene alaƙar ku da ${secondary_name2} ?</t>
  </si>
  <si>
    <t>257. Dépenses quotidiennes du ménage (Moins de 500 CFA)</t>
  </si>
  <si>
    <t>257. Kashe Kuɗin gidan na yau da kullum ( Kasa da dala ɗari CFA 500)</t>
  </si>
  <si>
    <t>w_relationship</t>
  </si>
  <si>
    <t>588. Just to confirm, is this the number? 
 ${secondary_name2}
 ${secondary_phone2}</t>
  </si>
  <si>
    <t>588. Juste pour confirmer, est-ce bien le numéro ?
 ${secondary_name2}
 ${secondary_phone2}</t>
  </si>
  <si>
    <t>588. Don tabbatar kawai, da wannan itace lambar?
 ${secondary_name2}
 ${secondary_phone2}</t>
  </si>
  <si>
    <t>w_married_note</t>
  </si>
  <si>
    <t>309. The next set of questions are for married women only</t>
  </si>
  <si>
    <t>Dioula</t>
  </si>
  <si>
    <t>309. La série de questions suivante s'adresse uniquement aux femmes mariées.</t>
  </si>
  <si>
    <t>309. Tambayoyi na gaba na matan aure ne kawai</t>
  </si>
  <si>
    <t>w_relationship_note</t>
  </si>
  <si>
    <t>w_affectionate</t>
  </si>
  <si>
    <t>259. What to do if someone in your household falls ill</t>
  </si>
  <si>
    <t>259. Que faire si un membre de votre ménage tombe malade</t>
  </si>
  <si>
    <t>259. Abin da za'a yi idan wani a cikin gidanku ya kamu da rashin lafiya</t>
  </si>
  <si>
    <t>Bambara</t>
  </si>
  <si>
    <t>w_respectful</t>
  </si>
  <si>
    <t>312. He respects you and your wishes</t>
  </si>
  <si>
    <t>312. Il vous respecte et respecte vos souhaits</t>
  </si>
  <si>
    <t>312. Yana girmama ku kuma ya na girmama buƙatuntu</t>
  </si>
  <si>
    <t>260. Whether children attend school or not</t>
  </si>
  <si>
    <t>260. Que les enfants soient scolarisés ou non</t>
  </si>
  <si>
    <t>260. Ko za'a rubuta yara makaranta ko a'a</t>
  </si>
  <si>
    <t>Bamiléké</t>
  </si>
  <si>
    <t>593. How impatient was the respondent?</t>
  </si>
  <si>
    <t>593. À quel point le répondant était-il impatient ?</t>
  </si>
  <si>
    <t>593. Yaya kake ganin rashin haƙurin mai bada amsa?</t>
  </si>
  <si>
    <t>w_sitatuations</t>
  </si>
  <si>
    <t>594. How well did the respondent understand the questions?</t>
  </si>
  <si>
    <t>594. Dans quelle mesure le répondant a-t-il compris les questions ?</t>
  </si>
  <si>
    <t>594. Yaya kake ganin mai bada amsa ya fahimci tambayoyin?</t>
  </si>
  <si>
    <t>w_situations_note</t>
  </si>
  <si>
    <t>313. Now I am going to ask you about some situations which happen to some women. Please tell me if these apply to your relationship with your husband?</t>
  </si>
  <si>
    <t>313. Maintenant, je vais vous poser des questions sur certaines situations qui arrivent à certaines femmes. Veuillez me dire si cela s'applique à votre relation avec votre mari ?</t>
  </si>
  <si>
    <t>313. To, yanzu zan tambaye ku game da wasu al’amura da suke faruwa ga wasu mata. Ko kun gaya mini idan waɗannan sun shafi zamantakewarku da mijinku?</t>
  </si>
  <si>
    <t>261. Whether you will migrate to find work or stay at home</t>
  </si>
  <si>
    <t>261. Si vous migrez pour trouver du travail ou rester à la maison</t>
  </si>
  <si>
    <t>261. Ko za ku yi tahiya wurin biɗa ko za ku zauna a gida</t>
  </si>
  <si>
    <t>Chinese</t>
  </si>
  <si>
    <t>Chinois</t>
  </si>
  <si>
    <t>w_accuse_unfaithful</t>
  </si>
  <si>
    <t>Canis</t>
  </si>
  <si>
    <t>w_not_permit_friends</t>
  </si>
  <si>
    <t>w_input</t>
  </si>
  <si>
    <t>262. Can you make your own decisions, without the input of anyone else if you want to regarding:</t>
  </si>
  <si>
    <t>262. Pouvez-vous prendre vos propres décisions, sans l'intervention de quelqu'un d'autre, si vous le souhaitez concernant :</t>
  </si>
  <si>
    <t>262. Za ku iya yanke shawara da kanku, ba tare da sa bakin wani ba idan kuna so dangance da:</t>
  </si>
  <si>
    <t>transmit</t>
  </si>
  <si>
    <t>263. How to use money that you earn</t>
  </si>
  <si>
    <t>263. Comment utiliser l'argent que vous gagnez</t>
  </si>
  <si>
    <t>263. Yadda ake amfani da kuɗin da kuke samu</t>
  </si>
  <si>
    <t>264. Daily household expenses (less than 500 CFA)</t>
  </si>
  <si>
    <t>264. Dépenses quotidiennes du ménage (moins de 500 CFA)</t>
  </si>
  <si>
    <t>264. Kashe Kuɗin gida na yau da kullum ( Kasa da dala ɗari CFA 500)</t>
  </si>
  <si>
    <t>265. Household purchases (over 500 CFA)</t>
  </si>
  <si>
    <t>265. Achats du ménage (plus de 500 CFA)</t>
  </si>
  <si>
    <t>265. Sayayya na gida (sama da dala ɗari CFA 500)</t>
  </si>
  <si>
    <t>266. What job you do</t>
  </si>
  <si>
    <t>266. Quel travail tu fais</t>
  </si>
  <si>
    <t>266. Wane aiki kuke yi</t>
  </si>
  <si>
    <t>267. Whether you will migrate to find work</t>
  </si>
  <si>
    <t>267. Si vous migrez pour trouver du travail</t>
  </si>
  <si>
    <t>267. Ko za ku yi tahiya don neman aiki</t>
  </si>
  <si>
    <t>Ta hanyar wayar hannu</t>
  </si>
  <si>
    <t>268. The next set of questions are for married women only. Are you married?</t>
  </si>
  <si>
    <t>268. La serie des questions suivantes s'adresse uniquement aux femmes mariées. Es-tu marié?</t>
  </si>
  <si>
    <t>268. Tambayoyi na gaba na matan aure ne kawai. Ko ki na da aure?</t>
  </si>
  <si>
    <t>269. I am now going to mention some things that husband and wives sometimes speak about. Please tell me if you and your spouse talk about these things</t>
  </si>
  <si>
    <t>269. Je vais maintenant mentionner certaines choses dont les maris et les femmes parlent parfois. Veuillez me dire si vous et votre conjoint parlez de ces choses</t>
  </si>
  <si>
    <t>269. Yanzu zan ambaci wasu abubuwa da mata da miji suke magana akai. Don Allah ku gaya mini idan ku da mijinku kuna magana a kan waɗannan abubuwan</t>
  </si>
  <si>
    <t>${w_married} = 1</t>
  </si>
  <si>
    <t>270. Things that happen at work or in the fields?</t>
  </si>
  <si>
    <t>270. Des choses qui se passent au travail ou dans les champs ?</t>
  </si>
  <si>
    <t>270. Abubuwan da ke faruwa a wurin aiki ko a gona?</t>
  </si>
  <si>
    <t>w_limit_fam_contact</t>
  </si>
  <si>
    <t>271. Things that happen in the community?</t>
  </si>
  <si>
    <t>271. Des choses qui se passent dans la communauté ?</t>
  </si>
  <si>
    <t>271. Abubuwan da ke faruwa a cikin al'umma?</t>
  </si>
  <si>
    <t>changes</t>
  </si>
  <si>
    <t>No change</t>
  </si>
  <si>
    <t>Pas de changement</t>
  </si>
  <si>
    <t>Babu canji</t>
  </si>
  <si>
    <t>w_actions</t>
  </si>
  <si>
    <t>w_actions_note</t>
  </si>
  <si>
    <t>272. Who to vote for in local elections?</t>
  </si>
  <si>
    <t>272. Pour qui voter aux élections municipales ?</t>
  </si>
  <si>
    <t>272. Wanene za'a zaɓa a zaɓen ƙananan hukumomi?</t>
  </si>
  <si>
    <t>w_humiliate</t>
  </si>
  <si>
    <t>w_threaten</t>
  </si>
  <si>
    <t>319. Threaten you or someone close to you with harm</t>
  </si>
  <si>
    <t>Respondent got married</t>
  </si>
  <si>
    <t>319. Vous menacer vous-même ou quelqu'un proche de vous à vous faire du mal</t>
  </si>
  <si>
    <t>319. Yi muku barazana ko wani na kusa da ku da cutarwa</t>
  </si>
  <si>
    <t>Le répondant s'est marié</t>
  </si>
  <si>
    <t>Mai bada amsa yana da aure</t>
  </si>
  <si>
    <t>273. How to you invest your money such as whether to improve your house</t>
  </si>
  <si>
    <t>273. Comment investir votre argent, par exemple pour améliorer votre maison</t>
  </si>
  <si>
    <t>273. Yadda za ku kashe kuɗin ku, kamar gyaran gidanku</t>
  </si>
  <si>
    <t>w_push_shake</t>
  </si>
  <si>
    <t>320. Push you shake you or throw something at you</t>
  </si>
  <si>
    <t>320. Vous pousser, vous secouer ou jeter quelque chose sur vous</t>
  </si>
  <si>
    <t>320. Tura ku girgiza ku ko jefar da wani abu bisanku</t>
  </si>
  <si>
    <t>w_slap_twist</t>
  </si>
  <si>
    <t>Respondent divorced</t>
  </si>
  <si>
    <t>321. Slap you or twist your arm</t>
  </si>
  <si>
    <t>321. Vous gifler ou vous tordre le bras</t>
  </si>
  <si>
    <t>321. Mari ko murɗa hannunku</t>
  </si>
  <si>
    <t>Le répondant a divorcé</t>
  </si>
  <si>
    <t>274. Family planning (when to have children)</t>
  </si>
  <si>
    <t>274. Planification familiale (quand avoir des enfants)</t>
  </si>
  <si>
    <t>Mai bada amsa gobro ne</t>
  </si>
  <si>
    <t>274. Tsarin iyali (lokacin ɗaukan ciki)</t>
  </si>
  <si>
    <t>w_punch</t>
  </si>
  <si>
    <t>322. Punch you with his fist or with something that could hurt you</t>
  </si>
  <si>
    <t>322. Vous frapper avec son poing ou avec quelque chose qui pourrait vous blesser</t>
  </si>
  <si>
    <t>322. Yi muku naushi da hannu ko da wani abu da zai iya cutar da ku</t>
  </si>
  <si>
    <t>w_kick</t>
  </si>
  <si>
    <t>275. Do you and your spouse ever disagree about any of these topics?</t>
  </si>
  <si>
    <t>275. Vous et votre conjoint avez-vous déjà eu un désaccord sur ces sujets ?</t>
  </si>
  <si>
    <t>323. Kick you or drag you</t>
  </si>
  <si>
    <t>275. Ko ke da mijnki kun taɓa samun saɓani game da waɗannan batutuwa?</t>
  </si>
  <si>
    <t>323. Vous donner un coup de pied ou vous traîner</t>
  </si>
  <si>
    <t>Respondent had new baby (self or spouse)</t>
  </si>
  <si>
    <t>323. Habre ku ko jan ku</t>
  </si>
  <si>
    <t>La répondante a eu un nouveau bébé (elle-même ou son conjoint)</t>
  </si>
  <si>
    <t>Mai bada amsa tanada jariri ita da kanta ko kishiyarta</t>
  </si>
  <si>
    <t>w_strangle_burn</t>
  </si>
  <si>
    <t>324. Try to strangle you or burn you</t>
  </si>
  <si>
    <t>324. Essayer de vous étrangler ou de vous brûler</t>
  </si>
  <si>
    <t>324. Yi ƙoƙarin shake ku ko kona ku</t>
  </si>
  <si>
    <t>276. Do these conversations ever get contentious?</t>
  </si>
  <si>
    <t>276. Ces conversations deviennent-elles parfois controversées ?</t>
  </si>
  <si>
    <t>276. Ko waɗannan hirarrakin sun taɓa zama sabani?</t>
  </si>
  <si>
    <t>w_threaten_weapon</t>
  </si>
  <si>
    <t>325. threaten you with a knife, gun, or other type of weapon</t>
  </si>
  <si>
    <t>325. Vous menacer avec un couteau, une arme à feu ou tout autre type d'arme</t>
  </si>
  <si>
    <t>325. yi muku barazana da wuka, bindiga, ko wani makami daban</t>
  </si>
  <si>
    <t>Death of respondent's child</t>
  </si>
  <si>
    <t>Décès de l'enfant du répondant</t>
  </si>
  <si>
    <t>Mutuwar ɗan mai bada amsa</t>
  </si>
  <si>
    <t>277. I will read you several statements. Please tell me the extent do you agree/disagree with each:</t>
  </si>
  <si>
    <t>277. Je vais vous lire plusieurs déclarations. Veuillez me dire dans quelle mesure êtes-vous d'accord/pas d'accord avec chacun :</t>
  </si>
  <si>
    <t>277. Zan karanta muku maganganu da yawa. Da fatan za a gaya mini iya yarda/rishin yarda da kowanne:</t>
  </si>
  <si>
    <t>w_attack_weapon</t>
  </si>
  <si>
    <t>326. attack you with a knife, gun, or other type of weapon</t>
  </si>
  <si>
    <t>326. Vous attaquer avec un couteau, une arme à feu ou tout autre type d'arme</t>
  </si>
  <si>
    <t>326. Kawo muku hari da wuka, bindiga, ko wani makami daban</t>
  </si>
  <si>
    <t>w_sexual_assault</t>
  </si>
  <si>
    <t>327. force you to perform sexual actswith him even when you did not want to</t>
  </si>
  <si>
    <t>327. vous forcer à accomplir des actes sexuels avec lui même lorsque vous ne le vouliez pas</t>
  </si>
  <si>
    <t>327. tilasta muku ka yin jima'i da shi ko da ba ki da buƙata</t>
  </si>
  <si>
    <t>278. I must always respect decisions taken by my household even if you do not agree</t>
  </si>
  <si>
    <t>278. Je dois toujours respecter les décisions prises par mon ménage même si je ne suis pas d'accord</t>
  </si>
  <si>
    <t>278. Dole ne in mutunta shawarar da gidanmu ya yanke ko da ba ra'ayina ba ne</t>
  </si>
  <si>
    <t>Death of household head</t>
  </si>
  <si>
    <t>Décès du chef de famille</t>
  </si>
  <si>
    <t>Mutuwar maigida</t>
  </si>
  <si>
    <t>279. I should always sacrifice my personal needs and wants to satisfy my parents.</t>
  </si>
  <si>
    <t>279. Je devrais toujours sacrifier mes besoins personnels et vouloir satisfaire mes parents.</t>
  </si>
  <si>
    <t>279. Dole ne ko yaushe in sadaukar da bukatuna na kaina don in gamsar da iyayena.</t>
  </si>
  <si>
    <t>w_enum_note</t>
  </si>
  <si>
    <t>328. Enumerator: THANK THE RESPONDENT FOR HER COOPERATION AND REASSURE HER ABOUT THE CONFIDENTIALITY OF HER ANSWERS.</t>
  </si>
  <si>
    <t>328. Enquêteur : REMERCIER LA RÉPONDANTE POUR SA COOPÉRATION ET LA RASSURER SUR LA CONFIDENTIALITÉ DE SES RÉPONSES.</t>
  </si>
  <si>
    <t>328. Ɗan bincike: Ka gode wa mai bada amsa bisa haɗin kai da kuma ka tabbatar mata game da kiyaye SIRRIN HIRAR A KA YI DA ITA.</t>
  </si>
  <si>
    <t>speedcheck_w_end</t>
  </si>
  <si>
    <t>280. If I had an emergency that required 5,000 CFA urgently (within 3 days), I would be able to find the money.</t>
  </si>
  <si>
    <t>280. Si j'avais une urgence qui nécessitait 5 000 CFA en urgence (dans les 3 jours), je serais capable de trouver l'argent.</t>
  </si>
  <si>
    <t>280. Idan ina da biƙatar gaggawa na 5,000 CFA (a cikin kwanaki 3), zan iya samun kuɗin.</t>
  </si>
  <si>
    <t>Death of other household member</t>
  </si>
  <si>
    <t>dur_w</t>
  </si>
  <si>
    <t>Décès d'un autre membre du ménage</t>
  </si>
  <si>
    <t>Mutuwar wani ɗan gida</t>
  </si>
  <si>
    <t>speedcheck_hoh_start</t>
  </si>
  <si>
    <t>hoh_questions</t>
  </si>
  <si>
    <t>HoH Questionnaire</t>
  </si>
  <si>
    <t>hoh_note</t>
  </si>
  <si>
    <t>281. What type of person would you go to first for this money?</t>
  </si>
  <si>
    <t>281. Vers quel type de personne iriez-vous en premier pour cet argent ?</t>
  </si>
  <si>
    <t>329. Questions Chef de menage</t>
  </si>
  <si>
    <t>281. Wane irin mutum ne za ku fara zuwa wurin shi don wannan kuɗin?</t>
  </si>
  <si>
    <t>329. Tambayoyin mai gida</t>
  </si>
  <si>
    <t>Loss of land/housing</t>
  </si>
  <si>
    <t>Perte de terrain/logement</t>
  </si>
  <si>
    <t>Badda gonaki/gidaje</t>
  </si>
  <si>
    <t>speedcheck_hoh_rosternew_start</t>
  </si>
  <si>
    <t>282. Specify your relationship with this person</t>
  </si>
  <si>
    <t>282. Précisez votre relation avec cette personne</t>
  </si>
  <si>
    <t>282. Faɗi dangantakar ku da wannan mutumen</t>
  </si>
  <si>
    <t>hoh_definition_note</t>
  </si>
  <si>
    <t>${w_emergency_who} = -777</t>
  </si>
  <si>
    <t>283. The next set of questions are about your opinions regarding the roles that women and men play</t>
  </si>
  <si>
    <t>283. La prochaine série de questions porte sur vos opinions concernant les rôles que jouent les femmes et les hommes</t>
  </si>
  <si>
    <t>283. Tambayoyi na gaba sun ta'allaƙa ne da ra'ayoyin ku game da rawar da mata da maza suke takawa.</t>
  </si>
  <si>
    <t>hoh_new_hh_mems</t>
  </si>
  <si>
    <t>331. Are there new members in the household since we last spoke to you? For reference, these are the members you mentioned:
 ${hoh_roster_list}</t>
  </si>
  <si>
    <t>331. Y a-t-il de nouveaux membres dans le foyer depuis notre dernière conversation ? Pour référence, voici les membres que vous avez mentionnés : 
 ${hoh_roster_list}</t>
  </si>
  <si>
    <t>331. Shin akwai sabbin membobi a gidan tun da muka yi magana da ku a ƙarshe? Don tunani, waɗannan su ne membobin da ka ambata: 
 ${hoh_roster_list}</t>
  </si>
  <si>
    <t>284. How often, if ever do you talk about the role of women in society with other people?</t>
  </si>
  <si>
    <t>284. À quelle fréquence, si jamais cela est arrivé, parlez-vous du rôle des femmes dans la société avec d'autres personnes ?</t>
  </si>
  <si>
    <t>284. Sau nawa, idan ya na faruwa, kuke yin magana game da taka rawan mata a cikin al'umma tare da sauran mutane?</t>
  </si>
  <si>
    <t>hoh_new_hh_mems_num</t>
  </si>
  <si>
    <t>332. How many?</t>
  </si>
  <si>
    <t>332. Combien?</t>
  </si>
  <si>
    <t>332. Nawa?</t>
  </si>
  <si>
    <t>risks</t>
  </si>
  <si>
    <t>hoh_roster_new</t>
  </si>
  <si>
    <t>Add new members to existing roster</t>
  </si>
  <si>
    <t>hoh_hhindex</t>
  </si>
  <si>
    <t>285. In your opinion, how much influence a wife should have over the following decisions within a couple?</t>
  </si>
  <si>
    <t>Index</t>
  </si>
  <si>
    <t>285. Selon vous, quelle influence une épouse devrait-elle avoir sur les décisions suivantes au sein d'un couple ?</t>
  </si>
  <si>
    <t>285. A ra'ayinka, wane tasiri mace ya kamata ta yi bisa yanke shawarwari da zan zana a tsakanin ta da mijinta?</t>
  </si>
  <si>
    <t>hoh_hhtext</t>
  </si>
  <si>
    <t>hoh_hhtextfrench</t>
  </si>
  <si>
    <t>hoh_hhtexthausa</t>
  </si>
  <si>
    <t>hoh_hhname</t>
  </si>
  <si>
    <t>Name</t>
  </si>
  <si>
    <t>hoh_new_mem_name_last</t>
  </si>
  <si>
    <t>333. What is the last name of ${hoh_hhtext}?</t>
  </si>
  <si>
    <t>333. Quel est le nom de ${hoh_hhtextfrench} ?</t>
  </si>
  <si>
    <t>333. Menene sunan uban ${hoh_hhtexthausa}?</t>
  </si>
  <si>
    <t>286. Daily household expenses (Less than 500 CFA)</t>
  </si>
  <si>
    <t>286. Dépenses quotidiennes du ménage (Moins de 500 CFA)</t>
  </si>
  <si>
    <t>286. Kashe kashen kuɗin gida na yau da kullun ( Kasa da dala ɗari CFA 500)</t>
  </si>
  <si>
    <t>hoh_new_mem_name_first</t>
  </si>
  <si>
    <t>334. What is the first name of ${hoh_hhtext}?</t>
  </si>
  <si>
    <t>334. Quel est le prenom de cette personne ${hoh_hhtextfrench} ?</t>
  </si>
  <si>
    <t>334. Menene sunan ${hoh_hhtexthausa}?</t>
  </si>
  <si>
    <t>Theft</t>
  </si>
  <si>
    <t>Vol</t>
  </si>
  <si>
    <t>Sata</t>
  </si>
  <si>
    <t>287. Household purchases worth more than 500 CFA</t>
  </si>
  <si>
    <t>287. Achats des ménages d'une valeur supérieure à 500 CFA</t>
  </si>
  <si>
    <t>287. Siyayyar gida na sama da dala ɗari 500 CFA</t>
  </si>
  <si>
    <t>hoh_new_mem_name</t>
  </si>
  <si>
    <t>select_one relation</t>
  </si>
  <si>
    <t>hoh_new_mem_relation</t>
  </si>
  <si>
    <t>335. What is ${hoh_new_mem_name}'s relationship to you, the household head?</t>
  </si>
  <si>
    <t>335. Quelle est la relation entre ${hoh_new_mem_name} et vous, le chef de ménage ?</t>
  </si>
  <si>
    <t>335. Menene alaƙa tsakanin ${hoh_new_mem_name} da, mai gida?</t>
  </si>
  <si>
    <t>Psychological stress</t>
  </si>
  <si>
    <t>288. Family planning (how many children to have)</t>
  </si>
  <si>
    <t>Stress psychologique</t>
  </si>
  <si>
    <t>288. Planification familiale (combien d'enfants avoir)</t>
  </si>
  <si>
    <t>288. Tsarin iyali (ƴaƴa nawa za a haifa)</t>
  </si>
  <si>
    <t>select_one sex</t>
  </si>
  <si>
    <t>Damuwar tunani</t>
  </si>
  <si>
    <t>hoh_new_mem_sex</t>
  </si>
  <si>
    <t>336. What is ${hoh_new_mem_name}'s sex?</t>
  </si>
  <si>
    <t>336. Quel est le sexe de ${hoh_new_mem_name} ?</t>
  </si>
  <si>
    <t>336. Menene jinsin ${hoh_new_mem_name}?</t>
  </si>
  <si>
    <t>hoh_new_mem_age</t>
  </si>
  <si>
    <t>337. What is ${hoh_new_mem_name}'s age?</t>
  </si>
  <si>
    <t>337. Quel âge a ${hoh_new_mem_name} ?</t>
  </si>
  <si>
    <t>337. ${hoh_new_mem_name} Shekarun shi/ta nawa?</t>
  </si>
  <si>
    <t>289. Whether the husband will migrate to find work</t>
  </si>
  <si>
    <t>289. Si le mari va migrer pour trouver du travail</t>
  </si>
  <si>
    <t>289. Ko miji zai yi tahiya don neman aiki</t>
  </si>
  <si>
    <t>speedcheck_hoh_rosternew_end</t>
  </si>
  <si>
    <t>Negative impacts on household in Niger</t>
  </si>
  <si>
    <t>dur_hoh_rosternew</t>
  </si>
  <si>
    <t>Impacts négatifs sur les ménages au Niger</t>
  </si>
  <si>
    <t>hoh_hhmembers_new</t>
  </si>
  <si>
    <t>Mummunan Tasiri kan gidaje a Nijar</t>
  </si>
  <si>
    <t>hoh_roster_note</t>
  </si>
  <si>
    <t>290. Who to vote for in local elections?</t>
  </si>
  <si>
    <t>338. I want to ask a few questions about the members of your household who are currently residing here.</t>
  </si>
  <si>
    <t>290. Pour qui voter aux élections municipales ?</t>
  </si>
  <si>
    <t>338. Je veux poser quelques questions sur les membres de votre ménage qui résident actuellement ici.</t>
  </si>
  <si>
    <t>290. Wanene za'a zaɓa a zaɓen ƙananan hukumomi?</t>
  </si>
  <si>
    <t>338. Ina so in muku ƴan tambayoyi bisa yan gidanku da ke zaune a gida a yanzu.</t>
  </si>
  <si>
    <t>hoh_roster</t>
  </si>
  <si>
    <t>Roster</t>
  </si>
  <si>
    <t>speedcheck_hoh_roster_start</t>
  </si>
  <si>
    <t>291. To whom your daughter should marry?</t>
  </si>
  <si>
    <t>291. Avec qui votre fille devrait-elle se marier ?</t>
  </si>
  <si>
    <t>hoh_roster_index</t>
  </si>
  <si>
    <t>291. Wa ya kamata ƴarku ta aura?</t>
  </si>
  <si>
    <t>hoh_roster_name_cases</t>
  </si>
  <si>
    <t>Member name from case management</t>
  </si>
  <si>
    <t>Inability to find a job or earn sufficient wages</t>
  </si>
  <si>
    <t>Incapacité de trouver un emploi ou de gagner un salaire suffisant</t>
  </si>
  <si>
    <t>Rashin iya samun aiki ko samun isashen albashi</t>
  </si>
  <si>
    <t>hoh_roster_age_cases</t>
  </si>
  <si>
    <t>Member age from case management</t>
  </si>
  <si>
    <t>hoh_roster_sex_cases</t>
  </si>
  <si>
    <t>Member sex from case management</t>
  </si>
  <si>
    <t>hoh_roster_new_index</t>
  </si>
  <si>
    <t>hoh_roster_name_new</t>
  </si>
  <si>
    <t>New member name (only populated if no more members to enumerate in the cases data)</t>
  </si>
  <si>
    <t>292. Children's enrollment in school</t>
  </si>
  <si>
    <t>292. Inscription des enfants à l'école</t>
  </si>
  <si>
    <t>hoh_roster_age_new</t>
  </si>
  <si>
    <t>292. Rubuta yara a makaranta</t>
  </si>
  <si>
    <t>New member age</t>
  </si>
  <si>
    <t>hoh_roster_sex_new</t>
  </si>
  <si>
    <t>New member sex</t>
  </si>
  <si>
    <t>hoh_roster_name</t>
  </si>
  <si>
    <t>Illness and injuries</t>
  </si>
  <si>
    <t>Maladie et blessures</t>
  </si>
  <si>
    <t>Rashin lafiya da raunuka</t>
  </si>
  <si>
    <t>hoh_roster_age</t>
  </si>
  <si>
    <t>293. Imagine one of your daughters wanted to marry someone of a different religious faith, would you give them your permission?</t>
  </si>
  <si>
    <t>293. Imaginez qu'une de vos filles veuille épouser quelqu'un d'une confession religieuse différente, leur donneriez-vous votre permission ?</t>
  </si>
  <si>
    <t>hoh_roster_sex</t>
  </si>
  <si>
    <t>293. Ku ƙaddara da wata ɗiyarku ta na son ta auri wani mai bin wani addini daban, za ku bada izininku?</t>
  </si>
  <si>
    <t>hoh_info</t>
  </si>
  <si>
    <t>339. ${hoh_roster_name}
 Sex: ${hoh_roster_sex}
 Age: ${hoh_roster_age}</t>
  </si>
  <si>
    <t>Exploitation or human trafficking</t>
  </si>
  <si>
    <t>Exploitation ou traite des êtres humains</t>
  </si>
  <si>
    <t>Amfani ko fataucin mutane</t>
  </si>
  <si>
    <t>294. Imagine one of your sons wanted to marry someone of a different religious faith, would you give them your permission?</t>
  </si>
  <si>
    <t>hoh_nationality</t>
  </si>
  <si>
    <t>294. Imaginez que l'un de vos fils veuille épouser quelqu'un d'une confession religieuse différente, leur donneriez-vous votre permission ?</t>
  </si>
  <si>
    <t>294. Ku ƙaddara da wani ɗanku ya na son ya auri wata ƴa mai bin wani addini daban, za ku bada izininku?</t>
  </si>
  <si>
    <t>hoh_nationality_country</t>
  </si>
  <si>
    <t>295. Imagine one of your daughters wanted to marry someone of a different ethnic group, would you give them your permission?</t>
  </si>
  <si>
    <t>295. Imaginez qu'une de vos filles veuille épouser quelqu'un d'un groupe ethnique différent, leur donneriez-vous votre permission ?</t>
  </si>
  <si>
    <t>295. Ku ƙaddara da wata ɗiyarka tana son ta auri ɗan wata kabila daban, za ku bada izininka?</t>
  </si>
  <si>
    <t>Don’t know</t>
  </si>
  <si>
    <t>hoh_nationality_country_o</t>
  </si>
  <si>
    <t>hoh_roster_in</t>
  </si>
  <si>
    <t>296. Imagine one of your sons wanted to marry someone of a different ethnic group, would you give them your permission?</t>
  </si>
  <si>
    <t>296. Imaginez que l'un de vos fils veuille épouser quelqu'un d'un groupe ethnique différent, leur donneriez-vous votre permission ?</t>
  </si>
  <si>
    <t>296. Ku ƙaddara da wani ɗanku ya na son ya auri wani ɗan wata ƙabila daban, za ku bada izininka?</t>
  </si>
  <si>
    <t>select_one whyno_in</t>
  </si>
  <si>
    <t>hoh_roster_notin_why</t>
  </si>
  <si>
    <t>hoh_roster_notin_why_o</t>
  </si>
  <si>
    <t>297. Please tell me the degree to which you agree or disagree with the following statements.</t>
  </si>
  <si>
    <t>297. Veuillez me dire dans quelle mesure vous êtes d'accord ou pas d'accord avec les énoncés suivants.</t>
  </si>
  <si>
    <t>297. Yanzu ina son ku gaya mini har zuwa wane matsayi kuka yarda ko baku yarda ba da waɗannan maganganun da zan zana muku.</t>
  </si>
  <si>
    <t>hoh_roster_notin_death</t>
  </si>
  <si>
    <t>346. Enumerator: Record any details about the death of the family member</t>
  </si>
  <si>
    <t>346. Enqueteur: Veuillez noter toute information pertinente concernant le décès</t>
  </si>
  <si>
    <t>hoh_living_in_hh</t>
  </si>
  <si>
    <t>298. Middle school education for males is more important than middle school education for females.</t>
  </si>
  <si>
    <t>347. Is ${hoh_roster_name} currently living in your household?</t>
  </si>
  <si>
    <t>298. L'enseignement secondaire pour les hommes est plus important que l'enseignement secondaire pour les femmes.</t>
  </si>
  <si>
    <t>347. Est-ce que ${hoh_roster_name} vit actuellement dans votre ménage ?</t>
  </si>
  <si>
    <t>298. Ilimin koleji ga maza yana da mahimmanci fiye da ilimin koleji ga mata.</t>
  </si>
  <si>
    <t>347. Ko ${hoh_roster_name} yana zaune a gidanku a halin yanzu ?</t>
  </si>
  <si>
    <t>mitigate</t>
  </si>
  <si>
    <t>hoh_in_niger</t>
  </si>
  <si>
    <t>348. Is ${hoh_roster_name} currently living in Niger?</t>
  </si>
  <si>
    <t>348. Est-ce que ${hoh_roster_name} vit actuellement au Niger ?</t>
  </si>
  <si>
    <t>There is no way to mitigate these risks</t>
  </si>
  <si>
    <t>348. Ko ${hoh_roster_name} yana zaune a Nijar a halin yanzu?</t>
  </si>
  <si>
    <t>Il n'y a aucun moyen d'atténuer ces risques</t>
  </si>
  <si>
    <t>Babu wata hanyar da za a iya rage waɗannan haɗari</t>
  </si>
  <si>
    <t>299. Women and men should have equal rights to their inheritance (Women should not be denied their right)</t>
  </si>
  <si>
    <t>299. Les femmes et les hommes devraient avoir des droits égaux à l'héritage (les femmes ne devraient pas être privées de leur droit)</t>
  </si>
  <si>
    <t>299. Ya kamata mata da maza su samu haƙƙi daidai akan gado (Bai Kamata a hana ma mata haƙƙinsu ba)</t>
  </si>
  <si>
    <t>hoh_in_niger_region</t>
  </si>
  <si>
    <t>349. What region is ${hoh_roster_name} currently living in?</t>
  </si>
  <si>
    <t>349. Dans quelle région vit actuellement ${hoh_roster_name} ?</t>
  </si>
  <si>
    <t>349. A cikin wace jaha ce ${hoh_roster_name} yake zaune a yanzu?</t>
  </si>
  <si>
    <t>hoh_out_niger</t>
  </si>
  <si>
    <t>350. What country is ${hoh_roster_name} currently living in?</t>
  </si>
  <si>
    <t>350. Dans quel pays vit actuellement ${hoh_roster_name} ?</t>
  </si>
  <si>
    <t>350. A cikin wace kasa ce ${hoh_roster_name} yake zaune a yanzu?</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</si>
  <si>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</si>
  <si>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</si>
  <si>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</si>
  <si>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300. A woman can reject a marriage that her family chose for her without her consent</t>
  </si>
  <si>
    <t>300. Une femme peut refuser un mariage que sa famille a choisi pour elle sans son consentement</t>
  </si>
  <si>
    <t>300. Mace za ta iya ƙin auren da danginta suka zaɓa mata idan bata yarda ba</t>
  </si>
  <si>
    <t>hoh_out_niger_o</t>
  </si>
  <si>
    <t>351. Specify other</t>
  </si>
  <si>
    <t>351. Autre à préciser</t>
  </si>
  <si>
    <t>351. Wani daban a Bayyana</t>
  </si>
  <si>
    <t>hoh_out_town</t>
  </si>
  <si>
    <t>352. Enumerator: Select town</t>
  </si>
  <si>
    <t>352. Enquêteur : Sélectionnez la ville</t>
  </si>
  <si>
    <t>352. Ɗan bincike: Zaɓi gari</t>
  </si>
  <si>
    <t>Discuss migration plans with household before migrating</t>
  </si>
  <si>
    <t>Discutez des projets de migration avec le ménage avant de migrer</t>
  </si>
  <si>
    <t>Tattauna tsare-tsaren zuwa biɗa tare da ƴan gida kafin zuwa biɗa</t>
  </si>
  <si>
    <t>hoh_out_town_o</t>
  </si>
  <si>
    <t>353. Specify other</t>
  </si>
  <si>
    <t>353. Autre à préciser</t>
  </si>
  <si>
    <t>353. Wani daban a Bayyana</t>
  </si>
  <si>
    <t>301. Women and men should have equal rights in making the decision to divorce.</t>
  </si>
  <si>
    <t>301. Les femmes et les hommes devraient avoir des droits égaux dans la décision de divorcer.</t>
  </si>
  <si>
    <t>301. Yakamata a ce mata da maza suna da haƙƙi daidai wajen yanke shawarar rabuwar aure.</t>
  </si>
  <si>
    <t>hoh_mem_in_hh</t>
  </si>
  <si>
    <t>hoh_illness_limit</t>
  </si>
  <si>
    <t>354. Does ${hoh_roster_name} currently suffer from any illness or disability that limits their ability to travel or work?</t>
  </si>
  <si>
    <t>354. Est-ce que ${hoh_roster_name} souffre actuellement d'une maladie ou d'un handicap qui limite sa capacité à voyager ou à travailler ?</t>
  </si>
  <si>
    <t>354. ko a halin yanzu ${hoh_roster_name} yana da rashin lafiya ko naƙasa wanda ke iya hanashi zuwa balaguro ko yin aiki?</t>
  </si>
  <si>
    <t>Keep in touch with family and friends after migrating</t>
  </si>
  <si>
    <t>Restez en contact avec votre famille et vos amis après la migration</t>
  </si>
  <si>
    <t>Ci gaba da tuntuɓar dangi da abokai bayan zuwa biɗa</t>
  </si>
  <si>
    <t>302. The law should not allow a man to marry more than one woman.</t>
  </si>
  <si>
    <t>302. La loi ne devrait pas permettre à un homme d'épouser plus d'une femme.</t>
  </si>
  <si>
    <t>302. Yakamata doka ta hana ma namiji ya auri fiye da mace ɗaya.</t>
  </si>
  <si>
    <t>hoh_illness_limit_type</t>
  </si>
  <si>
    <t>355. What illness limits ${hoh_roster_name} in this way?</t>
  </si>
  <si>
    <t>355. Quelle maladie limite ${hoh_roster_name} de cette manière ?</t>
  </si>
  <si>
    <t>355. Wace rashin lafiya ke tsaida ${hoh_roster_name} ta haka ?</t>
  </si>
  <si>
    <t>hoh_illness_limit_type_o</t>
  </si>
  <si>
    <t>356. Other, specify:</t>
  </si>
  <si>
    <t>356. Autre précisez:</t>
  </si>
  <si>
    <t>356. Sauran, bayar da cikakkun bayanai:</t>
  </si>
  <si>
    <t>Build your social network in the destination</t>
  </si>
  <si>
    <t>Construisez votre réseau social dans la destination</t>
  </si>
  <si>
    <t>Gina hanyar sadarwar ku a wurin da ake nufi</t>
  </si>
  <si>
    <t>hoh_any_children</t>
  </si>
  <si>
    <t>357. Does ${hoh_roster_name} have children?</t>
  </si>
  <si>
    <t>357. Est-ce que ${hoh_roster_name} a des enfants ?</t>
  </si>
  <si>
    <t>357. ko ${hoh_roster_name} yana da yara?</t>
  </si>
  <si>
    <t>hoh_children</t>
  </si>
  <si>
    <t>303. In your opinion, is a husband justified in hitting or beating his wife if:</t>
  </si>
  <si>
    <t>358. How many children is ${hoh_roster_name} responsible for?</t>
  </si>
  <si>
    <t>358. De combien d'enfants ${hoh_roster_name} est-il responsable ?</t>
  </si>
  <si>
    <t>303. A votre avis, est-il justifié pour un mari de frapper ou de battre sa femme si :</t>
  </si>
  <si>
    <t>358. Yara nawa ne ${hoh_roster_name} yake ɗauke da Nauyinsu?</t>
  </si>
  <si>
    <t>303. A ganinku, ko ya cancanta miji ya bugi matarshi ko ya bata kashi idan:</t>
  </si>
  <si>
    <t>select_one education</t>
  </si>
  <si>
    <t>hoh_education</t>
  </si>
  <si>
    <t>Know which services and help are available to Nigeriens in the destination (example: embassy, mosque, etc.)</t>
  </si>
  <si>
    <t>Savoir quels services et aides sont disponibles pour les Nigériens dans la destination (exemple : ambassade, mosquée, etc.)</t>
  </si>
  <si>
    <t>Sanin irin ayyuka da taimako da ake samu ga ƴan Nijar a wurin da a ka je (misali: ofishin jakadanci, masallaci, da sauransu)</t>
  </si>
  <si>
    <t>hoh_attending_school</t>
  </si>
  <si>
    <t>304. She neglects the children</t>
  </si>
  <si>
    <t>304. Elle néglige les enfants</t>
  </si>
  <si>
    <t>304. Ta yi sakaci da yara</t>
  </si>
  <si>
    <t>select_one schools</t>
  </si>
  <si>
    <t>hoh_school_type</t>
  </si>
  <si>
    <t>Do not travel hidden in a vehicle while crossing the border</t>
  </si>
  <si>
    <t>Ne voyagez pas caché dans un véhicule lors du passage de la frontière</t>
  </si>
  <si>
    <t>Kada ku yi tafiya a ɓoye a cikin mota yayin ketare iyaka</t>
  </si>
  <si>
    <t>hoh_school_cost</t>
  </si>
  <si>
    <t>305. She argues with him</t>
  </si>
  <si>
    <t>305. Elle se dispute avec lui</t>
  </si>
  <si>
    <t>305. Ta yi mishi gardama</t>
  </si>
  <si>
    <t>hoh_school_absent_health</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</si>
  <si>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</si>
  <si>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</si>
  <si>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</si>
  <si>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hoh_school_absent_work</t>
  </si>
  <si>
    <t>306. She refuses to pray</t>
  </si>
  <si>
    <t>306. Elle refuse de prier</t>
  </si>
  <si>
    <t>306. Ta ƙi yin sallah</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</si>
  <si>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</si>
  <si>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</si>
  <si>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</si>
  <si>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hoh_married</t>
  </si>
  <si>
    <t>hoh_wives</t>
  </si>
  <si>
    <t>307. She burns the food</t>
  </si>
  <si>
    <t>307. Elle brûle la nourriture</t>
  </si>
  <si>
    <t>307. Ta ƙona abincin</t>
  </si>
  <si>
    <t>Keep your phone safe and away from strangers</t>
  </si>
  <si>
    <t>Gardez votre téléphone en sécurité et loin des étrangers</t>
  </si>
  <si>
    <t>Kiyaye wayarka da nisantata da baƙi</t>
  </si>
  <si>
    <t>hoh_mem_in_in</t>
  </si>
  <si>
    <t>MC hotline</t>
  </si>
  <si>
    <t>Ligne d'assistance MC</t>
  </si>
  <si>
    <t>Hanyar sadarwa na taimako</t>
  </si>
  <si>
    <t>hoh_past_migration</t>
  </si>
  <si>
    <t>Past Migration</t>
  </si>
  <si>
    <t>hoh_past_migration_note</t>
  </si>
  <si>
    <t>hoh_mem_migrate</t>
  </si>
  <si>
    <t>308. I've asked you a lot of questions about your life in the past period in order to better understand your experiences. Is there anything else that has happened recently to you that has changed your life in an important way?</t>
  </si>
  <si>
    <t>368. Since ${period_bl}, has ${hoh_roster_name} spent more than a week (7 days) away from home?</t>
  </si>
  <si>
    <t>308. Je vous ai posé beaucoup de questions sur votre vie au cours de la période écoulée afin de mieux comprendre vos expériences. Y a-t-il autre chose qui vous est arrivé récemment qui a changé votre vie de manière importante ?</t>
  </si>
  <si>
    <t>308. Na yi muku tambayoyi da yawa game da rayuwarku a cikin kwanakin da suka wuce don in gane yanda kuke tahiyar rayuwarku. Ko akwai wani abu da ya faru da ku cikin kwanan nan wanda ya kawo wani mahimmin canji ga rayuwarku ?</t>
  </si>
  <si>
    <t>368. Depuis cette ${period_french_bl}, ${hoh_roster_name} a-t-il passé plus d'une semaine (7 jours) loin de chez lui ?</t>
  </si>
  <si>
    <t>368. Tun wancan ${period_hausa_bl}, ${hoh_roster_name} ya shafe fiye da mako guda (kwana 7) baya gida?</t>
  </si>
  <si>
    <t>Enqueteur : ne pas lire les options, code basé sur la réponse</t>
  </si>
  <si>
    <t>Ɗan bincike: kar ka zana zaɓuɓɓuka, lambar na amsar</t>
  </si>
  <si>
    <t>select_multiple countries</t>
  </si>
  <si>
    <t>hoh_dest_country</t>
  </si>
  <si>
    <t>369. Since ${period_bl}, in which of the following countries has ${hoh_roster_name} spent more than one week? Select all that apply</t>
  </si>
  <si>
    <t>369. Depuis cette ${period_french_bl}, dans lequel des pays suivants hoh_roster_name a-t-il passé plus d'une semaine ? Sélectionnez tout ce qui s'y rapporte</t>
  </si>
  <si>
    <t>369. Tun daga wancan ${period_hausa_bl}, a cikin waɗanne ƙasashe ne ${hoh_roster_name} ya shafe fiye da mako ɗaya? Zaɓi duk abin da ya dace</t>
  </si>
  <si>
    <t>309. Enumerator: Briefly summarize the changes described by the respondent</t>
  </si>
  <si>
    <t>309. Enquêteur : Résumez brièvement les changements décrits par le répondant</t>
  </si>
  <si>
    <t>309. Ɗan bincike: A taƙaice rubuta canje-canjen da mai bada amsa ya gaya maka</t>
  </si>
  <si>
    <t>selected(${w_other_changes}, '-777')</t>
  </si>
  <si>
    <t>hoh_dest_country_o</t>
  </si>
  <si>
    <t>370. Specify other</t>
  </si>
  <si>
    <t>370. Autre à préciser</t>
  </si>
  <si>
    <t>370. Wani daban a Bayyana</t>
  </si>
  <si>
    <t>hoh_dom_mig_ind</t>
  </si>
  <si>
    <t>hoh_border_cross_ind</t>
  </si>
  <si>
    <t>hoh_border_cross_ecowas_ind</t>
  </si>
  <si>
    <t>Excludes Burkina Faso and Mali</t>
  </si>
  <si>
    <t>hoh_num_dest_country</t>
  </si>
  <si>
    <t>speedcheck_hoh_rosterdest_start</t>
  </si>
  <si>
    <t>fail_reason</t>
  </si>
  <si>
    <t>hoh_countries</t>
  </si>
  <si>
    <t>Countries</t>
  </si>
  <si>
    <t>hoh_destinations_index</t>
  </si>
  <si>
    <t>Repeat Group Index</t>
  </si>
  <si>
    <t>Insufficient funds</t>
  </si>
  <si>
    <t>hoh_dest_index</t>
  </si>
  <si>
    <t>Country Index</t>
  </si>
  <si>
    <t>Fonds insuffisants</t>
  </si>
  <si>
    <t>hoh_destination</t>
  </si>
  <si>
    <t>Country Name</t>
  </si>
  <si>
    <t>Rashin isassun kudade</t>
  </si>
  <si>
    <t>select_multiple towns</t>
  </si>
  <si>
    <t>hoh_dest_town</t>
  </si>
  <si>
    <t>371. In ${hoh_destination}, what was the name of the city or town that ${hoh_roster_name} moved to?</t>
  </si>
  <si>
    <t>371. À ${hoh_destination}, quel était le nom de la ville dans laquelle ${hoh_roster_name} il a séjourné ?</t>
  </si>
  <si>
    <t>371. A ${hoh_destination}, menene sunan birnin da ${hoh_roster_name} ya zauna?</t>
  </si>
  <si>
    <t>hoh_dest_town_o</t>
  </si>
  <si>
    <t>372. Specify other</t>
  </si>
  <si>
    <t xml:space="preserve">${speedcheck_w_nothoh_end} - ${speedcheck_w_nothoh_start} </t>
  </si>
  <si>
    <t>372. Autre à préciser</t>
  </si>
  <si>
    <t>372. Wani daban a Bayyana</t>
  </si>
  <si>
    <t>select_multiple region</t>
  </si>
  <si>
    <t xml:space="preserve">hoh_dest_region </t>
  </si>
  <si>
    <r>
      <rPr>
        <rFont val="Fira Code"/>
        <color rgb="FF000000"/>
        <sz val="10.0"/>
      </rPr>
      <t>482. In</t>
    </r>
    <r>
      <rPr>
        <rFont val="Fira Code"/>
        <color rgb="FF000000"/>
        <sz val="10.0"/>
      </rPr>
      <t xml:space="preserve"> ${hoh_destination}</t>
    </r>
    <r>
      <rPr>
        <rFont val="Fira Code"/>
        <color rgb="FF000000"/>
        <sz val="10.0"/>
      </rPr>
      <t>, what was the name of the region that ${hoh_roster_name} moved to?</t>
    </r>
  </si>
  <si>
    <t>482. Dans ${hoh_destination}, quel était le nom de la région vers laquelle ${hoh_roster_name} a été déplacé ?</t>
  </si>
  <si>
    <t>Needed to stay home to help household (e.g., on farm)</t>
  </si>
  <si>
    <t>482. A ${hoh_destination}, menene sunan yankin da ${hoh_roster_name} ya koma?</t>
  </si>
  <si>
    <t>Nécessité de rester à la maison pour aider le ménage (par exemple, à la ferme)</t>
  </si>
  <si>
    <t>Ana buƙatar zama a gida don taimakawa gida (misali, a gona)</t>
  </si>
  <si>
    <t>hoh_dest_region_o</t>
  </si>
  <si>
    <t>374. Specify other</t>
  </si>
  <si>
    <t>374. Autre à préciser</t>
  </si>
  <si>
    <t>374. Wani daban a Bayyana</t>
  </si>
  <si>
    <t>310.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</si>
  <si>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310.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</si>
  <si>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310.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</si>
  <si>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hoh_dest_frequency</t>
  </si>
  <si>
    <t>375. How many times did ${hoh_roster_name} travel to ${hoh_destination} since ${period}?</t>
  </si>
  <si>
    <t>375. Combien de fois ${hoh_roster_name} s'est-il rendu à ${hoh_destination} depuis la ${period_french}?</t>
  </si>
  <si>
    <t>375. Sau nawa ${hoh_roster_name} yayi tafiya zuwa ${hoh_destination} tun daga wancan ${period_hausa}?</t>
  </si>
  <si>
    <t>Insecurity/decided it was not safe to migrate</t>
  </si>
  <si>
    <t>Other Countries</t>
  </si>
  <si>
    <t>Insécurité/décide qu'il n'était pas garanti de voyager</t>
  </si>
  <si>
    <t>Rashin tsaro/yanke shawarar bai kamata ya tafi nema ba</t>
  </si>
  <si>
    <t>311. visiting your family or friends?</t>
  </si>
  <si>
    <t>311. rendre visite à votre famille ou à vos amis ?</t>
  </si>
  <si>
    <t>311. ziyartar danginku ko abokananku?</t>
  </si>
  <si>
    <t>speedcheck_hoh_rosterdest_end</t>
  </si>
  <si>
    <t>dur_hoh_rosterdest</t>
  </si>
  <si>
    <t>hoh_failed_prep</t>
  </si>
  <si>
    <t>376. Since ${period_bl}, was there ever a time when ${hoh_roster_name} planned to migrate but then had to cancel their plans?</t>
  </si>
  <si>
    <t>376. Depuis cette ${period_french_bl}, y a-t-il déjà eu un moment où ${hoh_roster_name} avait prévu de migrer mais a ensuite dû annuler ses projets ?</t>
  </si>
  <si>
    <t>376. Tun daga ${period_hausa_bl}, ko akwai lokacin da ${hoh_roster_name} ya shirya zuwa biɗa amma sai ya soke shirinshi?</t>
  </si>
  <si>
    <t>312. working outside the household?</t>
  </si>
  <si>
    <t>312. travailler en dehors du ménage ?</t>
  </si>
  <si>
    <t>312. aiki a wajen gidanku?</t>
  </si>
  <si>
    <t>hoh_failed_prep_country</t>
  </si>
  <si>
    <t>377. Where did they plan to migrate?</t>
  </si>
  <si>
    <t>377. Où envisageait-il de migrer ?</t>
  </si>
  <si>
    <t>377. Zuwa ina ya shirya zuwa biɗar?</t>
  </si>
  <si>
    <t>Too much concern about finding a job or housing in destination</t>
  </si>
  <si>
    <t>Trop d'inquiétudes pour trouver un emploi ou un logement dans la destination</t>
  </si>
  <si>
    <t>hoh_failed_prep_country_o</t>
  </si>
  <si>
    <t>378. Specify other</t>
  </si>
  <si>
    <t>378. Autre à préciser</t>
  </si>
  <si>
    <t>378. Wani daban a Bayyana</t>
  </si>
  <si>
    <t>Damuwa da yawa game da tabbacin samun aiki ko matsuguni a inda za'a je</t>
  </si>
  <si>
    <t>hoh_failed_repeat</t>
  </si>
  <si>
    <t>Failed Migrations</t>
  </si>
  <si>
    <t>hoh_failed_index</t>
  </si>
  <si>
    <t>hoh_failed_country_index</t>
  </si>
  <si>
    <t>hoh_failed_country</t>
  </si>
  <si>
    <t>hoh_failed_town</t>
  </si>
  <si>
    <t>Sickness</t>
  </si>
  <si>
    <t>Maladie</t>
  </si>
  <si>
    <t>Rashin lafiya</t>
  </si>
  <si>
    <t>379. In ${hoh_failed_country}, what was the name of the city or town that ${hoh_roster_name} planned to move to?</t>
  </si>
  <si>
    <t>379. Dans ${hoh_failed_country}, quel était le nom de la ville ou du village vers lequel ${hoh_roster_name} prévoyait de voyager ?</t>
  </si>
  <si>
    <t>379. A ƙasar ${hoh_failed_country}, menene sunan birni ko garin da sunan ${hoh_roster_name} yayi shirin zuwa?</t>
  </si>
  <si>
    <t>hoh_failed_town_o</t>
  </si>
  <si>
    <t>380. Specify other</t>
  </si>
  <si>
    <t>380. Autre à préciser</t>
  </si>
  <si>
    <t>380. Wani daban a Bayyana</t>
  </si>
  <si>
    <t>Decided to stay home for studies/training</t>
  </si>
  <si>
    <t>A décidé de rester à la maison pour des études/une formation</t>
  </si>
  <si>
    <t>Yanke shawarar zama a gida don karatu / horo</t>
  </si>
  <si>
    <t xml:space="preserve">hoh_failed_region </t>
  </si>
  <si>
    <t>In ${hoh_failed_country}, what was the name of the region that ${hoh_roster_name} planned to move to?</t>
  </si>
  <si>
    <t>Dans ${hoh_failed_country}, quel était le nom de la région dans laquelle ${hoh_roster_name} prévoyait de voyager ?</t>
  </si>
  <si>
    <t>A kasar ${hoh_failed_country}, menene sunan yankin da sunan ${hoh_roster_name} ya shirya zuwa?</t>
  </si>
  <si>
    <t>Parents/household refused permission</t>
  </si>
  <si>
    <t>Les parents/le ménage ont refusé l'autorisation</t>
  </si>
  <si>
    <t>hoh_failed_region_o</t>
  </si>
  <si>
    <t>382. Specify other</t>
  </si>
  <si>
    <t>382. Autre à préciser</t>
  </si>
  <si>
    <t>Iyaye/masu gida sun ƙi bada izini</t>
  </si>
  <si>
    <t>382. Wani daban a Bayyana</t>
  </si>
  <si>
    <t>hoh_failed_prep_count</t>
  </si>
  <si>
    <t>383. How many times did they plan to migrate to ${hoh_failed_country} and fail?</t>
  </si>
  <si>
    <t>383. Combien de fois ont-ils prévu de migrer vers ${hoh_failed_country} et ont-ils échoué ?</t>
  </si>
  <si>
    <t>383. Sau nawa ya shirya zuwa ƙasar ${hoh_failed_country} kuma ya kasa?</t>
  </si>
  <si>
    <t>select_multiple fail_reason</t>
  </si>
  <si>
    <t>hoh_failed_prep_reason</t>
  </si>
  <si>
    <t>384. Why did they change their plans?</t>
  </si>
  <si>
    <t>384. Pourquoi a-t-il changé son plan?</t>
  </si>
  <si>
    <t>384. Me yasa ya fasa tafiyar?</t>
  </si>
  <si>
    <t>hoh_failed_prep_reason_o</t>
  </si>
  <si>
    <t>385. Specify other reason</t>
  </si>
  <si>
    <t>313. The next set of questions are for married women only</t>
  </si>
  <si>
    <t>385. Précisez une autre raison</t>
  </si>
  <si>
    <t>313. La série de questions suivante s'adresse uniquement aux femmes mariées.</t>
  </si>
  <si>
    <t>385. Baiyana wani dalili daban</t>
  </si>
  <si>
    <t>313. Tambayoyi na gaba na matan aure ne kawai</t>
  </si>
  <si>
    <t>Ne sait pas</t>
  </si>
  <si>
    <t>314. When two people marry or live together, they share both good and bad moments. In your relationship with your husband/partner do the following happen frequently, only sometimes, or never?</t>
  </si>
  <si>
    <t>speedcheck_hoh_roster_end</t>
  </si>
  <si>
    <t>314. Lorsque deux personnes se marient ou vivent ensemble, elles partagent de bons et de mauvais moments. Dans votre relation avec votre mari/partenaire, les situations suivantes se produisent-elles a quelle frequence?</t>
  </si>
  <si>
    <t>314. Idan mutum biyu suka yi aure ko suna zaune tare, suna raba lokutta masu daɗi da marasa daɗi. A cikin zamantakewarku da mijinki/abokin zaman, ko waɗannan abubuwan suna faruwa kai-aka?</t>
  </si>
  <si>
    <t>dur_hoh_roster</t>
  </si>
  <si>
    <t>hoh_members_above_7</t>
  </si>
  <si>
    <t>Members 7+</t>
  </si>
  <si>
    <t>Membres 7+</t>
  </si>
  <si>
    <t>Membobi 7+</t>
  </si>
  <si>
    <t>hoh_members_living_in_hh</t>
  </si>
  <si>
    <t>Members Living in HH</t>
  </si>
  <si>
    <t>hoh_members_in_hh</t>
  </si>
  <si>
    <t>hoh_dom_mig</t>
  </si>
  <si>
    <t>315. He is affectionnate with you</t>
  </si>
  <si>
    <t>315. Il est affectueux avec vous</t>
  </si>
  <si>
    <t>315. Yana nuna muku soyayya</t>
  </si>
  <si>
    <t>hoh_border_cross</t>
  </si>
  <si>
    <t>hoh_border_cross_ecowas</t>
  </si>
  <si>
    <t>hoh_mig_any</t>
  </si>
  <si>
    <t>hoh_hh_resources</t>
  </si>
  <si>
    <t>Household Resources</t>
  </si>
  <si>
    <t>hoh_hh_resources_note</t>
  </si>
  <si>
    <t>386. Now I will ask you about how your household manages its resources.</t>
  </si>
  <si>
    <t>386. Je vais maintenant vous demander comment votre ménage gère ses ressources.</t>
  </si>
  <si>
    <t>386. Yanzu zan tambaye ku yadda gidanku yake sarrafa dukiyoyinshi.</t>
  </si>
  <si>
    <t>316. He respects you and your wishes</t>
  </si>
  <si>
    <t>opinion_important</t>
  </si>
  <si>
    <t>316. Il vous respecte et respecte vos souhaits</t>
  </si>
  <si>
    <t>316. Yana girmama ku kuma ya na girmama buƙatuntu</t>
  </si>
  <si>
    <t>Doesn't matter at all</t>
  </si>
  <si>
    <t>Pas du tout important</t>
  </si>
  <si>
    <t>Babu muhimmanci ko kadan</t>
  </si>
  <si>
    <t>hoh_own_home</t>
  </si>
  <si>
    <t>hoh_home_value</t>
  </si>
  <si>
    <t>select_multiple assets</t>
  </si>
  <si>
    <t>hoh_durable_asset</t>
  </si>
  <si>
    <t>matters somewhat</t>
  </si>
  <si>
    <t>select_multiple livestock</t>
  </si>
  <si>
    <t>Assez important</t>
  </si>
  <si>
    <t>hoh_livestock_any</t>
  </si>
  <si>
    <t>Da muhimmanci kadan</t>
  </si>
  <si>
    <t>390. Does your household own any of the following types of livestock?</t>
  </si>
  <si>
    <t>317. Now I am going to ask you about some situations which happen to some women. Please tell me if these apply to your relationship with your husband?</t>
  </si>
  <si>
    <t>390. Votre ménage possède-t-il l'un des types de bétail suivants ?</t>
  </si>
  <si>
    <t>317. Maintenant, je vais vous poser des questions sur certaines situations qui arrivent à certaines femmes. Veuillez me dire si cela s'applique à votre relation avec votre mari ?</t>
  </si>
  <si>
    <t>390. ko gidanku yana da ɗaya daga cikin irin wadannan dabbobi?</t>
  </si>
  <si>
    <t>317. To, yanzu zan tambaye ku game da wasu al’amura da suke faruwa ga wasu mata. Ko kun gaya mini idan waɗannan sun shafi zamantakewarku da mijinku?</t>
  </si>
  <si>
    <t>speedcheck_hoh_livestock_start</t>
  </si>
  <si>
    <t>hoh_livestock</t>
  </si>
  <si>
    <t>Assets</t>
  </si>
  <si>
    <t>318. He does not trust your fidelty</t>
  </si>
  <si>
    <t>Actifs</t>
  </si>
  <si>
    <t>318. Il est jaloux et vous montre qu'il n’a pas confiance en vous ?</t>
  </si>
  <si>
    <t>318. Yana zargin ku kullum da nuna rashin yarda?</t>
  </si>
  <si>
    <t>Kadara</t>
  </si>
  <si>
    <t>hoh_livestock_name</t>
  </si>
  <si>
    <t xml:space="preserve">Asset Name </t>
  </si>
  <si>
    <t>Nom de l'actif</t>
  </si>
  <si>
    <t>Sunan kadara</t>
  </si>
  <si>
    <t>Matters a lot</t>
  </si>
  <si>
    <t>Très important</t>
  </si>
  <si>
    <t>hoh_livestock_own</t>
  </si>
  <si>
    <t>Da muhimmanci sosai</t>
  </si>
  <si>
    <t>391. How many ${hoh_livestock_name} does your household own?</t>
  </si>
  <si>
    <t>391. Combien de ${hoh_livestock_name} votre ménage possède-t-il ?</t>
  </si>
  <si>
    <t>391. ${hoh_livestock_name} Nawa gidan ku ya mallaka ?</t>
  </si>
  <si>
    <t>319. He (does/did) not permit you to meet your girl friends?</t>
  </si>
  <si>
    <t>319. Il ne vous a pas permis de rencontrer vos copines ?</t>
  </si>
  <si>
    <t>319. Bai baku izinin ganin ƙawayenku ba?</t>
  </si>
  <si>
    <t>hoh_livestock_value</t>
  </si>
  <si>
    <t>392. How much is ${hoh_livestock_name} worth in CFA?</t>
  </si>
  <si>
    <t>392. Combien vaut ${hoh_livestock_name} en CFA ?</t>
  </si>
  <si>
    <t>392. Nawa ne kuɗin ${hoh_livestock_name} a sefa?</t>
  </si>
  <si>
    <t>speedcheck_hoh_livestock_end</t>
  </si>
  <si>
    <t>dur_hoh_livestock</t>
  </si>
  <si>
    <t>320. He (tries/tried) to limit your contact with your family?</t>
  </si>
  <si>
    <t>320. Il essaie de limiter vos contacts avec votre famille ?</t>
  </si>
  <si>
    <t>320. Ya na ƙoƙarin ya rage hulɗarku da danginku?</t>
  </si>
  <si>
    <t>speedcheck_hoh_land_start</t>
  </si>
  <si>
    <t>hoh_agriculture_note</t>
  </si>
  <si>
    <t>393. Now we'll talk about your households' agricultural and and animal husbandry activities. 
 Let's starting with the most recent agricultural season</t>
  </si>
  <si>
    <t>393. Maintenant, nous allons parler des activités agricoles et d'élevage de votre ménage.
 Commençons par la dernière saison agricole</t>
  </si>
  <si>
    <t>members</t>
  </si>
  <si>
    <t>${hhmem1}</t>
  </si>
  <si>
    <t>hoh_land_access_amt</t>
  </si>
  <si>
    <t>hoh_own_hectares</t>
  </si>
  <si>
    <t>395. How much of this land (in hectares) do you or another member of your household own?</t>
  </si>
  <si>
    <t>395. Quelle superficie de cette terre (en hectares) vous ou un autre membre de votre ménage possédez?</t>
  </si>
  <si>
    <t>395. Eka nawa ne mallakinku cikin wadannan gonakin, ku ko wani ɗan gidanku?</t>
  </si>
  <si>
    <t>${hhmem2}</t>
  </si>
  <si>
    <t>hoh_land_sold</t>
  </si>
  <si>
    <t>396. How much of this land, if any have you sold in the past year?</t>
  </si>
  <si>
    <t>396. Quelle superficie de ce terrain, si c'est déjà arrivé, avez-vous vendu au cours de l'année écoulée ?</t>
  </si>
  <si>
    <t>396. Eka nawa ne kuka saida, idan ya taɓa faruwa, a cikin shekarar da ta gabata?</t>
  </si>
  <si>
    <t>hoh_land_purchased</t>
  </si>
  <si>
    <t>321. Now if you will permit me, I need to ask some more questions about your relationship with your husband. Does he ever?</t>
  </si>
  <si>
    <t>321. Maintenant, si vous me le permettez, je dois poser quelques questions supplémentaires sur votre relation avec votre mari. Est-ce qu'il a jamais?</t>
  </si>
  <si>
    <t>321. Yanzu idan za ki ba ni izini, Ina bukatar yin wasu tambayoyi game da dangantakarki da mijinki. Ko ya taba?</t>
  </si>
  <si>
    <t>${hhmem3}</t>
  </si>
  <si>
    <t>hoh_rent_land</t>
  </si>
  <si>
    <t>322. Say or do something to humiliate you in front of others</t>
  </si>
  <si>
    <t>322. Dit ou fait quelque chose pour vous humilier devant les autres</t>
  </si>
  <si>
    <t>322. Fadi ko yin wani abu don wulaƙanta ku a gaban wasu</t>
  </si>
  <si>
    <t>hoh_rent_land_amt</t>
  </si>
  <si>
    <t>${hhmem4}</t>
  </si>
  <si>
    <t>speedcheck_hoh_land_end</t>
  </si>
  <si>
    <t>323. Threaten you or someone close to you with harm</t>
  </si>
  <si>
    <t>323. Vous menacer vous-même ou quelqu'un proche de vous à vous faire du mal</t>
  </si>
  <si>
    <t>323. Yi muku barazana ko wani na kusa da ku da cutarwa</t>
  </si>
  <si>
    <t>dur_hoh_land</t>
  </si>
  <si>
    <t>hoh_last_season_note</t>
  </si>
  <si>
    <t>${hhmem5}</t>
  </si>
  <si>
    <t>select_multiple crops</t>
  </si>
  <si>
    <t>324. Push you shake you or throw something at you</t>
  </si>
  <si>
    <t>hoh_crops</t>
  </si>
  <si>
    <t>324. Vous pousser, vous secouer ou jeter quelque chose sur vous</t>
  </si>
  <si>
    <t>324. Tura ku girgiza ku ko jefar da wani abu bisanku</t>
  </si>
  <si>
    <t>${hhmem6}</t>
  </si>
  <si>
    <t>hoh_crops_o</t>
  </si>
  <si>
    <t>${hhmem7}</t>
  </si>
  <si>
    <t>325. Slap you or twist your arm</t>
  </si>
  <si>
    <t>325. Vous gifler ou vous tordre le bras</t>
  </si>
  <si>
    <t>325. Mari ko murɗa hannunku</t>
  </si>
  <si>
    <t>speedcheck_hoh_cropsinfo_start</t>
  </si>
  <si>
    <t>hoh_crops_info</t>
  </si>
  <si>
    <t>Crops - ${hoh_crop_name}</t>
  </si>
  <si>
    <t>Cultures - ${hoh_crop_name}</t>
  </si>
  <si>
    <t>amfanin gona - ${hoh_crop_name}</t>
  </si>
  <si>
    <t>hoh_crop_name</t>
  </si>
  <si>
    <t>Crop Name</t>
  </si>
  <si>
    <t>Nom de la culture</t>
  </si>
  <si>
    <t>Sunan amfanin gona</t>
  </si>
  <si>
    <t>hoh_crop_desc</t>
  </si>
  <si>
    <t>hoh_crop_quantity</t>
  </si>
  <si>
    <t>403. How much of ${hoh_crop_name} did your household produce?</t>
  </si>
  <si>
    <t>403. Quelle quantité de ${hoh_crop_name} votre ménage a-t-il produit ?</t>
  </si>
  <si>
    <t>403. ${hoh_crop_name} Nawa gidanku ya samu?</t>
  </si>
  <si>
    <t>${hhmem8}</t>
  </si>
  <si>
    <t>326. Punch you with his fist or with something that could hurt you</t>
  </si>
  <si>
    <t>326. Vous frapper avec son poing ou avec quelque chose qui pourrait vous blesser</t>
  </si>
  <si>
    <t>326. Yi muku naushi da hannu ko da wani abu da zai iya cutar da ku</t>
  </si>
  <si>
    <t>select_one unit</t>
  </si>
  <si>
    <t>hoh_crop_unit</t>
  </si>
  <si>
    <t>404. Select crop unit for ${hoh_crop_name}</t>
  </si>
  <si>
    <t>404. Sélectionnez l'unité de culture pour ${hoh_crop_name}</t>
  </si>
  <si>
    <t>404. Zaɓi amfanin gonar don ${hoh_crop_name}</t>
  </si>
  <si>
    <t>hoh_crop_unit_o</t>
  </si>
  <si>
    <t>405. Specify other unit:</t>
  </si>
  <si>
    <t>405. Spécifiez une autre unité :</t>
  </si>
  <si>
    <t>405. Baiyana wani amfanin gonar daban:</t>
  </si>
  <si>
    <t>327. Kick you or drag you</t>
  </si>
  <si>
    <t>327. Vous donner un coup de pied ou vous traîner</t>
  </si>
  <si>
    <t>327. Habre ku ko jan ku</t>
  </si>
  <si>
    <t>hoh_crop_unit_name</t>
  </si>
  <si>
    <t>Unit Name</t>
  </si>
  <si>
    <t>hoh_qty_sold</t>
  </si>
  <si>
    <t>406. What quantity (${hoh_crop_unit_name}) of ${hoh_crop_name} did your household sell since the last harvest?</t>
  </si>
  <si>
    <t>406. Quelle quantité (${hoh_crop_unit_name}) de ${hoh_crop_name} votre ménage a-t-il vendu depuis la dernière récolte ?</t>
  </si>
  <si>
    <t>406. Nawa ne yawan (${hoh_crop_unit_name}) na ${hoh_crop_name} gidanku ya saida tun daga kaka na ƙarshe?</t>
  </si>
  <si>
    <t>328. Try to strangle you or burn you</t>
  </si>
  <si>
    <t>328. Essayer de vous étrangler ou de vous brûler</t>
  </si>
  <si>
    <t>328. Yi ƙoƙarin shake ku ko kona ku</t>
  </si>
  <si>
    <t>${hhmem9}</t>
  </si>
  <si>
    <t>hoh_price_sold</t>
  </si>
  <si>
    <t>407. What was the price per ${hoh_crop_unit_name} of ${hoh_crop_name} you sold in CFA?</t>
  </si>
  <si>
    <t>407. Quel était le prix unitaire (${hoh_crop_unit_name}) de ${hoh_crop_name} que vous avez vendu en CFA ?</t>
  </si>
  <si>
    <t>407. Nawa farashin kowane ${hoh_crop_unit_name} na ${hoh_crop_name} da kuka saida a CFA?</t>
  </si>
  <si>
    <t>329. threaten you with a knife, gun, or other type of weapon</t>
  </si>
  <si>
    <t>hoh_qty_consume</t>
  </si>
  <si>
    <t>329. Vous menacer avec un couteau, une arme à feu ou tout autre type d'arme</t>
  </si>
  <si>
    <t>408. How many ${hoh_crop_unit_name}s of ${hoh_crop_name} did your household consume?</t>
  </si>
  <si>
    <t>329. yi muku barazana da wuka, bindiga, ko wani makami daban</t>
  </si>
  <si>
    <t>408. Quelle quantité (${hoh_crop_unit_name}) de ${hoh_crop_name} votre ménage a-t-il consommé ?</t>
  </si>
  <si>
    <t>408. Nawa yawan ${hoh_crop_unit_name} na ${hoh_crop_name} gidanku ya cinye?</t>
  </si>
  <si>
    <t>${hhmem10}</t>
  </si>
  <si>
    <t>hoh_price_consume</t>
  </si>
  <si>
    <t>516. If you were to sell the ${hoh_crop_name} that you consumed, what would be the price per ${hoh_crop_unit_name} in CFA?</t>
  </si>
  <si>
    <t>330. attack you with a knife, gun, or other type of weapon</t>
  </si>
  <si>
    <t>${hhmem11}</t>
  </si>
  <si>
    <t>330. Vous attaquer avec un couteau, une arme à feu ou tout autre type d'arme</t>
  </si>
  <si>
    <t>330. Kawo muku hari da wuka, bindiga, ko wani makami daban</t>
  </si>
  <si>
    <t>hoh_qty_left</t>
  </si>
  <si>
    <t>hoh_qty_left_over</t>
  </si>
  <si>
    <t>409. The amount you have left (${hoh_qty_left}) is negative. Please return and revise your responses.</t>
  </si>
  <si>
    <t>409. Le montant qu'il vous reste (${hoh_qty_left}) est négatif. Veuillez revenir et réviser vos réponses.</t>
  </si>
  <si>
    <t>409. jimillar kuɗin da suka saura (${hoh_qty_left}) maras kyau ne. Da fatan za a dawo a sake duba amsoshin.</t>
  </si>
  <si>
    <t>${hhmem12}</t>
  </si>
  <si>
    <t>331. force you to perform sexual actswith him even when you did not want to</t>
  </si>
  <si>
    <t>331. vous forcer à accomplir des actes sexuels avec lui même lorsque vous ne le vouliez pas</t>
  </si>
  <si>
    <t>331. tilasta muku ka yin jima'i da shi ko da ba ki da buƙata</t>
  </si>
  <si>
    <t>${w_shm_home} = 0 and ${w_pm_home} = 0</t>
  </si>
  <si>
    <t>hoh_qty_left_confirm</t>
  </si>
  <si>
    <t>410. Based on your responses, you had ${hoh_qty_left} ${hoh_crop_unit_name} left over. Does this sound correct?</t>
  </si>
  <si>
    <t>410. D'après vos réponses, il vous restait ${hoh_qty_left} ${hoh_crop_unit_name}. Est-ce que cela semble correct ?</t>
  </si>
  <si>
    <t>410. Dangane da amsoshinku, kuna da sauran ${hoh_qty_left} ${hoh_crop_unit_name}. Ko wannan yayi daidai?</t>
  </si>
  <si>
    <t>${hhmem13}</t>
  </si>
  <si>
    <t>hoh_crop_revenue</t>
  </si>
  <si>
    <t>Crops</t>
  </si>
  <si>
    <t>Cultures</t>
  </si>
  <si>
    <t>amfanin gona</t>
  </si>
  <si>
    <t>hh_agr_expenses</t>
  </si>
  <si>
    <t>Household Agriculture Expenses</t>
  </si>
  <si>
    <t>Dépenses agricoles du ménage</t>
  </si>
  <si>
    <t>${hhmem14}</t>
  </si>
  <si>
    <t>Kashe kashen kuɗin aikin gona na gida</t>
  </si>
  <si>
    <t>hoh_spend_ag</t>
  </si>
  <si>
    <t>411. How much did your household spend on the following types of expenses during the last agricultural season in CFA?</t>
  </si>
  <si>
    <t>411. Combien votre ménage a-t-il dépensé pour les types de dépenses suivantes au cours de la dernière saison agricole (en CFA) ?</t>
  </si>
  <si>
    <t>411. Nawa ne gidanku ya kashe akan waɗannan abubuwan a lokacin noman da ya wuce (a sefa)?</t>
  </si>
  <si>
    <t>${hhmem15}</t>
  </si>
  <si>
    <t>hoh_spend_seeds</t>
  </si>
  <si>
    <t>412. Seeds</t>
  </si>
  <si>
    <t>412. Semences</t>
  </si>
  <si>
    <t>412. Iri</t>
  </si>
  <si>
    <t>hoh_spend_fert</t>
  </si>
  <si>
    <t>413. Fertilizer</t>
  </si>
  <si>
    <t>413. Engrais</t>
  </si>
  <si>
    <t>413. Takin zamani</t>
  </si>
  <si>
    <t>${hhmem16}</t>
  </si>
  <si>
    <t>332. Enumerator: THANK THE RESPONDENT FOR HER COOPERATION AND REASSURE HER ABOUT THE CONFIDENTIALITY OF HER ANSWERS.</t>
  </si>
  <si>
    <t>332. Enquêteur : REMERCIER LA RÉPONDANTE POUR SA COOPÉRATION ET LA RASSURER SUR LA CONFIDENTIALITÉ DE SES RÉPONSES.</t>
  </si>
  <si>
    <t>332. Ɗan bincike: Ka gode wa mai bada amsa bisa haɗin kai da kuma ka tabbatar mata game da kiyaye SIRRIN HIRAR A KA YI DA ITA.</t>
  </si>
  <si>
    <t>hoh_spend_rent</t>
  </si>
  <si>
    <t>${hhmem17}</t>
  </si>
  <si>
    <t>hoh_spend_water</t>
  </si>
  <si>
    <t>${hhmem18}</t>
  </si>
  <si>
    <t>Dépenses agricoles des ménages</t>
  </si>
  <si>
    <t>Kashe-kashen kuɗin aikin gona na gida</t>
  </si>
  <si>
    <t>speedcheck_hoh_cropsinfo_end</t>
  </si>
  <si>
    <t>dur_hoh_cropsinfo</t>
  </si>
  <si>
    <t>speedcheck_hoh_labor_start</t>
  </si>
  <si>
    <t>${hhmem19}</t>
  </si>
  <si>
    <t>hoh_work_note</t>
  </si>
  <si>
    <t>416. We want to understand how many days people worked in your fields and who did this work.</t>
  </si>
  <si>
    <t>416. Nous voulons comprendre combien de jours des gens ont travaillé dans vos champs et qui a fait ce travail.</t>
  </si>
  <si>
    <t>416. Muna son mu fahimci kwanaki nawa mutane suka yi aiki a gonakinku da kuma wanda ya yi wannan aikin.</t>
  </si>
  <si>
    <t>${hhmem20}</t>
  </si>
  <si>
    <t>hoh_weeks_labor</t>
  </si>
  <si>
    <t>417. Think about the last agricultural season. How many weeks were people working in your fields? This includes work by people who are members of your household and those who are not members of your household.</t>
  </si>
  <si>
    <t>417. Pensez à la dernière saison agricole. Combien de semaines au total les gens ont-ils travaillé dans vos champs ? Cela inclut le travail des personnes qui sont membres de votre ménage et celles qui ne le sont pas.</t>
  </si>
  <si>
    <t>417. Ku tuna da lokacin noma na ƙarshe. Makonni nawa mutane ke aiki a filayenku? Wannan ya haɗa da aikin mutanen da ke cikin gidanku da waɗanda ba ƴan gidanku ba ne.</t>
  </si>
  <si>
    <t xml:space="preserve">${speedcheck_w_end} - ${speedcheck_w_start} </t>
  </si>
  <si>
    <t>${hhmem21}</t>
  </si>
  <si>
    <t>hoh_days_labor</t>
  </si>
  <si>
    <t>418. Think about a typical week during the last agricultural season. How many days were people working in your fields? This includes work by people who are members of your household and those who are not members of your household.</t>
  </si>
  <si>
    <t>418. Pensez à une semaine typique au cours de la dernière saison agricole. Combien de jours les gens ont-ils travaillé dans vos champs par semaine ? Cela inclut le travail des personnes qui sont membres de votre ménage et celles qui ne le sont pas.</t>
  </si>
  <si>
    <t>418. Ku tuna da mako guda na lokacin damana ta ƙarshe. Kwanaki nawa mutane suke aiki a gonkinku a cikin kowane sati? Wannan ya haɗa da aikin mutanen da ke cikin gidan ku da waɗanda ba 'yan gidan ku ba ne.</t>
  </si>
  <si>
    <t>${hhmem22}</t>
  </si>
  <si>
    <t>hoh_hh_labor</t>
  </si>
  <si>
    <t>Household Members Working</t>
  </si>
  <si>
    <t>Membres actifs du ménage</t>
  </si>
  <si>
    <t>Ƴan gida masu Ƙarhin aiki</t>
  </si>
  <si>
    <t>hoh_labor_index</t>
  </si>
  <si>
    <t>${hhmem23}</t>
  </si>
  <si>
    <t>hoh_labor_name</t>
  </si>
  <si>
    <t>Household Name</t>
  </si>
  <si>
    <t>Nom du ménage</t>
  </si>
  <si>
    <t>Sunan gida</t>
  </si>
  <si>
    <t>hoh_ag_days_member</t>
  </si>
  <si>
    <t>419. Can you estimate how many days during the last agricultural season did ${hoh_labor_name} work in field?</t>
  </si>
  <si>
    <t>419. Pouvez-vous estimer combien de jours au cours de la dernière saison agricole ${hoh_labor_name} a-t-il travaillé dans les champs ?</t>
  </si>
  <si>
    <t>419. Za ku iya ƙiyasin kwanaki nawa a lokacin noman da ya gabata ${hoh_labor_name} ya yi aikin a noma?</t>
  </si>
  <si>
    <t>${hhmem24}</t>
  </si>
  <si>
    <t>hoh_hire_note</t>
  </si>
  <si>
    <t>420. The following questions about agricultural labor are for the last agricultural season (last 180 days).</t>
  </si>
  <si>
    <t xml:space="preserve">420. Les questions suivantes sur le travail agricole concernent la derniere saison agricole (180 derniers jours)        </t>
  </si>
  <si>
    <t>Q.420 Tambayoyi masu zuwa game da aikin noma bara (koinakin 180 na baya)</t>
  </si>
  <si>
    <t>hoh_hire_ag</t>
  </si>
  <si>
    <t>${shm_hoh} = 1 or (${pm_hoh} = 1 and (${shm_pm_home} = 0 and ${shm_pm_home_2w} &lt; 1) or ${shm_pm_home} = -999)</t>
  </si>
  <si>
    <t>${hhmem25}</t>
  </si>
  <si>
    <t>421. Did you hire anyone outside of your household to work in your fields?</t>
  </si>
  <si>
    <t>421. Avez-vous embauché quelqu'un en dehors de votre ménage pour travailler dans vos champs ?</t>
  </si>
  <si>
    <t>421. Ko kun ɗauki wani dan barema da ba ɗan gidanku ba don yin aiki a gonakinku?</t>
  </si>
  <si>
    <t>hoh_hire_ag_num</t>
  </si>
  <si>
    <t>${hhmem26}</t>
  </si>
  <si>
    <t>422. How many different people did you hire people to work in your fields?</t>
  </si>
  <si>
    <t>422. Combien de personnes avez-vous embauchées pour travailler dans vos champs ?</t>
  </si>
  <si>
    <t>422. Mutane nawa kuka ɗauka don yin aiki a gonakinku?</t>
  </si>
  <si>
    <t>333. HoH Questions</t>
  </si>
  <si>
    <t>333. Questions Chef de menage</t>
  </si>
  <si>
    <t>333. Tambayoyin mai gida</t>
  </si>
  <si>
    <t>hoh_hire_ag_days</t>
  </si>
  <si>
    <t>423. How many days did each laborer work in your fields?</t>
  </si>
  <si>
    <t>${hhmem27}</t>
  </si>
  <si>
    <t>423. Combien de jours chaque ouvrier a-t-il travaillé dans vos champs ?</t>
  </si>
  <si>
    <t>423. Kwanaki nawa kowane ma'aikaci yayi aiki a gonakinku?</t>
  </si>
  <si>
    <t>hoh_hire_ag_wage</t>
  </si>
  <si>
    <t>${hhmem28}</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</si>
  <si>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</si>
  <si>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</si>
  <si>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</si>
  <si>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</si>
  <si>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</si>
  <si>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unavail_why</t>
  </si>
  <si>
    <t>hoh_paid_ag_note</t>
  </si>
  <si>
    <t>426. Now we'll ask about any work by members of your household in fields owned by other people.</t>
  </si>
  <si>
    <t>426. Nous allons maintenant poser des questions sur tout travail effectué par des membres de votre ménage dans des champs appartenant à d'autres personnes.</t>
  </si>
  <si>
    <t>426. Yanzu za mu yi tambayoyi game da duk wani aiki da ƴan gidanku suka yi a gonakin wasu mutane.</t>
  </si>
  <si>
    <t>334. A household is a group of people, related or unrelated, who live together in the same housing, pool their resources together, share their meals and recognize the authority of the same one person who is the head of household.</t>
  </si>
  <si>
    <t>334. Un ménage est l’ensemble des personnes apparentées ou non qui vivent habituellement dans un même logement, mettent en commun leurs ressources, partagent leurs repas, et reconnaissent l’autorité d’une seule et même personne appelée chef de ménage.</t>
  </si>
  <si>
    <t>Sick</t>
  </si>
  <si>
    <t>334. Gida shine mutanen da ko dangi ko a'a wanda suke rayuwa cikin gida guda, sun sa dukiyar su tare, suna cin abinci tare, kuma sun yarda da shugabancin mutum ɗaya wanda a ke ce ma mai gida.</t>
  </si>
  <si>
    <t>hoh_members_paid_ag</t>
  </si>
  <si>
    <t>Malade</t>
  </si>
  <si>
    <t>427. Have any family members worked as a day labor in fields for someone else?</t>
  </si>
  <si>
    <t>427. Pensez à tout membre de votre ménage, y-a t-il des membres de votre ménage qui ont travaillé comme journaliers dans le champs de quelqu'un d'autre ?</t>
  </si>
  <si>
    <t>Rishin lafia</t>
  </si>
  <si>
    <t>427. Ko wani ɗan gidanku ya yi aiki a matsayin ɗan barema a gonar wani?</t>
  </si>
  <si>
    <t>speedcheck_hoh_labor_end</t>
  </si>
  <si>
    <t>dur_hoh_labor</t>
  </si>
  <si>
    <t>speedcheck_hoh_paid_start</t>
  </si>
  <si>
    <t>335. Are there new members in the household since we last spoke to you? For reference, these are the members you mentioned:
 ${hoh_roster_list}</t>
  </si>
  <si>
    <t>hoh_hh_paid</t>
  </si>
  <si>
    <t>335. Y a-t-il de nouveaux membres dans le foyer depuis notre dernière conversation ? Pour référence, voici les membres que vous avez mentionnés : 
 ${hoh_roster_list}</t>
  </si>
  <si>
    <t>Household Day Laborers</t>
  </si>
  <si>
    <t>ya rasou</t>
  </si>
  <si>
    <t>335. Shin akwai sabbin membobi a gidan tun da muka yi magana da ku a ƙarshe? Don tunani, waɗannan su ne membobin da ka ambata: 
 ${hoh_roster_list}</t>
  </si>
  <si>
    <t>Travaileurs journaliers</t>
  </si>
  <si>
    <t>Masu aikin wuni</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</si>
  <si>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</si>
  <si>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</si>
  <si>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hoh_paid_name</t>
  </si>
  <si>
    <t>hoh_paid_age</t>
  </si>
  <si>
    <t>hoh_paid_ag</t>
  </si>
  <si>
    <t>428. Can you estimate how many days ${hoh_paid_name} worked as a day laborer in the fields for someone else?</t>
  </si>
  <si>
    <t>428. Pouvez-vous estimer combien de jours ${hoh_paid_name} a travaillé comme journalier dans les champs d'autres personnes ?</t>
  </si>
  <si>
    <t>428. Za ku iya misalta ko wuni nawa ${hoh_paid_name} yayi aiki a matsayin ma'aikacin barema a gonar wasu mutane?</t>
  </si>
  <si>
    <t>saki</t>
  </si>
  <si>
    <t>hoh_paid_ag_wage</t>
  </si>
  <si>
    <t>336. How many?</t>
  </si>
  <si>
    <t>336. Combien?</t>
  </si>
  <si>
    <t>336. Nawa?</t>
  </si>
  <si>
    <t>Away from home</t>
  </si>
  <si>
    <t>Exode</t>
  </si>
  <si>
    <t>Please enter a number greater than 0!</t>
  </si>
  <si>
    <t>tabarada</t>
  </si>
  <si>
    <t>${hoh_new_hh_mems} = 1</t>
  </si>
  <si>
    <t>hoh_paid_ag_total</t>
  </si>
  <si>
    <t>paid_ag * paid_ag_wage</t>
  </si>
  <si>
    <t>payé_ag * payé_ag_wage</t>
  </si>
  <si>
    <t>biya_ag * biya_ag_wage</t>
  </si>
  <si>
    <t>Visited another village</t>
  </si>
  <si>
    <t>speedcheck_hoh_paid_end</t>
  </si>
  <si>
    <t>Rendu visite dans un autre village</t>
  </si>
  <si>
    <t>Ya ziyarci wani kauye</t>
  </si>
  <si>
    <t>dur_hoh_paid</t>
  </si>
  <si>
    <t>hoh_ag_exp_other</t>
  </si>
  <si>
    <t>430. Thinking about the last agricultural season, did you need to pay other expenses we did not ask you about?</t>
  </si>
  <si>
    <t>430. En pensant à la dernière saison agricole, avez-vous dû faire d'autres dépenses dont nous n'avons pas parlé ?</t>
  </si>
  <si>
    <t>430. A tunaninka a lokacin noman da ya gabata, akwai wasu kashe kashen kuɗi da kuka yi wanda ba mu yi zancen su ba?</t>
  </si>
  <si>
    <t>hoh_ag_exp_other_name</t>
  </si>
  <si>
    <t>${hoh_new_hh_mems_num}</t>
  </si>
  <si>
    <t>hoh_ag_exp_other_amt</t>
  </si>
  <si>
    <t>hoh_income1</t>
  </si>
  <si>
    <t>Total wages from outside ag work</t>
  </si>
  <si>
    <t>hoh_income2</t>
  </si>
  <si>
    <t>Total sales of own crops (not incl. own consumption)</t>
  </si>
  <si>
    <t>hoh_income3</t>
  </si>
  <si>
    <t>Wages paid for work on own farm</t>
  </si>
  <si>
    <t>hoh_income4</t>
  </si>
  <si>
    <t>Cost of seed</t>
  </si>
  <si>
    <t>hoh_income5</t>
  </si>
  <si>
    <t>Cost of fertilizer</t>
  </si>
  <si>
    <t>hoh_income6</t>
  </si>
  <si>
    <t>Cost of machinery</t>
  </si>
  <si>
    <t>hoh_income7</t>
  </si>
  <si>
    <t>Cost of water</t>
  </si>
  <si>
    <t>hoh_income8</t>
  </si>
  <si>
    <t>concat("new member ", ${hoh_hhindex})</t>
  </si>
  <si>
    <t>Cost of other expenses</t>
  </si>
  <si>
    <t>hoh_total_income</t>
  </si>
  <si>
    <t>total_income_confirm</t>
  </si>
  <si>
    <t>433. Total income: ${hoh_total_income}
 Does this seem right?</t>
  </si>
  <si>
    <t>433. Revenu total : ${hoh_total_income}
  Cela vous semble-t-il juste ?</t>
  </si>
  <si>
    <t>433. Jimillar kuɗin shiga: ${hoh_total_income}
  ko kuna ganin hakan yayi daidai?</t>
  </si>
  <si>
    <t>livestock_act_note</t>
  </si>
  <si>
    <t>434. Now we'll ask about income generating activity from animal husbandry in the past three months</t>
  </si>
  <si>
    <t>434. Maintenant, nous allons poser des questions sur l'activité génératrice de revenus liée à l'élevage au cours des trois derniers mois</t>
  </si>
  <si>
    <t>434. Yanzu za mu yi hira game da ayyukan samar da kuɗaɗen shiga na kiwo a cikin watanni uku da suka gabata</t>
  </si>
  <si>
    <t>concat("nouveau membre ", ${hoh_hhindex})</t>
  </si>
  <si>
    <t>speedcheck_hoh_livestockact_start</t>
  </si>
  <si>
    <t>hoh_livestock_activity</t>
  </si>
  <si>
    <t>Livestock Activity</t>
  </si>
  <si>
    <t>Activité d'élevage</t>
  </si>
  <si>
    <t>Ayyukan kiwo</t>
  </si>
  <si>
    <t>hoh_livestock_act_name</t>
  </si>
  <si>
    <t>hoh_livestock_bought</t>
  </si>
  <si>
    <t>304. How many ${hoh_livestock_act_name} did you buy?</t>
  </si>
  <si>
    <t>concat("sabon memba ", ${hoh_hhindex})</t>
  </si>
  <si>
    <t>304. Au cours des trois derniers mois, combien de ${hoh_livestock_act_name} avez-vous acheté ?</t>
  </si>
  <si>
    <t>304. ${hoh_livestock_act_name} Nawa kuka saye?</t>
  </si>
  <si>
    <t>hoh_livestock_bought_val</t>
  </si>
  <si>
    <t>How much did you buy ${hoh_livestock_act_name} for in CFA?</t>
  </si>
  <si>
    <t>hoh_livestock_sold</t>
  </si>
  <si>
    <t>305. How many ${hoh_livestock_act_name} did you sell?</t>
  </si>
  <si>
    <t>305. Au cours des trois derniers mois, combien de ${hoh_livestock_act_name} avez-vous vendu ?</t>
  </si>
  <si>
    <t>305. ${hoh_livestock_act_name} nawa kuka saida?</t>
  </si>
  <si>
    <t>hoh_livestock_sold_val</t>
  </si>
  <si>
    <t>How much did you sell ${hoh_livestock_act_name} for in CFA?</t>
  </si>
  <si>
    <t>337. What is the last name of ${hoh_hhtext}?</t>
  </si>
  <si>
    <t>337. Quel est le nom de ${hoh_hhtextfrench} ?</t>
  </si>
  <si>
    <t>337. Menene sunan uban ${hoh_hhtexthausa}?</t>
  </si>
  <si>
    <t>hoh_livestock_consumed</t>
  </si>
  <si>
    <t>306. How many ${hoh_livestock_act_name} did you consume?</t>
  </si>
  <si>
    <t>306. Au cours des trois derniers mois, combien de ${hoh_livestock_act_name} avez-vous consommé ?</t>
  </si>
  <si>
    <t>306. ${hoh_livestock_act_name} Nawa kuka cinye ?</t>
  </si>
  <si>
    <t>hoh_livestock_consumed_val</t>
  </si>
  <si>
    <t>If you were to sell the ${hoh_livestock_act_name} you consumed, how much would you sell them for in CFA?</t>
  </si>
  <si>
    <t>338. What is the first name of ${hoh_hhtext}?</t>
  </si>
  <si>
    <t>338. Quel est le prenom de cette personne ${hoh_hhtextfrench} ?</t>
  </si>
  <si>
    <t>338. Menene sunan ${hoh_hhtexthausa}?</t>
  </si>
  <si>
    <t>hoh_livestock_expend</t>
  </si>
  <si>
    <t>438. In the past three months, how much did you spend on food and health expense for all of your animals (in CFA)?</t>
  </si>
  <si>
    <t>438. Au cours des trois derniers mois, combien avez-vous dépensé en frais de nourriture et de santé pour tous vos animaux (en CFA) ?</t>
  </si>
  <si>
    <t>438. Nawa kuka kashe akan abinci da kiwon lafiyar dukkan dabbobinku (a sefa) ?</t>
  </si>
  <si>
    <t>hoh_typical_week_note</t>
  </si>
  <si>
    <t>439. When thinking about the past three months, I would like to ask you about how many days a typical week people in your household worked. We know people may work more during some weeks rather than others, please think about what happens during most weeks.</t>
  </si>
  <si>
    <t>439.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</si>
  <si>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439. Tuna da watanni uku da suka wuce. Ina son in tambaye ku game da yawan kwanaki da ƴan gidanku ke yin aiki a cikin sati na yau da kullun. Mun san da mutane na iya yin aiki a cikin wani sati fiye da wani satin, amma yi tunanin abinda ke kasancewa a yawancin makonni.</t>
  </si>
  <si>
    <t>hoh_livestock_days_member</t>
  </si>
  <si>
    <t>440. How many days did people in your household work to care for your animals in a typical week in the past three months?</t>
  </si>
  <si>
    <t>440. Dans les trois derniers mois, au cours d'une semaine normale, combien de jours les membres de votre ménage ont-ils travaillé pour s'occuper de vos animaux ?</t>
  </si>
  <si>
    <t>440. A cikin watanni uku da suka wuce, kwana nawa a cikin sati mutanen gidanku suka yi aiki don kula da bisashenku?</t>
  </si>
  <si>
    <t>concat(${hoh_new_mem_name_first}, ' ', ${hoh_new_mem_name_last})</t>
  </si>
  <si>
    <t>hoh_hire_livestock</t>
  </si>
  <si>
    <t>441. In the past three months, did you hire anyone outside your household to care for your animals?</t>
  </si>
  <si>
    <t>441. Au cours des trois derniers mois, avez-vous embauché quelqu'un en dehors de votre ménage pour s'occuper de vos animaux ?</t>
  </si>
  <si>
    <t>441. A cikin watanni uku da suka wuce, Ko kun ɗauki wani wanda ba ɗan gidanku ba don kula da dabbobinku?</t>
  </si>
  <si>
    <t>hoh_hire_livestock_days</t>
  </si>
  <si>
    <t>442. In the last 3 months, for how many weeks did you hire people to care for your livestock?</t>
  </si>
  <si>
    <t>442. Au cours des trois derniers mois, combien de semaines avez-vous embauché des personnes pour s'occuper de votre bétail ?</t>
  </si>
  <si>
    <t>442. A cikin watanni 3 da suka wuce, sati nawa kuka dauki ƴan aiki don kula da dabbobinku?</t>
  </si>
  <si>
    <t>hoh_hire_livestock_wage</t>
  </si>
  <si>
    <t>443. What was the weekly wage paid to people who care for your animals, or how much would you pay in CFA?</t>
  </si>
  <si>
    <t>443. Quel était les frais hebdomadaire payés aux personnes qui s'occupent de vos animaux, ou combien paieriez-vous en CFA ?</t>
  </si>
  <si>
    <t>443. 105 a. Nawa albashin mako-mako na wannan mutanen da ke kula da dabbobinku a CFA?</t>
  </si>
  <si>
    <t>hoh_hire_livestock_total</t>
  </si>
  <si>
    <t>hoh_livestock_total_confirm</t>
  </si>
  <si>
    <t>444. You paid ${hoh_hire_livestock_total} in CFA for people to care for your animals, is this correct?</t>
  </si>
  <si>
    <t>444. Vous avez payé ${hoh_hire_livestock_total} (en CFA) aux personnes qui s'occupent de vos animaux, est-ce exact ?</t>
  </si>
  <si>
    <t>444. ${hoh_hire_livestock_total} (a sefa) kuka biya, ko daidai ne?</t>
  </si>
  <si>
    <t>hoh_paid_livestock</t>
  </si>
  <si>
    <t>339. What is ${hoh_new_mem_name}'s relationship to you, the household head?</t>
  </si>
  <si>
    <t>339. Quelle est la relation entre ${hoh_new_mem_name} et vous, le chef de ménage ?</t>
  </si>
  <si>
    <t>339. Menene alaƙa tsakanin ${hoh_new_mem_name} da, mai gida?</t>
  </si>
  <si>
    <t>enquêteur : ne pas lire les options, code basé sur la réponse</t>
  </si>
  <si>
    <t>hoh_paid_livestock_days</t>
  </si>
  <si>
    <t>hoh_paid_livestock_wage</t>
  </si>
  <si>
    <t>447. What was the daily wage paid to household members who cared for livestock owned by other people?</t>
  </si>
  <si>
    <t>447. Quel étaient les frais journaliers payés aux membres de votre ménage qui s'occupent des animaux du bétail appartenant à d'autres personnes en CFA ?</t>
  </si>
  <si>
    <t>447. Nawa ne biyan wuni na ƴan gida masu kula da dabbobin wasu mutane (a kuɗin CFA)?</t>
  </si>
  <si>
    <t>hoh_other_income_note</t>
  </si>
  <si>
    <t>448. Now we will ask about other forms of income people in your household may have earned in the past three months.</t>
  </si>
  <si>
    <t>448. Nous allons maintenant poser des questions sur les autres formes de revenus que les membres de votre ménage ont pu gagner au cours des trois derniers mois.</t>
  </si>
  <si>
    <t>448. Yanzu za mu yi tambayoyi bisa wasu hanyoyin samun kuɗin shiga da yan gidanku a cikin watanni uku da suka gabata.</t>
  </si>
  <si>
    <t>hoh_own_other</t>
  </si>
  <si>
    <t>449. Do you or another member of your household own land that is currently not used for agriculture, outside of your current home?</t>
  </si>
  <si>
    <t>449. Est-ce que vous ou un autre membre de votre ménage possédez des terres qui ne sont actuellement pas utilisées pour l'agriculture, en dehors de votre domicile actuel ?</t>
  </si>
  <si>
    <t>449. Shin kai ko wani na gidanku kuna da wasu hilaye wanda ba na noma ba bancin gidanku da kuke ciki a halin yanzu?</t>
  </si>
  <si>
    <t>hoh_earn_rent</t>
  </si>
  <si>
    <t>340. What is ${hoh_new_mem_name}'s sex?</t>
  </si>
  <si>
    <t>340. Quel est le sexe de ${hoh_new_mem_name} ?</t>
  </si>
  <si>
    <t>340. Menene jinsin ${hoh_new_mem_name}?</t>
  </si>
  <si>
    <t>hoh_earn_interest</t>
  </si>
  <si>
    <t>speedcheck_hoh_livestockact_end</t>
  </si>
  <si>
    <t>dur_hoh_livestockact</t>
  </si>
  <si>
    <t>speedcheck_hoh_biz_start</t>
  </si>
  <si>
    <t>hoh_own_biz</t>
  </si>
  <si>
    <t>452. Does anyone in the household fully, or partly own and operate an income generating activity that is not farming or herding? (i.e. a shop where you sell goods, restaurant, butcher shop)?</t>
  </si>
  <si>
    <t>452. Quelqu'un dans le ménage possède-t-il entièrement ou partiellement une activité génératrice de revenus autre que l'agriculture ou l'élevage ? (C'est-à-dire un magasin où vous vendez des marchandises, un restaurant, une boucherie) ?</t>
  </si>
  <si>
    <t>452. Ko akwai wani ɗan gidanku mai sana'a wanda jarin gaba daya nashi ko na hadin gwiwa ne banda noma da kiyo? ( kantin saida kaya, gidan abinci, fawa)?</t>
  </si>
  <si>
    <t>341. What is ${hoh_new_mem_name}'s age?</t>
  </si>
  <si>
    <t>341. Quel âge a ${hoh_new_mem_name} ?</t>
  </si>
  <si>
    <t>341. ${hoh_new_mem_name} Shekarun shi/ta nawa?</t>
  </si>
  <si>
    <t>select_one activities</t>
  </si>
  <si>
    <t>hoh_biz_type</t>
  </si>
  <si>
    <t>453. What type of business is this?</t>
  </si>
  <si>
    <t>453. Quel type d'entreprise est-ce?</t>
  </si>
  <si>
    <t>453. Wane irin kasuwanci ne?</t>
  </si>
  <si>
    <t>hoh_biz_type_o</t>
  </si>
  <si>
    <t>454. Specify other</t>
  </si>
  <si>
    <t>454. Autre à préciser :</t>
  </si>
  <si>
    <t>454. Baiyana wani abu daban:</t>
  </si>
  <si>
    <t>hoh_biz_type_name</t>
  </si>
  <si>
    <t>hoh_biz_loc</t>
  </si>
  <si>
    <t>455. Do you have a permanent location (i.e. building)?</t>
  </si>
  <si>
    <t>455. Avez-vous un emplacement permanent (c'est-à-dire un bâtiment) ?</t>
  </si>
  <si>
    <t>455. Kuna da wurin dindindin (kamar gini)?</t>
  </si>
  <si>
    <t>hoh_biz_employ</t>
  </si>
  <si>
    <t>456. How many people outside of your household do you employ in this business?</t>
  </si>
  <si>
    <t>456. Combien de personnes en dehors de votre ménage employez-vous dans cette entreprise ?</t>
  </si>
  <si>
    <t>456. Mutane nawa ne kuka dauka aiki banda ƴan gidan a wannan kasuwancin?</t>
  </si>
  <si>
    <t>hoh_biz_wage</t>
  </si>
  <si>
    <t>hoh_biz_days_total</t>
  </si>
  <si>
    <t>Members in Business</t>
  </si>
  <si>
    <t>hoh_biz_index</t>
  </si>
  <si>
    <t>hoh_biz_name</t>
  </si>
  <si>
    <t>hoh_biz_age</t>
  </si>
  <si>
    <t>hoh_biz_days</t>
  </si>
  <si>
    <t>speedcheck_hoh_biz_end</t>
  </si>
  <si>
    <t>dur_hoh_biz</t>
  </si>
  <si>
    <t>hoh_biz_revenue</t>
  </si>
  <si>
    <t>459. Thinking about all of the revenues from this business in the past three months, what was the total amount of money coming in from this business in the last three months?</t>
  </si>
  <si>
    <t>459. Pense à tous les revenus de cette entreprise au cours des trois derniers mois, quel a été le montant total provenant de cette entreprise au cours des trois derniers mois ?</t>
  </si>
  <si>
    <t>459. Tuna da dukkan kuɗaɗen shiga na wannan kasuwancin a cikin watanni uku da suka wuce, nawa ne yawan kuɗin da aka samu daga wannan kasuwancin a cikin watanni uku da suka wuce?</t>
  </si>
  <si>
    <t>hoh_biz_expense</t>
  </si>
  <si>
    <t>460. Thinking about all of the the expenses from this business, what was the total amount of money you spent on costs related to this business in the last three months?</t>
  </si>
  <si>
    <t>460. Pense à toutes les dépenses de cette entreprise, quel a été le montant total que vous avez dépensé pour les coûts liés à cette entreprise au cours des trois derniers mois ?</t>
  </si>
  <si>
    <t>460. Tuna da dukkan kuɗin da aka kashe don wannan kasuwancin, nawa ne jimillar kuɗin da kuka kashe a kan wannan kasuwancin a cikin watanni uku da suka wuce?</t>
  </si>
  <si>
    <t xml:space="preserve">${speedcheck_hoh_rosternew_end} - ${speedcheck_hoh_rosternew_start} </t>
  </si>
  <si>
    <t>hoh_biz_income</t>
  </si>
  <si>
    <t>hoh_biz_income_confirm</t>
  </si>
  <si>
    <t>461. Thinking about all the revenue and expense related to this business during the past three months, you said that the net income from this business for your household is ${hoh_biz_income}. Is that correct?</t>
  </si>
  <si>
    <t>461. En pensant à tous les revenus de cette entreprise et à toutes les dépenses, vous dites que la bénéfice net de cette entreprise au cours des trois derniers mois est ${hoh_biz_income}, est-ce exact ?</t>
  </si>
  <si>
    <t>461. Ku tuna da dukkan kuɗaɗen shiga da kashe kashen kuɗi da suka shafi wannan kasuwancin a cikin watanni uku da suka wuce. Kun ce yawan riban wannan kasuwancin shine ${hoh_biz_income}. Ko hakan daidai ne?</t>
  </si>
  <si>
    <t>if(${hoh_new_hh_mems} = 0, ${hhmembers}, ${hhmembers} + ${hoh_new_hh_mems_num})</t>
  </si>
  <si>
    <t>hoh_members_other_activity_note</t>
  </si>
  <si>
    <t>462. We have discussed work done by members of your household in agriculture, in husbandry, in a business owned by your family.</t>
  </si>
  <si>
    <t>462. Nous avons discuté du travail effectué par les membres de votre ménage dans l'agriculture, l'élevage, dans une entreprise appartenant à votre famille.</t>
  </si>
  <si>
    <t>462. “Mun tattauna bisa ayyukan da ƴan gidanku suka yi a harakar noma da kiwo, kasuwancin da ƴan gidanku suka mallaka.</t>
  </si>
  <si>
    <t>speedcheck_hoh_memact_start</t>
  </si>
  <si>
    <t>hoh_member_activity</t>
  </si>
  <si>
    <t>Outside Activities</t>
  </si>
  <si>
    <t>Activités extérieures</t>
  </si>
  <si>
    <t>Ayyukan da ba na gida ba</t>
  </si>
  <si>
    <t>hoh_member_act_index</t>
  </si>
  <si>
    <t>hoh_member_act_name</t>
  </si>
  <si>
    <t>342. I want to ask a few questions about the members of your household who are currently residing here.</t>
  </si>
  <si>
    <t>342. Je veux poser quelques questions sur les membres de votre ménage qui résident actuellement ici.</t>
  </si>
  <si>
    <t>342. Ina so in muku ƴan tambayoyi bisa yan gidanku da ke zaune a gida a yanzu.</t>
  </si>
  <si>
    <t>hoh_member_other_activity</t>
  </si>
  <si>
    <t>463. In the past three months, did ${hoh_member_act_name} earn money from any other activity?</t>
  </si>
  <si>
    <t>463. Au cours des trois derniers mois, ${hoh_member_act_name} a-t-il gagné de l'argent grâce à une autre activité ?</t>
  </si>
  <si>
    <t>463. A cikin watanni uku da suka gabata, ${hoh_member_act_name} ya samu kuɗi daga yin wani aiki?</t>
  </si>
  <si>
    <t>hoh_member_other_act</t>
  </si>
  <si>
    <t>hoh_member_other_activity_o</t>
  </si>
  <si>
    <t>hoh_member_other_activity_name</t>
  </si>
  <si>
    <t>hoh_member_other_amt</t>
  </si>
  <si>
    <t>466. How much does ${hoh_member_act_name} earn from this activity during an average week (that they are engaged in ${hoh_member_other_activity_name})?</t>
  </si>
  <si>
    <t>466. Combien ${hoh_member_act_name} gagne-t-il grâce à cette activité au cours d'une semaine en moyenne (pendant laquelle il est engagé comme ${hoh_member_other_activity_name}) ?</t>
  </si>
  <si>
    <t>466. A takaice nawa ${hoh_member_act_name} yake samu daga wannan aiki a cikin sati (a lokacin da suke cikin aikin ${hoh_member_other_activity_name})?</t>
  </si>
  <si>
    <t>hoh_member_other_weeks</t>
  </si>
  <si>
    <t>467. Think about the past 3 months how many weeks did they engage in ${hoh_member_other_activity_name}?</t>
  </si>
  <si>
    <t>467. Pensez aux 3 derniers mois, combien de semaines ont-ils participé à ${hoh_member_other_activity_name} ?</t>
  </si>
  <si>
    <t>467. A watanni 3 da suka gabata, sati nawa suka yi aikin ${hoh_member_other_activity_name}?</t>
  </si>
  <si>
    <t>hoh_member_contribute</t>
  </si>
  <si>
    <t>468. Can you estimate how much ${hoh_member_act_name} contributes to the household common pot in a typical week (excluding labor) including both cash and in goods?</t>
  </si>
  <si>
    <t>468. Pouvez-vous estimer la contribution de ${hoh_member_act_name} au fond commun du ménage au cours d'une semaine normale (hors main-d'œuvre), y compris en espèces et en nature ?</t>
  </si>
  <si>
    <t>468. Ko za ku iya kimanta gudunmawar kuɗi da kaya da ${hoh_member_act_name} ya kawo gidan a cikin sati guda (banda aiki)?</t>
  </si>
  <si>
    <t>speedcheck_hoh_memact_end</t>
  </si>
  <si>
    <t>dur_hoh_memact</t>
  </si>
  <si>
    <t>hoh_remittance_qs</t>
  </si>
  <si>
    <t>Questions about remittances</t>
  </si>
  <si>
    <t>${hoh_hhmembers_new}</t>
  </si>
  <si>
    <t>speedcheck_hoh_remit_start</t>
  </si>
  <si>
    <t>hoh_remit_rec_niger</t>
  </si>
  <si>
    <t>469. In the past three months, have you or anyone in your household received money from someone who is not a member of your household and who lives elsewhere in Niger (outside your village)?</t>
  </si>
  <si>
    <t>469. Au cours des trois derniers mois, vous ou un membre de votre ménage avez reçu &lt;b&gt;de l'argent&lt;/b&gt; d'une personne qui n'est pas membre de votre ménage et qui habite &lt;b&gt;ailleurs au Niger&lt;/b&gt; (en dehors de votre village)?</t>
  </si>
  <si>
    <t>469. A cikin watanni uku da suka wuce, kai ko ɗan gidanku kun samu kuɗi daga wani da ba ɗan gidanku ba wanda yake zaune a wani gari a Nijar (wajen kauyenku)?</t>
  </si>
  <si>
    <t>hoh_remit_rec_niger_amt</t>
  </si>
  <si>
    <t>470. How much in total did members of your household receive from people elsewhere in Niger (in CFA)?</t>
  </si>
  <si>
    <t>470. Combien au total les membres de votre ménage ont-ils reçu des personnes qui sont quelques part au Niger (en CFA)?</t>
  </si>
  <si>
    <t>470. Nawa ne ƴan gidanku suka samu daga wasu matanen da ke wani gari a Nijar (in CFA)?</t>
  </si>
  <si>
    <t>select_multiple money_transfer</t>
  </si>
  <si>
    <t>hoh_remit_rec_niger_how</t>
  </si>
  <si>
    <t>471. How was this money transmitted to your household?</t>
  </si>
  <si>
    <t>471. Comment cet argent a-t-il été envoyé à votre ménage ?</t>
  </si>
  <si>
    <t>471. Ta wace hanya aka aikawa gidanku wannan kuɗin ?</t>
  </si>
  <si>
    <t>hoh_remit_rec_niger_how_o</t>
  </si>
  <si>
    <t>472. Specify other transfer method</t>
  </si>
  <si>
    <t>472. Précisez la méthode du transfert</t>
  </si>
  <si>
    <t>472. Wani daban a Bayyana</t>
  </si>
  <si>
    <t>hoh_goods_rec_niger</t>
  </si>
  <si>
    <t>473. In the past three months, have you or anyone in your household received goods (payment in kind) from someone who is not a member of your household and who lives elsewhere in Niger (outside your village)?</t>
  </si>
  <si>
    <t>473. Au cours des trois derniers mois, vous ou un membre de votre ménage avez reçu &lt;b&gt;des biens&lt;/b&gt; (paiement en nature) d'une personne qui n'est pas membre de votre ménage et qui habite &lt;b&gt;ailleurs au Niger&lt;/b&gt; (en dehors de votre village)?</t>
  </si>
  <si>
    <t>pulldata('baseline_ids_fu5', concat('hhname', ${hoh_roster_index}), 'hh_id', ${hh_id})</t>
  </si>
  <si>
    <t>473. A cikin watanni ukun da suka wuce, kai ko wani a cikin gidanku kun karɓi kaya (a matsayin biya) daga wani wanda ba ɗan gidanku ba ne kuma yana zaune a wani wuri a Nijar (Ba'a garinku ba)?</t>
  </si>
  <si>
    <t>hoh_goods_rec_niger_amt</t>
  </si>
  <si>
    <t>474. What was the value of the goods members of your household receive from people elsewhere in Niger (in CFA)?</t>
  </si>
  <si>
    <t>474. Quel était la valeur au totale des biens que les membres de votre ménage ont reçu des personnes qui sont quelques part au Niger 
 (en CFA)?</t>
  </si>
  <si>
    <t>474. Nawa kimar kayayyakin da ƴan gidanku suka karba daga wasu mutane a wasu wurare a Nijar (in CFA)?</t>
  </si>
  <si>
    <t>select_multiple goods_transfer</t>
  </si>
  <si>
    <t>hoh_goods_rec_niger_how</t>
  </si>
  <si>
    <t>475. How were these goods transmitted to your household?</t>
  </si>
  <si>
    <t>pulldata('baseline_ids_fu5', concat('hhage', ${hoh_roster_index}), 'hh_id', ${hh_id})</t>
  </si>
  <si>
    <t>475. Comment ces biens ont-ils été envoyé à votre ménage ?</t>
  </si>
  <si>
    <t>475. Ta yaya aka aika waɗannan kayayyakin zuwa gidanku?</t>
  </si>
  <si>
    <t>pulldata('baseline_ids_fu5', concat('hhsex', ${hoh_roster_index}), 'hh_id', ${hh_id})</t>
  </si>
  <si>
    <t>empty(${hoh_roster_name_cases})</t>
  </si>
  <si>
    <t xml:space="preserve">${hoh_roster_index} - ${hhmembers} </t>
  </si>
  <si>
    <t>indexed-repeat(${hoh_new_mem_name}, ${hoh_roster_new}, ${hoh_roster_new_index})</t>
  </si>
  <si>
    <t>indexed-repeat(${hoh_new_mem_age}, ${hoh_roster_new}, ${hoh_roster_new_index})</t>
  </si>
  <si>
    <t>if(indexed-repeat(${hoh_new_mem_sex}, ${hoh_roster_new}, ${hoh_roster_new_index}) = 1, 'Male', 'Female')</t>
  </si>
  <si>
    <t>if(empty(${hoh_roster_name_cases}), ${hoh_roster_name_new}, ${hoh_roster_name_cases})</t>
  </si>
  <si>
    <t>if(empty(${hoh_roster_name_cases}), ${hoh_roster_age_new}, ${hoh_roster_age_cases})</t>
  </si>
  <si>
    <t>if(empty(${hoh_roster_name_cases}), ${hoh_roster_sex_new}, ${hoh_roster_sex_cases})</t>
  </si>
  <si>
    <t>343. ${hoh_roster_name}
 Sex: ${hoh_roster_sex}
 Age: ${hoh_roster_age}</t>
  </si>
  <si>
    <t>344. Is ${hoh_roster_name} a Nigerien national?</t>
  </si>
  <si>
    <t>344. ${hoh_roster_name} est-il un citoyen(ne) du Niger ?</t>
  </si>
  <si>
    <t>344. Ko ${hoh_roster_name} ɗan ƙasar Nijar ne?</t>
  </si>
  <si>
    <t>345. Where are they a cititzen of?</t>
  </si>
  <si>
    <t>345. D'où sont-ils citoyens ?</t>
  </si>
  <si>
    <t>345. Ƴan wace ƙasa ce?</t>
  </si>
  <si>
    <t>${hoh_nationality} = 0</t>
  </si>
  <si>
    <t>filter != 0</t>
  </si>
  <si>
    <t>346. Please enter the nationality of ${hoh_roster_name}</t>
  </si>
  <si>
    <t>346. Veuillez saisir la nationalité de ${hoh_roster_name}</t>
  </si>
  <si>
    <t>346. Da fatan za a shigar da ƙasar ${hoh_roster_name}</t>
  </si>
  <si>
    <t>${hoh_nationality_country} = -777</t>
  </si>
  <si>
    <t>347. Is ${hoh_roster_name} still a member of this household?</t>
  </si>
  <si>
    <t>347. ${hoh_roster_name} est-il toujours membre de ce ménage ?</t>
  </si>
  <si>
    <t>347. Ko suna yana cikin ƴan gidan nan?</t>
  </si>
  <si>
    <t>not(empty(${hoh_roster_name_cases}))</t>
  </si>
  <si>
    <t>348. Why are they not a member of this household?</t>
  </si>
  <si>
    <t>348. Pourquoi ne font-ils pas partie de ce ménage ?</t>
  </si>
  <si>
    <t>348. Me ya sa ba su cikin ƴan gidan nan ?</t>
  </si>
  <si>
    <t xml:space="preserve">${hoh_roster_in} = 0 </t>
  </si>
  <si>
    <t>349. Other, specify:</t>
  </si>
  <si>
    <t>349. Autre précisez:</t>
  </si>
  <si>
    <t>349. Sauran, bayar da cikakkun bayanai:</t>
  </si>
  <si>
    <t>selected(${hoh_roster_notin_why}, '-777')</t>
  </si>
  <si>
    <t>hoh_roster_notin_death_rel</t>
  </si>
  <si>
    <t>Please indicate the relation of this member to ${pm_name}</t>
  </si>
  <si>
    <t>Veuillez indiquer la relation de ce membre avec ${pm_name}</t>
  </si>
  <si>
    <t>Da fatan za a nuna alakar wannan memba zuwa ${pm_name}</t>
  </si>
  <si>
    <t>selected(${hoh_roster_notin_why}, '4')</t>
  </si>
  <si>
    <t>350. Enumerator: Record any details about the death of the family member</t>
  </si>
  <si>
    <t>350. Enqueteur: Veuillez noter toute information pertinente concernant le décès</t>
  </si>
  <si>
    <t>351. Is ${hoh_roster_name} currently living in your household?</t>
  </si>
  <si>
    <t>351. Est-ce que ${hoh_roster_name} vit actuellement dans votre ménage ?</t>
  </si>
  <si>
    <t>351. Ko ${hoh_roster_name} yana zaune a gidanku a halin yanzu ?</t>
  </si>
  <si>
    <t>${hoh_roster_in} = 1</t>
  </si>
  <si>
    <t>352. Is ${hoh_roster_name} currently living in Niger?</t>
  </si>
  <si>
    <t>352. Est-ce que ${hoh_roster_name} vit actuellement au Niger ?</t>
  </si>
  <si>
    <t>352. Ko ${hoh_roster_name} yana zaune a Nijar a halin yanzu?</t>
  </si>
  <si>
    <t>${hoh_living_in_hh} = 0</t>
  </si>
  <si>
    <t>hoh_goods_rec_niger_how_o</t>
  </si>
  <si>
    <t>476. Specify other transfer method</t>
  </si>
  <si>
    <t>476. Précisez la méthode du transfert</t>
  </si>
  <si>
    <t>476. Wani daban a Bayyana</t>
  </si>
  <si>
    <t>hoh_remit_rec_out</t>
  </si>
  <si>
    <t>hoh_remit_rec_out_amt</t>
  </si>
  <si>
    <t>hoh_remit_rec_out_how</t>
  </si>
  <si>
    <t>479. How was this money transmitted to your household?</t>
  </si>
  <si>
    <t>479. Comment cet argent a-t-il été envoyé à votre ménage ?</t>
  </si>
  <si>
    <t>479. Ta wace hanya aka aikawa gidanku wannan kuɗin ?</t>
  </si>
  <si>
    <t>hoh_remit_rec_out_how_o</t>
  </si>
  <si>
    <t>hoh_goods_rec_out</t>
  </si>
  <si>
    <t>353. What region is ${hoh_roster_name} currently living in?</t>
  </si>
  <si>
    <t>353. Dans quelle région vit actuellement ${hoh_roster_name} ?</t>
  </si>
  <si>
    <t>353. A cikin wace jaha ce ${hoh_roster_name} yake zaune a yanzu?</t>
  </si>
  <si>
    <t>${hoh_in_niger} = 1</t>
  </si>
  <si>
    <t>hoh_goods_rec_out_amt</t>
  </si>
  <si>
    <t>482. What was the value of the goods members of your household receive from people out of Niger?</t>
  </si>
  <si>
    <t>482. Quel était la valeur au totale des biens que les membres de votre ménage ont reçu des personnes qui ne sont pas au Niger ?</t>
  </si>
  <si>
    <t>482. Nawa kimar kayan da ƴan gidanku suka samo daga mutanen da ke zaune a ƙasar waje ba Nijar ba?</t>
  </si>
  <si>
    <t>354. What country is ${hoh_roster_name} currently living in?</t>
  </si>
  <si>
    <t>354. Dans quel pays vit actuellement ${hoh_roster_name} ?</t>
  </si>
  <si>
    <t>354. A cikin wace kasa ce ${hoh_roster_name} yake zaune a yanzu?</t>
  </si>
  <si>
    <t>${hoh_in_niger} = 0</t>
  </si>
  <si>
    <t>filter != 1 and filter != 2</t>
  </si>
  <si>
    <t>hoh_goods_rec_out_how</t>
  </si>
  <si>
    <t>355. Specify other</t>
  </si>
  <si>
    <t>355. Autre à préciser</t>
  </si>
  <si>
    <t>355. Wani daban a Bayyana</t>
  </si>
  <si>
    <t>${hoh_out_niger} = -777</t>
  </si>
  <si>
    <t>hoh_goods_rec_out_how_o</t>
  </si>
  <si>
    <t>484. Specify other transfer method</t>
  </si>
  <si>
    <t>484. Précisez la méthode du transfert</t>
  </si>
  <si>
    <t>356. Enumerator: Select town</t>
  </si>
  <si>
    <t>356. Enquêteur : Sélectionnez la ville</t>
  </si>
  <si>
    <t>484. Wani daban a Bayyana</t>
  </si>
  <si>
    <t>356. Ɗan bincike: Zaɓi gari</t>
  </si>
  <si>
    <t>search('towns', 'matches', 'country_id', ${hoh_out_niger})</t>
  </si>
  <si>
    <t>${hoh_in_niger} = 0 and ${hoh_out_niger} != -999</t>
  </si>
  <si>
    <t>hoh_remit_send_niger</t>
  </si>
  <si>
    <t>357. Specify other</t>
  </si>
  <si>
    <t>357. Autre à préciser</t>
  </si>
  <si>
    <t>357. Wani daban a Bayyana</t>
  </si>
  <si>
    <t>${hoh_out_town} = -777</t>
  </si>
  <si>
    <t>hoh_remit_send_niger_amt</t>
  </si>
  <si>
    <t>hoh_remit_send_niger_how</t>
  </si>
  <si>
    <t>487. How did you transmit the money to the recipient?</t>
  </si>
  <si>
    <t>487. Comment avez-vous envoyé l'argent au destinataire ?</t>
  </si>
  <si>
    <t>487. Ta wace hanya kuka aika kuɗin ga mai karɓa?</t>
  </si>
  <si>
    <t>hoh_remit_send_niger_how_o</t>
  </si>
  <si>
    <t>hoh_goods_send_niger</t>
  </si>
  <si>
    <t>${hoh_living_in_hh} = 1 or empty(${hoh_roster_name_cases})</t>
  </si>
  <si>
    <t>hoh_goods_send_niger_amt</t>
  </si>
  <si>
    <t>490. What was the value of the goods members of your household sent to people elsewhere in Niger?</t>
  </si>
  <si>
    <t>490. Quel était la valeur au totale des biens que les membres de votre ménage ont envoyé aux personnes qui sont quelques part au Niger ?</t>
  </si>
  <si>
    <t>490. Nawa ne kimar kayan da ƴan gidanku suka aika wa mutane a wasu wurare a cikin Nijar?</t>
  </si>
  <si>
    <t>hoh_goods_send_niger_how</t>
  </si>
  <si>
    <t>491. How were these goods transmitted to the recipient?</t>
  </si>
  <si>
    <t>491. Comment ces biens ont-ils été envoyé au destinataire ?</t>
  </si>
  <si>
    <t>491. Ta yaya aka aika waɗannan kayayyaki zuwa ga mai karɓa?</t>
  </si>
  <si>
    <t>358. Does ${hoh_roster_name} currently suffer from any illness or disability that limits their ability to travel or work?</t>
  </si>
  <si>
    <t>hoh_goods_send_niger_how_o</t>
  </si>
  <si>
    <t>358. Est-ce que ${hoh_roster_name} souffre actuellement d'une maladie ou d'un handicap qui limite sa capacité à voyager ou à travailler ?</t>
  </si>
  <si>
    <t>492. Specify other transfer method</t>
  </si>
  <si>
    <t>492. Precisez la methode du transfert</t>
  </si>
  <si>
    <t>492. Wani daban a Bayyana</t>
  </si>
  <si>
    <t>hoh_remit_send_out</t>
  </si>
  <si>
    <t>493. In the past three months, have you or anyone in your household shared or sent money to someone who is not a member of your household and who lives in a foreign country (outside of Niger)?</t>
  </si>
  <si>
    <t>493. Au cours des trois derniers mois, vous ou quelqu'un de votre ménage avez-vous partagé ou envoyé &lt;b&gt;de l'argent&lt;/b&gt; à quelqu'un qui n'est pas membre de votre ménage et qui habite &lt;b&gt;à l'extérieur du Niger&lt;/b&gt; (dans un autre pays)?</t>
  </si>
  <si>
    <t>493. A cikin watanni uku da suka gabata, kai ko wani a cikin gidanku kun bada ko kun aika kuɗi ga wanda ba ɗan gidanku ba da ke zaune a wajen Nijar (a wata kasa)?</t>
  </si>
  <si>
    <t>358. ko a halin yanzu ${hoh_roster_name} yana da rashin lafiya ko naƙasa wanda ke iya hanashi zuwa balaguro ko yin aiki?</t>
  </si>
  <si>
    <t>${hoh_roster_age} &gt; 7</t>
  </si>
  <si>
    <t>hoh_remit_send_out_amt</t>
  </si>
  <si>
    <t>494. How much did your household send to people people out of Niger?</t>
  </si>
  <si>
    <t>494. Combien votre ménage a-t-il envoyé à d'autres personnes qui sont quelque part hors du Niger ?</t>
  </si>
  <si>
    <t>494. Nawa gidanku ya aikawa wasu mutane da ke wani wuri ba a Nijar ba?</t>
  </si>
  <si>
    <t>359. What illness limits ${hoh_roster_name} in this way?</t>
  </si>
  <si>
    <t>359. Quelle maladie limite ${hoh_roster_name} de cette manière ?</t>
  </si>
  <si>
    <t>359. Wace rashin lafiya ke tsaida ${hoh_roster_name} ta haka ?</t>
  </si>
  <si>
    <t>hoh_remit_send_out_how</t>
  </si>
  <si>
    <t>${hoh_illness_limit} = 1</t>
  </si>
  <si>
    <t>hoh_remit_send_out_how_o</t>
  </si>
  <si>
    <t>360. Other, specify:</t>
  </si>
  <si>
    <t>360. Autre précisez:</t>
  </si>
  <si>
    <t>360. Sauran, bayar da cikakkun bayanai:</t>
  </si>
  <si>
    <t>hoh_goods_send_out</t>
  </si>
  <si>
    <t>selected(${hoh_illness_limit_type}, '-777')</t>
  </si>
  <si>
    <t>hoh_goods_send_out_amt</t>
  </si>
  <si>
    <t>498. What was the value of the goods members of your household sent to people out of Niger?</t>
  </si>
  <si>
    <t>498. Quel était le valeur au total des biens que les membres de votre ménage ont envoyé aux personnes qui sont quelques part hors du Niger ?</t>
  </si>
  <si>
    <t>498. Nawa ne kimar kayan da ƴan gidanku suka aikawa wasu mutane da ke wani wuri ba a Nijar ba?</t>
  </si>
  <si>
    <t>361. Does ${hoh_roster_name} have children?</t>
  </si>
  <si>
    <t>361. Est-ce que ${hoh_roster_name} a des enfants ?</t>
  </si>
  <si>
    <t>361. ko ${hoh_roster_name} yana da yara?</t>
  </si>
  <si>
    <t>hoh_goods_send_out_how</t>
  </si>
  <si>
    <t>(${hoh_roster_sex} = 1 and ${hoh_roster_age} &gt; 18) or (${hoh_roster_sex} = 0 and ${hoh_roster_age} &gt; 15)</t>
  </si>
  <si>
    <t>499. How were these goods transmitted to the recipient?</t>
  </si>
  <si>
    <t>499. Comment ces biens ont-ils été envoyé au destinataire ?</t>
  </si>
  <si>
    <t>499. Ta yaya aka aika waɗannan kayayyaki zuwa ga mai karɓa?</t>
  </si>
  <si>
    <t>hoh_goods_send_out_how_o</t>
  </si>
  <si>
    <t>362. How many children is ${hoh_roster_name} responsible for?</t>
  </si>
  <si>
    <t>362. De combien d'enfants ${hoh_roster_name} est-il responsable ?</t>
  </si>
  <si>
    <t>362. Yara nawa ne ${hoh_roster_name} yake ɗauke da Nauyinsu?</t>
  </si>
  <si>
    <t>select_multiple support</t>
  </si>
  <si>
    <t>hoh_receive_support</t>
  </si>
  <si>
    <t>${hoh_any_children}=1</t>
  </si>
  <si>
    <t>hoh_receive_support_amt</t>
  </si>
  <si>
    <t>363. What is the highest level of education that ${hoh_roster_name} has completed?</t>
  </si>
  <si>
    <t>363. Quel est le plus haut niveau d'études atteint par ${hoh_roster_name} ?</t>
  </si>
  <si>
    <t>363. Menene mafi girman mastayin ilimi da ${hoh_roster_name} ya kai?</t>
  </si>
  <si>
    <t>hoh_income_gifts</t>
  </si>
  <si>
    <t>503. In addition to the transfers we just discussed, what is the total value of income from charity or gifts your household has received &lt;b&gt;in the past three months&lt;/b&gt; in CFA?</t>
  </si>
  <si>
    <t>503. En dehors des transferts qu'on vient de citer, quelle est la valeur totale des revenus provenant d'œuvres caritatives ou de cadeaux que votre ménage a reçus &lt;b&gt; au cours des trois derniers mois&lt;/b&gt; (en CFA) ?</t>
  </si>
  <si>
    <t>503. Nawa ne yawan kuɗin taimako ko kyauta da ƴan gidanku suka samu a cikin watanni uku da suka gabata (a sefa) ?</t>
  </si>
  <si>
    <t>speedcheck_hoh_remit_end</t>
  </si>
  <si>
    <t>dur_hoh_remit</t>
  </si>
  <si>
    <t>speedcheck_hoh_homeimprove_start</t>
  </si>
  <si>
    <t>hoh_improve</t>
  </si>
  <si>
    <t>Improvements</t>
  </si>
  <si>
    <t>Améliorations</t>
  </si>
  <si>
    <t>Ingantawa</t>
  </si>
  <si>
    <t>hoh_improve_home</t>
  </si>
  <si>
    <t>504. In the past three months did your household make a significant investment or improvement in the house you reside in?</t>
  </si>
  <si>
    <t>504. &lt;b&gt; Au cours des trois derniers mois&lt;/b&gt;, votre ménage a-t-il fait un investissement important ou des améliorations dans la maison que vous habitez ?</t>
  </si>
  <si>
    <t>504. A cikin watanni uku da suka wuce, gidanku ya saka wani babban jari ko ya gyara gidan da kuke zaune?</t>
  </si>
  <si>
    <t>hoh_improve_add_rooms</t>
  </si>
  <si>
    <t>505. Build additional rooms</t>
  </si>
  <si>
    <t>505. Construire des chambres supplémentaires</t>
  </si>
  <si>
    <t>505. Ginin ƙarin ɗakuna</t>
  </si>
  <si>
    <t>hoh_improve_floors</t>
  </si>
  <si>
    <t>506. Improve floors</t>
  </si>
  <si>
    <t>506. Améliorer les sols</t>
  </si>
  <si>
    <t>506. Inganta filalayen gida</t>
  </si>
  <si>
    <t>hoh_improve_walls</t>
  </si>
  <si>
    <t>507. Improve walls</t>
  </si>
  <si>
    <t>507. Réfectionner les murs</t>
  </si>
  <si>
    <t>507. gyara katangun gida</t>
  </si>
  <si>
    <t>hoh_improve_roof</t>
  </si>
  <si>
    <t>${hoh_roster_age} &gt;= 14</t>
  </si>
  <si>
    <t>hoh_improve_o</t>
  </si>
  <si>
    <t>364. Is ${hoh_roster_name} currently enrolled in school?</t>
  </si>
  <si>
    <t>364. Est-ce que ${hoh_roster_name} est actuellement inscrit à l'école ?</t>
  </si>
  <si>
    <t>364. Ko ${hoh_roster_name} yana yin lakwal a halin yanzu?</t>
  </si>
  <si>
    <t>hoh_improve_other</t>
  </si>
  <si>
    <t>510. Specify other improvement (i.e. connect to electricity, build latrine)</t>
  </si>
  <si>
    <t>510. Précisez les autres améliorations (c.-à-d. connecter de l'électricité, construire des latrines)</t>
  </si>
  <si>
    <t>510. Baiyana wasu abubuwan ingantawa (kamar sa wutar lantarki, gina salga (masai ) )</t>
  </si>
  <si>
    <t xml:space="preserve">(${hoh_roster_age} &gt; 4 and ${hoh_roster_age} &lt; 27) </t>
  </si>
  <si>
    <t>hoh_improve_home_amt</t>
  </si>
  <si>
    <t>511. Approximately how much did all of these investments together cost in CFA?</t>
  </si>
  <si>
    <t>511. Combien ont coûté approximativement tous ces investissements (en CFA) ?</t>
  </si>
  <si>
    <t>511. Aƙalla nawa aka kashe akan waɗannan ayyukan a sefa?</t>
  </si>
  <si>
    <t>hoh_improve_business</t>
  </si>
  <si>
    <t>512. In the past 3 months did you make any investments in your non-agricultural business?</t>
  </si>
  <si>
    <t>512. Au cours des 3 derniers mois, avez-vous fait des investissements dans votre entreprise non agricole ?</t>
  </si>
  <si>
    <t>512. A cikin watanni 3 da suka gabata, kun zuba jari a cikin harkokinku da ba na noma ba?</t>
  </si>
  <si>
    <t>hoh_improve_business_o</t>
  </si>
  <si>
    <t>513. Specify the improvement to your business</t>
  </si>
  <si>
    <t>513. Précisez les investissements que vous avez fait dans votre entreprise</t>
  </si>
  <si>
    <t>513. Ku bayyana kuɗin da kuka kashe don haɓɓaka kasuwancin ku</t>
  </si>
  <si>
    <t>hoh_improve_land</t>
  </si>
  <si>
    <t>hoh_improve_land_other</t>
  </si>
  <si>
    <t>365. What kind of school is ${hoh_roster_name} enrolled in?</t>
  </si>
  <si>
    <t>365. Dans quel type d'école est inscrit ${hoh_roster_name} ?</t>
  </si>
  <si>
    <t>365. Wace irin makaranta aka rubuta ${hoh_roster_name}?</t>
  </si>
  <si>
    <t>speedcheck_hoh_homeimprove_end</t>
  </si>
  <si>
    <t>${hoh_attending_school} = 1</t>
  </si>
  <si>
    <t>dur_hoh_homeimprove</t>
  </si>
  <si>
    <t>speedcheck_hoh_savings_start</t>
  </si>
  <si>
    <t>hoh_use_money_note</t>
  </si>
  <si>
    <t>366. What is the cost of school fees for the current academic year in CFA?</t>
  </si>
  <si>
    <t>366. Quel est le coût des frais de scolarité pour l'année scolaire en cours (en CFA) ?</t>
  </si>
  <si>
    <t>366. Nawa ne kuɗin makaranta na wannan shekarar (a sefa)?</t>
  </si>
  <si>
    <t xml:space="preserve">. &gt;= 0 </t>
  </si>
  <si>
    <t>${hoh_attending_school}=1</t>
  </si>
  <si>
    <t>hoh_savings_type</t>
  </si>
  <si>
    <t>517. Does your household currently have any savings that you keep in any of the following ways?</t>
  </si>
  <si>
    <t>517. Votre ménage dispose-t-il actuellement d'économies que vous conservez de l'une des manières suivantes ?</t>
  </si>
  <si>
    <t>517. Ko a halin yanzu gidanku na da ajiyar kuɗi daga ɗaya a cikin wanɗannan dubaru?</t>
  </si>
  <si>
    <t>367. In the past month (four weeks) how many days has ${hoh_roster_name} missed school for health reasons?</t>
  </si>
  <si>
    <t>367. Au cours du dernier mois (quatre semaines), combien de jours ${hoh_roster_name} a-t-il manqué l'école pour des raisons de santé ?</t>
  </si>
  <si>
    <t>367. A cikin watan da ya gabata (sati hudu), kwanaki nawa ${hoh_roster_name} yayi fashin zuwa makaranta saboda wata rishin lafiya?</t>
  </si>
  <si>
    <t>. &gt;= 0 and . &lt;= 28</t>
  </si>
  <si>
    <t>Please enter an integer between 0 and 28 days</t>
  </si>
  <si>
    <t>hoh_savings_type_o</t>
  </si>
  <si>
    <t>368. In the past month (four weeks) how many days has ${hoh_roster_name} missed school for work or other reasons?</t>
  </si>
  <si>
    <t>368. Au cours du dernier mois (quatre semaines), combien de jours ${hoh_roster_name} a-t-il manqué l'école pour le travail ou pour d'autres raisons ?</t>
  </si>
  <si>
    <t>368. A cikin watan da ya gabata (makonni hudu), kwanaki nawa ${hoh_roster_name} yayi fashin makaranta saboda aiki ko wasu dalilai?</t>
  </si>
  <si>
    <t>hoh_savings_amt</t>
  </si>
  <si>
    <t>hoh_savings_code</t>
  </si>
  <si>
    <t>hoh_savings_name</t>
  </si>
  <si>
    <t>Sunan irin tanadi</t>
  </si>
  <si>
    <t>hoh_savings_type_amt</t>
  </si>
  <si>
    <t>519. Please share with us your best estimate of the value in CFA ${hoh_savings_name}</t>
  </si>
  <si>
    <t>519. Veuillez nous dire votre meilleure estimation de la valeur en CFA ${hoh_savings_name}</t>
  </si>
  <si>
    <t>519. Da fatan zaku baiyana mini yawan kuɗin a tsammaninku ${hoh_savings_name} a CFA</t>
  </si>
  <si>
    <t>369. Is ${hoh_roster_name} married?</t>
  </si>
  <si>
    <t>369. Est-ce que ${hoh_roster_name} est marié ?</t>
  </si>
  <si>
    <t>369. Ko ${hoh_roster_name} yanada aure?</t>
  </si>
  <si>
    <t>hoh_savings_interest</t>
  </si>
  <si>
    <t>520. Do you earn interest on this money ${hoh_savings_name}?</t>
  </si>
  <si>
    <t>520. Gagnez-vous des intérêts sur cet argent ${hoh_savings_name} ?</t>
  </si>
  <si>
    <t>520. Kuna samun kudin ruwa akan wannan kuɗin ${hoh_savings_name}?</t>
  </si>
  <si>
    <t>if(${hoh_roster_sex} = 1, ${hoh_roster_age} &gt;= 17, ${hoh_roster_age} &gt;= 14)</t>
  </si>
  <si>
    <t>speedcheck_hoh_savings_end</t>
  </si>
  <si>
    <t>dur_hoh_savings</t>
  </si>
  <si>
    <t>370. How many wives does ${hoh_new_mem_name} have?</t>
  </si>
  <si>
    <t>370. Combien de femmes a ${hoh_roster_name} ?</t>
  </si>
  <si>
    <t>370. Mata nawa ${hoh_roster_name} yake da su?</t>
  </si>
  <si>
    <t>hoh_savings_total</t>
  </si>
  <si>
    <t>. &gt; 0 and . &lt; 10</t>
  </si>
  <si>
    <t>hoh_savings_confirm</t>
  </si>
  <si>
    <t>521. Total savings: ${hoh_savings_total}: Does this look correct?</t>
  </si>
  <si>
    <t>${hoh_married} = 1 and ${hoh_roster_sex} = 1</t>
  </si>
  <si>
    <t>521. Économies totales : ${hoh_savings_total} : cela vous semble correct ?</t>
  </si>
  <si>
    <t>521. Jimillar ajiya: ${hoh_savings_total}: kuna ganin ​​wannan yayi daidai?</t>
  </si>
  <si>
    <t>hoh_emergency</t>
  </si>
  <si>
    <t>522. During ${period}, was your household negatively affected by any of the following types of events?</t>
  </si>
  <si>
    <t>522. Au cours de ${period_french}, votre ménage a-t-il été affecté négativement par l'un des types d'événements suivants ?</t>
  </si>
  <si>
    <t>522. A lokacin ${period_hausa}, ko gidanku ya fuskanci wani daga cikin matsaloli nan masu zuwa? Zaɓi duk abin da ya dace</t>
  </si>
  <si>
    <t>hoh_emergency_o</t>
  </si>
  <si>
    <t>523. Please briefly describe the event(s) that negatveily affected your household</t>
  </si>
  <si>
    <t>523. Veuillez décrire brièvement le/les événement(s) qui ont eu des effets négatifs sur votre ménage au cours des 3 derniers mois</t>
  </si>
  <si>
    <t>523. Da fatan za ku yi taƙaitaccen bayani a kan abin da ya shafi gidan ku</t>
  </si>
  <si>
    <t>speedcheck_hoh_emerg_start</t>
  </si>
  <si>
    <t>hoh_emerg_resp</t>
  </si>
  <si>
    <t>hoh_emergency_name</t>
  </si>
  <si>
    <t>hoh_emerg_yes</t>
  </si>
  <si>
    <t>hoh_emerg_note</t>
  </si>
  <si>
    <t>524. In response to ${hoh_emergency_name}, did you or your household take the following actions?</t>
  </si>
  <si>
    <t>524. En réponse à ${hoh_emergency_name}, avez-vous vous ou votre ménage pris les mesures suivantes ??</t>
  </si>
  <si>
    <t>524. Dangance da ${hoh_emergency_name}, ku ko ƴan gindanku kun ɗauki waɗannan matakai?</t>
  </si>
  <si>
    <t>(${hoh_roster_in} = 1 or empty(${hoh_roster_name_cases})) and ${hoh_roster_age} &gt; 17</t>
  </si>
  <si>
    <t>hoh_emerg_sell</t>
  </si>
  <si>
    <t>525. Sell assets?</t>
  </si>
  <si>
    <t>525. Vendre des actifs</t>
  </si>
  <si>
    <t>525. Saida kadarori</t>
  </si>
  <si>
    <t>371. We would now like to ask you about the migration history of ${hoh_roster_name}.</t>
  </si>
  <si>
    <t>371. Nous aimerions maintenant vous poser des questions sur l'historique de migration de ${hoh_roster_name}.</t>
  </si>
  <si>
    <t>371. Yanzu muna so mu tambaye ka tarihin zuwa biɗa na ${hoh_roster_name}.</t>
  </si>
  <si>
    <t>hoh_emerg_borrow</t>
  </si>
  <si>
    <t>hoh_emerg_spend</t>
  </si>
  <si>
    <t>527. Spend your savings?</t>
  </si>
  <si>
    <t>527. Utiliser votre épargne</t>
  </si>
  <si>
    <t>527. Kashe kuɗin ajiyar ku</t>
  </si>
  <si>
    <t>372. Since ${period}, has ${hoh_roster_name} spent more than a week (7 days) away from home?</t>
  </si>
  <si>
    <t>372. Depuis cette ${period_french}, ${hoh_roster_name} a-t-il passé plus d'une semaine (7 jours) loin de chez lui ?</t>
  </si>
  <si>
    <t>372. Tun wancan ${period_hausa}, ${hoh_roster_name} ya shafe fiye da mako guda (kwana 7) baya gida?</t>
  </si>
  <si>
    <t>If don't know, enter -999</t>
  </si>
  <si>
    <t>Si la réponse est "Ne sait pas", saisissez -999</t>
  </si>
  <si>
    <t>hoh_emerg_consume</t>
  </si>
  <si>
    <t>528. Reduce spending on food or change your food consumption?</t>
  </si>
  <si>
    <t>528. Réduire les dépenses alimentaires ou changé des habitudes de consommation ?</t>
  </si>
  <si>
    <t>528. Rage kashe kuɗi akan abinci ko canza abincin?</t>
  </si>
  <si>
    <t>hoh_emerg_amt</t>
  </si>
  <si>
    <t>373. Since ${period}, in which of the following countries has ${hoh_roster_name} spent more than one week? Select all that apply</t>
  </si>
  <si>
    <t>373. Depuis cette ${period_french}, dans lequel des pays suivants hoh_roster_name a-t-il passé plus d'une semaine ? Sélectionnez tout ce qui s'y rapporte</t>
  </si>
  <si>
    <t>373. Tun daga wancan ${period_hausa}, a cikin waɗanne ƙasashe ne ${hoh_roster_name} ya shafe fiye da mako ɗaya? Zaɓi duk abin da ya dace</t>
  </si>
  <si>
    <t>hoh_emerg_note2</t>
  </si>
  <si>
    <t>529. For ${hoh_emergency_name}
 What was the value of the following in CFA?</t>
  </si>
  <si>
    <t>529. Par rapport à ${hoh_emergency_name}
 Quelle était la valeur des éléments suivantes en CFA?</t>
  </si>
  <si>
    <t>529. Game da ${hoh_emergency_name}
  Nawa ne kimar waɗannan abubuwan a kuɗin CFA?</t>
  </si>
  <si>
    <t>not(count-selected(.) &gt; 1 and selected(., '-999'))</t>
  </si>
  <si>
    <t>${hoh_mem_migrate} = 1</t>
  </si>
  <si>
    <t>filter != 1</t>
  </si>
  <si>
    <t>hoh_emerg_sell_amt</t>
  </si>
  <si>
    <t>530. Assets you sold</t>
  </si>
  <si>
    <t>530. Les actifs que vous avez vendus</t>
  </si>
  <si>
    <t>530. Kadarorin da kuka saida</t>
  </si>
  <si>
    <t>hoh_emerg_borrow_amt</t>
  </si>
  <si>
    <t>531. Loan(s) you took</t>
  </si>
  <si>
    <t>531. Les prêt(s) que vous avez contracté</t>
  </si>
  <si>
    <t>531. Bashin da kuka ɗauka</t>
  </si>
  <si>
    <t>selected(${hoh_dest_country}, '-777')</t>
  </si>
  <si>
    <t>hoh_emerg_spend_amt</t>
  </si>
  <si>
    <t>532. Savings you spent?</t>
  </si>
  <si>
    <t>532. L'épargne que vous avez utilisé</t>
  </si>
  <si>
    <t>532. Ajiyar da kuka kashe</t>
  </si>
  <si>
    <t>if(selected(${hoh_dest_country}, '1'), 1 , 0)</t>
  </si>
  <si>
    <t>speedcheck_hoh_emerg_end</t>
  </si>
  <si>
    <t>dur_hoh_emerg</t>
  </si>
  <si>
    <t>speedcheck_hoh_credit_start</t>
  </si>
  <si>
    <t>hoh_owe_note</t>
  </si>
  <si>
    <t>533. Now I would like to ask you about any money that you and your family owe to other people; money you have borrowed from people outside your household.</t>
  </si>
  <si>
    <t>533. Maintenant, je voudrais vous poser des questions sur l'argent que vous et votre ménage devez à d'autres personnes ; l'argent que vous avez emprunté à des personnes extérieures à votre ménage.</t>
  </si>
  <si>
    <t>533. Yanzu ina son in tambaye ku game da duk wani kuɗin da ku da ƴan gidanku kuka ɗauko daga wajen wasu mutane; kuɗin da kuka aro daga mutane wanda ba ƴan gidanku ba.</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</si>
  <si>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</si>
  <si>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hoh_credit_refuse</t>
  </si>
  <si>
    <t>534. In the last three months did you or a member of your household try to secure a loan from any source but were refused?</t>
  </si>
  <si>
    <t>534. Au cours des trois derniers mois, vous ou un membre de votre ménage avez-vous essayé d'obtenir un prêt auprès de n'importe quelle source, mais cela a été refusé ?</t>
  </si>
  <si>
    <t>534. A cikin watanni uku da suka wuce kai ko wani dan gidanku kun yi ƙoƙarin samun bashi daga kowace hanya amma an ƙi?</t>
  </si>
  <si>
    <t>hoh_credit_refuse_amt</t>
  </si>
  <si>
    <t>535. What was the value of the loan in CFA?</t>
  </si>
  <si>
    <t>535. Quelle était la valeur du prêt en CFA?</t>
  </si>
  <si>
    <t>535. Nawa ne yawan kuɗin bashin a sefa?</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</si>
  <si>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</si>
  <si>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hoh_borrow_total</t>
  </si>
  <si>
    <t>536. Think about all the people you or members of your household owe money, including recent loans, what is the total value your household owes (in CFA)?</t>
  </si>
  <si>
    <t>536. Pensez à toutes les personnes que vous ou les membres de votre ménage devez de l'argent, y compris les prêts récents, quelle est la valeur totale que votre ménage doit (en CFA) ?</t>
  </si>
  <si>
    <t>536. Ku tuna da duk mutanen da ke bin da ƴan gidanku kuɗi, dukan basussuka sabi da tsohi, nawa jimillar kuɗin a ke bin gidanku (a kuɗin sefa CFA)?</t>
  </si>
  <si>
    <t>hoh_borrow_ppm</t>
  </si>
  <si>
    <t>count-selected(${hoh_dest_country})</t>
  </si>
  <si>
    <t>537. Do you know if a loan was given to your household by a household that participated in the TSARI or other Mercy Corp programs?</t>
  </si>
  <si>
    <t>537. Savez-vous si un prêt a été accordé à votre ménage par un ménage ayant participé au programme TSARI ou à d'autres programmes de Mercy Corp ?</t>
  </si>
  <si>
    <t>537. Kun san ko gidan ku ya ɗauki ramcen kuɗi daga wani gidan da yake cikin shirin TSARI ko wasu shirye-shiryen Mercy Corp?</t>
  </si>
  <si>
    <t>hoh_transfer_village</t>
  </si>
  <si>
    <t>538. In the past three months, have you or anyone in your household received money or goods from someone who is not a member of your household and lives in your village in Niger?</t>
  </si>
  <si>
    <t>538. Au cours des trois derniers mois, est-ce que vous ou un membre de votre ménage avez reçu de l'argent ou des biens d'une personne qui n'est pas membre de votre ménage et qui habite dans votre village au Niger ?</t>
  </si>
  <si>
    <t>538. A cikin wata uku da suka wuce, kai ko wani a cikin gidanku kun karɓi kuɗi ko kaya daga wani wanda ba ɗan gidanku ba kuma yana zaune a ƙauyenku a Nijar?</t>
  </si>
  <si>
    <t>hoh_transfer_village_ppm</t>
  </si>
  <si>
    <t>539. Do you know if the person who gave your hosuehold money was from a household that participated in the TSARI or other Mercy Corp programs?</t>
  </si>
  <si>
    <t>539. Savez-vous si la personne qui a donné l'argent à votre ménage appartenait à un ménage qui a participé au programme TSARI ou à d'autres programmes de Mercy Corp ?</t>
  </si>
  <si>
    <t>539. Shin kun san ko mutumin da ya ba gidan ku kuɗin ɗan wani gida ne wanda suka samu shiga cikin shirin TSARI ko wasu shirye-shiryen Mercy Corp?</t>
  </si>
  <si>
    <t>speedcheck_hoh_credit_end</t>
  </si>
  <si>
    <t>dur_hoh_credit</t>
  </si>
  <si>
    <t>speedcheck_hoh_foodinsec_start</t>
  </si>
  <si>
    <t>hoh_meals_note</t>
  </si>
  <si>
    <t>540. I will now ask you about meals people in your household have consumed in the past 7 days.</t>
  </si>
  <si>
    <t>540. Je vais maintenant vous poser des questions sur les repas que les membres de votre ménage ont consommé au cours des 7 derniers jours.</t>
  </si>
  <si>
    <t>540. Yanzu zan tambaye ku bisa abincin da mutanen gidanku suka ci a cikin kwanaki 7 da suka wuce.</t>
  </si>
  <si>
    <t>hoh_adults_skip_days</t>
  </si>
  <si>
    <t>541. In the last 7 days, have adults gone a whole day without meals?</t>
  </si>
  <si>
    <t>541. Au cours des 7 derniers jours, des adultes sont-ils restés une journée entière sans manger de repas ?</t>
  </si>
  <si>
    <t>541. A cikin kwanaki 7 da suka wuce, ko manya gidanku sun zauna tsawon wuni guda basu ci abinci ba?</t>
  </si>
  <si>
    <t>hoh_adults_skip_days_num</t>
  </si>
  <si>
    <t>542. How many days?</t>
  </si>
  <si>
    <t>542. Pendant combien de jours?</t>
  </si>
  <si>
    <t>542. 151a Tsawon kwanaki nawa?</t>
  </si>
  <si>
    <t>hoh_adults_skip_meals</t>
  </si>
  <si>
    <t>543. In the last 7 days, have adults cut the size of meals or skipped meals?</t>
  </si>
  <si>
    <t>543. Au cours des 7 derniers jours, les adultes ont-ils réduit la taille de leur repas ou les ont-ils sauté?</t>
  </si>
  <si>
    <t>543. A cikin kwanaki 7 na ƙarshe, ko manyan gidanku sun rage yawan abincin da suka saba ci ko sun tsallake shi?</t>
  </si>
  <si>
    <t>hoh_adults_skip_meal_num</t>
  </si>
  <si>
    <t>544. Tsawon kwanaki nawa?</t>
  </si>
  <si>
    <t>hoh_adult_protein</t>
  </si>
  <si>
    <t>545. In the past week how many days have adults in your household consumed animal protein (including fish, meat, poultry)?</t>
  </si>
  <si>
    <t>545. Au cours des 7 derniers jours, combien de fois les adultes de votre ménage ont-ils consommé des protéines animales (y compris poisson, viande, volaille) ?</t>
  </si>
  <si>
    <t>545. A cikin kwanaki 7 da suka wuce sau nawa manyan gidanku suka ci abinci masu gina jiki kamar su kifi ko nama ko kaji?</t>
  </si>
  <si>
    <t>hoh_child_skip_days</t>
  </si>
  <si>
    <t>546. In the last 7 days, have children (&lt;14) gone a whole day without meals?</t>
  </si>
  <si>
    <t>546. Au cours des 7 derniers jours, des enfants (&lt;14) ont-ils passé une journée entière sans manger de repas ?</t>
  </si>
  <si>
    <t>546. A cikin kwanaki 7 na ƙarshe, ko yara ƴan ƙasa da shekara goma sha huɗu sun zauna tsawon wuni guda ba su ci da abinci ba?</t>
  </si>
  <si>
    <t>not(selected(${hoh_dest_country}, '-999'))</t>
  </si>
  <si>
    <t>${hoh_num_dest_country}</t>
  </si>
  <si>
    <t>hoh_child_skip_days_num</t>
  </si>
  <si>
    <t>547. How many days?</t>
  </si>
  <si>
    <t>547. Pendant combien de jours?</t>
  </si>
  <si>
    <t>547. 154a Tsawon kwanaki nawa?</t>
  </si>
  <si>
    <t>hoh_child_skip_meals</t>
  </si>
  <si>
    <t>548. In the last 7 days, have children (&lt;14) cut the size of meals or skipped meals?</t>
  </si>
  <si>
    <t>548. Au cours des 7 derniers jours, des enfants (&lt;14) ont-ils réduit la taille de leurs repas ou les ont-ils sauté?</t>
  </si>
  <si>
    <t>548. A cikin kwanaki 7 na ƙarshe, suna da yara (&lt;14) sun rage yawan abinci ko sun rasa gaba ɗaya?</t>
  </si>
  <si>
    <t>hoh_child_skip_meals_num</t>
  </si>
  <si>
    <t>549. How many days?</t>
  </si>
  <si>
    <t>549. Pendant combien de jours?</t>
  </si>
  <si>
    <t>549. 155a Tsawon kwanaki nawa?</t>
  </si>
  <si>
    <t>hoh_child_protein</t>
  </si>
  <si>
    <t>550. In the past week how many days have children in your household consumed animal protein (inlcuding fish, meat, poultry)?</t>
  </si>
  <si>
    <t>550. Au cours des 7 derniers jours, combien de fois les enfants de votre ménage ont-ils consommé des protéines animales (y compris poisson, viande, volaille) ?</t>
  </si>
  <si>
    <t>550. A cikin kwanaki 7 da suka gabata sau nawa yara a cikin gidanku suka ci abinci masu gina jiki kamar su kifi, nama, kaji ?</t>
  </si>
  <si>
    <t>selected-at(${hoh_dest_country}, index()-1)</t>
  </si>
  <si>
    <t>speedcheck_hoh_foodinsec_end</t>
  </si>
  <si>
    <t>dur_hoh_foodinsec</t>
  </si>
  <si>
    <t>hoh_consumption</t>
  </si>
  <si>
    <t>speedcheck_hoh_cons_start</t>
  </si>
  <si>
    <t>hoh_monthly_consumption_any</t>
  </si>
  <si>
    <t>if(${hoh_dest_index} = -777, ${hoh_dest_country_o}, choice-label(${hoh_dest_country}, ${hoh_dest_index}))</t>
  </si>
  <si>
    <t>551. Has your household spent money on the following types of expenses in the past month?</t>
  </si>
  <si>
    <t>551. Votre ménage a-t-il dépensé de l'argent pour les types de dépenses suivants au cours du dernier mois ?</t>
  </si>
  <si>
    <t>551. Shin gidanku ya kashe kuɗi akan irin waɗannan abubuwan a cikin watan da ya gabata?</t>
  </si>
  <si>
    <t>hoh_cons_month</t>
  </si>
  <si>
    <t>hoh_item</t>
  </si>
  <si>
    <t>hoh_monthly_consumption_amt</t>
  </si>
  <si>
    <t>552. How much did your household spend on ${hoh_item} in the past month (in CFA)?</t>
  </si>
  <si>
    <t>552. Combien votre ménage a-t-il dépensé pour ${hoh_item} au cours du dernier mois (en CFA) ?</t>
  </si>
  <si>
    <t>552. Nawa ne (a CFA) gidanku ya kashe akan ${hoh_item} cikin watan da ya gabata ?</t>
  </si>
  <si>
    <t>hoh_weekly_consumption_any</t>
  </si>
  <si>
    <t>553. Has your household spent money on the following types of expenses in the past week?</t>
  </si>
  <si>
    <t>553. Votre ménage a-t-il dépensé de l'argent pour les types de dépenses suivants au cours de la semaine dernière ?</t>
  </si>
  <si>
    <t>553. Ko gidanku sun kashe kuɗi akan ire iren waɗannan abubuwan a cikin satin da ya gabata?</t>
  </si>
  <si>
    <t>375. In ${hoh_destination}, what was the name of the city or town that ${hoh_roster_name} moved to?</t>
  </si>
  <si>
    <t>375. À ${hoh_destination}, quel était le nom de la ville dans laquelle ${hoh_roster_name} il a séjourné ?</t>
  </si>
  <si>
    <t>375. A ${hoh_destination}, menene sunan birnin da ${hoh_roster_name} ya zauna?</t>
  </si>
  <si>
    <t>search('towns', 'matches', 'country_id', ${hoh_dest_index})</t>
  </si>
  <si>
    <t>not(${hoh_dest_index} = 1 or ${hoh_dest_index} = -999)</t>
  </si>
  <si>
    <t>hoh_cons_week</t>
  </si>
  <si>
    <t>hoh_item_week</t>
  </si>
  <si>
    <t>hoh_weekly_consumption_amt</t>
  </si>
  <si>
    <t>554. How much did your household spend on ${hoh_item_week} in the past week (in CFA)?</t>
  </si>
  <si>
    <t>554. Combien votre ménage a-t-il dépensé en ${hoh_item_week} la semaine dernière (en CFA) ?</t>
  </si>
  <si>
    <t>554. Nawa ne gidan ku ya kashe (a CFA) a ${hoh_item_week} satin da ya gabata ?</t>
  </si>
  <si>
    <t>376. Specify other</t>
  </si>
  <si>
    <t>376. Autre à préciser</t>
  </si>
  <si>
    <t>376. Wani daban a Bayyana</t>
  </si>
  <si>
    <t>selected(${hoh_dest_town}, '-777')</t>
  </si>
  <si>
    <t>hoh_ramadan</t>
  </si>
  <si>
    <t>hoh_purchase</t>
  </si>
  <si>
    <t>555. For Ramadan, did your household purchase any of the following?</t>
  </si>
  <si>
    <t>555. Pour le Ramadan, votre ménage a-t-il acheté l'un des produits suivants ?</t>
  </si>
  <si>
    <t>555. Ga sallar azumi, ƴan gidanku sun sayi ɗaya daga cikin wadannan?</t>
  </si>
  <si>
    <t>377. In ${hoh_destination}, what was the name of the region that ${hoh_roster_name} moved to?</t>
  </si>
  <si>
    <t>377. Dans ${hoh_destination}, quel était le nom de la région vers laquelle ${hoh_roster_name} a été déplacé ?</t>
  </si>
  <si>
    <t>377. A ${hoh_destination}, menene sunan yankin da ${hoh_roster_name} ya koma?</t>
  </si>
  <si>
    <t>${hoh_dest_index} = 1</t>
  </si>
  <si>
    <t>hoh_purchase_clothing</t>
  </si>
  <si>
    <t>556. Clothing</t>
  </si>
  <si>
    <t>556. Vêtements</t>
  </si>
  <si>
    <t>556. Tufafi</t>
  </si>
  <si>
    <t>hoh_purchase_sheep</t>
  </si>
  <si>
    <t>557. Sheep</t>
  </si>
  <si>
    <t>557. Mouton</t>
  </si>
  <si>
    <t>557. Rago</t>
  </si>
  <si>
    <t>selected(${hoh_dest_region}, '-777')</t>
  </si>
  <si>
    <t>hoh_purchase_goat</t>
  </si>
  <si>
    <t>558. Goat</t>
  </si>
  <si>
    <t>558. Chèvre</t>
  </si>
  <si>
    <t>558. Akuya</t>
  </si>
  <si>
    <t>hoh_purchase_poultry</t>
  </si>
  <si>
    <t>559. Poultry</t>
  </si>
  <si>
    <t>379. How many times did ${hoh_roster_name} travel to ${hoh_destination} since ${period}?</t>
  </si>
  <si>
    <t>559. Volaille</t>
  </si>
  <si>
    <t>379. Combien de fois ${hoh_roster_name} s'est-il rendu à ${hoh_destination} depuis la ${period_french}?</t>
  </si>
  <si>
    <t>559. Kaji</t>
  </si>
  <si>
    <t>379. Sau nawa ${hoh_roster_name} yayi tafiya zuwa ${hoh_destination} tun daga wancan ${period_hausa}?</t>
  </si>
  <si>
    <t>not(selected(${hoh_dest_index}, '-999'))</t>
  </si>
  <si>
    <t>speedcheck_hoh_cons_end</t>
  </si>
  <si>
    <t>dur_hoh_cons</t>
  </si>
  <si>
    <t>speedcheck_hoh_end</t>
  </si>
  <si>
    <t>dur_hoh</t>
  </si>
  <si>
    <t>followup</t>
  </si>
  <si>
    <t>Follow Up Questions</t>
  </si>
  <si>
    <t>Questions de suivi</t>
  </si>
  <si>
    <t>Tambayoyi na bibiya</t>
  </si>
  <si>
    <t>followup_note</t>
  </si>
  <si>
    <t>560. As I mentioned at the beginning of our interview, we would like to stay in touch with you.</t>
  </si>
  <si>
    <t>560. Comme je l'ai mentionné au début de notre entretien, nous aimerions rester en contact avec vous.</t>
  </si>
  <si>
    <t>560. Kamar yadda na faɗa a farkon hirarmu, muna son mu ci gaba da tuntuɓar ku.</t>
  </si>
  <si>
    <t>primary_phone</t>
  </si>
  <si>
    <t>561. What is the phone number where we can reach you?</t>
  </si>
  <si>
    <t>561. Quel est le numéro de téléphone auquel nous pouvons vous joindre?</t>
  </si>
  <si>
    <t>561. Wace lambar waya ce zamu iya samun ku da ita?</t>
  </si>
  <si>
    <t>primary_phone_confirm</t>
  </si>
  <si>
    <t>562. I am going to read back the phone number you just shared with me. Can you confirm this is your primary phone number? ${primary_phone}</t>
  </si>
  <si>
    <t>562. Je vais relire le numéro de téléphone que vous venez de me donner. Pouvez-vous confirmer qu'il s'agit de votre numéro de téléphone principal ? ${primary_phone}</t>
  </si>
  <si>
    <t>562. Zan sake karanta lambar wayar da kuka bani. Zaku iya tabbatar mini da wannan itace lambar wayarku ta farko? ${primary_phone}</t>
  </si>
  <si>
    <t>primary_phone_2</t>
  </si>
  <si>
    <t>563. Please go back and correct the number.</t>
  </si>
  <si>
    <t>563. Veuillez revenir en arrière pour corriger le numéro.</t>
  </si>
  <si>
    <t>563. ko za ka koma baya ka gyara lambar.</t>
  </si>
  <si>
    <t>select_one call</t>
  </si>
  <si>
    <t>primary_phone_test</t>
  </si>
  <si>
    <t>564. I am going to call this phone number to confirm it is correct.</t>
  </si>
  <si>
    <t>564. Je vais appeler ce numéro de téléphone pour confirmer qu'il est correct.</t>
  </si>
  <si>
    <t>564. Zan kirayi wannan lambar don tabbatar da cewa daidai ce.</t>
  </si>
  <si>
    <t>primary_phone_test_note</t>
  </si>
  <si>
    <t>565. Please go back and enter a new phone number.</t>
  </si>
  <si>
    <t>565. Veuillez revenir en arrière pour entrer un nouveau numéro de téléphone.</t>
  </si>
  <si>
    <t>565. Ko za ka koma baya ka shigar da sabuwar lambar waya.</t>
  </si>
  <si>
    <t xml:space="preserve">${speedcheck_hoh_rosterdest_end} - ${speedcheck_hoh_rosterdest_start} </t>
  </si>
  <si>
    <t>use_whatsapp</t>
  </si>
  <si>
    <t>566. Do you have a Whatsapp account/ phone number you use for WhatsApp?</t>
  </si>
  <si>
    <t>566. Avez-vous un compte/numéro de téléphone Whatsapp que vous utilisez pour WhatsApp ?</t>
  </si>
  <si>
    <t>566. Kuna yin WhatsApp / lambar wayar da kuke amfani da ita ta WhatsApp ce?</t>
  </si>
  <si>
    <t>380. Since ${period}, was there ever a time when ${hoh_roster_name} planned to migrate but then had to cancel their plans?</t>
  </si>
  <si>
    <t>380. Depuis cette ${period_french}, y a-t-il déjà eu un moment où ${hoh_roster_name} avait prévu de migrer mais a ensuite dû annuler ses projets ?</t>
  </si>
  <si>
    <t>380. Tun daga ${period_hausa}, ko akwai lokacin da ${hoh_roster_name} ya shirya zuwa biɗa amma sai ya soke shirinshi?</t>
  </si>
  <si>
    <t>phone_whatsapp</t>
  </si>
  <si>
    <t>567. Is this the phone number you use for whatsapp?</t>
  </si>
  <si>
    <t>567. Est-ce le numéro de téléphone que vous utilisez pour WhatsApp ?</t>
  </si>
  <si>
    <t>567. Wannan ita ce lambar wayar da kuke amfani da ita don yin whatsapp?</t>
  </si>
  <si>
    <t>phone_whatsapp_number</t>
  </si>
  <si>
    <t>381. Where did they plan to migrate?</t>
  </si>
  <si>
    <t>381. Où envisageait-il de migrer ?</t>
  </si>
  <si>
    <t>381. Zuwa ina ya shirya zuwa biɗar?</t>
  </si>
  <si>
    <t>${hoh_failed_prep} = 1</t>
  </si>
  <si>
    <t>phone_whatsapp_confirm</t>
  </si>
  <si>
    <t>569. I am going read back the phone number you just shared with me as your Whatsapp number. Is this the phone number you use for whatsapp? ${phone_whatsapp_number}</t>
  </si>
  <si>
    <t>569. Je vais relire le numéro de téléphone que vous nous avez donné comme votre numéro Whatsapp. Est-ce le numéro de téléphone que vous utilisez pour WhatsApp ? ${phone_whatsapp_number}</t>
  </si>
  <si>
    <t>569. Zan sake karanta lambar wayar da kuka bani a zaman lambar Whatsapp dinku. Wannan shine lambar wayar da kuke amfani da ita don yin whatsapp? ${phone_whatsapp_number}</t>
  </si>
  <si>
    <t>whatsapp_mismatch</t>
  </si>
  <si>
    <t>570. Please go back and correct the number.</t>
  </si>
  <si>
    <t>570. Veuillez revenir en arrière pour corriger le numéro.</t>
  </si>
  <si>
    <t>570. Da fatan za ka koma baya ka gyara lambar.</t>
  </si>
  <si>
    <t>primary_other_phone</t>
  </si>
  <si>
    <t>571. Do you have other phone numbers that you use regularly (i.e. other phone carriers)?</t>
  </si>
  <si>
    <t>571. Avez-vous d'autres numéros de téléphone que vous utilisez régulièrement (c'est-à-dire d'autres opérateurs téléphoniques) ?</t>
  </si>
  <si>
    <t>571. Ko kuna da wasu lambobin waya waɗanda kuke amfani da su kai-akai (layin wasu gidan wayar salula)?</t>
  </si>
  <si>
    <t>primary_other_phones</t>
  </si>
  <si>
    <t>572. How many other additional phone numbers?</t>
  </si>
  <si>
    <t>572. Y-a t-il d'autres numéros de téléphone supplémentaires ?</t>
  </si>
  <si>
    <t>572. 220 a. Ko akwai ƙarin wasu lambobin waya?</t>
  </si>
  <si>
    <t>other_phones</t>
  </si>
  <si>
    <t>Other Phones</t>
  </si>
  <si>
    <t>primary_other_phone_num</t>
  </si>
  <si>
    <t>573. What are these additional phone numbers?</t>
  </si>
  <si>
    <t>573. Quels sont les numéros de téléphone supplémentaires ?</t>
  </si>
  <si>
    <t>573. Waɗannene ƙarin lambobin wayan?</t>
  </si>
  <si>
    <t>secondary_contact1</t>
  </si>
  <si>
    <t>574.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</si>
  <si>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574.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</si>
  <si>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574.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</si>
  <si>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</si>
  <si>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</si>
  <si>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</si>
  <si>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575. What is the last name of this person</t>
  </si>
  <si>
    <t>575. Quel est le nom de cette personne</t>
  </si>
  <si>
    <t>575. Menene sunan uban wannan mutumen?</t>
  </si>
  <si>
    <t>${hoh_failed_prep_country} = -777</t>
  </si>
  <si>
    <t>secondary_name1_first</t>
  </si>
  <si>
    <t>576. What is the first name of this person</t>
  </si>
  <si>
    <t>576. Quel est le prénom de cette personne</t>
  </si>
  <si>
    <t>576. Menene sunan wannan mutumen?</t>
  </si>
  <si>
    <t>secondary_name1</t>
  </si>
  <si>
    <t>secondary_phone1</t>
  </si>
  <si>
    <t>count-selected(${hoh_failed_prep_country})</t>
  </si>
  <si>
    <t>secondary_relation1</t>
  </si>
  <si>
    <t>secondary_phone1_confirm</t>
  </si>
  <si>
    <t>579. Just to confirm, is this the number? 
  ${secondary_name1}
  ${secondary_phone1}</t>
  </si>
  <si>
    <t>579. Juste pour confirmer, est-ce bien le numéro ?
  ${secondary_name1}
  ${secondary_phone1}</t>
  </si>
  <si>
    <t>579. Don tabbatarwa kawai, da wannan itace lambar?
  ${secondary_name1}
  ${secondary_phone1}</t>
  </si>
  <si>
    <t>selected-at(${hoh_failed_prep_country}, ${hoh_failed_index}-1)</t>
  </si>
  <si>
    <t>secondary_phone1_note</t>
  </si>
  <si>
    <t>secondary_phone1_test</t>
  </si>
  <si>
    <t>581. I am going to call this phone number to confirm it is correct. [Enumerator: Did the phone ring?]</t>
  </si>
  <si>
    <t>581. Je vais appeler ce numéro de téléphone pour confirmer qu'il est correct. [Enquêteur : Le téléphone a-t-il sonné ?]</t>
  </si>
  <si>
    <t>581. Zan kirayi wannan lambar wayar don tabbatar da daidai ce. [Ɗan bincike: Wayar ta yi ƙara?]</t>
  </si>
  <si>
    <t>secondary_phone1_test_note</t>
  </si>
  <si>
    <t>582. Please go back and enter a new phone number.</t>
  </si>
  <si>
    <t>582. Veuillez ressaisir le numéro</t>
  </si>
  <si>
    <t>582. Da fatan zaku rubuta lambar</t>
  </si>
  <si>
    <t>secondary_contact2</t>
  </si>
  <si>
    <t>583.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</si>
  <si>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583.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</si>
  <si>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583.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</si>
  <si>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if(${hoh_failed_country_index} = -777, ${hoh_failed_prep_country_o}, choice-label(${hoh_failed_prep_country}, ${hoh_failed_country_index}))</t>
  </si>
  <si>
    <t>secondary_name_create2</t>
  </si>
  <si>
    <t>Name of Secondary Contact 2</t>
  </si>
  <si>
    <t>secondary_name2_last</t>
  </si>
  <si>
    <t>383. In ${hoh_failed_country}, what was the name of the city or town that ${hoh_roster_name} planned to move to?</t>
  </si>
  <si>
    <t>383. Dans ${hoh_failed_country}, quel était le nom de la ville ou du village vers lequel ${hoh_roster_name} prévoyait de voyager ?</t>
  </si>
  <si>
    <t>383. A ƙasar ${hoh_failed_country}, menene sunan birni ko garin da sunan ${hoh_roster_name} yayi shirin zuwa?</t>
  </si>
  <si>
    <t>search('towns', 'matches', 'country_id', ${hoh_failed_country_index})</t>
  </si>
  <si>
    <t>secondary_name2_first</t>
  </si>
  <si>
    <t>not(${hoh_failed_country_index} = 1 or ${hoh_failed_country_index} = -999)</t>
  </si>
  <si>
    <t>secondary_name2</t>
  </si>
  <si>
    <t>secondary_phone2</t>
  </si>
  <si>
    <t>384. Specify other</t>
  </si>
  <si>
    <t>384. Autre à préciser</t>
  </si>
  <si>
    <t>384. Wani daban a Bayyana</t>
  </si>
  <si>
    <t>selected(${hoh_failed_town} , '-777')</t>
  </si>
  <si>
    <t>secondary_relation2</t>
  </si>
  <si>
    <t>385. In ${hoh_failed_country}, what was the name of the region that ${hoh_roster_name} planned to move to?</t>
  </si>
  <si>
    <t>385. Dans ${hoh_failed_country}, quel était le nom de la région dans laquelle ${hoh_roster_name} prévoyait de voyager ?</t>
  </si>
  <si>
    <t>385. A kasar ${hoh_failed_country}, menene sunan yankin da sunan ${hoh_roster_name} ya shirya zuwa?</t>
  </si>
  <si>
    <t>secondary_phone2_confirm</t>
  </si>
  <si>
    <t>588. Just to confirm, is this the number? 
  ${secondary_name2}
  ${secondary_phone2}</t>
  </si>
  <si>
    <t>588. Juste pour confirmer, est-ce bien le numéro ?
  ${secondary_name2}
  ${secondary_phone2}</t>
  </si>
  <si>
    <t>588. Don tabbatar kawai, da wannan itace lambar?
  ${secondary_name2}
  ${secondary_phone2}</t>
  </si>
  <si>
    <t>${hoh_failed_country_index} = 1</t>
  </si>
  <si>
    <t>secondary_phone2_note</t>
  </si>
  <si>
    <t>589. Please go back and correct the name and phone number.</t>
  </si>
  <si>
    <t>589. Veuillez revenir en arrière et corriger le nom et le numéro de téléphone.</t>
  </si>
  <si>
    <t>589. Da fatan za ka koma baya ka gyara suna da lambar waya.</t>
  </si>
  <si>
    <t>secondary_phone2_test</t>
  </si>
  <si>
    <t>590. I am going to call this phone number to confirm it is correct. [Enumerator: Did the phone ring?]</t>
  </si>
  <si>
    <t>590. Je vais appeler ce numéro de téléphone pour confirmer qu'il est correct. [Enquêteur : Le téléphone a-t-il sonné ?]</t>
  </si>
  <si>
    <t>590. Zan kirayi wannan lambar wayar don tabbatar da daidai ce. [Ɗan bincike: Wayar ta yi ƙara?]</t>
  </si>
  <si>
    <t>secondary_phone2_test_note</t>
  </si>
  <si>
    <t>591. Please go back and enter a new phone number.</t>
  </si>
  <si>
    <t>591. Veuillez ressaisir le numéro</t>
  </si>
  <si>
    <t>591. Da fatan zaku rubuta lambar</t>
  </si>
  <si>
    <t>386. Specify other</t>
  </si>
  <si>
    <t>386. Autre à préciser</t>
  </si>
  <si>
    <t>386. Wani daban a Bayyana</t>
  </si>
  <si>
    <t>selected(${hoh_failed_region}, '-777')</t>
  </si>
  <si>
    <t>enum_end</t>
  </si>
  <si>
    <t>Final Enumerator questions</t>
  </si>
  <si>
    <t>Questions finales de l'enquêteur</t>
  </si>
  <si>
    <t>Tambayoyin ƙarshe na ɗan bincike</t>
  </si>
  <si>
    <t>387. How many times did they plan to migrate to ${hoh_failed_country} and fail?</t>
  </si>
  <si>
    <t>387. Combien de fois ont-ils prévu de migrer vers ${hoh_failed_country} et ont-ils échoué ?</t>
  </si>
  <si>
    <t>select_one interest</t>
  </si>
  <si>
    <t>387. Sau nawa ya shirya zuwa ƙasar ${hoh_failed_country} kuma ya kasa?</t>
  </si>
  <si>
    <t>resp_interest</t>
  </si>
  <si>
    <t>592. How interested was the resppondent</t>
  </si>
  <si>
    <t>592. Dans quelle mesure le répondant était-il intéressé</t>
  </si>
  <si>
    <t>${hoh_failed_country_index} != -999</t>
  </si>
  <si>
    <t>592. Yaya kake ganin maida hankalin mai bada amsa yake</t>
  </si>
  <si>
    <t>388. Why did they change their plans?</t>
  </si>
  <si>
    <t>388. Pourquoi a-t-il changé son plan?</t>
  </si>
  <si>
    <t>388. Me yasa ya fasa tafiyar?</t>
  </si>
  <si>
    <t>select_one patient</t>
  </si>
  <si>
    <t>resp_patient</t>
  </si>
  <si>
    <t>389. Specify other reason</t>
  </si>
  <si>
    <t>389. Précisez une autre raison</t>
  </si>
  <si>
    <t>389. Baiyana wani dalili daban</t>
  </si>
  <si>
    <t>select_one comprehension</t>
  </si>
  <si>
    <t>selected(${hoh_failed_prep_reason}, '-777')</t>
  </si>
  <si>
    <t>resp_understand</t>
  </si>
  <si>
    <t>select_one present</t>
  </si>
  <si>
    <t>other_people</t>
  </si>
  <si>
    <t>595. Was the interview conducted in the presence of other people?</t>
  </si>
  <si>
    <t>595. L'entretien a-t-il été réalisé en présence d'autres personnes ?</t>
  </si>
  <si>
    <t>595. Ko an yi hirar ne a gaban wasu mutane?</t>
  </si>
  <si>
    <t>comment</t>
  </si>
  <si>
    <t>596. Enumerator: Record any comments on the survey</t>
  </si>
  <si>
    <t>596. Enquêteur : Veuillez noter vos commentaires si vous en avez</t>
  </si>
  <si>
    <t>596. Ɗan bincike: Yi rikodin duk wani sharhi akan binciken</t>
  </si>
  <si>
    <t>gps</t>
  </si>
  <si>
    <t>Collect GPS</t>
  </si>
  <si>
    <t>Collecteur de GPS</t>
  </si>
  <si>
    <t>Mai daukan GPS</t>
  </si>
  <si>
    <t>Tambayoyin ɗan bincike na ƙarshe</t>
  </si>
  <si>
    <t>Consented</t>
  </si>
  <si>
    <t>thankyou</t>
  </si>
  <si>
    <t>597. That is the end of the survey. Thank you for your time.</t>
  </si>
  <si>
    <t>597. C'est la fin de l'enquête. Merci pour votre temps.</t>
  </si>
  <si>
    <t>597. Karshen tambayoyin kenan. Na gode da lokacin da kuka bani.</t>
  </si>
  <si>
    <t xml:space="preserve">${speedcheck_hoh_roster_end} - ${speedcheck_hoh_roster_start} </t>
  </si>
  <si>
    <t>join-if(' ', ${hoh_roster_index}, ${hoh_roster_age} &gt;= 7)</t>
  </si>
  <si>
    <t>join-if(' ', ${hoh_roster_index}, ${hoh_living_in_hh} = 1)</t>
  </si>
  <si>
    <t>join-if(' ', ${hoh_roster_index}, ${hoh_roster_in} = 1 or empty(${hoh_roster_name_cases}))</t>
  </si>
  <si>
    <t>if(sum(${hoh_dom_mig_ind}) &gt; 0, 1, 0)</t>
  </si>
  <si>
    <t>if(sum(${hoh_border_cross_ind}) &gt; 0, 1, 0)</t>
  </si>
  <si>
    <t>if(sum(${hoh_border_cross_ecowas_ind}) &gt; 0, 1, 0)</t>
  </si>
  <si>
    <t>if(${hoh_dom_mig} = 1 or ${hoh_border_cross} = 1, 1, 0)</t>
  </si>
  <si>
    <t>390. Now I will ask you about how your household manages its resources.</t>
  </si>
  <si>
    <t>390. Je vais maintenant vous demander comment votre ménage gère ses ressources.</t>
  </si>
  <si>
    <t>390. Yanzu zan tambaye ku yadda gidanku yake sarrafa dukiyoyinshi.</t>
  </si>
  <si>
    <t>391. Do you or another member of the household own this house?</t>
  </si>
  <si>
    <t>391. Est-ce que vous ou un autre membre du ménage êtes propriétaire de cette maison ?</t>
  </si>
  <si>
    <t>391. Shin wannan gidan mallakarku ne kai ko wani dan cikin gidan ?</t>
  </si>
  <si>
    <t>392. What is your best estimate of the value of your home in CFA?</t>
  </si>
  <si>
    <t>392. Quelle est votre meilleure estimation de la valeur de votre maison en CFA ?</t>
  </si>
  <si>
    <t>392. A ganinka wannan gidan aƙalla ya yi nawa a kudin CFA ?</t>
  </si>
  <si>
    <t>${hoh_own_home} = 1</t>
  </si>
  <si>
    <t>393. Does your household own the following goods?</t>
  </si>
  <si>
    <t>393. Votre ménage possède-t-il les biens suivants ?</t>
  </si>
  <si>
    <t>393. Ko gidanku na da kadarori masu zuwa?</t>
  </si>
  <si>
    <t>394. Does your household own any of the following types of livestock?</t>
  </si>
  <si>
    <t>394. Votre ménage possède-t-il l'un des types de bétail suivants ?</t>
  </si>
  <si>
    <t>394. ko gidanku yana da ɗaya daga cikin irin wadannan dabbobi?</t>
  </si>
  <si>
    <t>not(selected(${hoh_livestock_any}, '0'))</t>
  </si>
  <si>
    <t>count-selected(${hoh_livestock_any})</t>
  </si>
  <si>
    <t>choice-label(${hoh_livestock_any}, selected-at(${hoh_livestock_any}, index()-1))</t>
  </si>
  <si>
    <t>395. How many ${hoh_livestock_name} does your household own?</t>
  </si>
  <si>
    <t>395. Combien de ${hoh_livestock_name} votre ménage possède-t-il ?</t>
  </si>
  <si>
    <t>395. ${hoh_livestock_name} Nawa gidan ku ya mallaka ?</t>
  </si>
  <si>
    <t>. &gt;= 1 and . &lt;= 1000</t>
  </si>
  <si>
    <t>396. How much is ${hoh_livestock_name} worth in CFA?</t>
  </si>
  <si>
    <t>396. Combien vaut ${hoh_livestock_name} en CFA ?</t>
  </si>
  <si>
    <t>396. Nawa ne kuɗin ${hoh_livestock_name} a sefa?</t>
  </si>
  <si>
    <t xml:space="preserve">${speedcheck_hoh_livestock_end} - ${speedcheck_hoh_livestock_start} </t>
  </si>
  <si>
    <t>397. Now we'll talk about your households' agricultural and and animal husbandry activities. 
 Let's starting with the most recent agricultural season</t>
  </si>
  <si>
    <t>397. Maintenant, nous allons parler des activités agricoles et d'élevage de votre ménage.
 Commençons par la dernière saison agricole</t>
  </si>
  <si>
    <t>397. Yanzu za mu yi hira bisa aikin noma da kiwo na gidanku.</t>
  </si>
  <si>
    <t>398. Thinking of all the agricultural land your household owned, rented or and had access to during the last agricultural season, please estimate its total size in hectres</t>
  </si>
  <si>
    <t>398. En pensant à toutes les terres agricoles que votre ménage possédait, louait ou auxquelles il avait accès au cours de la dernière saison agricole, veuillez estimer leur superficie totale en hectares</t>
  </si>
  <si>
    <t>398. A ganinka da gonakan da kuka mallaka da na haya da na aro wanda kuka noma a bana sun kai eka nawa?</t>
  </si>
  <si>
    <t>399. How much of this land (in hectares) do you or another member of your household own?</t>
  </si>
  <si>
    <t>399. Quelle superficie de cette terre (en hectares) vous ou un autre membre de votre ménage possédez?</t>
  </si>
  <si>
    <t>399. Eka nawa ne mallakinku cikin wadannan gonakin, ku ko wani ɗan gidanku?</t>
  </si>
  <si>
    <t>. &lt;= ${hoh_land_access_amt}</t>
  </si>
  <si>
    <t>400. How much of this land, if any have you sold in the past year?</t>
  </si>
  <si>
    <t>400. Quelle superficie de ce terrain, si c'est déjà arrivé, avez-vous vendu au cours de l'année écoulée ?</t>
  </si>
  <si>
    <t>400. Eka nawa ne kuka saida, idan ya taɓa faruwa, a cikin shekarar da ta gabata?</t>
  </si>
  <si>
    <t>401. How much of this land, if any have you purchased in the past year?</t>
  </si>
  <si>
    <t>401. Quelle superficie de ce terrain, si c'est déjà arrivé, avez-vous acheté au cours de la dernière année ?</t>
  </si>
  <si>
    <t>401. Eka nawa ne kuka saye, idan ya faru, a cikin shekarar da ta gabata?</t>
  </si>
  <si>
    <t>402. How much of this land (in hectares) did you rent during the last agricultural season?</t>
  </si>
  <si>
    <t>402. Quelle superficie de cette terre (en hectares) avez-vous louée au cours de la dernière saison agricole ?</t>
  </si>
  <si>
    <t>402. Eka nawa ne kuka yi haya a lokacin noman da ta wuce?</t>
  </si>
  <si>
    <t>403. How much did you pay to rent this land during the last agricultural season (in CFA)?</t>
  </si>
  <si>
    <t>403. A combien avez-vous loué ce terrain (en CFA) au cours de la dernière saison agricole ?</t>
  </si>
  <si>
    <t>403. A nawa kuka yi hayar wannan gonar a lokacin noman da ta wuce (a sefa)?</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</si>
  <si>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</si>
  <si>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</si>
  <si>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</si>
  <si>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</si>
  <si>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 xml:space="preserve">${speedcheck_hoh_land_end} - ${speedcheck_hoh_land_start} </t>
  </si>
  <si>
    <t>404. Now we will focus on agricultural activities during last agricultural season</t>
  </si>
  <si>
    <t>404. Maintenant, nous allons nous concentrer sur les activités agricoles au cours de la dernière saison agricole</t>
  </si>
  <si>
    <t>404. Yanzu za mu maida hankali kan ayyukan noma a lokacin damanar da ta wuce</t>
  </si>
  <si>
    <t>405. Which of the following crops did your household grow during the last agricultural season?</t>
  </si>
  <si>
    <t>405. Laquelle des cultures suivantes votre ménage a-t-il cultivées au cours de la dernière saison agricole ?</t>
  </si>
  <si>
    <t>405. Wanne daga cikin waɗannan amfanin gidanku ya noma a damanar da ta gabata?</t>
  </si>
  <si>
    <t>406. Specify other:</t>
  </si>
  <si>
    <t>406. Précisez la culture</t>
  </si>
  <si>
    <t>406. Baiyana wani abu daban:</t>
  </si>
  <si>
    <t>selected(${hoh_crops}, '-777')</t>
  </si>
  <si>
    <t>${hoh_crops} != 0</t>
  </si>
  <si>
    <t>count-selected(${hoh_crops})</t>
  </si>
  <si>
    <t>if(selected-at(${hoh_crops}, index()-1) = '-777', ${hoh_crops_o}, choice-label(${hoh_crops}, selected-at(${hoh_crops}, index()-1)))</t>
  </si>
  <si>
    <t>407. How much of ${hoh_crop_name} did your household produce?</t>
  </si>
  <si>
    <t>407. Quelle quantité de ${hoh_crop_name} votre ménage a-t-il produit ?</t>
  </si>
  <si>
    <t>407. ${hoh_crop_name} Nawa gidanku ya samu?</t>
  </si>
  <si>
    <t>408. Select crop unit for ${hoh_crop_name}</t>
  </si>
  <si>
    <t>408. Sélectionnez l'unité de culture pour ${hoh_crop_name}</t>
  </si>
  <si>
    <t>408. Zaɓi amfanin gonar don ${hoh_crop_name}</t>
  </si>
  <si>
    <t>409. Specify other unit:</t>
  </si>
  <si>
    <t>409. Spécifiez une autre unité :</t>
  </si>
  <si>
    <t>409. Baiyana wani amfanin gonar daban:</t>
  </si>
  <si>
    <t>${hoh_crop_unit} = -777</t>
  </si>
  <si>
    <t>if(${hoh_crop_unit} = -777, ${hoh_crop_unit_o}, choice-label(${hoh_crop_unit}, ${hoh_crop_unit}))</t>
  </si>
  <si>
    <t>410. What quantity (${hoh_crop_unit_name}) of ${hoh_crop_name} did your household sell since the last harvest?</t>
  </si>
  <si>
    <t>410. Quelle quantité (${hoh_crop_unit_name}) de ${hoh_crop_name} votre ménage a-t-il vendu depuis la dernière récolte ?</t>
  </si>
  <si>
    <t>410. Nawa ne yawan (${hoh_crop_unit_name}) na ${hoh_crop_name} gidanku ya saida tun daga kaka na ƙarshe?</t>
  </si>
  <si>
    <t>. &lt;= ${hoh_crop_quantity}</t>
  </si>
  <si>
    <t>411. What was the price per ${hoh_crop_unit_name} of ${hoh_crop_name} you sold in CFA?</t>
  </si>
  <si>
    <t>411. Quel était le prix unitaire (${hoh_crop_unit_name}) de ${hoh_crop_name} que vous avez vendu en CFA ?</t>
  </si>
  <si>
    <t>411. Nawa farashin kowane ${hoh_crop_unit_name} na ${hoh_crop_name} da kuka saida a CFA?</t>
  </si>
  <si>
    <t>${hoh_qty_sold} &gt; 0</t>
  </si>
  <si>
    <t>412. How many ${hoh_crop_unit_name}s of ${hoh_crop_name} did your household consume?</t>
  </si>
  <si>
    <t>412. Quelle quantité (${hoh_crop_unit_name}) de ${hoh_crop_name} votre ménage a-t-il consommé ?</t>
  </si>
  <si>
    <t>412. Nawa yawan ${hoh_crop_unit_name} na ${hoh_crop_name} gidanku ya cinye?</t>
  </si>
  <si>
    <t>413.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</si>
  <si>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</si>
  <si>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</si>
  <si>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${hoh_qty_consume} &gt; 0</t>
  </si>
  <si>
    <t>${hoh_crop_quantity} - ${hoh_qty_sold} - ${hoh_qty_consume}</t>
  </si>
  <si>
    <t>414. The amount you have left (${hoh_qty_left}) is negative. Please return and revise your responses.</t>
  </si>
  <si>
    <t>414. Le montant qu'il vous reste (${hoh_qty_left}) est négatif. Veuillez revenir et réviser vos réponses.</t>
  </si>
  <si>
    <t>414. jimillar kuɗin da suka saura (${hoh_qty_left}) maras kyau ne. Da fatan za a dawo a sake duba amsoshin.</t>
  </si>
  <si>
    <t>${hoh_qty_left} &lt; 0</t>
  </si>
  <si>
    <t>415. Based on your responses, you had ${hoh_qty_left} ${hoh_crop_unit_name} left over. Does this sound correct?</t>
  </si>
  <si>
    <t>415. D'après vos réponses, il vous restait ${hoh_qty_left} ${hoh_crop_unit_name}. Est-ce que cela semble correct ?</t>
  </si>
  <si>
    <t>415. Dangane da amsoshinku, kuna da sauran ${hoh_qty_left} ${hoh_crop_unit_name}. Ko wannan yayi daidai?</t>
  </si>
  <si>
    <t>${hoh_qty_left} &gt;= 0</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</si>
  <si>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</si>
  <si>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</si>
  <si>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</si>
  <si>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</si>
  <si>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${hoh_qty_left} &gt; 0</t>
  </si>
  <si>
    <t>${hoh_qty_sold} * ${hoh_price_sold}</t>
  </si>
  <si>
    <t>416. How much did your household spend on the following types of expenses during the last agricultural season in CFA?</t>
  </si>
  <si>
    <t>416. Combien votre ménage a-t-il dépensé pour les types de dépenses suivantes au cours de la dernière saison agricole (en CFA) ?</t>
  </si>
  <si>
    <t>416. Nawa ne gidanku ya kashe akan waɗannan abubuwan a lokacin noman da ya wuce (a sefa)?</t>
  </si>
  <si>
    <t>417. Seeds</t>
  </si>
  <si>
    <t>417. Semences</t>
  </si>
  <si>
    <t>417. Iri</t>
  </si>
  <si>
    <t>418. Fertilizer</t>
  </si>
  <si>
    <t>418. Engrais</t>
  </si>
  <si>
    <t>418. Takin zamani</t>
  </si>
  <si>
    <t>419. Renting machines and tools (i.e. for plowing or spraying)</t>
  </si>
  <si>
    <t>419. Location de machines et d'outils (c'est-à-dire pour labourer ou pulvériser)</t>
  </si>
  <si>
    <t>419. Hayar injina da kayan aiki ( don noma ko feshi)</t>
  </si>
  <si>
    <t>420. Water</t>
  </si>
  <si>
    <t>420. Eau</t>
  </si>
  <si>
    <t>420. Ruwa</t>
  </si>
  <si>
    <t>${speedcheck_hoh_cropsinfo_end} - ${speedcheck_hoh_cropsinfo_start}</t>
  </si>
  <si>
    <t>421. We want to understand how many days people worked in your fields and who did this work.</t>
  </si>
  <si>
    <t>421. Nous voulons comprendre combien de jours des gens ont travaillé dans vos champs et qui a fait ce travail.</t>
  </si>
  <si>
    <t>421. Muna son mu fahimci kwanaki nawa mutane suka yi aiki a gonakinku da kuma wanda ya yi wannan aikin.</t>
  </si>
  <si>
    <t>422. Think about the last agricultural season. How many weeks were people working in your fields? This includes work by people who are members of your household and those who are not members of your household.</t>
  </si>
  <si>
    <t>422. Pensez à la dernière saison agricole. Combien de semaines au total les gens ont-ils travaillé dans vos champs ? Cela inclut le travail des personnes qui sont membres de votre ménage et celles qui ne le sont pas.</t>
  </si>
  <si>
    <t>422. Ku tuna da lokacin noma na ƙarshe. Makonni nawa mutane ke aiki a filayenku? Wannan ya haɗa da aikin mutanen da ke cikin gidanku da waɗanda ba ƴan gidanku ba ne.</t>
  </si>
  <si>
    <t>. &gt;= 0 and . &lt;= 26</t>
  </si>
  <si>
    <t>423. Think about a typical week during the last agricultural season. How many days were people working in your fields? This includes work by people who are members of your household and those who are not members of your household.</t>
  </si>
  <si>
    <t>423. Pensez à une semaine typique au cours de la dernière saison agricole. Combien de jours les gens ont-ils travaillé dans vos champs par semaine ? Cela inclut le travail des personnes qui sont membres de votre ménage et celles qui ne le sont pas.</t>
  </si>
  <si>
    <t>423. Ku tuna da mako guda na lokacin damana ta ƙarshe. Kwanaki nawa mutane suke aiki a gonkinku a cikin kowane sati? Wannan ya haɗa da aikin mutanen da ke cikin gidan ku da waɗanda ba 'yan gidan ku ba ne.</t>
  </si>
  <si>
    <t>hoh_days_labor_tot</t>
  </si>
  <si>
    <t>${hoh_days_labor} * ${hoh_weeks_labor}</t>
  </si>
  <si>
    <t>count-selected(${hoh_members_above_7})</t>
  </si>
  <si>
    <t>selected-at(${hoh_members_above_7}, index()-1)</t>
  </si>
  <si>
    <t>indexed-repeat(${hoh_roster_name}, ${hoh_roster}, ${hoh_labor_index})</t>
  </si>
  <si>
    <t>424. Can you estimate how many days during the last agricultural season did ${hoh_labor_name} work in field?</t>
  </si>
  <si>
    <t>424. Pouvez-vous estimer combien de jours au cours de la dernière saison agricole ${hoh_labor_name} a-t-il travaillé dans les champs ?</t>
  </si>
  <si>
    <t>424. Za ku iya ƙiyasin kwanaki nawa a lokacin noman da ya gabata ${hoh_labor_name} ya yi aikin a noma?</t>
  </si>
  <si>
    <t>. &gt;= 0 and . &lt;= ${hoh_days_labor_tot}</t>
  </si>
  <si>
    <t>425. The following questions about agricultural labor are for the last agricultural season (last 180 days).</t>
  </si>
  <si>
    <t>425. Les questions suivantes sur le travail agricole concernent la derniere saison agricole (180 derniers jours)</t>
  </si>
  <si>
    <t>425. Q.420 Tambayoyi masu zuwa game da aikin noma bara (koinakin 180 na baya)</t>
  </si>
  <si>
    <t>426. Did you hire anyone outside of your household to work in your fields?</t>
  </si>
  <si>
    <t>426. Avez-vous embauché quelqu'un en dehors de votre ménage pour travailler dans vos champs ?</t>
  </si>
  <si>
    <t>426. Ko kun ɗauki wani dan barema da ba ɗan gidanku ba don yin aiki a gonakinku?</t>
  </si>
  <si>
    <t>${hoh_days_labor} &gt; 0</t>
  </si>
  <si>
    <t>427. How many different people did you hire people to work in your fields?</t>
  </si>
  <si>
    <t>427. Combien de personnes avez-vous embauchées pour travailler dans vos champs ?</t>
  </si>
  <si>
    <t>427. Mutane nawa kuka ɗauka don yin aiki a gonakinku?</t>
  </si>
  <si>
    <t>${hoh_hire_ag} = 1</t>
  </si>
  <si>
    <t>428. How many days did each laborer work in your fields?</t>
  </si>
  <si>
    <t>428. Combien de jours chaque ouvrier a-t-il travaillé dans vos champs ?</t>
  </si>
  <si>
    <t>428. Kwanaki nawa kowane ma'aikaci yayi aiki a gonakinku?</t>
  </si>
  <si>
    <t>. &gt;= 0 and . &lt;= 180</t>
  </si>
  <si>
    <t>429. What was the daily wage you paid for people to work in your fields, or how much would you pay in CFA?</t>
  </si>
  <si>
    <t>429. Quel était le salaire journalier que vous payiez pour que les gens travaillent dans vos champs, ou combien paieriez-vous en CFA ?</t>
  </si>
  <si>
    <t>429. Nawa ne kuke biyan waɗanda suka yi aiki a gonakinku a dukkan wuni a sefa ?</t>
  </si>
  <si>
    <t>${hoh_income3} + ${hoh_income4} + ${hoh_income5} + ${hoh_income6} + ${hoh_income7} + ${hoh_income8}</t>
  </si>
  <si>
    <t>430. Thinking of your expenses related to labor and investment in your fields during the last agricultural season, you spent a total of ${hoh_total_paid} in CFA, is this correct?</t>
  </si>
  <si>
    <t>430. Pour toutes les dépenses pour vos champs dont nous avons parlé, vous avez payé ${hoh_total_paid} en CFA, est-ce correct ?</t>
  </si>
  <si>
    <t>430. Ku tuna da dukkan kuɗaɗen da kuka kashe a kan aikin gona a lokacin aikin noma na ƙarshe, kun kashe jimillar ${hoh_total_paid} a CFA, wannan daidai ne?</t>
  </si>
  <si>
    <t>. = 1</t>
  </si>
  <si>
    <t>Veuillez revenir et corriger vos réponses aux questions 88 à 93.</t>
  </si>
  <si>
    <t>431. Now we'll ask about any work by members of your household in fields owned by other people.</t>
  </si>
  <si>
    <t>431. Nous allons maintenant poser des questions sur tout travail effectué par des membres de votre ménage dans des champs appartenant à d'autres personnes.</t>
  </si>
  <si>
    <t>431. Yanzu za mu yi tambayoyi game da duk wani aiki da ƴan gidanku suka yi a gonakin wasu mutane.</t>
  </si>
  <si>
    <t>432. Have any family members worked as a day labor in fields for someone else?</t>
  </si>
  <si>
    <t>432. Pensez à tout membre de votre ménage, y-a t-il des membres de votre ménage qui ont travaillé comme journaliers dans le champs de quelqu'un d'autre ?</t>
  </si>
  <si>
    <t>432. Ko wani ɗan gidanku ya yi aiki a matsayin ɗan barema a gonar wani?</t>
  </si>
  <si>
    <t xml:space="preserve">${speedcheck_hoh_labor_end} - ${speedcheck_hoh_labor_start} </t>
  </si>
  <si>
    <t>${hoh_members_paid_ag} = 1</t>
  </si>
  <si>
    <t>indexed-repeat(${hoh_roster_name}, ${hoh_roster}, index())</t>
  </si>
  <si>
    <t>indexed-repeat(${hoh_roster_age}, ${hoh_roster}, index())</t>
  </si>
  <si>
    <t>433. Can you estimate how many days ${hoh_paid_name} worked as a day laborer in the fields for someone else?</t>
  </si>
  <si>
    <t>433. Pouvez-vous estimer combien de jours ${hoh_paid_name} a travaillé comme journalier dans les champs d'autres personnes ?</t>
  </si>
  <si>
    <t>433. Za ku iya misalta ko wuni nawa ${hoh_paid_name} yayi aiki a matsayin ma'aikacin barema a gonar wasu mutane?</t>
  </si>
  <si>
    <t>${hoh_paid_age} &gt; 7</t>
  </si>
  <si>
    <t>434. What was the daily wage paid to ${hoh_paid_name} working as a day laborer for someone else in CFA?</t>
  </si>
  <si>
    <t>434. Quel était le salaire journalier payé à ${hoh_paid_name} travaillant comme journalier pour quelqu'un d'autre en CFA ?</t>
  </si>
  <si>
    <t>434. Nawa biyan ${hoh_paid_name} na wuni a lokacin da yake barema a gonar wani a sefa?</t>
  </si>
  <si>
    <t>${hoh_paid_ag} &gt; 0</t>
  </si>
  <si>
    <t>${hoh_paid_ag} * ${hoh_paid_ag_wage}</t>
  </si>
  <si>
    <t xml:space="preserve">${speedcheck_hoh_paid_end} - ${speedcheck_hoh_paid_start} </t>
  </si>
  <si>
    <t>435. Thinking about the last agricultural season, did you need to pay other expenses we did not ask you about?</t>
  </si>
  <si>
    <t>435. En pensant à la dernière saison agricole, avez-vous dû faire d'autres dépenses dont nous n'avons pas parlé ?</t>
  </si>
  <si>
    <t>435. A tunaninka a lokacin noman da ya gabata, akwai wasu kashe kashen kuɗi da kuka yi wanda ba mu yi zancen su ba?</t>
  </si>
  <si>
    <t>436. What was the expense?</t>
  </si>
  <si>
    <t>436. Quelle était la dépense ?</t>
  </si>
  <si>
    <t>436. wane kashe kuɗi ne ?</t>
  </si>
  <si>
    <t>${hoh_ag_exp_other}=1</t>
  </si>
  <si>
    <t>437. What was the approximate value of ${hoh_ag_exp_other_name} in CFA?</t>
  </si>
  <si>
    <t>437. Quelle était la valeur approximative de ${hoh_ag_exp_other_name} en CFA ?</t>
  </si>
  <si>
    <t>437. Nawa farashin ${hoh_ag_exp_other_name} a wacan lokacin a sefa?</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</si>
  <si>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</si>
  <si>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</si>
  <si>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</si>
  <si>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</si>
  <si>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</si>
  <si>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if(empty(${hoh_spend_rent}), 0, ${hoh_spend_rent})</t>
  </si>
  <si>
    <t>if(empty(${hoh_spend_water}), 0, ${hoh_spend_water})</t>
  </si>
  <si>
    <t>if(empty(${hoh_ag_exp_other_amt}), 0, ${hoh_ag_exp_other_amt})</t>
  </si>
  <si>
    <t>${hoh_income1} + ${hoh_income2}  - ${hoh_income3} - ${hoh_income4} - ${hoh_income5} - ${hoh_income6} - ${hoh_income7} - ${hoh_income8}</t>
  </si>
  <si>
    <t>438. Total income: ${hoh_total_income}
 Does this seem right?</t>
  </si>
  <si>
    <t>438. Revenu total : ${hoh_total_income}
 Cela vous semble-t-il juste ?</t>
  </si>
  <si>
    <t>438. Jimillar kuɗin shiga: ${hoh_total_income}
 ko kuna ganin hakan yayi daidai?</t>
  </si>
  <si>
    <t>Veuillez revenir et corriger vos réponses aux questions 82 à 87 et 95 à 97</t>
  </si>
  <si>
    <t>439. Now we'll ask about income generating activity from animal husbandry in the past three months</t>
  </si>
  <si>
    <t>439. Maintenant, nous allons poser des questions sur l'activité génératrice de revenus liée à l'élevage au cours des trois derniers mois</t>
  </si>
  <si>
    <t>439. Yanzu za mu yi hira game da ayyukan samar da kuɗaɗen shiga na kiwo a cikin watanni uku da suka gabata</t>
  </si>
  <si>
    <t>choice-label(${hoh_livestock_any}, index())</t>
  </si>
  <si>
    <t>440. How many ${hoh_livestock_act_name} did you buy?</t>
  </si>
  <si>
    <t>440. Au cours des trois derniers mois, combien de ${hoh_livestock_act_name} avez-vous acheté ?</t>
  </si>
  <si>
    <t>440. ${hoh_livestock_act_name} Nawa kuka saye?</t>
  </si>
  <si>
    <t>441. How much did you buy ${hoh_livestock_act_name} for in CFA?</t>
  </si>
  <si>
    <t>570. Pour combien avez-vous acheté ${hoh_livestock_act_name} en CFA ?</t>
  </si>
  <si>
    <t>570. A nawa kuka sayi ${hoh_livestock_act_name} a kuɗin CFA?</t>
  </si>
  <si>
    <t>You mentioned that you bought ${hoh_livestock_bought} individual ${hoh_livestock_act_name}. Please report the total price you received in CFA.</t>
  </si>
  <si>
    <t>${hoh_livestock_bought} &gt; 0</t>
  </si>
  <si>
    <t>442. How many ${hoh_livestock_act_name} did you sell?</t>
  </si>
  <si>
    <t>442. Au cours des trois derniers mois, combien de ${hoh_livestock_act_name} avez-vous vendu ?</t>
  </si>
  <si>
    <t>442. ${hoh_livestock_act_name} nawa kuka saida?</t>
  </si>
  <si>
    <t>443. How much did you sell ${hoh_livestock_act_name} for in CFA?</t>
  </si>
  <si>
    <t>572. Pour combien avez-vous vendu ${hoh_livestock_act_name} en CFA ?</t>
  </si>
  <si>
    <t>572. Nawa kuka sayar da ${hoh_livestock_act_name} a kuɗin CFA?</t>
  </si>
  <si>
    <t>You mentioned that you sold ${hoh_livestock_sold} individual ${hoh_livestock_act_name}. Please report the total amount you received in CFA.</t>
  </si>
  <si>
    <t>${hoh_livestock_sold} &gt; 0</t>
  </si>
  <si>
    <t>444. How many ${hoh_livestock_act_name} did you consume?</t>
  </si>
  <si>
    <t>444. Au cours des trois derniers mois, combien de ${hoh_livestock_act_name} avez-vous consommé ?</t>
  </si>
  <si>
    <t>444. ${hoh_livestock_act_name} Nawa kuka cinye ?</t>
  </si>
  <si>
    <t>445.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</si>
  <si>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</si>
  <si>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</si>
  <si>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You mentioned that you consumed ${hoh_livestock_consumed} individual ${hoh_livestock_act_name}. Please report the total amount you would receive in CFA.</t>
  </si>
  <si>
    <t>${hoh_livestock_consumed} &gt; 0</t>
  </si>
  <si>
    <t>446. In the past three months, how much did you spend on food and health expense for all of your animals (in CFA)?</t>
  </si>
  <si>
    <t>446. Au cours des trois derniers mois, combien avez-vous dépensé en frais de nourriture et de santé pour tous vos animaux (en CFA) ?</t>
  </si>
  <si>
    <t>446. Nawa kuka kashe akan abinci da kiwon lafiyar dukkan dabbobinku (a sefa) ?</t>
  </si>
  <si>
    <t>447. When thinking about the past three months, I would like to ask you about how many days a typical week people in your household worked. We know people may work more during some weeks rather than others, please think about what happens during most weeks.</t>
  </si>
  <si>
    <t>447.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</si>
  <si>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447. Tuna da watanni uku da suka wuce. Ina son in tambaye ku game da yawan kwanaki da ƴan gidanku ke yin aiki a cikin sati na yau da kullun. Mun san da mutane na iya yin aiki a cikin wani sati fiye da wani satin, amma yi tunanin abinda ke kasancewa a yawancin makonni.</t>
  </si>
  <si>
    <t>448. How many days did people in your household work to care for your animals in a typical week in the past three months?</t>
  </si>
  <si>
    <t>448. Dans les trois derniers mois, au cours d'une semaine normale, combien de jours les membres de votre ménage ont-ils travaillé pour s'occuper de vos animaux ?</t>
  </si>
  <si>
    <t>448. A cikin watanni uku da suka wuce, kwana nawa a cikin sati mutanen gidanku suka yi aiki don kula da bisashenku?</t>
  </si>
  <si>
    <t>. &lt;= 7</t>
  </si>
  <si>
    <t>449. In the past three months, did you hire anyone outside your household to care for your animals?</t>
  </si>
  <si>
    <t>449. Au cours des trois derniers mois, avez-vous embauché quelqu'un en dehors de votre ménage pour s'occuper de vos animaux ?</t>
  </si>
  <si>
    <t>449. A cikin watanni uku da suka wuce, Ko kun ɗauki wani wanda ba ɗan gidanku ba don kula da dabbobinku?</t>
  </si>
  <si>
    <t>450. In the last 3 months, for how many weeks did you hire people to care for your livestock?</t>
  </si>
  <si>
    <t>450. Au cours des trois derniers mois, combien de semaines avez-vous embauché des personnes pour s'occuper de votre bétail ?</t>
  </si>
  <si>
    <t>450. A cikin watanni 3 da suka wuce, sati nawa kuka dauki ƴan aiki don kula da dabbobinku?</t>
  </si>
  <si>
    <t>. &lt;= 12</t>
  </si>
  <si>
    <t>${hoh_hire_livestock} = 1</t>
  </si>
  <si>
    <t>451. What was the weekly wage paid to people who care for your animals, or how much would you pay in CFA?</t>
  </si>
  <si>
    <t>451. Quel était les frais hebdomadaire payés aux personnes qui s'occupent de vos animaux, ou combien paieriez-vous en CFA ?</t>
  </si>
  <si>
    <t>451. 105 a. Nawa albashin mako-mako na wannan mutanen da ke kula da dabbobinku a CFA?</t>
  </si>
  <si>
    <t>${hoh_hire_livestock_days} * ${hoh_hire_livestock_wage} * 12</t>
  </si>
  <si>
    <t>452. You paid ${hoh_hire_livestock_total} in CFA for people to care for your animals, is this correct?</t>
  </si>
  <si>
    <t>452. Vous avez payé ${hoh_hire_livestock_total} (en CFA) aux personnes qui s'occupent de vos animaux, est-ce exact ?</t>
  </si>
  <si>
    <t>452. ${hoh_hire_livestock_total} (a sefa) kuka biya, ko daidai ne?</t>
  </si>
  <si>
    <t>453. In the past three months, did any member of your household care for livestock owned by other people?</t>
  </si>
  <si>
    <t>453. Au cours des trois derniers mois, un membre de votre ménage s'est-il occupé du bétail appartenant à d'autres personnes ?</t>
  </si>
  <si>
    <t>453. A cikin watanni uku da suka wuce, akwai wani ɗan gidanku da ya kula da dabbobin wasu mutane?</t>
  </si>
  <si>
    <t>454. In a typical week, how many days did they do this job?</t>
  </si>
  <si>
    <t>454. Au cours d'une semaine normale, combien de jours ont-ils fait ce travail ?</t>
  </si>
  <si>
    <t>454. A cikin mako, kwana nawa suka yi wannan aikin?</t>
  </si>
  <si>
    <t>${hoh_paid_livestock} = 1</t>
  </si>
  <si>
    <t>455. What was the daily wage paid to household members who cared for livestock owned by other people?</t>
  </si>
  <si>
    <t>455. Quel étaient les frais journaliers payés aux membres de votre ménage qui s'occupent des animaux du bétail appartenant à d'autres personnes en CFA ?</t>
  </si>
  <si>
    <t>455. Nawa ne biyan wuni na ƴan gida masu kula da dabbobin wasu mutane (a kuɗin CFA)?</t>
  </si>
  <si>
    <t>456. Now we will ask about other forms of income people in your household may have earned in the past three months.</t>
  </si>
  <si>
    <t>456. Nous allons maintenant poser des questions sur les autres formes de revenus que les membres de votre ménage ont pu gagner au cours des trois derniers mois.</t>
  </si>
  <si>
    <t>456. Yanzu za mu yi tambayoyi bisa wasu hanyoyin samun kuɗin shiga da yan gidanku a cikin watanni uku da suka gabata.</t>
  </si>
  <si>
    <t>457. Do you or another member of your household own land that is currently not used for agriculture, outside of your current home?</t>
  </si>
  <si>
    <t>457. Est-ce que vous ou un autre membre de votre ménage possédez des terres qui ne sont actuellement pas utilisées pour l'agriculture, en dehors de votre domicile actuel ?</t>
  </si>
  <si>
    <t>457. Shin kai ko wani na gidanku kuna da wasu hilaye wanda ba na noma ba bancin gidanku da kuke ciki a halin yanzu?</t>
  </si>
  <si>
    <t>458. In the past three months, what is the total revenue from rent of land or other property in CFA?</t>
  </si>
  <si>
    <t>458. Au cours des trois derniers mois, quel a été le revenu total provenant de la location d'un terrain ou d'une autre propriété en CFA?</t>
  </si>
  <si>
    <t>458. A cikin watanni uku da suka gabata, menene jimillar kuɗin da aka samu ta hanyar hayan filaye ko wasu kadarori (a sefa)?</t>
  </si>
  <si>
    <t>${hoh_own_other} = 1</t>
  </si>
  <si>
    <t>459. In the past three months, what is the total value of interest from loans you have given to others in CFA?</t>
  </si>
  <si>
    <t>459. Au cours des trois derniers mois, quelle est la valeur totale des intérêts des prêts que vous avez accordés à d'autres en CFA?</t>
  </si>
  <si>
    <t>459. A cikin watanni uku da suka gabata, nawa ne jimillar kudin ruwan basussuka da kuka baiwa wasu (a sefa)?</t>
  </si>
  <si>
    <t xml:space="preserve">${speedcheck_hoh_livestockact_end} - ${speedcheck_hoh_livestockact_start} </t>
  </si>
  <si>
    <t>460. Does anyone in the household fully, or partly own and operate an income generating activity that is not farming or herding? (i.e. a shop where you sell goods, restaurant, butcher shop)?</t>
  </si>
  <si>
    <t>460. Quelqu'un dans le ménage possède-t-il entièrement ou partiellement une activité génératrice de revenus autre que l'agriculture ou l'élevage ? (C'est-à-dire un magasin où vous vendez des marchandises, un restaurant, une boucherie) ?</t>
  </si>
  <si>
    <t>460. Ko akwai wani ɗan gidanku mai sana'a wanda jarin gaba daya nashi ko na hadin gwiwa ne banda noma da kiyo? ( kantin saida kaya, gidan abinci, fawa)?</t>
  </si>
  <si>
    <t>461. What type of business is this?</t>
  </si>
  <si>
    <t>461. Quel type d'entreprise est-ce?</t>
  </si>
  <si>
    <t>461. Wane irin kasuwanci ne?</t>
  </si>
  <si>
    <t>${hoh_own_biz} = 1</t>
  </si>
  <si>
    <t>462. Specify other</t>
  </si>
  <si>
    <t>462. Autre à préciser :</t>
  </si>
  <si>
    <t>462. Baiyana wani abu daban:</t>
  </si>
  <si>
    <t>${hoh_biz_type} = -777</t>
  </si>
  <si>
    <t>if(${hoh_biz_type} = -777, ${hoh_biz_type_o}, choice-label(${hoh_biz_type}, ${hoh_biz_type}))</t>
  </si>
  <si>
    <t>463. Do you have a permanent location (i.e. building)?</t>
  </si>
  <si>
    <t>463. Avez-vous un emplacement permanent (c'est-à-dire un bâtiment) ?</t>
  </si>
  <si>
    <t>463. Kuna da wurin dindindin (kamar gini)?</t>
  </si>
  <si>
    <t>464. How many people outside of your household do you employ in this business?</t>
  </si>
  <si>
    <t>464. Combien de personnes en dehors de votre ménage employez-vous dans cette entreprise ?</t>
  </si>
  <si>
    <t>464. Mutane nawa ne kuka dauka aiki banda ƴan gidan a wannan kasuwancin?</t>
  </si>
  <si>
    <t>465. How much do you pay per day for people to work in this business in CFA?</t>
  </si>
  <si>
    <t>465. Combien payez-vous par jour pour que les gens travaillent dans cette entreprise (en CFA) ?</t>
  </si>
  <si>
    <t>465. Nawa kuke biyan su a wuni (a sefa) ?</t>
  </si>
  <si>
    <t>${hoh_own_biz} = 1 and ${hoh_biz_employ} = 1</t>
  </si>
  <si>
    <t>count-selected(${hoh_members_in_hh})</t>
  </si>
  <si>
    <t>selected-at(${hoh_members_in_hh}, index()-1)</t>
  </si>
  <si>
    <t>indexed-repeat(${hoh_roster_name}, ${hoh_roster}, ${hoh_biz_index})</t>
  </si>
  <si>
    <t>indexed-repeat(${hoh_roster_age}, ${hoh_roster}, ${hoh_biz_index})</t>
  </si>
  <si>
    <t>466. In a typical week during the past three months, how many days did ${hoh_biz_name} work in the household business?</t>
  </si>
  <si>
    <t>466. Au cours d'une semaine normale au cours des trois derniers mois, combien de jours ${hoh_biz_name} a-t-il travaillé dans l'entreprise familiale ?</t>
  </si>
  <si>
    <t>466. Kwanaki nawa a cikin kowane mako guda a cikin watanni uku da suka gabata, ${hoh_biz_name} yayi aiki a cikin kasuwancin gida?</t>
  </si>
  <si>
    <t>${hoh_own_biz} = 1 and ${hoh_biz_age} &gt;= 7</t>
  </si>
  <si>
    <t xml:space="preserve">${speedcheck_hoh_biz_end} - ${speedcheck_hoh_biz_start} </t>
  </si>
  <si>
    <t>467. Thinking about all of the revenues from this business in the past three months, what was the total amount of money coming in from this business in the last three months?</t>
  </si>
  <si>
    <t>467. Pense à tous les revenus de cette entreprise au cours des trois derniers mois, quel a été le montant total provenant de cette entreprise au cours des trois derniers mois ?</t>
  </si>
  <si>
    <t>467. Tuna da dukkan kuɗaɗen shiga na wannan kasuwancin a cikin watanni uku da suka wuce, nawa ne yawan kuɗin da aka samu daga wannan kasuwancin a cikin watanni uku da suka wuce?</t>
  </si>
  <si>
    <t>468. Thinking about all of the the expenses from this business, what was the total amount of money you spent on costs related to this business in the last three months?</t>
  </si>
  <si>
    <t>468. Pense à toutes les dépenses de cette entreprise, quel a été le montant total que vous avez dépensé pour les coûts liés à cette entreprise au cours des trois derniers mois ?</t>
  </si>
  <si>
    <t>468. Tuna da dukkan kuɗin da aka kashe don wannan kasuwancin, nawa ne jimillar kuɗin da kuka kashe a kan wannan kasuwancin a cikin watanni uku da suka wuce?</t>
  </si>
  <si>
    <t>${hoh_biz_revenue} - ${hoh_biz_expense}</t>
  </si>
  <si>
    <t>469. Thinking about all the revenue and expense related to this business during the past three months, you said that the net income from this business for your household is ${hoh_biz_income}. Is that correct?</t>
  </si>
  <si>
    <t>469. En pensant à tous les revenus de cette entreprise et à toutes les dépenses, vous dites que la bénéfice net de cette entreprise au cours des trois derniers mois est ${hoh_biz_income}, est-ce exact ?</t>
  </si>
  <si>
    <t>469. Ku tuna da dukkan kuɗaɗen shiga da kashe kashen kuɗi da suka shafi wannan kasuwancin a cikin watanni uku da suka wuce. Kun ce yawan riban wannan kasuwancin shine ${hoh_biz_income}. Ko hakan daidai ne?</t>
  </si>
  <si>
    <t>470. We have discussed work done by members of your household in agriculture, in husbandry, in a business owned by your family.</t>
  </si>
  <si>
    <t>470. Nous avons discuté du travail effectué par les membres de votre ménage dans l'agriculture, l'élevage, dans une entreprise appartenant à votre famille.</t>
  </si>
  <si>
    <t>470. “Mun tattauna bisa ayyukan da ƴan gidanku suka yi a harakar noma da kiwo, kasuwancin da ƴan gidanku suka mallaka.</t>
  </si>
  <si>
    <t>indexed-repeat(${hoh_roster_name}, ${hoh_roster}, ${hoh_member_act_index})</t>
  </si>
  <si>
    <t>471. In the past three months, did ${hoh_member_act_name} earn money from any other activity?</t>
  </si>
  <si>
    <t>471. Au cours des trois derniers mois, ${hoh_member_act_name} a-t-il gagné de l'argent grâce à une autre activité ?</t>
  </si>
  <si>
    <t>471. A cikin watanni uku da suka gabata, ${hoh_member_act_name} ya samu kuɗi daga yin wani aiki?</t>
  </si>
  <si>
    <t>472. What was the activity?</t>
  </si>
  <si>
    <t>472. Quelle était l'activité ?</t>
  </si>
  <si>
    <t>472. Menene aikin?</t>
  </si>
  <si>
    <t>${hoh_member_other_activity} = 1</t>
  </si>
  <si>
    <t>473. Specify the activity</t>
  </si>
  <si>
    <t>473. Précisez l'activité</t>
  </si>
  <si>
    <t>473. Baiyana aikin</t>
  </si>
  <si>
    <t>${hoh_member_other_activity} = 1 and ${hoh_member_other_act} = '-777'</t>
  </si>
  <si>
    <t>if(${hoh_member_other_act} = '-777', ${hoh_member_other_activity_o}, choice-label(${hoh_member_other_act}, ${hoh_member_other_act}))</t>
  </si>
  <si>
    <t>474. How much does ${hoh_member_act_name} earn from this activity during an average week (that they are engaged in ${hoh_member_other_activity_name})?</t>
  </si>
  <si>
    <t>474. Combien ${hoh_member_act_name} gagne-t-il grâce à cette activité au cours d'une semaine en moyenne (pendant laquelle il est engagé comme ${hoh_member_other_activity_name}) ?</t>
  </si>
  <si>
    <t>474. A takaice nawa ${hoh_member_act_name} yake samu daga wannan aiki a cikin sati (a lokacin da suke cikin aikin ${hoh_member_other_activity_name})?</t>
  </si>
  <si>
    <t>475. Think about the past 3 months how many weeks did they engage in ${hoh_member_other_activity_name}?</t>
  </si>
  <si>
    <t>475. Pensez aux 3 derniers mois, combien de semaines ont-ils participé à ${hoh_member_other_activity_name} ?</t>
  </si>
  <si>
    <t>475. A watanni 3 da suka gabata, sati nawa suka yi aikin ${hoh_member_other_activity_name}?</t>
  </si>
  <si>
    <t>476. Can you estimate how much ${hoh_member_act_name} contributes to the household common pot in a typical week (excluding labor) including both cash and in goods?</t>
  </si>
  <si>
    <t>476. Pouvez-vous estimer la contribution de ${hoh_member_act_name} au fond commun du ménage au cours d'une semaine normale (hors main-d'œuvre), y compris en espèces et en nature ?</t>
  </si>
  <si>
    <t>476. Ko za ku iya kimanta gudunmawar kuɗi da kaya da ${hoh_member_act_name} ya kawo gidan a cikin sati guda (banda aiki)?</t>
  </si>
  <si>
    <t xml:space="preserve"> ${speedcheck_hoh_memact_end} - ${speedcheck_hoh_memact_start}</t>
  </si>
  <si>
    <t>477. In the past three months, have you or anyone in your household received money from someone who is not a member of your household and who lives elsewhere in Niger (outside your village)?</t>
  </si>
  <si>
    <t>477. Au cours des trois derniers mois, vous ou un membre de votre ménage avez reçu &lt;b&gt;de l'argent&lt;/b&gt; d'une personne qui n'est pas membre de votre ménage et qui habite &lt;b&gt;ailleurs au Niger&lt;/b&gt; (en dehors de votre village)?</t>
  </si>
  <si>
    <t>477. A cikin watanni uku da suka wuce, kai ko ɗan gidanku kun samu kuɗi daga wani da ba ɗan gidanku ba wanda yake zaune a wani gari a Nijar (wajen kauyenku)?</t>
  </si>
  <si>
    <t>478. How much in total did members of your household receive from people elsewhere in Niger (in CFA)?</t>
  </si>
  <si>
    <t>478. Combien au total les membres de votre ménage ont-ils reçu des personnes qui sont quelques part au Niger (en CFA)?</t>
  </si>
  <si>
    <t>478. Nawa ne ƴan gidanku suka samu daga wasu matanen da ke wani gari a Nijar (in CFA)?</t>
  </si>
  <si>
    <t>${hoh_remit_rec_niger} = 1</t>
  </si>
  <si>
    <t>selected(${hoh_remit_rec_niger_how}, '-777')</t>
  </si>
  <si>
    <t>481. In the past three months, have you or anyone in your household received goods (payment in kind) from someone who is not a member of your household and who lives elsewhere in Niger (outside your village)?</t>
  </si>
  <si>
    <t>481. Au cours des trois derniers mois, vous ou un membre de votre ménage avez reçu &lt;b&gt;des biens&lt;/b&gt; (paiement en nature) d'une personne qui n'est pas membre de votre ménage et qui habite &lt;b&gt;ailleurs au Niger&lt;/b&gt; (en dehors de votre village)?</t>
  </si>
  <si>
    <t>481. A cikin watanni ukun da suka wuce, kai ko wani a cikin gidanku kun karɓi kaya (a matsayin biya) daga wani wanda ba ɗan gidanku ba ne kuma yana zaune a wani wuri a Nijar (Ba'a garinku ba)?</t>
  </si>
  <si>
    <t>482. What was the value of the goods members of your household receive from people elsewhere in Niger (in CFA)?</t>
  </si>
  <si>
    <t>482. Quel était la valeur au totale des biens que les membres de votre ménage ont reçu des personnes qui sont quelques part au Niger 
 (en CFA)?</t>
  </si>
  <si>
    <t>482. Nawa kimar kayayyakin da ƴan gidanku suka karba daga wasu mutane a wasu wurare a Nijar (in CFA)?</t>
  </si>
  <si>
    <t>${hoh_goods_rec_niger} = 1</t>
  </si>
  <si>
    <t>483. Ta yaya aka aika waɗannan kayayyakin zuwa gidanku?</t>
  </si>
  <si>
    <t>selected(${hoh_goods_rec_niger_how}, '-777')</t>
  </si>
  <si>
    <t>485. In the past three months, have you or anyone in your household received money from someone who is not a member of your household and who lives in a foreign country (outside of Niger)?</t>
  </si>
  <si>
    <t>485. Au cours des trois derniers mois, vous ou un membre de votre ménage avez-vous reçu &lt;b&gt;de l'argent&lt;/b&gt; d'une personne qui n'est pas membre de votre ménage et qui habite &lt;b&gt;à l'extérieur du Niger&lt;/b&gt; (dans un autre pays)?</t>
  </si>
  <si>
    <t>485. A cikin watanni uku da suka wuce, kai ko dan gidanku kun samu kuɗi daga wanda ba dan gidanku ba da ke zaune a ƙetaren Nijar (a wata kasa)?</t>
  </si>
  <si>
    <t>486. How much in total did members of your household receive from people out of Niger?</t>
  </si>
  <si>
    <t>486. Combien au total les membres de votre ménage ont-ils reçu des personnes qui ne sont pas au Niger ?</t>
  </si>
  <si>
    <t>486. Nawa ne yan gidanku ya samu daga mutanen da ke zaune a ƙasar waje ba Nijar ba?</t>
  </si>
  <si>
    <t>${hoh_remit_rec_out} = 1</t>
  </si>
  <si>
    <t>487. How was this money transmitted to your household?</t>
  </si>
  <si>
    <t>487. Comment cet argent a-t-il été envoyé à votre ménage ?</t>
  </si>
  <si>
    <t>487. Ta wace hanya aka aikawa gidanku wannan kuɗin ?</t>
  </si>
  <si>
    <t>${hoh_remit_rec_out_how} = '-777'</t>
  </si>
  <si>
    <t>489. In the past three months, have you or anyone in your household received goods (payment in kind) from someone who is not a member of your household and who lives in a foreign country (outside of Niger)?</t>
  </si>
  <si>
    <t>489. Au cours des trois derniers mois, vous ou un membre de votre ménage avez reçu &lt;b&gt;des biens&lt;/b&gt; (paiement en nature) d'une personne qui n'est pas membre de votre ménage et qui habite &lt;b&gt;à l'extérieur du Niger&lt;/b&gt; (dans un autre pays)?</t>
  </si>
  <si>
    <t>489. A cikin wata uku da suka wuce, kai ko wani a cikin gidanku an baku wasu kaya (a matsayin biya) daga wani wanda ba ɗan gidanku ba da ke zaune a ƙetaren Nijar (a wata kasa)?</t>
  </si>
  <si>
    <t>490. What was the value of the goods members of your household receive from people out of Niger?</t>
  </si>
  <si>
    <t>490. Quel était la valeur au totale des biens que les membres de votre ménage ont reçu des personnes qui ne sont pas au Niger ?</t>
  </si>
  <si>
    <t>490. Nawa kimar kayan da ƴan gidanku suka samo daga mutanen da ke zaune a ƙasar waje ba Nijar ba?</t>
  </si>
  <si>
    <t>${hoh_goods_rec_out} = 1</t>
  </si>
  <si>
    <t>491. How were these goods transmitted to your household?</t>
  </si>
  <si>
    <t>491. Comment ces biens ont-ils été envoyé à votre ménage ?</t>
  </si>
  <si>
    <t>491. Ta yaya aka aika waɗannan kayan zuwa gidanku?</t>
  </si>
  <si>
    <t>492. Précisez la méthode du transfert</t>
  </si>
  <si>
    <t>${hoh_goods_rec_out_how} = '-777'</t>
  </si>
  <si>
    <t>493. In the past three months, have you or anyone in your household shared or sent money to someone who is not a member of your household and who lives elsewhere in Niger (outside your village)?</t>
  </si>
  <si>
    <t>493. Au cours des trois derniers mois, vous ou quelqu'un de votre ménage avez-vous partagé ou envoyé &lt;b&gt;de l'argent&lt;/b&gt; à quelqu'un qui n'est pas membre de votre ménage et qui habite &lt;b&gt;ailleurs au Niger&lt;/b&gt;(en dehors de votre village)</t>
  </si>
  <si>
    <t>493. A cikin watanni uku da suka wuce, kai ko wani a cikin gidanku kun bada ko kun aika kuɗi ga wani wanda ba dan gidanku ba da ke zaune a wani wuri a Nijar (wajen garinku)</t>
  </si>
  <si>
    <t>494. How much did your household send to people elsewhere in Niger?</t>
  </si>
  <si>
    <t>494. Combien votre ménage a-t-il envoyé à des personnes qui sont quelque part au Niger ?</t>
  </si>
  <si>
    <t>494. Nawa ne gidanku ya aikawa mutanen da ke wasu wurare a Nijar?</t>
  </si>
  <si>
    <t>${hoh_remit_send_niger} = 1</t>
  </si>
  <si>
    <t>495. Comment avez-vous envoyé l'argent au destinataire ?</t>
  </si>
  <si>
    <t>496. Précisez la méthode du transfert</t>
  </si>
  <si>
    <t>selected(${hoh_remit_send_niger_how}, '-777')</t>
  </si>
  <si>
    <t>497. In the past three months, have you or anyone in your household shared or sent goods (payment in kind) to someone who is not a member of your household and who lives elsewhere in Niger (outside your village)?</t>
  </si>
  <si>
    <t>497. Au cours des trois derniers mois, vous ou quelqu'un de votre ménage avez-vous partagé ou envoyé &lt;b&gt;des biens&lt;/b&gt; (paiement en nature) à quelqu'un qui n'est pas membre de votre ménage et qui habite &lt;b&gt;ailleurs au Niger&lt;/b&gt; (en dehors de votre village) ?</t>
  </si>
  <si>
    <t>497. A cikin watanni uku da suka wuce, kai ko wani a cikin gidanku kun bada ko kun aika kaya (a matsayin biya) ga wanda ba dan giɗanku ba da ke zaune a wani wuri a cikin Nijar (Ba'a garinku ba)?</t>
  </si>
  <si>
    <t>498. What was the value of the goods members of your household sent to people elsewhere in Niger?</t>
  </si>
  <si>
    <t>498. Quel était la valeur au totale des biens que les membres de votre ménage ont envoyé aux personnes qui sont quelques part au Niger ?</t>
  </si>
  <si>
    <t>498. Nawa ne kimar kayan da ƴan gidanku suka aika wa mutane a wasu wurare a cikin Nijar?</t>
  </si>
  <si>
    <t>${hoh_goods_send_niger} = 1</t>
  </si>
  <si>
    <t>selected(${hoh_goods_send_niger_how}, '-777')</t>
  </si>
  <si>
    <t>501. In the past three months, have you or anyone in your household shared or sent money to someone who is not a member of your household and who lives in a foreign country (outside of Niger)?</t>
  </si>
  <si>
    <t>501. Au cours des trois derniers mois, vous ou quelqu'un de votre ménage avez-vous partagé ou envoyé &lt;b&gt;de l'argent&lt;/b&gt; à quelqu'un qui n'est pas membre de votre ménage et qui habite &lt;b&gt;à l'extérieur du Niger&lt;/b&gt; (dans un autre pays)?</t>
  </si>
  <si>
    <t>501. A cikin watanni uku da suka gabata, kai ko wani a cikin gidanku kun bada ko kun aika kuɗi ga wanda ba ɗan gidanku ba da ke zaune a wajen Nijar (a wata kasa)?</t>
  </si>
  <si>
    <t>502. How much did your household send to people people out of Niger?</t>
  </si>
  <si>
    <t>502. Combien votre ménage a-t-il envoyé à d'autres personnes qui sont quelque part hors du Niger ?</t>
  </si>
  <si>
    <t>502. Nawa gidanku ya aikawa wasu mutane da ke wani wuri ba a Nijar ba?</t>
  </si>
  <si>
    <t>${hoh_remit_send_out} = 1</t>
  </si>
  <si>
    <t>503. How did you transmit the money to the recipient?</t>
  </si>
  <si>
    <t>503. Comment avez-vous transmis l'argent au destinataire ?</t>
  </si>
  <si>
    <t>503. Ta wace hanya kuka aika kuɗin ga mai karɓa?</t>
  </si>
  <si>
    <t>504. Specify other transfer method</t>
  </si>
  <si>
    <t>504. Precisez la methode du transfert</t>
  </si>
  <si>
    <t>504. Wani daban a Bayyana</t>
  </si>
  <si>
    <t>selected(${hoh_remit_send_out_how}, '-777')</t>
  </si>
  <si>
    <t>505. In the past three months, have you or anyone in your household shared or sent goods (payment in kind) to someone who is not a member of your household and who lives in a foreign country (outside of Niger)?</t>
  </si>
  <si>
    <t>505. Au cours des trois derniers mois, vous ou quelqu'un de votre ménage avez-vous partagé ou envoyé &lt;b&gt;des biens&lt;/b&gt; (paiement en nature) à quelqu'un qui n'est pas membre de votre ménage et qui habite &lt;b&gt;à l'extérieur du Niger&lt;/b&gt; (dans un autre pays) ?</t>
  </si>
  <si>
    <t>505. A cikin watanni uku da suka wuce, kai ko wani a cikin gidanku kun bada ko kun aika kaya (a matsayin biya) ga wanda ba ɗan gidanku ba da ke zaune a wajen Nijar (a wata kasa)?</t>
  </si>
  <si>
    <t>506. What was the value of the goods members of your household sent to people out of Niger?</t>
  </si>
  <si>
    <t>506. Quel était le valeur au total des biens que les membres de votre ménage ont envoyé aux personnes qui sont quelques part hors du Niger ?</t>
  </si>
  <si>
    <t>506. Nawa ne kimar kayan da ƴan gidanku suka aikawa wasu mutane da ke wani wuri ba a Nijar ba?</t>
  </si>
  <si>
    <t>${hoh_goods_send_out} = 1</t>
  </si>
  <si>
    <t>507. How were these goods transmitted to the recipient?</t>
  </si>
  <si>
    <t>507. Comment ces biens ont-ils été envoyé au destinataire ?</t>
  </si>
  <si>
    <t>507. Ta yaya aka aika waɗannan kayayyaki zuwa ga mai karɓa?</t>
  </si>
  <si>
    <t>508. Specify other transfer method</t>
  </si>
  <si>
    <t>508. Precisez la methode du transfert</t>
  </si>
  <si>
    <t>508. Wani daban a Bayyana</t>
  </si>
  <si>
    <t>selected(${hoh_goods_send_out_how}, '-777')</t>
  </si>
  <si>
    <t>509. In the past three months, have you received support from any of the following sources?</t>
  </si>
  <si>
    <t>509. Au cours des trois derniers mois, avez-vous reçu de l'aide de l'une des sources suivantes ?</t>
  </si>
  <si>
    <t>509. A cikin watanni uku da suka wuce, kun samu taimako daga ɗayan waɗannan hanyoyin?</t>
  </si>
  <si>
    <t>Support could include cash, other material goods, or training.</t>
  </si>
  <si>
    <t>Le soutien peut comprendre de l'argent, d'autres biens matériels ou une formation.</t>
  </si>
  <si>
    <t>Taimako na iya haɗawa da kuɗi, wasu kayan masarufi ko horo.</t>
  </si>
  <si>
    <t>510. How much did ou receive from all the sources combined?</t>
  </si>
  <si>
    <t>510. Combien avez-vous reçu de toutes les sources confondues ?</t>
  </si>
  <si>
    <t>510. Nawa kuka samu daga duk hanyoyin shiga gaba ɗayan su?</t>
  </si>
  <si>
    <t>not(selected(${hoh_receive_support}, '0'))</t>
  </si>
  <si>
    <t>511. In addition to the transfers we just discussed, what is the total value of income from charity or gifts your household has received &lt;b&gt;in the past three months&lt;/b&gt; in CFA?</t>
  </si>
  <si>
    <t>511. En dehors des transferts qu'on vient de citer, quelle est la valeur totale des revenus provenant d'œuvres caritatives ou de cadeaux que votre ménage a reçus &lt;b&gt; au cours des trois derniers mois&lt;/b&gt; (en CFA) ?</t>
  </si>
  <si>
    <t>511. Nawa ne yawan kuɗin taimako ko kyauta da ƴan gidanku suka samu a cikin watanni uku da suka gabata (a sefa) ?</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</si>
  <si>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</si>
  <si>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</si>
  <si>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</si>
  <si>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 xml:space="preserve">${speedcheck_hoh_remit_end} - ${speedcheck_hoh_remit_start} </t>
  </si>
  <si>
    <t>512. In the past three months did your household make a significant investment or improvement in the house you reside in?</t>
  </si>
  <si>
    <t>512. &lt;b&gt; Au cours des trois derniers mois&lt;/b&gt;, votre ménage a-t-il fait un investissement important ou des améliorations dans la maison que vous habitez ?</t>
  </si>
  <si>
    <t>512. A cikin watanni uku da suka wuce, gidanku ya saka wani babban jari ko ya gyara gidan da kuke zaune?</t>
  </si>
  <si>
    <t>513. Build additional rooms</t>
  </si>
  <si>
    <t>513. Construire des chambres supplémentaires</t>
  </si>
  <si>
    <t>513. Ginin ƙarin ɗakuna</t>
  </si>
  <si>
    <t>514. Improve floors</t>
  </si>
  <si>
    <t>514. Améliorer les sols</t>
  </si>
  <si>
    <t>514. Inganta filalayen gida</t>
  </si>
  <si>
    <t>515. Improve walls</t>
  </si>
  <si>
    <t>515. Réfectionner les murs</t>
  </si>
  <si>
    <t>515. gyara katangun gida</t>
  </si>
  <si>
    <t>516. Improve roof</t>
  </si>
  <si>
    <t>516. Réfectionner le toit</t>
  </si>
  <si>
    <t>516. gyara rufin gida</t>
  </si>
  <si>
    <t>517. Other improvement</t>
  </si>
  <si>
    <t>517. Autre amélioration</t>
  </si>
  <si>
    <t>517. Wasu gyare gyare daban</t>
  </si>
  <si>
    <t>518. Specify other improvement (i.e. connect to electricity, build latrine)</t>
  </si>
  <si>
    <t>518. Précisez les autres améliorations (c.-à-d. connecter de l'électricité, construire des latrines)</t>
  </si>
  <si>
    <t>518. Baiyana wasu abubuwan ingantawa (kamar sa wutar lantarki, gina salga (masai ) )</t>
  </si>
  <si>
    <t>${hoh_improve_o} = 1</t>
  </si>
  <si>
    <t>519. Approximately how much did all of these investments together cost in CFA?</t>
  </si>
  <si>
    <t>519. Combien ont coûté approximativement tous ces investissements (en CFA) ?</t>
  </si>
  <si>
    <t>519. Aƙalla nawa aka kashe akan waɗannan ayyukan a sefa?</t>
  </si>
  <si>
    <t>${hoh_improve_add_rooms} + ${hoh_improve_floors} + ${hoh_improve_walls} + ${hoh_improve_roof} + ${hoh_improve_o} &gt; 0</t>
  </si>
  <si>
    <t>520. In the past 3 months did you make any investments in your non-agricultural business?</t>
  </si>
  <si>
    <t>520. Au cours des 3 derniers mois, avez-vous fait des investissements dans votre entreprise non agricole ?</t>
  </si>
  <si>
    <t>520. A cikin watanni 3 da suka gabata, kun zuba jari a cikin harkokinku da ba na noma ba?</t>
  </si>
  <si>
    <t>521. Specify the improvement to your business</t>
  </si>
  <si>
    <t>521. Précisez les investissements que vous avez fait dans votre entreprise</t>
  </si>
  <si>
    <t>521. Ku bayyana kuɗin da kuka kashe don haɓɓaka kasuwancin ku</t>
  </si>
  <si>
    <t>${hoh_improve_business} = 1</t>
  </si>
  <si>
    <t>522. In the past 3 months did you make any investments to improve the productivity of your land?</t>
  </si>
  <si>
    <t>522. Au cours des 3 derniers mois, avez-vous fait des investissements pour améliorer la productivité de votre terre ?</t>
  </si>
  <si>
    <t>522. A cikin watanni 3 da suka gabata, kun zuba kudi don inganta samun amfanin gonakinku?</t>
  </si>
  <si>
    <t>523. Specify improvement to land</t>
  </si>
  <si>
    <t>523. Précisez les améliorations de votre terre que vous avez fait</t>
  </si>
  <si>
    <t>523. Ku bayyana kuɗin da kuka kashe don haɓɓaka gonarku</t>
  </si>
  <si>
    <t>${hoh_improve_land} = 1</t>
  </si>
  <si>
    <t xml:space="preserve">${speedcheck_hoh_homeimprove_end} - ${speedcheck_hoh_homeimprove_start} </t>
  </si>
  <si>
    <t>524. Now I will ask you about different ways your household may use money that you earn.</t>
  </si>
  <si>
    <t>524. Je vais maintenant vous poser des questions sur les différentes façons dont votre ménage peut utiliser l'argent que vous gagnez.</t>
  </si>
  <si>
    <t>524. Yanzu zan yi muku tambayoyi game hanyoyi daban-daban da gidanku ke iya amfani da su don kashe kuɗin da yake samu.</t>
  </si>
  <si>
    <t>525. Does your household currently have any savings that you keep in any of the following ways?</t>
  </si>
  <si>
    <t>525. Votre ménage dispose-t-il actuellement d'économies que vous conservez de l'une des manières suivantes ?</t>
  </si>
  <si>
    <t>525. Ko a halin yanzu gidanku na da ajiyar kuɗi daga ɗaya a cikin wanɗannan dubaru?</t>
  </si>
  <si>
    <t>526. Specify other:</t>
  </si>
  <si>
    <t>526. Autre a préciser :</t>
  </si>
  <si>
    <t>526. Baiyana wani abu daban:</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</si>
  <si>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</si>
  <si>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</si>
  <si>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</si>
  <si>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</si>
  <si>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</si>
  <si>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527. Please share with us your best estimate of the value in CFA ${hoh_savings_name}</t>
  </si>
  <si>
    <t>527. Veuillez nous dire votre meilleure estimation de la valeur en CFA ${hoh_savings_name}</t>
  </si>
  <si>
    <t>527. Da fatan zaku baiyana mini yawan kuɗin a tsammaninku ${hoh_savings_name} a CFA</t>
  </si>
  <si>
    <t>528. Do you earn interest on this money ${hoh_savings_name}?</t>
  </si>
  <si>
    <t>528. Gagnez-vous des intérêts sur cet argent ${hoh_savings_name} ?</t>
  </si>
  <si>
    <t>528. Kuna samun kudin ruwa akan wannan kuɗin ${hoh_savings_name}?</t>
  </si>
  <si>
    <t>${hoh_savings_code} != 1</t>
  </si>
  <si>
    <t xml:space="preserve">${speedcheck_hoh_savings_end} - ${speedcheck_hoh_savings_start} </t>
  </si>
  <si>
    <t>sum(${hoh_savings_type_amt})</t>
  </si>
  <si>
    <t>529. Total savings: ${hoh_savings_total}: Does this look correct?</t>
  </si>
  <si>
    <t>529. Économies totales : ${hoh_savings_total} : cela vous semble correct ?</t>
  </si>
  <si>
    <t>529. Jimillar ajiya: ${hoh_savings_total}: kuna ganin ​​wannan yayi daidai?</t>
  </si>
  <si>
    <t>Veuillez revenir et corriger vos réponses aux questions 141 et 142</t>
  </si>
  <si>
    <t>530. During ${period}, was your household negatively affected by any of the following types of events?</t>
  </si>
  <si>
    <t>530. Au cours de ${period_french}, votre ménage a-t-il été affecté négativement par l'un des types d'événements suivants ?</t>
  </si>
  <si>
    <t>530. A lokacin ${period_hausa}, ko gidanku ya fuskanci wani daga cikin matsaloli nan masu zuwa? Zaɓi duk abin da ya dace</t>
  </si>
  <si>
    <t>Sélectionnez tout ce qui s'y rapporte</t>
  </si>
  <si>
    <t>Zaɓi duk abin da ya dace</t>
  </si>
  <si>
    <t>531. Please briefly describe the event(s) that negatveily affected your household</t>
  </si>
  <si>
    <t>531. Veuillez décrire brièvement le/les événement(s) qui ont eu des effets négatifs sur votre ménage au cours des 3 derniers mois</t>
  </si>
  <si>
    <t>531. Da fatan za ku yi taƙaitaccen bayani a kan abin da ya shafi gidan ku</t>
  </si>
  <si>
    <t>selected(${hoh_emergency}, '-777')</t>
  </si>
  <si>
    <t>not(selected(${hoh_emergency}, '0'))</t>
  </si>
  <si>
    <t>if(selected-at(${hoh_emergency}, index()-1) = '-777', ${hoh_emergency_o}, choice-label(${hoh_emergency}, selected-at(${hoh_emergency}, index()-1)))</t>
  </si>
  <si>
    <t>532. In response to ${hoh_emergency_name}, did you or your household take the following actions?</t>
  </si>
  <si>
    <t>532. En réponse à ${hoh_emergency_name}, avez-vous vous ou votre ménage pris les mesures suivantes ??</t>
  </si>
  <si>
    <t>532. Dangance da ${hoh_emergency_name}, ku ko ƴan gindanku kun ɗauki waɗannan matakai?</t>
  </si>
  <si>
    <t>533. Sell assets?</t>
  </si>
  <si>
    <t>533. Vendre des actifs</t>
  </si>
  <si>
    <t>533. Saida kadarori</t>
  </si>
  <si>
    <t>534. Borrow money?</t>
  </si>
  <si>
    <t>534. Emprunter de l'argent</t>
  </si>
  <si>
    <t>534. Bashin kuɗi</t>
  </si>
  <si>
    <t>535. Spend your savings?</t>
  </si>
  <si>
    <t>535. Utiliser votre épargne</t>
  </si>
  <si>
    <t>535. Kashe kuɗin ajiyar ku</t>
  </si>
  <si>
    <t>536. Reduce spending on food or change your food consumption?</t>
  </si>
  <si>
    <t>536. Réduire les dépenses alimentaires ou changé des habitudes de consommation ?</t>
  </si>
  <si>
    <t>536. Rage kashe kuɗi akan abinci ko canza abincin?</t>
  </si>
  <si>
    <t>${hoh_emerg_sell} = 1 or ${hoh_emerg_borrow} = 1 or ${hoh_emerg_spend} = 1</t>
  </si>
  <si>
    <t>537. For ${hoh_emergency_name}
 What was the value of the following in CFA?</t>
  </si>
  <si>
    <t>537. Par rapport à ${hoh_emergency_name}
 Quelle était la valeur des éléments suivantes en CFA?</t>
  </si>
  <si>
    <t>537. Game da ${hoh_emergency_name}
 Nawa ne kimar waɗannan abubuwan a kuɗin CFA?</t>
  </si>
  <si>
    <t>538. Assets you sold</t>
  </si>
  <si>
    <t>538. Les actifs que vous avez vendus</t>
  </si>
  <si>
    <t>538. Kadarorin da kuka saida</t>
  </si>
  <si>
    <t>${hoh_emerg_sell} = 1</t>
  </si>
  <si>
    <t>539. Loan(s) you took</t>
  </si>
  <si>
    <t>539. Les prêt(s) que vous avez contracté</t>
  </si>
  <si>
    <t>539. Bashin da kuka ɗauka</t>
  </si>
  <si>
    <t>${hoh_emerg_borrow} = 1</t>
  </si>
  <si>
    <t>540. Savings you spent?</t>
  </si>
  <si>
    <t>540. L'épargne que vous avez utilisé</t>
  </si>
  <si>
    <t>540. Ajiyar da kuka kashe</t>
  </si>
  <si>
    <t>${hoh_emerg_spend} = 1</t>
  </si>
  <si>
    <t xml:space="preserve">${speedcheck_hoh_emerg_end} - ${speedcheck_hoh_emerg_start} </t>
  </si>
  <si>
    <t>541. Now I would like to ask you about any money that you and your family owe to other people; money you have borrowed from people outside your household.</t>
  </si>
  <si>
    <t>541. Maintenant, je voudrais vous poser des questions sur l'argent que vous et votre ménage devez à d'autres personnes ; l'argent que vous avez emprunté à des personnes extérieures à votre ménage.</t>
  </si>
  <si>
    <t>541. Yanzu ina son in tambaye ku game da duk wani kuɗin da ku da ƴan gidanku kuka ɗauko daga wajen wasu mutane; kuɗin da kuka aro daga mutane wanda ba ƴan gidanku ba.</t>
  </si>
  <si>
    <t>542. In the last three months did you or a member of your household try to secure a loan from any source but were refused?</t>
  </si>
  <si>
    <t>542. Au cours des trois derniers mois, vous ou un membre de votre ménage avez-vous essayé d'obtenir un prêt auprès de n'importe quelle source, mais cela a été refusé ?</t>
  </si>
  <si>
    <t>542. A cikin watanni uku da suka wuce kai ko wani dan gidanku kun yi ƙoƙarin samun bashi daga kowace hanya amma an ƙi?</t>
  </si>
  <si>
    <t>543. What was the value of the loan in CFA?</t>
  </si>
  <si>
    <t>543. Quelle était la valeur du prêt en CFA?</t>
  </si>
  <si>
    <t>543. Nawa ne yawan kuɗin bashin a sefa?</t>
  </si>
  <si>
    <t>${hoh_credit_refuse} = 1</t>
  </si>
  <si>
    <t>544. Think about all the people you or members of your household owe money, including recent loans, what is the total value your household owes (in CFA)?</t>
  </si>
  <si>
    <t>544. Pensez à toutes les personnes que vous ou les membres de votre ménage devez de l'argent, y compris les prêts récents, quelle est la valeur totale que votre ménage doit (en CFA) ?</t>
  </si>
  <si>
    <t>544. Ku tuna da duk mutanen da ke bin da ƴan gidanku kuɗi, dukan basussuka sabi da tsohi, nawa jimillar kuɗin a ke bin gidanku (a kuɗin sefa CFA)?</t>
  </si>
  <si>
    <t>545. Do you know if a loan was given to your household by a household that participated in the TSARI or other Mercy Corp programs?</t>
  </si>
  <si>
    <t>545. Savez-vous si un prêt a été accordé à votre ménage par un ménage ayant participé au programme TSARI ou à d'autres programmes de Mercy Corp ?</t>
  </si>
  <si>
    <t>545. Kun san ko gidan ku ya ɗauki ramcen kuɗi daga wani gidan da yake cikin shirin TSARI ko wasu shirye-shiryen Mercy Corp?</t>
  </si>
  <si>
    <t>${hoh_borrow_total} &gt; 0</t>
  </si>
  <si>
    <t>546. In the past three months, have you or anyone in your household received money or goods from someone who is not a member of your household and lives in your village in Niger?</t>
  </si>
  <si>
    <t>546. Au cours des trois derniers mois, est-ce que vous ou un membre de votre ménage avez reçu de l'argent ou des biens d'une personne qui n'est pas membre de votre ménage et qui habite dans votre village au Niger ?</t>
  </si>
  <si>
    <t>546. A cikin wata uku da suka wuce, kai ko wani a cikin gidanku kun karɓi kuɗi ko kaya daga wani wanda ba ɗan gidanku ba kuma yana zaune a ƙauyenku a Nijar?</t>
  </si>
  <si>
    <t>547. Do you know if the person who gave your hosuehold money was from a household that participated in the TSARI or other Mercy Corp programs?</t>
  </si>
  <si>
    <t>547. Savez-vous si la personne qui a donné l'argent à votre ménage appartenait à un ménage qui a participé au programme TSARI ou à d'autres programmes de Mercy Corp ?</t>
  </si>
  <si>
    <t>547. Shin kun san ko mutumin da ya ba gidan ku kuɗin ɗan wani gida ne wanda suka samu shiga cikin shirin TSARI ko wasu shirye-shiryen Mercy Corp?</t>
  </si>
  <si>
    <t>${hoh_transfer_village} = 1</t>
  </si>
  <si>
    <t xml:space="preserve">${speedcheck_hoh_credit_end} - ${speedcheck_hoh_credit_start} </t>
  </si>
  <si>
    <t>548. I will now ask you about meals people in your household have consumed in the past 7 days.</t>
  </si>
  <si>
    <t>548. Je vais maintenant vous poser des questions sur les repas que les membres de votre ménage ont consommé au cours des 7 derniers jours.</t>
  </si>
  <si>
    <t>548. Yanzu zan tambaye ku bisa abincin da mutanen gidanku suka ci a cikin kwanaki 7 da suka wuce.</t>
  </si>
  <si>
    <t>549. In the last 7 days, have adults gone a whole day without meals?</t>
  </si>
  <si>
    <t>549. Au cours des 7 derniers jours, des adultes sont-ils restés une journée entière sans manger de repas ?</t>
  </si>
  <si>
    <t>549. A cikin kwanaki 7 da suka wuce, ko manya gidanku sun zauna tsawon wuni guda basu ci abinci ba?</t>
  </si>
  <si>
    <t>550. How many days?</t>
  </si>
  <si>
    <t>550. Pendant combien de jours?</t>
  </si>
  <si>
    <t>550. 151a Tsawon kwanaki nawa?</t>
  </si>
  <si>
    <t>${hoh_adults_skip_days} = 1</t>
  </si>
  <si>
    <t>551. In the last 7 days, have adults cut the size of meals or skipped meals?</t>
  </si>
  <si>
    <t>551. Au cours des 7 derniers jours, les adultes ont-ils réduit la taille de leur repas ou les ont-ils sauté?</t>
  </si>
  <si>
    <t>551. A cikin kwanaki 7 na ƙarshe, ko manyan gidanku sun rage yawan abincin da suka saba ci ko sun tsallake shi?</t>
  </si>
  <si>
    <t>552. How many days?</t>
  </si>
  <si>
    <t>552. Pendant combien de jours?</t>
  </si>
  <si>
    <t>552. Tsawon kwanaki nawa?</t>
  </si>
  <si>
    <t>${hoh_adults_skip_meals} = 1</t>
  </si>
  <si>
    <t>553. In the past week how many days have adults in your household consumed animal protein (including fish, meat, poultry)?</t>
  </si>
  <si>
    <t>553. Au cours des 7 derniers jours, combien de fois les adultes de votre ménage ont-ils consommé des protéines animales (y compris poisson, viande, volaille) ?</t>
  </si>
  <si>
    <t>553. A cikin kwanaki 7 da suka wuce sau nawa manyan gidanku suka ci abinci masu gina jiki kamar su kifi ko nama ko kaji?</t>
  </si>
  <si>
    <t>554. In the last 7 days, have children (&lt;14) gone a whole day without meals?</t>
  </si>
  <si>
    <t>554. Au cours des 7 derniers jours, des enfants (&lt;14) ont-ils passé une journée entière sans manger de repas ?</t>
  </si>
  <si>
    <t>554. A cikin kwanaki 7 na ƙarshe, ko yara ƴan ƙasa da shekara goma sha huɗu sun zauna tsawon wuni guda ba su ci da abinci ba?</t>
  </si>
  <si>
    <t>555. How many days?</t>
  </si>
  <si>
    <t>555. Pendant combien de jours?</t>
  </si>
  <si>
    <t>555. 154a Tsawon kwanaki nawa?</t>
  </si>
  <si>
    <t>${hoh_child_skip_days} = 1</t>
  </si>
  <si>
    <t>556. In the last 7 days, have children (&lt;14) cut the size of meals or skipped meals?</t>
  </si>
  <si>
    <t>556. Au cours des 7 derniers jours, des enfants (&lt;14) ont-ils réduit la taille de leurs repas ou les ont-ils sauté?</t>
  </si>
  <si>
    <t>556. A cikin kwanaki 7 na ƙarshe, suna da yara (&lt;14) sun rage yawan abinci ko sun rasa gaba ɗaya?</t>
  </si>
  <si>
    <t>557. How many days?</t>
  </si>
  <si>
    <t>557. Pendant combien de jours?</t>
  </si>
  <si>
    <t>557. 155a Tsawon kwanaki nawa?</t>
  </si>
  <si>
    <t>${hoh_child_skip_meals} = 1</t>
  </si>
  <si>
    <t>558. In the past week how many days have children in your household consumed animal protein (inlcuding fish, meat, poultry)?</t>
  </si>
  <si>
    <t>558. Au cours des 7 derniers jours, combien de fois les enfants de votre ménage ont-ils consommé des protéines animales (y compris poisson, viande, volaille) ?</t>
  </si>
  <si>
    <t>558. A cikin kwanaki 7 da suka gabata sau nawa yara a cikin gidanku suka ci abinci masu gina jiki kamar su kifi, nama, kaji ?</t>
  </si>
  <si>
    <t xml:space="preserve">${speedcheck_hoh_foodinsec_end} - ${speedcheck_hoh_foodinsec_start} </t>
  </si>
  <si>
    <t>559. Has your household spent money on the following types of expenses in the past month?</t>
  </si>
  <si>
    <t>559. Votre ménage a-t-il dépensé de l'argent pour les types de dépenses suivants au cours du dernier mois ?</t>
  </si>
  <si>
    <t>559. Shin gidanku ya kashe kuɗi akan irin waɗannan abubuwan a cikin watan da ya gabata?</t>
  </si>
  <si>
    <t>not(selected(${hoh_monthly_consumption_any}, '0'))</t>
  </si>
  <si>
    <t>count-selected(${hoh_monthly_consumption_any})</t>
  </si>
  <si>
    <t>choice-label(${hoh_monthly_consumption_any}, selected-at(${hoh_monthly_consumption_any}, index()-1))</t>
  </si>
  <si>
    <t>560. How much did your household spend on ${hoh_item} in the past month (in CFA)?</t>
  </si>
  <si>
    <t>560. Combien votre ménage a-t-il dépensé pour ${hoh_item} au cours du dernier mois (en CFA) ?</t>
  </si>
  <si>
    <t>560. Nawa ne (a CFA) gidanku ya kashe akan ${hoh_item} cikin watan da ya gabata ?</t>
  </si>
  <si>
    <t>561. Has your household spent money on the following types of expenses in the past week?</t>
  </si>
  <si>
    <t>561. Votre ménage a-t-il dépensé de l'argent pour les types de dépenses suivants au cours de la semaine dernière ?</t>
  </si>
  <si>
    <t>561. Ko gidanku sun kashe kuɗi akan ire iren waɗannan abubuwan a cikin satin da ya gabata?</t>
  </si>
  <si>
    <t>not(selected(${hoh_weekly_consumption_any}, '0'))</t>
  </si>
  <si>
    <t>count-selected(${hoh_weekly_consumption_any})</t>
  </si>
  <si>
    <t>choice-label(${hoh_weekly_consumption_any}, selected-at(${hoh_weekly_consumption_any}, index()-1))</t>
  </si>
  <si>
    <t>562. How much did your household spend on ${hoh_item_week} in the past week (in CFA)?</t>
  </si>
  <si>
    <t>562. Combien votre ménage a-t-il dépensé en ${hoh_item_week} la semaine dernière (en CFA) ?</t>
  </si>
  <si>
    <t>562. Nawa ne gidan ku ya kashe (a CFA) a ${hoh_item_week} satin da ya gabata ?</t>
  </si>
  <si>
    <t>563. For Ramadan, did your household purchase any of the following?</t>
  </si>
  <si>
    <t>563. Pour le Ramadan, votre ménage a-t-il acheté l'un des produits suivants ?</t>
  </si>
  <si>
    <t>563. Ga sallar azumi, ƴan gidanku sun sayi ɗaya daga cikin wadannan?</t>
  </si>
  <si>
    <t>564. Clothing</t>
  </si>
  <si>
    <t>564. Vêtements</t>
  </si>
  <si>
    <t>564. Tufafi</t>
  </si>
  <si>
    <t>565. Sheep</t>
  </si>
  <si>
    <t>565. Mouton</t>
  </si>
  <si>
    <t>565. Rago</t>
  </si>
  <si>
    <t>566. Goat</t>
  </si>
  <si>
    <t>566. Chèvre</t>
  </si>
  <si>
    <t>566. Akuya</t>
  </si>
  <si>
    <t>567. Poultry</t>
  </si>
  <si>
    <t>567. Volaille</t>
  </si>
  <si>
    <t>567. Kaji</t>
  </si>
  <si>
    <t xml:space="preserve">${speedcheck_hoh_cons_end} - ${speedcheck_hoh_cons_start} </t>
  </si>
  <si>
    <t xml:space="preserve">${speedcheck_hoh_end} - ${speedcheck_hoh_start} </t>
  </si>
  <si>
    <t>568. As I mentioned at the beginning of our interview, we would like to stay in touch with you.</t>
  </si>
  <si>
    <t>568. Comme je l'ai mentionné au début de notre entretien, nous aimerions rester en contact avec vous.</t>
  </si>
  <si>
    <t>568. Kamar yadda na faɗa a farkon hirarmu, muna son mu ci gaba da tuntuɓar ku.</t>
  </si>
  <si>
    <t>569. What is the phone number where we can reach you?</t>
  </si>
  <si>
    <t>569. Quel est le numéro de téléphone auquel nous pouvons vous joindre?</t>
  </si>
  <si>
    <t>569. Wace lambar waya ce zamu iya samun ku da ita?</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</si>
  <si>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</si>
  <si>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</si>
  <si>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</si>
  <si>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</si>
  <si>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</si>
  <si>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570. I am going to read back the phone number you just shared with me. Can you confirm this is your primary phone number? ${primary_phone}</t>
  </si>
  <si>
    <t>570. Je vais relire le numéro de téléphone que vous venez de me donner. Pouvez-vous confirmer qu'il s'agit de votre numéro de téléphone principal ? ${primary_phone}</t>
  </si>
  <si>
    <t>570. Zan sake karanta lambar wayar da kuka bani. Zaku iya tabbatar mini da wannan itace lambar wayarku ta farko? ${primary_phone}</t>
  </si>
  <si>
    <t>571. Please go back and correct the number.</t>
  </si>
  <si>
    <t>571. Veuillez revenir en arrière pour corriger le numéro.</t>
  </si>
  <si>
    <t>571. ko za ka koma baya ka gyara lambar.</t>
  </si>
  <si>
    <t>${primary_phone_confirm} = 0</t>
  </si>
  <si>
    <t>572. I am going to call this phone number to confirm it is correct.</t>
  </si>
  <si>
    <t>572. Je vais appeler ce numéro de téléphone pour confirmer qu'il est correct.</t>
  </si>
  <si>
    <t>572. Zan kirayi wannan lambar don tabbatar da cewa daidai ce.</t>
  </si>
  <si>
    <t>[Enumerator: Did the phone ring?]</t>
  </si>
  <si>
    <t>[enquêteur : Le téléphone a-t-il sonné ?]</t>
  </si>
  <si>
    <t>[Ɗan bincike: Wayar ta yi ƙara?]</t>
  </si>
  <si>
    <t>573. Please go back and enter a new phone number.</t>
  </si>
  <si>
    <t>573. Veuillez revenir en arrière pour entrer un nouveau numéro de téléphone.</t>
  </si>
  <si>
    <t>573. Ko za ka koma baya ka shigar da sabuwar lambar waya.</t>
  </si>
  <si>
    <t>${primary_phone_test} = 0</t>
  </si>
  <si>
    <t>574. Do you have a Whatsapp account/ phone number you use for WhatsApp?</t>
  </si>
  <si>
    <t>574. Avez-vous un compte/numéro de téléphone Whatsapp que vous utilisez pour WhatsApp ?</t>
  </si>
  <si>
    <t>574. Kuna yin WhatsApp / lambar wayar da kuke amfani da ita ta WhatsApp ce?</t>
  </si>
  <si>
    <t>575. Is this the phone number you use for whatsapp?</t>
  </si>
  <si>
    <t>575. Est-ce le numéro de téléphone que vous utilisez pour WhatsApp ?</t>
  </si>
  <si>
    <t>575. Wannan ita ce lambar wayar da kuke amfani da ita don yin whatsapp?</t>
  </si>
  <si>
    <t>${use_whatsapp} = 1</t>
  </si>
  <si>
    <t>576. Please tell me the phone number you use for Whatsapp</t>
  </si>
  <si>
    <t>576. Veuillez me dire le numéro de téléphone que vous utilisez pour Whatsapp</t>
  </si>
  <si>
    <t>576. Don Allah ku gaya mini lambar wayar da kuke amfani da ita don yin Whatsapp</t>
  </si>
  <si>
    <t>${phone_whatsapp} = 0</t>
  </si>
  <si>
    <t>577. I am going read back the phone number you just shared with me as your Whatsapp number. Is this the phone number you use for whatsapp? ${phone_whatsapp_number}</t>
  </si>
  <si>
    <t>577. Je vais relire le numéro de téléphone que vous nous avez donné comme votre numéro Whatsapp. Est-ce le numéro de téléphone que vous utilisez pour WhatsApp ? ${phone_whatsapp_number}</t>
  </si>
  <si>
    <t>577. Zan sake karanta lambar wayar da kuka bani a zaman lambar Whatsapp dinku. Wannan shine lambar wayar da kuke amfani da ita don yin whatsapp? ${phone_whatsapp_number}</t>
  </si>
  <si>
    <t>578. Please go back and correct the number.</t>
  </si>
  <si>
    <t>578. Veuillez revenir en arrière pour corriger le numéro.</t>
  </si>
  <si>
    <t>578. Da fatan za ka koma baya ka gyara lambar.</t>
  </si>
  <si>
    <t>${phone_whatsapp_confirm} = 0</t>
  </si>
  <si>
    <t>579. Do you have other phone numbers that you use regularly (i.e. other phone carriers)?</t>
  </si>
  <si>
    <t>579. Avez-vous d'autres numéros de téléphone que vous utilisez régulièrement (c'est-à-dire d'autres opérateurs téléphoniques) ?</t>
  </si>
  <si>
    <t>579. Ko kuna da wasu lambobin waya waɗanda kuke amfani da su kai-akai (layin wasu gidan wayar salula)?</t>
  </si>
  <si>
    <t>580. How many other additional phone numbers?</t>
  </si>
  <si>
    <t>580. Y-a t-il d'autres numéros de téléphone supplémentaires ?</t>
  </si>
  <si>
    <t>580. 220 a. Ko akwai ƙarin wasu lambobin waya?</t>
  </si>
  <si>
    <t>${primary_other_phone} = 1</t>
  </si>
  <si>
    <t>${primary_other_phones}</t>
  </si>
  <si>
    <t>581. What are these additional phone numbers?</t>
  </si>
  <si>
    <t>581. Quels sont les numéros de téléphone supplémentaires ?</t>
  </si>
  <si>
    <t>581. Waɗannene ƙarin lambobin wayan?</t>
  </si>
  <si>
    <t>582.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</si>
  <si>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</si>
  <si>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582. Idan ba za mu iya samun ku ba, ko za ku iya ba mu suna da lambar wayar wani wanda ba na gidanku ba da za mu iya kira don neman lambar ku?
 Za mu kirayi mutumen ne kawai idan bamu sameku ba bayan kira biyu zuwa uku, hakan zai taimaka mana ci gaba da tuntuɓar ku.</t>
  </si>
  <si>
    <t>583. What is the last name of this person</t>
  </si>
  <si>
    <t>583. Quel est le nom de cette personne</t>
  </si>
  <si>
    <t>583. Menene sunan uban wannan mutumen?</t>
  </si>
  <si>
    <t>${secondary_contact1} = 1</t>
  </si>
  <si>
    <t>584. What is the first name of this person</t>
  </si>
  <si>
    <t>584. Quel est le prénom de cette personne</t>
  </si>
  <si>
    <t>584. Menene sunan wannan mutumen?</t>
  </si>
  <si>
    <t>concat(${secondary_name1_last}, ' ', ${secondary_name1_first})</t>
  </si>
  <si>
    <t>585. What is their phone number?</t>
  </si>
  <si>
    <t>585. Quel est leur numéro de téléphone?</t>
  </si>
  <si>
    <t>585. Menene lambar wayarsu?</t>
  </si>
  <si>
    <t>586. What is ${secondary_name1}'s relationship to you?</t>
  </si>
  <si>
    <t>586. Quelle est la relation entre ${secondary_name1} et vous ?</t>
  </si>
  <si>
    <t>586. Menene alaƙar ku da ${secondary_name1} ?</t>
  </si>
  <si>
    <t>587. Just to confirm, is this the number? 
 ${secondary_name1}
 ${secondary_phone1}</t>
  </si>
  <si>
    <t>587. Juste pour confirmer, est-ce bien le numéro ?
 ${secondary_name1}
 ${secondary_phone1}</t>
  </si>
  <si>
    <t>587. Don tabbatarwa kawai, da wannan itace lambar?
 ${secondary_name1}
 ${secondary_phone1}</t>
  </si>
  <si>
    <t>588. Please go back and correct the name and phone number.</t>
  </si>
  <si>
    <t>588. Veuillez revenir en arrière et corriger le nom et le numéro de téléphone.</t>
  </si>
  <si>
    <t>588. Da fatan za ka koma baya don ka gyara suna da lambar waya.</t>
  </si>
  <si>
    <t>${secondary_phone1_confirm} = 0</t>
  </si>
  <si>
    <t>589. I am going to call this phone number to confirm it is correct. [Enumerator: Did the phone ring?]</t>
  </si>
  <si>
    <t>589. Je vais appeler ce numéro de téléphone pour confirmer qu'il est correct. [Enquêteur : Le téléphone a-t-il sonné ?]</t>
  </si>
  <si>
    <t>589. Zan kirayi wannan lambar wayar don tabbatar da daidai ce. [Ɗan bincike: Wayar ta yi ƙara?]</t>
  </si>
  <si>
    <t>590. Please go back and enter a new phone number.</t>
  </si>
  <si>
    <t>590. Veuillez ressaisir le numéro</t>
  </si>
  <si>
    <t>590. Da fatan zaku rubuta lambar</t>
  </si>
  <si>
    <t>${secondary_phone1_test} &lt;= 0</t>
  </si>
  <si>
    <t>591.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</si>
  <si>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591.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</si>
  <si>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591.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</si>
  <si>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592. What is the last name of this person</t>
  </si>
  <si>
    <t>592. Quel est le nom de cette personne?</t>
  </si>
  <si>
    <t>592. Menene sunan uban wannan mutumen?</t>
  </si>
  <si>
    <t>${secondary_contact2} = 1</t>
  </si>
  <si>
    <t>593. What is the first name of this person</t>
  </si>
  <si>
    <t>593. Quel est le prénom de cette personne?</t>
  </si>
  <si>
    <t>593. Menene sunan wannan mutumen?</t>
  </si>
  <si>
    <t>concat(${secondary_name2_last}, ' ', ${secondary_name2_first})</t>
  </si>
  <si>
    <t>594. What is their phone number?</t>
  </si>
  <si>
    <t>594. Quel est leur numéro de téléphone?</t>
  </si>
  <si>
    <t>594. Menene lambar wayarsu?</t>
  </si>
  <si>
    <t>enquêteur: Le numero de telephone doit commencer par "+227", ne pas inclure les espaces et saisir les 8 chiffres du numero.</t>
  </si>
  <si>
    <t>595. What is ${secondary_name2}'s relationship to you?</t>
  </si>
  <si>
    <t>595. Quelle est la relation entre ${secondary_name2} et vous ?</t>
  </si>
  <si>
    <t>595. Menene alaƙar ku da ${secondary_name2} ?</t>
  </si>
  <si>
    <t>596. Just to confirm, is this the number? 
 ${secondary_name2}
 ${secondary_phone2}</t>
  </si>
  <si>
    <t>596. Juste pour confirmer, est-ce bien le numéro ?
 ${secondary_name2}
 ${secondary_phone2}</t>
  </si>
  <si>
    <t>596. Don tabbatar kawai, da wannan itace lambar?
 ${secondary_name2}
 ${secondary_phone2}</t>
  </si>
  <si>
    <t>597. Please go back and correct the name and phone number.</t>
  </si>
  <si>
    <t>597. Veuillez revenir en arrière et corriger le nom et le numéro de téléphone.</t>
  </si>
  <si>
    <t>597. Da fatan za ka koma baya ka gyara suna da lambar waya.</t>
  </si>
  <si>
    <t>${secondary_phone2_confirm} = 0</t>
  </si>
  <si>
    <t>598. I am going to call this phone number to confirm it is correct. [Enumerator: Did the phone ring?]</t>
  </si>
  <si>
    <t>598. Je vais appeler ce numéro de téléphone pour confirmer qu'il est correct. [Enquêteur : Le téléphone a-t-il sonné ?]</t>
  </si>
  <si>
    <t>598. Zan kirayi wannan lambar wayar don tabbatar da daidai ce. [Ɗan bincike: Wayar ta yi ƙara?]</t>
  </si>
  <si>
    <t>599. Please go back and enter a new phone number.</t>
  </si>
  <si>
    <t>599. Veuillez ressaisir le numéro</t>
  </si>
  <si>
    <t>599. Da fatan zaku rubuta lambar</t>
  </si>
  <si>
    <t>${secondary_phone2_test} &lt;= 0</t>
  </si>
  <si>
    <t>600. How interested was the resppondent</t>
  </si>
  <si>
    <t>600. Dans quelle mesure le répondant était-il intéressé</t>
  </si>
  <si>
    <t>600. Yaya kake ganin maida hankalin mai bada amsa yake</t>
  </si>
  <si>
    <t>601. How impatient was the respondent?</t>
  </si>
  <si>
    <t>601. À quel point le répondant était-il impatient ?</t>
  </si>
  <si>
    <t>601. Yaya kake ganin rashin haƙurin mai bada amsa?</t>
  </si>
  <si>
    <t>602. How well did the respondent understand the questions?</t>
  </si>
  <si>
    <t>602. Dans quelle mesure le répondant a-t-il compris les questions ?</t>
  </si>
  <si>
    <t>602. Yaya kake ganin mai bada amsa ya fahimci tambayoyin?</t>
  </si>
  <si>
    <t>603. Was the interview conducted in the presence of other people?</t>
  </si>
  <si>
    <t>603. L'entretien a-t-il été réalisé en présence d'autres personnes ?</t>
  </si>
  <si>
    <t>603. Ko an yi hirar ne a gaban wasu mutane?</t>
  </si>
  <si>
    <t>604. Enumerator: Record any comments on the survey</t>
  </si>
  <si>
    <t>604. Enquêteur : Veuillez noter vos commentaires si vous en avez</t>
  </si>
  <si>
    <t>604. Ɗan bincike: Yi rikodin duk wani sharhi akan binciken</t>
  </si>
  <si>
    <t>Il n'est pas obligatoire de faire des commentaires! N'ecrivez pas R.A.S.</t>
  </si>
  <si>
    <t>GPS coordinates can only be collected when outside.</t>
  </si>
  <si>
    <t>Les coordonnées GPS ne peuvent être prises qu'à l'extérieur.</t>
  </si>
  <si>
    <t>605. That is the end of the survey. Thank you for your time.</t>
  </si>
  <si>
    <t>605. C'est la fin de l'enquête. Merci pour votre temps.</t>
  </si>
  <si>
    <t>605. Karshen tambayoyin kenan. Na gode da lokacin da kuka bani.</t>
  </si>
</sst>
</file>

<file path=xl/styles.xml><?xml version="1.0" encoding="utf-8"?>
<styleSheet xmlns="http://schemas.openxmlformats.org/spreadsheetml/2006/main" xmlns:x14ac="http://schemas.microsoft.com/office/spreadsheetml/2009/9/ac" xmlns:mc="http://schemas.openxmlformats.org/markup-compatibility/2006">
  <fonts count="42">
    <font>
      <sz val="12.0"/>
      <color rgb="FF000000"/>
      <name val="Calibri"/>
      <scheme val="minor"/>
    </font>
    <font>
      <b/>
      <sz val="12.0"/>
      <color theme="1"/>
      <name val="Fira Code"/>
    </font>
    <font>
      <b/>
      <sz val="12.0"/>
      <color theme="1"/>
      <name val="Calibri"/>
    </font>
    <font>
      <b/>
      <sz val="10.0"/>
      <color rgb="FF000000"/>
      <name val="Fira Code"/>
    </font>
    <font>
      <b/>
      <u/>
      <sz val="12.0"/>
      <color rgb="FF000000"/>
      <name val="Calibri"/>
    </font>
    <font/>
    <font>
      <color theme="1"/>
      <name val="Arial"/>
    </font>
    <font>
      <sz val="12.0"/>
      <color rgb="FF000000"/>
      <name val="Calibri"/>
    </font>
    <font>
      <b/>
      <sz val="10.0"/>
      <color theme="1"/>
      <name val="Fira Code"/>
    </font>
    <font>
      <sz val="12.0"/>
      <color theme="1"/>
      <name val="Calibri"/>
    </font>
    <font>
      <sz val="12.0"/>
      <color theme="1"/>
      <name val="Fira Code"/>
    </font>
    <font>
      <sz val="10.0"/>
      <color rgb="FF000000"/>
      <name val="Fira Code"/>
    </font>
    <font>
      <i/>
      <u/>
      <sz val="12.0"/>
      <color rgb="FF0000D4"/>
      <name val="Calibri"/>
    </font>
    <font>
      <b/>
      <sz val="12.0"/>
      <color rgb="FF000000"/>
      <name val="Calibri"/>
    </font>
    <font>
      <sz val="10.0"/>
      <color theme="1"/>
      <name val="Fira Code"/>
    </font>
    <font>
      <sz val="10.0"/>
      <color theme="1"/>
      <name val="&quot;Fira Code&quot;"/>
    </font>
    <font>
      <sz val="10.0"/>
      <color theme="1"/>
      <name val="Calibri"/>
    </font>
    <font>
      <i/>
      <u/>
      <sz val="12.0"/>
      <color rgb="FF0000D4"/>
      <name val="Calibri"/>
    </font>
    <font>
      <i/>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u/>
      <sz val="12.0"/>
      <color rgb="FF000000"/>
      <name val="Calibri"/>
    </font>
    <font>
      <i/>
      <u/>
      <sz val="12.0"/>
      <color rgb="FF0000D4"/>
      <name val="Calibri"/>
    </font>
    <font>
      <u/>
      <sz val="12.0"/>
      <color rgb="FF0000D4"/>
      <name val="Calibri"/>
    </font>
    <font>
      <i/>
      <u/>
      <sz val="12.0"/>
      <color rgb="FF0000D4"/>
      <name val="Calibri"/>
    </font>
    <font>
      <sz val="12.0"/>
      <color rgb="FF000000"/>
      <name val="Fira Code"/>
    </font>
    <font>
      <b/>
      <u/>
      <sz val="12.0"/>
      <color rgb="FF000000"/>
      <name val="Calibri"/>
    </font>
    <font>
      <sz val="10.0"/>
      <color rgb="FF000000"/>
      <name val="&quot;docs-Fira Code&quot;"/>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theme="1"/>
      <name val="Calibri"/>
      <scheme val="minor"/>
    </font>
    <font>
      <color theme="1"/>
      <name val="Calibri"/>
      <scheme val="minor"/>
    </font>
    <font>
      <color theme="1"/>
      <name val="&quot;Fira Code&quot;"/>
    </font>
    <font>
      <sz val="12.0"/>
      <color theme="1"/>
      <name val="&quot;Fira Code&quot;"/>
    </font>
    <font>
      <sz val="10.0"/>
      <color rgb="FFFF0000"/>
      <name val="Arial"/>
    </font>
    <font>
      <sz val="10.0"/>
      <color rgb="FF1F1F1F"/>
      <name val="&quot;Fira Code&quot;"/>
    </font>
  </fonts>
  <fills count="24">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E7D480"/>
        <bgColor rgb="FFE7D480"/>
      </patternFill>
    </fill>
    <fill>
      <patternFill patternType="solid">
        <fgColor rgb="FFE4E300"/>
        <bgColor rgb="FFE4E300"/>
      </patternFill>
    </fill>
    <fill>
      <patternFill patternType="solid">
        <fgColor rgb="FFFBFB00"/>
        <bgColor rgb="FFFBFB00"/>
      </patternFill>
    </fill>
    <fill>
      <patternFill patternType="solid">
        <fgColor rgb="FFD6E3BC"/>
        <bgColor rgb="FFD6E3BC"/>
      </patternFill>
    </fill>
    <fill>
      <patternFill patternType="solid">
        <fgColor rgb="FFEAF1DD"/>
        <bgColor rgb="FFEAF1DD"/>
      </patternFill>
    </fill>
    <fill>
      <patternFill patternType="solid">
        <fgColor rgb="FFFDE9D9"/>
        <bgColor rgb="FFFDE9D9"/>
      </patternFill>
    </fill>
    <fill>
      <patternFill patternType="solid">
        <fgColor rgb="FFFFFFFF"/>
        <bgColor rgb="FFFFFFFF"/>
      </patternFill>
    </fill>
    <fill>
      <patternFill patternType="solid">
        <fgColor rgb="FFEEB400"/>
        <bgColor rgb="FFEEB400"/>
      </patternFill>
    </fill>
    <fill>
      <patternFill patternType="solid">
        <fgColor rgb="FFFFD44B"/>
        <bgColor rgb="FFFFD44B"/>
      </patternFill>
    </fill>
    <fill>
      <patternFill patternType="solid">
        <fgColor rgb="FFFF9900"/>
        <bgColor rgb="FFFF9900"/>
      </patternFill>
    </fill>
    <fill>
      <patternFill patternType="solid">
        <fgColor rgb="FFFFBB57"/>
        <bgColor rgb="FFFFBB57"/>
      </patternFill>
    </fill>
    <fill>
      <patternFill patternType="solid">
        <fgColor rgb="FFDCC97A"/>
        <bgColor rgb="FFDCC97A"/>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50">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right style="thin">
        <color rgb="FFBFBFBF"/>
      </right>
      <top style="thin">
        <color rgb="FFBFBFBF"/>
      </top>
      <bottom style="thin">
        <color rgb="FF000000"/>
      </bottom>
    </border>
    <border>
      <left style="thin">
        <color rgb="FFBFBFBF"/>
      </left>
      <right style="thin">
        <color rgb="FFBFBFBF"/>
      </right>
      <bottom style="thin">
        <color rgb="FFBFBFBF"/>
      </bottom>
    </border>
    <border>
      <left style="thin">
        <color rgb="FFBFBFBF"/>
      </left>
      <bottom style="thin">
        <color rgb="FF000000"/>
      </bottom>
    </border>
    <border>
      <bottom style="thin">
        <color rgb="FF000000"/>
      </bottom>
    </border>
    <border>
      <right style="thin">
        <color rgb="FFBFBFBF"/>
      </right>
      <bottom style="thin">
        <color rgb="FFBFBFBF"/>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right/>
      <top/>
      <bottom/>
    </border>
    <border>
      <left style="thin">
        <color rgb="FF000000"/>
      </left>
      <right style="thin">
        <color rgb="FF000000"/>
      </right>
      <top style="thin">
        <color rgb="FF000000"/>
      </top>
      <bottom style="thin">
        <color rgb="FF000000"/>
      </bottom>
    </border>
    <border>
      <right style="thin">
        <color rgb="FF000000"/>
      </right>
      <bottom style="thin">
        <color rgb="FFBFBFBF"/>
      </bottom>
    </border>
    <border>
      <right style="thin">
        <color rgb="FF000000"/>
      </right>
      <bottom style="thin">
        <color rgb="FF000000"/>
      </bottom>
    </border>
    <border>
      <left style="thin">
        <color rgb="FF000000"/>
      </left>
      <right/>
      <top/>
      <bottom/>
    </border>
    <border>
      <left/>
      <right style="thin">
        <color rgb="FF000000"/>
      </right>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right style="thin">
        <color rgb="FFBFBFBF"/>
      </right>
    </border>
    <border>
      <right style="thin">
        <color rgb="FF000000"/>
      </right>
      <top style="thin">
        <color rgb="FF000000"/>
      </top>
      <bottom style="thin">
        <color rgb="FFBFBFB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39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0" fillId="2" fontId="3" numFmtId="0" xfId="0" applyAlignment="1" applyFont="1">
      <alignment readingOrder="0" shrinkToFit="0" wrapText="1"/>
    </xf>
    <xf borderId="3" fillId="2" fontId="2" numFmtId="0" xfId="0" applyAlignment="1" applyBorder="1" applyFont="1">
      <alignment vertical="bottom"/>
    </xf>
    <xf borderId="0" fillId="2" fontId="3" numFmtId="0" xfId="0" applyAlignment="1" applyFont="1">
      <alignment shrinkToFit="0" wrapText="1"/>
    </xf>
    <xf borderId="3" fillId="2" fontId="2" numFmtId="49" xfId="0" applyAlignment="1" applyBorder="1" applyFont="1" applyNumberFormat="1">
      <alignment shrinkToFit="0" vertical="bottom" wrapText="1"/>
    </xf>
    <xf borderId="0" fillId="2" fontId="3" numFmtId="49" xfId="0" applyAlignment="1" applyFont="1" applyNumberFormat="1">
      <alignment shrinkToFit="0" vertical="bottom" wrapText="1"/>
    </xf>
    <xf borderId="4" fillId="3" fontId="4" numFmtId="0" xfId="0" applyAlignment="1" applyBorder="1" applyFill="1" applyFont="1">
      <alignment horizontal="left" shrinkToFit="0" vertical="center" wrapText="1"/>
    </xf>
    <xf borderId="3" fillId="2" fontId="2" numFmtId="0" xfId="0" applyAlignment="1" applyBorder="1" applyFont="1">
      <alignment shrinkToFit="0" vertical="bottom" wrapText="1"/>
    </xf>
    <xf borderId="5" fillId="0" fontId="5" numFmtId="0" xfId="0" applyBorder="1" applyFont="1"/>
    <xf borderId="0" fillId="2" fontId="6" numFmtId="0" xfId="0" applyAlignment="1" applyFont="1">
      <alignment vertical="bottom"/>
    </xf>
    <xf borderId="0" fillId="0" fontId="7" numFmtId="0" xfId="0" applyAlignment="1" applyFont="1">
      <alignment shrinkToFit="0" wrapText="1"/>
    </xf>
    <xf borderId="6" fillId="2" fontId="1" numFmtId="0" xfId="0" applyAlignment="1" applyBorder="1" applyFont="1">
      <alignment vertical="bottom"/>
    </xf>
    <xf borderId="0" fillId="2" fontId="3" numFmtId="0" xfId="0" applyAlignment="1" applyFont="1">
      <alignment readingOrder="0" shrinkToFit="0" vertical="bottom" wrapText="1"/>
    </xf>
    <xf borderId="6" fillId="2" fontId="1" numFmtId="49" xfId="0" applyAlignment="1" applyBorder="1" applyFont="1" applyNumberFormat="1">
      <alignment shrinkToFit="0" vertical="bottom" wrapText="1"/>
    </xf>
    <xf borderId="0" fillId="0" fontId="7" numFmtId="0" xfId="0" applyFont="1"/>
    <xf borderId="0" fillId="2" fontId="8" numFmtId="0" xfId="0" applyAlignment="1" applyFont="1">
      <alignment shrinkToFit="0" wrapText="1"/>
    </xf>
    <xf borderId="6" fillId="2" fontId="1" numFmtId="0" xfId="0" applyAlignment="1" applyBorder="1" applyFont="1">
      <alignment vertical="bottom"/>
    </xf>
    <xf borderId="7" fillId="0" fontId="9" numFmtId="0" xfId="0" applyAlignment="1" applyBorder="1" applyFont="1">
      <alignment readingOrder="0" vertical="bottom"/>
    </xf>
    <xf borderId="8" fillId="2" fontId="1" numFmtId="0" xfId="0" applyAlignment="1" applyBorder="1" applyFont="1">
      <alignment vertical="bottom"/>
    </xf>
    <xf borderId="9" fillId="2" fontId="1" numFmtId="0" xfId="0" applyAlignment="1" applyBorder="1" applyFont="1">
      <alignment vertical="bottom"/>
    </xf>
    <xf borderId="10" fillId="0" fontId="9" numFmtId="0" xfId="0" applyAlignment="1" applyBorder="1" applyFont="1">
      <alignment readingOrder="0" vertical="bottom"/>
    </xf>
    <xf borderId="9" fillId="2" fontId="10" numFmtId="0" xfId="0" applyAlignment="1" applyBorder="1" applyFont="1">
      <alignment vertical="bottom"/>
    </xf>
    <xf borderId="11" fillId="3" fontId="7" numFmtId="0" xfId="0" applyAlignment="1" applyBorder="1" applyFont="1">
      <alignment horizontal="center" shrinkToFit="0" vertical="center" wrapText="1"/>
    </xf>
    <xf borderId="0" fillId="0" fontId="11" numFmtId="0" xfId="0" applyAlignment="1" applyFont="1">
      <alignment shrinkToFit="0" wrapText="1"/>
    </xf>
    <xf borderId="12" fillId="0" fontId="5" numFmtId="0" xfId="0" applyBorder="1" applyFont="1"/>
    <xf borderId="0" fillId="0" fontId="11" numFmtId="49" xfId="0" applyAlignment="1" applyFont="1" applyNumberFormat="1">
      <alignment shrinkToFit="0" vertical="bottom" wrapText="1"/>
    </xf>
    <xf borderId="0" fillId="0" fontId="11" numFmtId="0" xfId="0" applyAlignment="1" applyFont="1">
      <alignment shrinkToFit="0" vertical="bottom" wrapText="1"/>
    </xf>
    <xf borderId="7" fillId="0" fontId="10" numFmtId="0" xfId="0" applyAlignment="1" applyBorder="1" applyFont="1">
      <alignment vertical="bottom"/>
    </xf>
    <xf borderId="10" fillId="0" fontId="10" numFmtId="0" xfId="0" applyAlignment="1" applyBorder="1" applyFont="1">
      <alignment horizontal="right" vertical="bottom"/>
    </xf>
    <xf borderId="10" fillId="0" fontId="9" numFmtId="0" xfId="0" applyAlignment="1" applyBorder="1" applyFont="1">
      <alignment vertical="bottom"/>
    </xf>
    <xf borderId="10" fillId="0" fontId="10" numFmtId="0" xfId="0" applyAlignment="1" applyBorder="1" applyFont="1">
      <alignment vertical="bottom"/>
    </xf>
    <xf borderId="11" fillId="3" fontId="7" numFmtId="0" xfId="0" applyAlignment="1" applyBorder="1" applyFont="1">
      <alignment horizontal="left" shrinkToFit="0" vertical="center" wrapText="1"/>
    </xf>
    <xf borderId="10" fillId="0" fontId="6" numFmtId="0" xfId="0" applyAlignment="1" applyBorder="1" applyFont="1">
      <alignment vertical="bottom"/>
    </xf>
    <xf borderId="10" fillId="0" fontId="10" numFmtId="0" xfId="0" applyAlignment="1" applyBorder="1" applyFont="1">
      <alignment vertical="bottom"/>
    </xf>
    <xf borderId="0" fillId="0" fontId="6" numFmtId="0" xfId="0" applyAlignment="1" applyFont="1">
      <alignment vertical="bottom"/>
    </xf>
    <xf borderId="0" fillId="0" fontId="10" numFmtId="0" xfId="0" applyAlignment="1" applyFont="1">
      <alignment vertical="bottom"/>
    </xf>
    <xf borderId="13" fillId="3" fontId="12" numFmtId="0" xfId="0" applyAlignment="1" applyBorder="1" applyFont="1">
      <alignment horizontal="left" shrinkToFit="0" vertical="top" wrapText="1"/>
    </xf>
    <xf borderId="14" fillId="0" fontId="5" numFmtId="0" xfId="0" applyBorder="1" applyFont="1"/>
    <xf borderId="15" fillId="0" fontId="10" numFmtId="0" xfId="0" applyAlignment="1" applyBorder="1" applyFont="1">
      <alignment vertical="bottom"/>
    </xf>
    <xf borderId="16" fillId="0" fontId="10" numFmtId="0" xfId="0" applyAlignment="1" applyBorder="1" applyFont="1">
      <alignment horizontal="right" vertical="bottom"/>
    </xf>
    <xf borderId="16" fillId="0" fontId="10" numFmtId="0" xfId="0" applyAlignment="1" applyBorder="1" applyFont="1">
      <alignment vertical="bottom"/>
    </xf>
    <xf borderId="16" fillId="0" fontId="10" numFmtId="0" xfId="0" applyAlignment="1" applyBorder="1" applyFont="1">
      <alignment vertical="bottom"/>
    </xf>
    <xf borderId="9" fillId="0" fontId="10" numFmtId="0" xfId="0" applyAlignment="1" applyBorder="1" applyFont="1">
      <alignment vertical="bottom"/>
    </xf>
    <xf borderId="0" fillId="0" fontId="11" numFmtId="49" xfId="0" applyAlignment="1" applyFont="1" applyNumberFormat="1">
      <alignment shrinkToFit="0" wrapText="1"/>
    </xf>
    <xf borderId="17" fillId="2" fontId="13" numFmtId="0" xfId="0" applyBorder="1" applyFont="1"/>
    <xf borderId="17" fillId="2" fontId="13" numFmtId="0" xfId="0" applyAlignment="1" applyBorder="1" applyFont="1">
      <alignment shrinkToFit="0" wrapText="1"/>
    </xf>
    <xf borderId="18" fillId="0" fontId="10" numFmtId="0" xfId="0" applyAlignment="1" applyBorder="1" applyFont="1">
      <alignment vertical="bottom"/>
    </xf>
    <xf borderId="17" fillId="2" fontId="2" numFmtId="0" xfId="0" applyAlignment="1" applyBorder="1" applyFont="1">
      <alignment shrinkToFit="0" wrapText="1"/>
    </xf>
    <xf borderId="19" fillId="0" fontId="10" numFmtId="0" xfId="0" applyAlignment="1" applyBorder="1" applyFont="1">
      <alignment horizontal="right" readingOrder="0" vertical="bottom"/>
    </xf>
    <xf borderId="19" fillId="0" fontId="10" numFmtId="0" xfId="0" applyAlignment="1" applyBorder="1" applyFont="1">
      <alignment readingOrder="0" vertical="bottom"/>
    </xf>
    <xf borderId="20" fillId="0" fontId="10" numFmtId="0" xfId="0" applyAlignment="1" applyBorder="1" applyFont="1">
      <alignment readingOrder="0" vertical="bottom"/>
    </xf>
    <xf borderId="21" fillId="0" fontId="10" numFmtId="0" xfId="0" applyAlignment="1" applyBorder="1" applyFont="1">
      <alignment vertical="bottom"/>
    </xf>
    <xf borderId="21" fillId="0" fontId="10" numFmtId="0" xfId="0" applyAlignment="1" applyBorder="1" applyFont="1">
      <alignment readingOrder="0" vertical="bottom"/>
    </xf>
    <xf borderId="22" fillId="2" fontId="13" numFmtId="0" xfId="0" applyBorder="1" applyFont="1"/>
    <xf borderId="23" fillId="3" fontId="7" numFmtId="0" xfId="0" applyAlignment="1" applyBorder="1" applyFont="1">
      <alignment horizontal="left" shrinkToFit="0" vertical="top" wrapText="1"/>
    </xf>
    <xf borderId="10" fillId="0" fontId="10" numFmtId="0" xfId="0" applyAlignment="1" applyBorder="1" applyFont="1">
      <alignment horizontal="right" readingOrder="0" vertical="bottom"/>
    </xf>
    <xf borderId="24" fillId="0" fontId="10" numFmtId="0" xfId="0" applyAlignment="1" applyBorder="1" applyFont="1">
      <alignment readingOrder="0" vertical="bottom"/>
    </xf>
    <xf borderId="25" fillId="0" fontId="10" numFmtId="0" xfId="0" applyAlignment="1" applyBorder="1" applyFont="1">
      <alignment readingOrder="0" vertical="bottom"/>
    </xf>
    <xf borderId="0" fillId="0" fontId="10" numFmtId="0" xfId="0" applyAlignment="1" applyFont="1">
      <alignment readingOrder="0" vertical="bottom"/>
    </xf>
    <xf borderId="0" fillId="0" fontId="11" numFmtId="0" xfId="0" applyAlignment="1" applyFont="1">
      <alignment readingOrder="0" shrinkToFit="0" wrapText="1"/>
    </xf>
    <xf borderId="22" fillId="3" fontId="7" numFmtId="0" xfId="0" applyAlignment="1" applyBorder="1" applyFont="1">
      <alignment shrinkToFit="0" vertical="top" wrapText="1"/>
    </xf>
    <xf borderId="0" fillId="0" fontId="11" numFmtId="49" xfId="0" applyAlignment="1" applyFont="1" applyNumberFormat="1">
      <alignment readingOrder="0" shrinkToFit="0" vertical="bottom" wrapText="1"/>
    </xf>
    <xf borderId="0" fillId="4" fontId="14" numFmtId="49" xfId="0" applyAlignment="1" applyFill="1" applyFont="1" applyNumberFormat="1">
      <alignment shrinkToFit="0" vertical="bottom" wrapText="1"/>
    </xf>
    <xf borderId="24" fillId="0" fontId="10" numFmtId="0" xfId="0" applyAlignment="1" applyBorder="1" applyFont="1">
      <alignment vertical="bottom"/>
    </xf>
    <xf borderId="25" fillId="0" fontId="10" numFmtId="0" xfId="0" applyAlignment="1" applyBorder="1" applyFont="1">
      <alignment vertical="bottom"/>
    </xf>
    <xf borderId="22" fillId="3" fontId="7" numFmtId="0" xfId="0" applyAlignment="1" applyBorder="1" applyFont="1">
      <alignment horizontal="left" shrinkToFit="0" vertical="top" wrapText="1"/>
    </xf>
    <xf borderId="23" fillId="3" fontId="7" numFmtId="0" xfId="0" applyAlignment="1" applyBorder="1" applyFont="1">
      <alignment vertical="top"/>
    </xf>
    <xf borderId="23" fillId="3" fontId="7" numFmtId="0" xfId="0" applyAlignment="1" applyBorder="1" applyFont="1">
      <alignment shrinkToFit="0" vertical="top" wrapText="1"/>
    </xf>
    <xf borderId="0" fillId="5" fontId="15" numFmtId="0" xfId="0" applyAlignment="1" applyFill="1" applyFont="1">
      <alignment shrinkToFit="0" vertical="bottom" wrapText="1"/>
    </xf>
    <xf borderId="0" fillId="6" fontId="15" numFmtId="49" xfId="0" applyAlignment="1" applyFill="1" applyFont="1" applyNumberFormat="1">
      <alignment shrinkToFit="0" vertical="bottom" wrapText="1"/>
    </xf>
    <xf borderId="0" fillId="5" fontId="14" numFmtId="49" xfId="0" applyAlignment="1" applyFont="1" applyNumberFormat="1">
      <alignment shrinkToFit="0" vertical="bottom" wrapText="1"/>
    </xf>
    <xf borderId="0" fillId="5" fontId="16" numFmtId="0" xfId="0" applyAlignment="1" applyFont="1">
      <alignment shrinkToFit="0" vertical="bottom" wrapText="1"/>
    </xf>
    <xf borderId="0" fillId="6" fontId="15" numFmtId="0" xfId="0" applyAlignment="1" applyFont="1">
      <alignment shrinkToFit="0" vertical="bottom" wrapText="1"/>
    </xf>
    <xf borderId="0" fillId="0" fontId="16" numFmtId="0" xfId="0" applyAlignment="1" applyFont="1">
      <alignment shrinkToFit="0" vertical="bottom" wrapText="1"/>
    </xf>
    <xf borderId="23" fillId="3" fontId="17" numFmtId="0" xfId="0" applyAlignment="1" applyBorder="1" applyFont="1">
      <alignment vertical="top"/>
    </xf>
    <xf borderId="15" fillId="0" fontId="10" numFmtId="0" xfId="0" applyAlignment="1" applyBorder="1" applyFont="1">
      <alignment vertical="bottom"/>
    </xf>
    <xf borderId="23" fillId="3" fontId="18" numFmtId="0" xfId="0" applyAlignment="1" applyBorder="1" applyFont="1">
      <alignment shrinkToFit="0" vertical="top" wrapText="1"/>
    </xf>
    <xf borderId="16" fillId="0" fontId="10" numFmtId="0" xfId="0" applyAlignment="1" applyBorder="1" applyFont="1">
      <alignment readingOrder="0" vertical="bottom"/>
    </xf>
    <xf borderId="0" fillId="7" fontId="14" numFmtId="0" xfId="0" applyAlignment="1" applyFill="1" applyFont="1">
      <alignment shrinkToFit="0" vertical="bottom" wrapText="1"/>
    </xf>
    <xf borderId="0" fillId="8" fontId="14" numFmtId="0" xfId="0" applyAlignment="1" applyFill="1" applyFont="1">
      <alignment shrinkToFit="0" vertical="bottom" wrapText="1"/>
    </xf>
    <xf borderId="9" fillId="0" fontId="10" numFmtId="0" xfId="0" applyAlignment="1" applyBorder="1" applyFont="1">
      <alignment vertical="bottom"/>
    </xf>
    <xf borderId="0" fillId="7" fontId="14" numFmtId="0" xfId="0" applyAlignment="1" applyFont="1">
      <alignment shrinkToFit="0" vertical="bottom" wrapText="1"/>
    </xf>
    <xf borderId="0" fillId="8" fontId="14" numFmtId="0" xfId="0" applyAlignment="1" applyFont="1">
      <alignment shrinkToFit="0" vertical="bottom" wrapText="1"/>
    </xf>
    <xf borderId="0" fillId="7" fontId="14" numFmtId="0" xfId="0" applyAlignment="1" applyFont="1">
      <alignment readingOrder="0" shrinkToFit="0" vertical="bottom" wrapText="1"/>
    </xf>
    <xf borderId="26" fillId="3" fontId="19" numFmtId="0" xfId="0" applyAlignment="1" applyBorder="1" applyFont="1">
      <alignment horizontal="left" shrinkToFit="0" vertical="center" wrapText="1"/>
    </xf>
    <xf borderId="27" fillId="3" fontId="20" numFmtId="0" xfId="0" applyAlignment="1" applyBorder="1" applyFont="1">
      <alignment horizontal="left" shrinkToFit="0" vertical="center" wrapText="1"/>
    </xf>
    <xf borderId="0" fillId="8" fontId="14" numFmtId="0" xfId="0" applyAlignment="1" applyFont="1">
      <alignment readingOrder="0" shrinkToFit="0" vertical="bottom" wrapText="1"/>
    </xf>
    <xf borderId="11" fillId="3" fontId="21" numFmtId="0" xfId="0" applyAlignment="1" applyBorder="1" applyFont="1">
      <alignment horizontal="left" shrinkToFit="0" vertical="top" wrapText="1"/>
    </xf>
    <xf borderId="0" fillId="0" fontId="14" numFmtId="0" xfId="0" applyAlignment="1" applyFont="1">
      <alignment shrinkToFit="0" vertical="bottom" wrapText="1"/>
    </xf>
    <xf borderId="23" fillId="3" fontId="22" numFmtId="49" xfId="0" applyAlignment="1" applyBorder="1" applyFont="1" applyNumberFormat="1">
      <alignment shrinkToFit="0" vertical="top" wrapText="1"/>
    </xf>
    <xf borderId="9" fillId="0" fontId="10" numFmtId="0" xfId="0" applyAlignment="1" applyBorder="1" applyFont="1">
      <alignment shrinkToFit="0" vertical="bottom" wrapText="0"/>
    </xf>
    <xf borderId="2" fillId="2" fontId="13" numFmtId="0" xfId="0" applyBorder="1" applyFont="1"/>
    <xf borderId="2" fillId="2" fontId="13" numFmtId="0" xfId="0" applyAlignment="1" applyBorder="1" applyFont="1">
      <alignment shrinkToFit="0" wrapText="1"/>
    </xf>
    <xf borderId="28" fillId="9" fontId="23" numFmtId="0" xfId="0" applyAlignment="1" applyBorder="1" applyFill="1" applyFont="1">
      <alignment horizontal="left"/>
    </xf>
    <xf borderId="29" fillId="0" fontId="5" numFmtId="0" xfId="0" applyBorder="1" applyFont="1"/>
    <xf borderId="30" fillId="9" fontId="7" numFmtId="0" xfId="0" applyAlignment="1" applyBorder="1" applyFont="1">
      <alignment shrinkToFit="0" wrapText="1"/>
    </xf>
    <xf borderId="30" fillId="9" fontId="7" numFmtId="0" xfId="0" applyBorder="1" applyFont="1"/>
    <xf borderId="17" fillId="3" fontId="7" numFmtId="0" xfId="0" applyAlignment="1" applyBorder="1" applyFont="1">
      <alignment horizontal="left" shrinkToFit="0" vertical="top" wrapText="1"/>
    </xf>
    <xf borderId="17" fillId="3" fontId="7" numFmtId="0" xfId="0" applyAlignment="1" applyBorder="1" applyFont="1">
      <alignment vertical="top"/>
    </xf>
    <xf borderId="22" fillId="9" fontId="7" numFmtId="0" xfId="0" applyBorder="1" applyFont="1"/>
    <xf borderId="0" fillId="5" fontId="14" numFmtId="0" xfId="0" applyAlignment="1" applyFont="1">
      <alignment shrinkToFit="0" vertical="bottom" wrapText="1"/>
    </xf>
    <xf borderId="0" fillId="6" fontId="14" numFmtId="49" xfId="0" applyAlignment="1" applyFont="1" applyNumberFormat="1">
      <alignment shrinkToFit="0" vertical="bottom" wrapText="1"/>
    </xf>
    <xf borderId="0" fillId="5" fontId="14" numFmtId="0" xfId="0" applyAlignment="1" applyFont="1">
      <alignment shrinkToFit="0" vertical="bottom" wrapText="1"/>
    </xf>
    <xf borderId="23" fillId="3" fontId="7" numFmtId="0" xfId="0" applyAlignment="1" applyBorder="1" applyFont="1">
      <alignment horizontal="left" vertical="top"/>
    </xf>
    <xf borderId="0" fillId="0" fontId="11" numFmtId="0" xfId="0" applyAlignment="1" applyFont="1">
      <alignment readingOrder="0" shrinkToFit="0" vertical="bottom" wrapText="1"/>
    </xf>
    <xf borderId="23" fillId="3" fontId="24" numFmtId="0" xfId="0" applyAlignment="1" applyBorder="1" applyFont="1">
      <alignment horizontal="left" vertical="top"/>
    </xf>
    <xf borderId="30" fillId="9" fontId="25" numFmtId="0" xfId="0" applyAlignment="1" applyBorder="1" applyFont="1">
      <alignment horizontal="left" vertical="top"/>
    </xf>
    <xf borderId="7" fillId="0" fontId="10" numFmtId="0" xfId="0" applyAlignment="1" applyBorder="1" applyFont="1">
      <alignment vertical="bottom"/>
    </xf>
    <xf borderId="23" fillId="3" fontId="26" numFmtId="0" xfId="0" applyAlignment="1" applyBorder="1" applyFont="1">
      <alignment horizontal="left" shrinkToFit="0" vertical="top" wrapText="1"/>
    </xf>
    <xf borderId="30" fillId="9" fontId="7" numFmtId="0" xfId="0" applyAlignment="1" applyBorder="1" applyFont="1">
      <alignment horizontal="left" vertical="top"/>
    </xf>
    <xf borderId="10" fillId="0" fontId="10" numFmtId="0" xfId="0" applyAlignment="1" applyBorder="1" applyFont="1">
      <alignment horizontal="right" vertical="bottom"/>
    </xf>
    <xf borderId="30" fillId="9" fontId="7" numFmtId="0" xfId="0" applyAlignment="1" applyBorder="1" applyFont="1">
      <alignment horizontal="left" shrinkToFit="0" vertical="top" wrapText="1"/>
    </xf>
    <xf borderId="31" fillId="0" fontId="10" numFmtId="0" xfId="0" applyAlignment="1" applyBorder="1" applyFont="1">
      <alignment shrinkToFit="0" vertical="bottom" wrapText="0"/>
    </xf>
    <xf borderId="0" fillId="0" fontId="10" numFmtId="0" xfId="0" applyAlignment="1" applyFont="1">
      <alignment horizontal="right" vertical="bottom"/>
    </xf>
    <xf borderId="32" fillId="0" fontId="10" numFmtId="0" xfId="0" applyAlignment="1" applyBorder="1" applyFont="1">
      <alignment horizontal="right" readingOrder="0" vertical="bottom"/>
    </xf>
    <xf borderId="10" fillId="0" fontId="10" numFmtId="0" xfId="0" applyAlignment="1" applyBorder="1" applyFont="1">
      <alignment readingOrder="0" vertical="bottom"/>
    </xf>
    <xf borderId="32" fillId="0" fontId="10" numFmtId="0" xfId="0" applyAlignment="1" applyBorder="1" applyFont="1">
      <alignment vertical="bottom"/>
    </xf>
    <xf borderId="0" fillId="0" fontId="10" numFmtId="0" xfId="0" applyAlignment="1" applyFont="1">
      <alignment horizontal="right" readingOrder="0" vertical="bottom"/>
    </xf>
    <xf borderId="16" fillId="0" fontId="10" numFmtId="0" xfId="0" applyAlignment="1" applyBorder="1" applyFont="1">
      <alignment horizontal="right" vertical="bottom"/>
    </xf>
    <xf borderId="9" fillId="0" fontId="10" numFmtId="0" xfId="0" applyAlignment="1" applyBorder="1" applyFont="1">
      <alignment horizontal="right" vertical="bottom"/>
    </xf>
    <xf borderId="0" fillId="0" fontId="10" numFmtId="0" xfId="0" applyAlignment="1" applyFont="1">
      <alignment vertical="bottom"/>
    </xf>
    <xf borderId="0" fillId="0" fontId="10" numFmtId="0" xfId="0" applyAlignment="1" applyFont="1">
      <alignment horizontal="right" vertical="bottom"/>
    </xf>
    <xf borderId="0" fillId="10" fontId="27" numFmtId="0" xfId="0" applyAlignment="1" applyFill="1" applyFont="1">
      <alignment horizontal="left" readingOrder="0"/>
    </xf>
    <xf borderId="21" fillId="10" fontId="10" numFmtId="0" xfId="0" applyAlignment="1" applyBorder="1" applyFont="1">
      <alignment readingOrder="0" vertical="bottom"/>
    </xf>
    <xf borderId="9" fillId="10" fontId="10" numFmtId="0" xfId="0" applyAlignment="1" applyBorder="1" applyFont="1">
      <alignment readingOrder="0" vertical="bottom"/>
    </xf>
    <xf borderId="0" fillId="6" fontId="14" numFmtId="0" xfId="0" applyAlignment="1" applyFont="1">
      <alignment shrinkToFit="0" vertical="bottom" wrapText="1"/>
    </xf>
    <xf borderId="0" fillId="5" fontId="16" numFmtId="49" xfId="0" applyAlignment="1" applyFont="1" applyNumberFormat="1">
      <alignment vertical="bottom"/>
    </xf>
    <xf borderId="0" fillId="5" fontId="16" numFmtId="0" xfId="0" applyAlignment="1" applyFont="1">
      <alignment vertical="bottom"/>
    </xf>
    <xf borderId="0" fillId="0" fontId="16" numFmtId="0" xfId="0" applyAlignment="1" applyFont="1">
      <alignment vertical="bottom"/>
    </xf>
    <xf borderId="0" fillId="5" fontId="16" numFmtId="0" xfId="0" applyAlignment="1" applyFont="1">
      <alignment vertical="bottom"/>
    </xf>
    <xf borderId="18" fillId="0" fontId="10" numFmtId="0" xfId="0" applyAlignment="1" applyBorder="1" applyFont="1">
      <alignment vertical="bottom"/>
    </xf>
    <xf borderId="19" fillId="0" fontId="10" numFmtId="0" xfId="0" applyAlignment="1" applyBorder="1" applyFont="1">
      <alignment horizontal="right" vertical="bottom"/>
    </xf>
    <xf borderId="33" fillId="0" fontId="10" numFmtId="0" xfId="0" applyAlignment="1" applyBorder="1" applyFont="1">
      <alignment vertical="bottom"/>
    </xf>
    <xf borderId="20" fillId="0" fontId="10" numFmtId="0" xfId="0" applyAlignment="1" applyBorder="1" applyFont="1">
      <alignment vertical="bottom"/>
    </xf>
    <xf borderId="19" fillId="0" fontId="10" numFmtId="0" xfId="0" applyAlignment="1" applyBorder="1" applyFont="1">
      <alignment vertical="bottom"/>
    </xf>
    <xf borderId="0" fillId="5" fontId="16" numFmtId="0" xfId="0" applyAlignment="1" applyFont="1">
      <alignment vertical="bottom"/>
    </xf>
    <xf borderId="25" fillId="0" fontId="10" numFmtId="0" xfId="0" applyAlignment="1" applyBorder="1" applyFont="1">
      <alignment vertical="bottom"/>
    </xf>
    <xf borderId="0" fillId="6" fontId="14" numFmtId="0" xfId="0" applyAlignment="1" applyFont="1">
      <alignment shrinkToFit="0" vertical="bottom" wrapText="1"/>
    </xf>
    <xf borderId="19" fillId="0" fontId="10" numFmtId="0" xfId="0" applyAlignment="1" applyBorder="1" applyFont="1">
      <alignment vertical="bottom"/>
    </xf>
    <xf borderId="34" fillId="3" fontId="28" numFmtId="0" xfId="0" applyAlignment="1" applyBorder="1" applyFont="1">
      <alignment horizontal="left" shrinkToFit="0" vertical="center" wrapText="1"/>
    </xf>
    <xf borderId="0" fillId="0" fontId="14" numFmtId="0" xfId="0" applyAlignment="1" applyFont="1">
      <alignment shrinkToFit="0" wrapText="1"/>
    </xf>
    <xf borderId="35" fillId="0" fontId="5" numFmtId="0" xfId="0" applyBorder="1" applyFont="1"/>
    <xf borderId="0" fillId="11" fontId="14" numFmtId="0" xfId="0" applyAlignment="1" applyFill="1" applyFont="1">
      <alignment readingOrder="0" shrinkToFit="0" vertical="bottom" wrapText="1"/>
    </xf>
    <xf borderId="0" fillId="0" fontId="7" numFmtId="0" xfId="0" applyAlignment="1" applyFont="1">
      <alignment horizontal="left" shrinkToFit="0" vertical="center" wrapText="1"/>
    </xf>
    <xf borderId="0" fillId="12" fontId="14" numFmtId="0" xfId="0" applyAlignment="1" applyFill="1" applyFont="1">
      <alignment readingOrder="0" shrinkToFit="0" vertical="bottom" wrapText="1"/>
    </xf>
    <xf borderId="0" fillId="12" fontId="14" numFmtId="49" xfId="0" applyAlignment="1" applyFont="1" applyNumberFormat="1">
      <alignment shrinkToFit="0" vertical="bottom" wrapText="1"/>
    </xf>
    <xf borderId="0" fillId="12" fontId="14" numFmtId="49" xfId="0" applyAlignment="1" applyFont="1" applyNumberFormat="1">
      <alignment readingOrder="0" shrinkToFit="0" vertical="bottom" wrapText="1"/>
    </xf>
    <xf borderId="0" fillId="11" fontId="14" numFmtId="0" xfId="0" applyAlignment="1" applyFont="1">
      <alignment shrinkToFit="0" vertical="bottom" wrapText="1"/>
    </xf>
    <xf borderId="0" fillId="12" fontId="14" numFmtId="0" xfId="0" applyAlignment="1" applyFont="1">
      <alignment shrinkToFit="0" vertical="bottom" wrapText="1"/>
    </xf>
    <xf borderId="0" fillId="11" fontId="14" numFmtId="0" xfId="0" applyAlignment="1" applyFont="1">
      <alignment shrinkToFit="0" vertical="bottom" wrapText="1"/>
    </xf>
    <xf borderId="36" fillId="3" fontId="7" numFmtId="0" xfId="0" applyAlignment="1" applyBorder="1" applyFont="1">
      <alignment horizontal="center" shrinkToFit="0" vertical="center" wrapText="1"/>
    </xf>
    <xf borderId="0" fillId="6" fontId="14" numFmtId="0" xfId="0" applyAlignment="1" applyFont="1">
      <alignment readingOrder="0" shrinkToFit="0" vertical="bottom" wrapText="1"/>
    </xf>
    <xf borderId="37" fillId="0" fontId="5" numFmtId="0" xfId="0" applyBorder="1" applyFont="1"/>
    <xf borderId="38" fillId="3" fontId="7" numFmtId="0" xfId="0" applyAlignment="1" applyBorder="1" applyFont="1">
      <alignment horizontal="left" shrinkToFit="0" vertical="center" wrapText="1"/>
    </xf>
    <xf borderId="39" fillId="0" fontId="5" numFmtId="0" xfId="0" applyBorder="1" applyFont="1"/>
    <xf borderId="23" fillId="2" fontId="13" numFmtId="0" xfId="0" applyAlignment="1" applyBorder="1" applyFont="1">
      <alignment horizontal="left" shrinkToFit="0" vertical="center" wrapText="1"/>
    </xf>
    <xf borderId="0" fillId="0" fontId="14" numFmtId="0" xfId="0" applyAlignment="1" applyFont="1">
      <alignment shrinkToFit="0" vertical="bottom" wrapText="1"/>
    </xf>
    <xf borderId="23" fillId="2" fontId="2" numFmtId="0" xfId="0" applyAlignment="1" applyBorder="1" applyFont="1">
      <alignment horizontal="left" shrinkToFit="0" vertical="center" wrapText="1"/>
    </xf>
    <xf borderId="23" fillId="2" fontId="13" numFmtId="0" xfId="0" applyBorder="1" applyFont="1"/>
    <xf borderId="23" fillId="2" fontId="13" numFmtId="0" xfId="0" applyAlignment="1" applyBorder="1" applyFont="1">
      <alignment shrinkToFit="0" wrapText="1"/>
    </xf>
    <xf borderId="0" fillId="8" fontId="29" numFmtId="0" xfId="0" applyAlignment="1" applyFont="1">
      <alignment horizontal="left" readingOrder="0"/>
    </xf>
    <xf borderId="23" fillId="3" fontId="7" numFmtId="49" xfId="0" applyAlignment="1" applyBorder="1" applyFont="1" applyNumberFormat="1">
      <alignment shrinkToFit="0" vertical="top" wrapText="1"/>
    </xf>
    <xf borderId="0" fillId="0" fontId="7" numFmtId="49" xfId="0" applyAlignment="1" applyFont="1" applyNumberFormat="1">
      <alignment horizontal="left" shrinkToFit="0" vertical="center" wrapText="1"/>
    </xf>
    <xf borderId="24" fillId="0" fontId="10" numFmtId="0" xfId="0" applyAlignment="1" applyBorder="1" applyFont="1">
      <alignment vertical="bottom"/>
    </xf>
    <xf borderId="32" fillId="0" fontId="10" numFmtId="0" xfId="0" applyAlignment="1" applyBorder="1" applyFont="1">
      <alignment vertical="bottom"/>
    </xf>
    <xf borderId="0" fillId="5" fontId="14" numFmtId="0" xfId="0" applyAlignment="1" applyFont="1">
      <alignment shrinkToFit="0" vertical="bottom" wrapText="1"/>
    </xf>
    <xf borderId="0" fillId="5" fontId="15" numFmtId="0" xfId="0" applyAlignment="1" applyFont="1">
      <alignment shrinkToFit="0" vertical="bottom" wrapText="1"/>
    </xf>
    <xf borderId="0" fillId="6" fontId="15" numFmtId="0" xfId="0" applyAlignment="1" applyFont="1">
      <alignment readingOrder="0" shrinkToFit="0" vertical="bottom" wrapText="1"/>
    </xf>
    <xf borderId="0" fillId="13" fontId="15" numFmtId="0" xfId="0" applyAlignment="1" applyFill="1" applyFont="1">
      <alignment shrinkToFit="0" vertical="bottom" wrapText="1"/>
    </xf>
    <xf borderId="0" fillId="14" fontId="15" numFmtId="49" xfId="0" applyAlignment="1" applyFill="1" applyFont="1" applyNumberFormat="1">
      <alignment shrinkToFit="0" vertical="bottom" wrapText="1"/>
    </xf>
    <xf borderId="0" fillId="14" fontId="14" numFmtId="49" xfId="0" applyAlignment="1" applyFont="1" applyNumberFormat="1">
      <alignment shrinkToFit="0" vertical="bottom" wrapText="1"/>
    </xf>
    <xf borderId="0" fillId="13" fontId="16" numFmtId="0" xfId="0" applyAlignment="1" applyFont="1">
      <alignment vertical="bottom"/>
    </xf>
    <xf borderId="0" fillId="14" fontId="16" numFmtId="0" xfId="0" applyAlignment="1" applyFont="1">
      <alignment vertical="bottom"/>
    </xf>
    <xf borderId="0" fillId="13" fontId="16" numFmtId="0" xfId="0" applyAlignment="1" applyFont="1">
      <alignment vertical="bottom"/>
    </xf>
    <xf borderId="0" fillId="14" fontId="15" numFmtId="0" xfId="0" applyAlignment="1" applyFont="1">
      <alignment shrinkToFit="0" vertical="bottom" wrapText="1"/>
    </xf>
    <xf borderId="0" fillId="6" fontId="15" numFmtId="0" xfId="0" applyAlignment="1" applyFont="1">
      <alignment shrinkToFit="0" vertical="bottom" wrapText="1"/>
    </xf>
    <xf borderId="40" fillId="9" fontId="7" numFmtId="0" xfId="0" applyAlignment="1" applyBorder="1" applyFont="1">
      <alignment horizontal="left" shrinkToFit="0" vertical="top" wrapText="1"/>
    </xf>
    <xf borderId="0" fillId="2" fontId="3" numFmtId="49" xfId="0" applyAlignment="1" applyFont="1" applyNumberFormat="1">
      <alignment shrinkToFit="0" wrapText="1"/>
    </xf>
    <xf borderId="0" fillId="0" fontId="9" numFmtId="0" xfId="0" applyAlignment="1" applyFont="1">
      <alignment vertical="bottom"/>
    </xf>
    <xf borderId="0" fillId="0" fontId="9" numFmtId="49" xfId="0" applyAlignment="1" applyFont="1" applyNumberFormat="1">
      <alignment shrinkToFit="0" vertical="bottom" wrapText="0"/>
    </xf>
    <xf borderId="0" fillId="0" fontId="9" numFmtId="49" xfId="0" applyAlignment="1" applyFont="1" applyNumberFormat="1">
      <alignment vertical="bottom"/>
    </xf>
    <xf borderId="0" fillId="0" fontId="9" numFmtId="0" xfId="0" applyAlignment="1" applyFont="1">
      <alignment horizontal="right" vertical="bottom"/>
    </xf>
    <xf borderId="0" fillId="0" fontId="9" numFmtId="0" xfId="0" applyAlignment="1" applyFont="1">
      <alignment shrinkToFit="0" vertical="bottom" wrapText="0"/>
    </xf>
    <xf borderId="0" fillId="13" fontId="15" numFmtId="49" xfId="0" applyAlignment="1" applyFont="1" applyNumberFormat="1">
      <alignment shrinkToFit="0" vertical="bottom" wrapText="1"/>
    </xf>
    <xf borderId="0" fillId="13" fontId="14" numFmtId="49" xfId="0" applyAlignment="1" applyFont="1" applyNumberFormat="1">
      <alignment shrinkToFit="0" vertical="bottom" wrapText="1"/>
    </xf>
    <xf borderId="0" fillId="0" fontId="9" numFmtId="0" xfId="0" applyAlignment="1" applyFont="1">
      <alignment horizontal="right" readingOrder="0" vertical="bottom"/>
    </xf>
    <xf borderId="0" fillId="6" fontId="15" numFmtId="49" xfId="0" applyAlignment="1" applyFont="1" applyNumberFormat="1">
      <alignment readingOrder="0" shrinkToFit="0" vertical="bottom" wrapText="1"/>
    </xf>
    <xf borderId="0" fillId="7" fontId="16" numFmtId="0" xfId="0" applyAlignment="1" applyFont="1">
      <alignment vertical="bottom"/>
    </xf>
    <xf borderId="0" fillId="8" fontId="16" numFmtId="49" xfId="0" applyAlignment="1" applyFont="1" applyNumberFormat="1">
      <alignment vertical="bottom"/>
    </xf>
    <xf borderId="0" fillId="0" fontId="14" numFmtId="49" xfId="0" applyAlignment="1" applyFont="1" applyNumberFormat="1">
      <alignment shrinkToFit="0" vertical="bottom" wrapText="1"/>
    </xf>
    <xf borderId="0" fillId="8" fontId="16" numFmtId="0" xfId="0" applyAlignment="1" applyFont="1">
      <alignment vertical="bottom"/>
    </xf>
    <xf borderId="0" fillId="7" fontId="16" numFmtId="0" xfId="0" applyAlignment="1" applyFont="1">
      <alignment vertical="bottom"/>
    </xf>
    <xf borderId="2" fillId="0" fontId="10" numFmtId="0" xfId="0" applyAlignment="1" applyBorder="1" applyFont="1">
      <alignment vertical="bottom"/>
    </xf>
    <xf borderId="3" fillId="0" fontId="10" numFmtId="0" xfId="0" applyAlignment="1" applyBorder="1" applyFont="1">
      <alignment horizontal="right" vertical="bottom"/>
    </xf>
    <xf borderId="3" fillId="0" fontId="10" numFmtId="0" xfId="0" applyAlignment="1" applyBorder="1" applyFont="1">
      <alignment vertical="bottom"/>
    </xf>
    <xf borderId="3" fillId="0" fontId="10" numFmtId="0" xfId="0" applyAlignment="1" applyBorder="1" applyFont="1">
      <alignment vertical="bottom"/>
    </xf>
    <xf borderId="0" fillId="0" fontId="11" numFmtId="49" xfId="0" applyAlignment="1" applyFont="1" applyNumberFormat="1">
      <alignment readingOrder="0" shrinkToFit="0" wrapText="1"/>
    </xf>
    <xf borderId="31" fillId="0" fontId="10" numFmtId="0" xfId="0" applyAlignment="1" applyBorder="1" applyFont="1">
      <alignment vertical="bottom"/>
    </xf>
    <xf borderId="0" fillId="5" fontId="16" numFmtId="49" xfId="0" applyAlignment="1" applyFont="1" applyNumberFormat="1">
      <alignment shrinkToFit="0" vertical="bottom" wrapText="1"/>
    </xf>
    <xf borderId="22" fillId="9" fontId="30" numFmtId="0" xfId="0" applyBorder="1" applyFont="1"/>
    <xf borderId="0" fillId="0" fontId="10" numFmtId="0" xfId="0" applyAlignment="1" applyFont="1">
      <alignment shrinkToFit="0" vertical="bottom" wrapText="0"/>
    </xf>
    <xf borderId="41" fillId="0" fontId="10" numFmtId="0" xfId="0" applyAlignment="1" applyBorder="1" applyFont="1">
      <alignment shrinkToFit="0" vertical="bottom" wrapText="0"/>
    </xf>
    <xf borderId="0" fillId="5" fontId="14" numFmtId="49" xfId="0" applyAlignment="1" applyFont="1" applyNumberFormat="1">
      <alignment readingOrder="0" shrinkToFit="0" vertical="bottom" wrapText="1"/>
    </xf>
    <xf borderId="0" fillId="5" fontId="16" numFmtId="0" xfId="0" applyAlignment="1" applyFont="1">
      <alignment readingOrder="0" vertical="bottom"/>
    </xf>
    <xf borderId="0" fillId="14" fontId="16" numFmtId="49" xfId="0" applyAlignment="1" applyFont="1" applyNumberFormat="1">
      <alignment vertical="bottom"/>
    </xf>
    <xf borderId="0" fillId="13" fontId="16" numFmtId="49" xfId="0" applyAlignment="1" applyFont="1" applyNumberFormat="1">
      <alignment vertical="bottom"/>
    </xf>
    <xf borderId="0" fillId="0" fontId="16" numFmtId="49" xfId="0" applyAlignment="1" applyFont="1" applyNumberFormat="1">
      <alignment vertical="top"/>
    </xf>
    <xf borderId="0" fillId="5" fontId="16" numFmtId="49" xfId="0" applyAlignment="1" applyFont="1" applyNumberFormat="1">
      <alignment vertical="top"/>
    </xf>
    <xf borderId="42" fillId="0" fontId="10" numFmtId="0" xfId="0" applyAlignment="1" applyBorder="1" applyFont="1">
      <alignment vertical="bottom"/>
    </xf>
    <xf borderId="43" fillId="0" fontId="10" numFmtId="0" xfId="0" applyAlignment="1" applyBorder="1" applyFont="1">
      <alignment vertical="bottom"/>
    </xf>
    <xf borderId="43" fillId="0" fontId="10" numFmtId="0" xfId="0" applyAlignment="1" applyBorder="1" applyFont="1">
      <alignment vertical="bottom"/>
    </xf>
    <xf borderId="44" fillId="0" fontId="10" numFmtId="0" xfId="0" applyAlignment="1" applyBorder="1" applyFont="1">
      <alignment vertical="bottom"/>
    </xf>
    <xf borderId="41" fillId="0" fontId="10" numFmtId="0" xfId="0" applyAlignment="1" applyBorder="1" applyFont="1">
      <alignment horizontal="right" vertical="bottom"/>
    </xf>
    <xf borderId="0" fillId="5" fontId="16" numFmtId="49" xfId="0" applyAlignment="1" applyFont="1" applyNumberFormat="1">
      <alignment readingOrder="0" vertical="top"/>
    </xf>
    <xf borderId="30" fillId="9" fontId="31" numFmtId="0" xfId="0" applyAlignment="1" applyBorder="1" applyFont="1">
      <alignment horizontal="left" readingOrder="0" vertical="top"/>
    </xf>
    <xf borderId="0" fillId="15" fontId="14" numFmtId="0" xfId="0" applyAlignment="1" applyFill="1" applyFont="1">
      <alignment readingOrder="0" shrinkToFit="0" vertical="bottom" wrapText="1"/>
    </xf>
    <xf borderId="0" fillId="15" fontId="14" numFmtId="0" xfId="0" applyAlignment="1" applyFont="1">
      <alignment shrinkToFit="0" vertical="bottom" wrapText="1"/>
    </xf>
    <xf borderId="0" fillId="4" fontId="14" numFmtId="0" xfId="0" applyAlignment="1" applyFont="1">
      <alignment readingOrder="0" shrinkToFit="0" vertical="bottom" wrapText="1"/>
    </xf>
    <xf borderId="0" fillId="15" fontId="14" numFmtId="0" xfId="0" applyAlignment="1" applyFont="1">
      <alignment shrinkToFit="0" vertical="bottom" wrapText="1"/>
    </xf>
    <xf borderId="0" fillId="4" fontId="14" numFmtId="0" xfId="0" applyAlignment="1" applyFont="1">
      <alignment shrinkToFit="0" vertical="bottom" wrapText="1"/>
    </xf>
    <xf borderId="30" fillId="9" fontId="7" numFmtId="0" xfId="0" applyAlignment="1" applyBorder="1" applyFont="1">
      <alignment horizontal="center" vertical="top"/>
    </xf>
    <xf borderId="0" fillId="5" fontId="16" numFmtId="0" xfId="0" applyAlignment="1" applyFont="1">
      <alignment shrinkToFit="0" vertical="bottom" wrapText="1"/>
    </xf>
    <xf borderId="0" fillId="8" fontId="15" numFmtId="49" xfId="0" applyAlignment="1" applyFont="1" applyNumberFormat="1">
      <alignment readingOrder="0" shrinkToFit="0" vertical="bottom" wrapText="1"/>
    </xf>
    <xf borderId="0" fillId="12" fontId="14" numFmtId="0" xfId="0" applyAlignment="1" applyFont="1">
      <alignment shrinkToFit="0" vertical="bottom" wrapText="1"/>
    </xf>
    <xf borderId="0" fillId="11" fontId="14" numFmtId="49" xfId="0" applyAlignment="1" applyFont="1" applyNumberFormat="1">
      <alignment shrinkToFit="0" vertical="bottom" wrapText="1"/>
    </xf>
    <xf borderId="0" fillId="8" fontId="14" numFmtId="49" xfId="0" applyAlignment="1" applyFont="1" applyNumberFormat="1">
      <alignment readingOrder="0" shrinkToFit="0" vertical="bottom" wrapText="1"/>
    </xf>
    <xf borderId="0" fillId="8" fontId="14" numFmtId="49" xfId="0" applyAlignment="1" applyFont="1" applyNumberFormat="1">
      <alignment shrinkToFit="0" vertical="bottom" wrapText="1"/>
    </xf>
    <xf borderId="45" fillId="8" fontId="32" numFmtId="0" xfId="0" applyAlignment="1" applyBorder="1" applyFont="1">
      <alignment horizontal="left"/>
    </xf>
    <xf borderId="20" fillId="0" fontId="5" numFmtId="0" xfId="0" applyBorder="1" applyFont="1"/>
    <xf borderId="23" fillId="8" fontId="7" numFmtId="0" xfId="0" applyAlignment="1" applyBorder="1" applyFont="1">
      <alignment shrinkToFit="0" wrapText="1"/>
    </xf>
    <xf borderId="23" fillId="8" fontId="7" numFmtId="0" xfId="0" applyBorder="1" applyFont="1"/>
    <xf borderId="45" fillId="8" fontId="33" numFmtId="0" xfId="0" applyAlignment="1" applyBorder="1" applyFont="1">
      <alignment horizontal="left" vertical="top"/>
    </xf>
    <xf borderId="44" fillId="0" fontId="5" numFmtId="0" xfId="0" applyBorder="1" applyFont="1"/>
    <xf borderId="41" fillId="0" fontId="10" numFmtId="0" xfId="0" applyAlignment="1" applyBorder="1" applyFont="1">
      <alignment vertical="bottom"/>
    </xf>
    <xf borderId="0" fillId="16" fontId="14" numFmtId="0" xfId="0" applyAlignment="1" applyFill="1" applyFont="1">
      <alignment shrinkToFit="0" vertical="bottom" wrapText="1"/>
    </xf>
    <xf borderId="0" fillId="17" fontId="14" numFmtId="49" xfId="0" applyAlignment="1" applyFill="1" applyFont="1" applyNumberFormat="1">
      <alignment shrinkToFit="0" vertical="bottom" wrapText="1"/>
    </xf>
    <xf borderId="0" fillId="16" fontId="14" numFmtId="0" xfId="0" applyAlignment="1" applyFont="1">
      <alignment shrinkToFit="0" vertical="bottom" wrapText="1"/>
    </xf>
    <xf borderId="30" fillId="8" fontId="34" numFmtId="0" xfId="0" applyAlignment="1" applyBorder="1" applyFont="1">
      <alignment horizontal="center"/>
    </xf>
    <xf borderId="0" fillId="17" fontId="14" numFmtId="0" xfId="0" applyAlignment="1" applyFont="1">
      <alignment shrinkToFit="0" vertical="bottom" wrapText="1"/>
    </xf>
    <xf borderId="30" fillId="8" fontId="35" numFmtId="0" xfId="0" applyAlignment="1" applyBorder="1" applyFont="1">
      <alignment horizontal="center"/>
    </xf>
    <xf borderId="30" fillId="8" fontId="35" numFmtId="16" xfId="0" applyAlignment="1" applyBorder="1" applyFont="1" applyNumberFormat="1">
      <alignment horizontal="center"/>
    </xf>
    <xf borderId="30" fillId="8" fontId="7" numFmtId="0" xfId="0" applyBorder="1" applyFont="1"/>
    <xf borderId="30" fillId="8" fontId="7" numFmtId="0" xfId="0" applyAlignment="1" applyBorder="1" applyFont="1">
      <alignment shrinkToFit="0" wrapText="1"/>
    </xf>
    <xf borderId="30" fillId="8" fontId="35" numFmtId="0" xfId="0" applyAlignment="1" applyBorder="1" applyFont="1">
      <alignment horizontal="center" shrinkToFit="0" wrapText="1"/>
    </xf>
    <xf borderId="30" fillId="8" fontId="35" numFmtId="0" xfId="0" applyAlignment="1" applyBorder="1" applyFont="1">
      <alignment horizontal="center" shrinkToFit="0" vertical="center" wrapText="1"/>
    </xf>
    <xf borderId="30" fillId="8" fontId="7" numFmtId="0" xfId="0" applyAlignment="1" applyBorder="1" applyFont="1">
      <alignment horizontal="center" shrinkToFit="0" vertical="center" wrapText="1"/>
    </xf>
    <xf borderId="0" fillId="18" fontId="14" numFmtId="0" xfId="0" applyAlignment="1" applyFill="1" applyFont="1">
      <alignment shrinkToFit="0" vertical="bottom" wrapText="1"/>
    </xf>
    <xf borderId="0" fillId="19" fontId="14" numFmtId="49" xfId="0" applyAlignment="1" applyFill="1" applyFont="1" applyNumberFormat="1">
      <alignment shrinkToFit="0" vertical="bottom" wrapText="1"/>
    </xf>
    <xf borderId="0" fillId="18" fontId="14" numFmtId="0" xfId="0" applyAlignment="1" applyFont="1">
      <alignment shrinkToFit="0" vertical="bottom" wrapText="1"/>
    </xf>
    <xf borderId="0" fillId="19" fontId="14" numFmtId="0" xfId="0" applyAlignment="1" applyFont="1">
      <alignment shrinkToFit="0" vertical="bottom" wrapText="1"/>
    </xf>
    <xf borderId="0" fillId="11" fontId="14" numFmtId="49" xfId="0" applyAlignment="1" applyFont="1" applyNumberFormat="1">
      <alignment readingOrder="0" shrinkToFit="0" vertical="bottom" wrapText="1"/>
    </xf>
    <xf borderId="30" fillId="8" fontId="7" numFmtId="0" xfId="0" applyAlignment="1" applyBorder="1" applyFont="1">
      <alignment horizontal="center" shrinkToFit="0" wrapText="1"/>
    </xf>
    <xf borderId="0" fillId="0" fontId="14" numFmtId="0" xfId="0" applyAlignment="1" applyFont="1">
      <alignment shrinkToFit="0" vertical="bottom" wrapText="1"/>
    </xf>
    <xf borderId="46" fillId="8" fontId="7" numFmtId="0" xfId="0" applyBorder="1" applyFont="1"/>
    <xf borderId="46" fillId="8" fontId="7" numFmtId="0" xfId="0" applyAlignment="1" applyBorder="1" applyFont="1">
      <alignment horizontal="center" shrinkToFit="0" wrapText="1"/>
    </xf>
    <xf borderId="0" fillId="0" fontId="7" numFmtId="0" xfId="0" applyAlignment="1" applyFont="1">
      <alignment horizontal="center" shrinkToFit="0" wrapText="1"/>
    </xf>
    <xf borderId="10" fillId="0" fontId="27" numFmtId="0" xfId="0" applyAlignment="1" applyBorder="1" applyFont="1">
      <alignment readingOrder="0" vertical="bottom"/>
    </xf>
    <xf borderId="0" fillId="0" fontId="36" numFmtId="0" xfId="0" applyFont="1"/>
    <xf borderId="47" fillId="0" fontId="10" numFmtId="0" xfId="0" applyAlignment="1" applyBorder="1" applyFont="1">
      <alignment vertical="bottom"/>
    </xf>
    <xf borderId="31" fillId="0" fontId="10" numFmtId="0" xfId="0" applyAlignment="1" applyBorder="1" applyFont="1">
      <alignment vertical="bottom"/>
    </xf>
    <xf borderId="0" fillId="16" fontId="14" numFmtId="0" xfId="0" applyAlignment="1" applyFont="1">
      <alignment shrinkToFit="0" vertical="bottom" wrapText="1"/>
    </xf>
    <xf borderId="0" fillId="17" fontId="14" numFmtId="0" xfId="0" applyAlignment="1" applyFont="1">
      <alignment shrinkToFit="0" vertical="bottom" wrapText="1"/>
    </xf>
    <xf borderId="0" fillId="15" fontId="14" numFmtId="49" xfId="0" applyAlignment="1" applyFont="1" applyNumberFormat="1">
      <alignment readingOrder="0" shrinkToFit="0" vertical="bottom" wrapText="1"/>
    </xf>
    <xf borderId="0" fillId="4" fontId="14" numFmtId="49" xfId="0" applyAlignment="1" applyFont="1" applyNumberFormat="1">
      <alignment readingOrder="0" shrinkToFit="0" vertical="bottom" wrapText="1"/>
    </xf>
    <xf borderId="0" fillId="15" fontId="14" numFmtId="49" xfId="0" applyAlignment="1" applyFont="1" applyNumberFormat="1">
      <alignment shrinkToFit="0" vertical="bottom" wrapText="1"/>
    </xf>
    <xf borderId="0" fillId="17" fontId="14" numFmtId="49" xfId="0" applyAlignment="1" applyFont="1" applyNumberFormat="1">
      <alignment readingOrder="0" shrinkToFit="0" vertical="bottom" wrapText="1"/>
    </xf>
    <xf borderId="0" fillId="16" fontId="14" numFmtId="0" xfId="0" applyAlignment="1" applyFont="1">
      <alignment readingOrder="0" shrinkToFit="0" vertical="bottom" wrapText="1"/>
    </xf>
    <xf borderId="0" fillId="7" fontId="14" numFmtId="49" xfId="0" applyAlignment="1" applyFont="1" applyNumberFormat="1">
      <alignment shrinkToFit="0" vertical="bottom" wrapText="1"/>
    </xf>
    <xf borderId="0" fillId="6" fontId="29" numFmtId="49" xfId="0" applyAlignment="1" applyFont="1" applyNumberFormat="1">
      <alignment horizontal="left" readingOrder="0" shrinkToFit="0" wrapText="1"/>
    </xf>
    <xf borderId="0" fillId="18" fontId="14" numFmtId="0" xfId="0" applyAlignment="1" applyFont="1">
      <alignment shrinkToFit="0" vertical="bottom" wrapText="1"/>
    </xf>
    <xf borderId="0" fillId="19" fontId="14" numFmtId="0" xfId="0" applyAlignment="1" applyFont="1">
      <alignment shrinkToFit="0" vertical="bottom" wrapText="1"/>
    </xf>
    <xf borderId="0" fillId="6" fontId="11" numFmtId="49" xfId="0" applyAlignment="1" applyFont="1" applyNumberFormat="1">
      <alignment horizontal="left" readingOrder="0" shrinkToFit="0" wrapText="1"/>
    </xf>
    <xf borderId="21" fillId="0" fontId="10" numFmtId="0" xfId="0" applyAlignment="1" applyBorder="1" applyFont="1">
      <alignment vertical="bottom"/>
    </xf>
    <xf borderId="0" fillId="6" fontId="29" numFmtId="0" xfId="0" applyAlignment="1" applyFont="1">
      <alignment horizontal="left" readingOrder="0" shrinkToFit="0" wrapText="1"/>
    </xf>
    <xf borderId="32" fillId="0" fontId="10" numFmtId="0" xfId="0" applyAlignment="1" applyBorder="1" applyFont="1">
      <alignment horizontal="right" vertical="bottom"/>
    </xf>
    <xf borderId="0" fillId="0" fontId="37" numFmtId="49" xfId="0" applyFont="1" applyNumberFormat="1"/>
    <xf borderId="0" fillId="15" fontId="15" numFmtId="0" xfId="0" applyAlignment="1" applyFont="1">
      <alignment shrinkToFit="0" vertical="bottom" wrapText="1"/>
    </xf>
    <xf borderId="0" fillId="4" fontId="15" numFmtId="49" xfId="0" applyAlignment="1" applyFont="1" applyNumberFormat="1">
      <alignment shrinkToFit="0" vertical="bottom" wrapText="1"/>
    </xf>
    <xf borderId="0" fillId="7" fontId="15" numFmtId="0" xfId="0" applyAlignment="1" applyFont="1">
      <alignment shrinkToFit="0" vertical="bottom" wrapText="1"/>
    </xf>
    <xf borderId="0" fillId="8" fontId="15" numFmtId="49" xfId="0" applyAlignment="1" applyFont="1" applyNumberFormat="1">
      <alignment shrinkToFit="0" vertical="bottom" wrapText="1"/>
    </xf>
    <xf borderId="0" fillId="16" fontId="15" numFmtId="0" xfId="0" applyAlignment="1" applyFont="1">
      <alignment shrinkToFit="0" vertical="bottom" wrapText="1"/>
    </xf>
    <xf borderId="0" fillId="17" fontId="15" numFmtId="49" xfId="0" applyAlignment="1" applyFont="1" applyNumberFormat="1">
      <alignment shrinkToFit="0" vertical="bottom" wrapText="1"/>
    </xf>
    <xf borderId="0" fillId="15" fontId="16" numFmtId="0" xfId="0" applyAlignment="1" applyFont="1">
      <alignment shrinkToFit="0" vertical="bottom" wrapText="1"/>
    </xf>
    <xf borderId="0" fillId="13" fontId="15" numFmtId="0" xfId="0" applyAlignment="1" applyFont="1">
      <alignment shrinkToFit="0" vertical="bottom" wrapText="1"/>
    </xf>
    <xf borderId="0" fillId="7" fontId="16" numFmtId="0" xfId="0" applyAlignment="1" applyFont="1">
      <alignment shrinkToFit="0" vertical="bottom" wrapText="1"/>
    </xf>
    <xf borderId="0" fillId="8" fontId="16" numFmtId="0" xfId="0" applyAlignment="1" applyFont="1">
      <alignment shrinkToFit="0" vertical="bottom" wrapText="1"/>
    </xf>
    <xf borderId="0" fillId="7" fontId="16" numFmtId="0" xfId="0" applyAlignment="1" applyFont="1">
      <alignment shrinkToFit="0" vertical="bottom" wrapText="1"/>
    </xf>
    <xf borderId="0" fillId="5" fontId="15" numFmtId="49" xfId="0" applyAlignment="1" applyFont="1" applyNumberFormat="1">
      <alignment shrinkToFit="0" vertical="bottom" wrapText="1"/>
    </xf>
    <xf borderId="0" fillId="7" fontId="15" numFmtId="0" xfId="0" applyAlignment="1" applyFont="1">
      <alignment shrinkToFit="0" vertical="bottom" wrapText="1"/>
    </xf>
    <xf borderId="0" fillId="18" fontId="15" numFmtId="0" xfId="0" applyAlignment="1" applyFont="1">
      <alignment shrinkToFit="0" vertical="bottom" wrapText="1"/>
    </xf>
    <xf borderId="0" fillId="19" fontId="15" numFmtId="49" xfId="0" applyAlignment="1" applyFont="1" applyNumberFormat="1">
      <alignment shrinkToFit="0" vertical="bottom" wrapText="1"/>
    </xf>
    <xf borderId="0" fillId="16" fontId="16" numFmtId="0" xfId="0" applyAlignment="1" applyFont="1">
      <alignment shrinkToFit="0" vertical="bottom" wrapText="1"/>
    </xf>
    <xf borderId="0" fillId="17" fontId="16" numFmtId="0" xfId="0" applyAlignment="1" applyFont="1">
      <alignment shrinkToFit="0" vertical="bottom" wrapText="1"/>
    </xf>
    <xf borderId="0" fillId="6" fontId="16" numFmtId="49" xfId="0" applyAlignment="1" applyFont="1" applyNumberFormat="1">
      <alignment shrinkToFit="0" vertical="bottom" wrapText="1"/>
    </xf>
    <xf borderId="0" fillId="16" fontId="15" numFmtId="0" xfId="0" applyAlignment="1" applyFont="1">
      <alignment shrinkToFit="0" vertical="bottom" wrapText="1"/>
    </xf>
    <xf borderId="0" fillId="8" fontId="15" numFmtId="0" xfId="0" applyAlignment="1" applyFont="1">
      <alignment shrinkToFit="0" vertical="bottom" wrapText="1"/>
    </xf>
    <xf borderId="0" fillId="11" fontId="15" numFmtId="0" xfId="0" applyAlignment="1" applyFont="1">
      <alignment shrinkToFit="0" vertical="bottom" wrapText="1"/>
    </xf>
    <xf borderId="0" fillId="12" fontId="15" numFmtId="49" xfId="0" applyAlignment="1" applyFont="1" applyNumberFormat="1">
      <alignment shrinkToFit="0" vertical="bottom" wrapText="1"/>
    </xf>
    <xf borderId="0" fillId="12" fontId="16" numFmtId="49" xfId="0" applyAlignment="1" applyFont="1" applyNumberFormat="1">
      <alignment shrinkToFit="0" vertical="bottom" wrapText="1"/>
    </xf>
    <xf borderId="0" fillId="7" fontId="16" numFmtId="0" xfId="0" applyAlignment="1" applyFont="1">
      <alignment shrinkToFit="0" vertical="top" wrapText="1"/>
    </xf>
    <xf borderId="0" fillId="11" fontId="16" numFmtId="0" xfId="0" applyAlignment="1" applyFont="1">
      <alignment shrinkToFit="0" vertical="bottom" wrapText="1"/>
    </xf>
    <xf borderId="0" fillId="11" fontId="16" numFmtId="49" xfId="0" applyAlignment="1" applyFont="1" applyNumberFormat="1">
      <alignment shrinkToFit="0" vertical="bottom" wrapText="1"/>
    </xf>
    <xf borderId="0" fillId="13" fontId="16" numFmtId="0" xfId="0" applyAlignment="1" applyFont="1">
      <alignment shrinkToFit="0" vertical="bottom" wrapText="1"/>
    </xf>
    <xf borderId="0" fillId="14" fontId="16" numFmtId="0" xfId="0" applyAlignment="1" applyFont="1">
      <alignment shrinkToFit="0" vertical="bottom" wrapText="1"/>
    </xf>
    <xf borderId="0" fillId="18" fontId="16" numFmtId="0" xfId="0" applyAlignment="1" applyFont="1">
      <alignment shrinkToFit="0" vertical="bottom" wrapText="1"/>
    </xf>
    <xf borderId="0" fillId="19" fontId="15" numFmtId="0" xfId="0" applyAlignment="1" applyFont="1">
      <alignment shrinkToFit="0" vertical="bottom" wrapText="1"/>
    </xf>
    <xf borderId="0" fillId="19" fontId="16" numFmtId="0" xfId="0" applyAlignment="1" applyFont="1">
      <alignment shrinkToFit="0" vertical="bottom" wrapText="1"/>
    </xf>
    <xf borderId="0" fillId="18" fontId="15" numFmtId="0" xfId="0" applyAlignment="1" applyFont="1">
      <alignment shrinkToFit="0" vertical="bottom" wrapText="1"/>
    </xf>
    <xf borderId="0" fillId="11" fontId="15" numFmtId="49" xfId="0" applyAlignment="1" applyFont="1" applyNumberFormat="1">
      <alignment shrinkToFit="0" vertical="bottom" wrapText="1"/>
    </xf>
    <xf borderId="0" fillId="6" fontId="16" numFmtId="0" xfId="0" applyAlignment="1" applyFont="1">
      <alignment shrinkToFit="0" vertical="bottom" wrapText="1"/>
    </xf>
    <xf borderId="0" fillId="11" fontId="16" numFmtId="0" xfId="0" applyAlignment="1" applyFont="1">
      <alignment shrinkToFit="0" vertical="bottom" wrapText="1"/>
    </xf>
    <xf borderId="0" fillId="12" fontId="16" numFmtId="0" xfId="0" applyAlignment="1" applyFont="1">
      <alignment shrinkToFit="0" vertical="bottom" wrapText="1"/>
    </xf>
    <xf borderId="0" fillId="12" fontId="15" numFmtId="0" xfId="0" applyAlignment="1" applyFont="1">
      <alignment shrinkToFit="0" vertical="bottom" wrapText="1"/>
    </xf>
    <xf borderId="0" fillId="10" fontId="16" numFmtId="0" xfId="0" applyAlignment="1" applyFont="1">
      <alignment shrinkToFit="0" vertical="bottom" wrapText="1"/>
    </xf>
    <xf borderId="0" fillId="10" fontId="16" numFmtId="49" xfId="0" applyAlignment="1" applyFont="1" applyNumberFormat="1">
      <alignment shrinkToFit="0" vertical="bottom" wrapText="1"/>
    </xf>
    <xf borderId="0" fillId="11" fontId="15" numFmtId="0" xfId="0" applyAlignment="1" applyFont="1">
      <alignment shrinkToFit="0" vertical="bottom" wrapText="1"/>
    </xf>
    <xf borderId="0" fillId="10" fontId="14" numFmtId="49" xfId="0" applyAlignment="1" applyFont="1" applyNumberFormat="1">
      <alignment shrinkToFit="0" vertical="bottom" wrapText="1"/>
    </xf>
    <xf borderId="0" fillId="10" fontId="16" numFmtId="0" xfId="0" applyAlignment="1" applyFont="1">
      <alignment shrinkToFit="0" vertical="bottom" wrapText="1"/>
    </xf>
    <xf borderId="0" fillId="0" fontId="16" numFmtId="0" xfId="0" applyAlignment="1" applyFont="1">
      <alignment shrinkToFit="0" vertical="bottom" wrapText="1"/>
    </xf>
    <xf borderId="0" fillId="0" fontId="16" numFmtId="49" xfId="0" applyAlignment="1" applyFont="1" applyNumberFormat="1">
      <alignment shrinkToFit="0" vertical="bottom" wrapText="1"/>
    </xf>
    <xf quotePrefix="1" borderId="0" fillId="0" fontId="10" numFmtId="0" xfId="0" applyAlignment="1" applyFont="1">
      <alignment vertical="bottom"/>
    </xf>
    <xf borderId="0" fillId="15" fontId="15" numFmtId="0" xfId="0" applyAlignment="1" applyFont="1">
      <alignment shrinkToFit="0" vertical="bottom" wrapText="1"/>
    </xf>
    <xf borderId="0" fillId="17" fontId="15" numFmtId="0" xfId="0" applyAlignment="1" applyFont="1">
      <alignment shrinkToFit="0" vertical="bottom" wrapText="1"/>
    </xf>
    <xf borderId="0" fillId="14" fontId="16" numFmtId="49" xfId="0" applyAlignment="1" applyFont="1" applyNumberFormat="1">
      <alignment shrinkToFit="0" vertical="bottom" wrapText="1"/>
    </xf>
    <xf borderId="0" fillId="13" fontId="16" numFmtId="49" xfId="0" applyAlignment="1" applyFont="1" applyNumberFormat="1">
      <alignment shrinkToFit="0" vertical="bottom" wrapText="1"/>
    </xf>
    <xf borderId="48" fillId="0" fontId="10" numFmtId="0" xfId="0" applyAlignment="1" applyBorder="1" applyFont="1">
      <alignment vertical="bottom"/>
    </xf>
    <xf borderId="49" fillId="0" fontId="10" numFmtId="0" xfId="0" applyAlignment="1" applyBorder="1" applyFont="1">
      <alignment vertical="bottom"/>
    </xf>
    <xf borderId="0" fillId="15" fontId="15" numFmtId="0" xfId="0" applyAlignment="1" applyFont="1">
      <alignment readingOrder="0" shrinkToFit="0" vertical="bottom" wrapText="1"/>
    </xf>
    <xf borderId="0" fillId="4" fontId="15" numFmtId="49" xfId="0" applyAlignment="1" applyFont="1" applyNumberFormat="1">
      <alignment readingOrder="0" shrinkToFit="0" vertical="bottom" wrapText="1"/>
    </xf>
    <xf borderId="21" fillId="0" fontId="10" numFmtId="0" xfId="0" applyAlignment="1" applyBorder="1" applyFont="1">
      <alignment horizontal="right" vertical="bottom"/>
    </xf>
    <xf borderId="21" fillId="0" fontId="38" numFmtId="0" xfId="0" applyAlignment="1" applyBorder="1" applyFont="1">
      <alignment vertical="bottom"/>
    </xf>
    <xf borderId="0" fillId="0" fontId="38" numFmtId="0" xfId="0" applyAlignment="1" applyFont="1">
      <alignment vertical="bottom"/>
    </xf>
    <xf borderId="0" fillId="0" fontId="38" numFmtId="0" xfId="0" applyAlignment="1" applyFont="1">
      <alignment shrinkToFit="0" vertical="bottom" wrapText="0"/>
    </xf>
    <xf borderId="9" fillId="0" fontId="10" numFmtId="0" xfId="0" applyAlignment="1" applyBorder="1" applyFont="1">
      <alignment horizontal="right" vertical="bottom"/>
    </xf>
    <xf borderId="9" fillId="0" fontId="38" numFmtId="0" xfId="0" applyAlignment="1" applyBorder="1" applyFont="1">
      <alignment vertical="bottom"/>
    </xf>
    <xf borderId="21" fillId="0" fontId="38" numFmtId="0" xfId="0" applyAlignment="1" applyBorder="1" applyFont="1">
      <alignment shrinkToFit="0" vertical="bottom" wrapText="0"/>
    </xf>
    <xf borderId="0" fillId="8" fontId="15" numFmtId="0" xfId="0" applyAlignment="1" applyFont="1">
      <alignment shrinkToFit="0" vertical="bottom" wrapText="1"/>
    </xf>
    <xf borderId="41" fillId="0" fontId="10" numFmtId="0" xfId="0" applyAlignment="1" applyBorder="1" applyFont="1">
      <alignment vertical="bottom"/>
    </xf>
    <xf borderId="0" fillId="20" fontId="15" numFmtId="0" xfId="0" applyAlignment="1" applyFill="1" applyFont="1">
      <alignment shrinkToFit="0" vertical="bottom" wrapText="1"/>
    </xf>
    <xf borderId="0" fillId="21" fontId="15" numFmtId="49" xfId="0" applyAlignment="1" applyFill="1" applyFont="1" applyNumberFormat="1">
      <alignment shrinkToFit="0" vertical="bottom" wrapText="1"/>
    </xf>
    <xf borderId="0" fillId="19" fontId="16" numFmtId="49" xfId="0" applyAlignment="1" applyFont="1" applyNumberFormat="1">
      <alignment vertical="bottom"/>
    </xf>
    <xf borderId="0" fillId="13" fontId="15" numFmtId="0" xfId="0" applyAlignment="1" applyFont="1">
      <alignment shrinkToFit="0" vertical="bottom" wrapText="1"/>
    </xf>
    <xf borderId="21" fillId="0" fontId="39" numFmtId="0" xfId="0" applyAlignment="1" applyBorder="1" applyFont="1">
      <alignment vertical="bottom"/>
    </xf>
    <xf borderId="21" fillId="0" fontId="39" numFmtId="0" xfId="0" applyAlignment="1" applyBorder="1" applyFont="1">
      <alignment horizontal="right" vertical="bottom"/>
    </xf>
    <xf borderId="44" fillId="0" fontId="39" numFmtId="0" xfId="0" applyAlignment="1" applyBorder="1" applyFont="1">
      <alignment vertical="bottom"/>
    </xf>
    <xf borderId="0" fillId="0" fontId="39" numFmtId="0" xfId="0" applyAlignment="1" applyFont="1">
      <alignment vertical="bottom"/>
    </xf>
    <xf borderId="0" fillId="0" fontId="39" numFmtId="0" xfId="0" applyAlignment="1" applyFont="1">
      <alignment horizontal="right" vertical="bottom"/>
    </xf>
    <xf borderId="9" fillId="0" fontId="39" numFmtId="0" xfId="0" applyAlignment="1" applyBorder="1" applyFont="1">
      <alignment vertical="bottom"/>
    </xf>
    <xf borderId="9" fillId="0" fontId="39" numFmtId="0" xfId="0" applyAlignment="1" applyBorder="1" applyFont="1">
      <alignment shrinkToFit="0" vertical="bottom" wrapText="0"/>
    </xf>
    <xf borderId="9" fillId="0" fontId="39" numFmtId="0" xfId="0" applyAlignment="1" applyBorder="1" applyFont="1">
      <alignment horizontal="right" vertical="bottom"/>
    </xf>
    <xf borderId="0" fillId="13" fontId="14" numFmtId="0" xfId="0" applyAlignment="1" applyFont="1">
      <alignment shrinkToFit="0" vertical="bottom" wrapText="1"/>
    </xf>
    <xf borderId="0" fillId="6" fontId="16" numFmtId="49" xfId="0" applyAlignment="1" applyFont="1" applyNumberFormat="1">
      <alignment vertical="bottom"/>
    </xf>
    <xf borderId="0" fillId="15" fontId="16" numFmtId="49" xfId="0" applyAlignment="1" applyFont="1" applyNumberFormat="1">
      <alignment shrinkToFit="0" vertical="bottom" wrapText="1"/>
    </xf>
    <xf borderId="0" fillId="16" fontId="15" numFmtId="0" xfId="0" applyAlignment="1" applyFont="1">
      <alignment readingOrder="0" shrinkToFit="0" vertical="bottom" wrapText="1"/>
    </xf>
    <xf borderId="0" fillId="17" fontId="15" numFmtId="49" xfId="0" applyAlignment="1" applyFont="1" applyNumberFormat="1">
      <alignment readingOrder="0" shrinkToFit="0" vertical="bottom" wrapText="1"/>
    </xf>
    <xf borderId="0" fillId="7" fontId="15" numFmtId="49" xfId="0" applyAlignment="1" applyFont="1" applyNumberFormat="1">
      <alignment shrinkToFit="0" vertical="bottom" wrapText="1"/>
    </xf>
    <xf borderId="0" fillId="16" fontId="15" numFmtId="49" xfId="0" applyAlignment="1" applyFont="1" applyNumberFormat="1">
      <alignment shrinkToFit="0" vertical="bottom" wrapText="1"/>
    </xf>
    <xf borderId="0" fillId="18" fontId="16" numFmtId="0" xfId="0" applyAlignment="1" applyFont="1">
      <alignment shrinkToFit="0" vertical="bottom" wrapText="1"/>
    </xf>
    <xf borderId="0" fillId="8" fontId="16" numFmtId="49" xfId="0" applyAlignment="1" applyFont="1" applyNumberFormat="1">
      <alignment shrinkToFit="0" vertical="bottom" wrapText="1"/>
    </xf>
    <xf borderId="0" fillId="4" fontId="14" numFmtId="0" xfId="0" applyAlignment="1" applyFont="1">
      <alignment shrinkToFit="0" vertical="bottom" wrapText="1"/>
    </xf>
    <xf borderId="0" fillId="13" fontId="14" numFmtId="0" xfId="0" applyAlignment="1" applyFont="1">
      <alignment shrinkToFit="0" vertical="bottom" wrapText="1"/>
    </xf>
    <xf borderId="0" fillId="14" fontId="14" numFmtId="0" xfId="0" applyAlignment="1" applyFont="1">
      <alignment shrinkToFit="0" vertical="bottom" wrapText="1"/>
    </xf>
    <xf borderId="0" fillId="0" fontId="16" numFmtId="0" xfId="0" applyAlignment="1" applyFont="1">
      <alignment vertical="bottom"/>
    </xf>
    <xf borderId="0" fillId="22" fontId="14" numFmtId="0" xfId="0" applyAlignment="1" applyFill="1" applyFont="1">
      <alignment shrinkToFit="0" vertical="bottom" wrapText="1"/>
    </xf>
    <xf borderId="0" fillId="23" fontId="14" numFmtId="0" xfId="0" applyAlignment="1" applyFill="1" applyFont="1">
      <alignment shrinkToFit="0" vertical="bottom" wrapText="1"/>
    </xf>
    <xf borderId="0" fillId="20" fontId="16" numFmtId="0" xfId="0" applyAlignment="1" applyFont="1">
      <alignment shrinkToFit="0" vertical="bottom" wrapText="1"/>
    </xf>
    <xf borderId="0" fillId="21" fontId="16" numFmtId="0" xfId="0" applyAlignment="1" applyFont="1">
      <alignment shrinkToFit="0" vertical="bottom" wrapText="1"/>
    </xf>
    <xf borderId="0" fillId="20" fontId="15" numFmtId="0" xfId="0" applyAlignment="1" applyFont="1">
      <alignment shrinkToFit="0" vertical="bottom" wrapText="1"/>
    </xf>
    <xf borderId="0" fillId="21" fontId="15" numFmtId="0" xfId="0" applyAlignment="1" applyFont="1">
      <alignment shrinkToFit="0" vertical="bottom" wrapText="1"/>
    </xf>
    <xf borderId="0" fillId="20" fontId="16" numFmtId="0" xfId="0" applyAlignment="1" applyFont="1">
      <alignment shrinkToFit="0" vertical="bottom" wrapText="1"/>
    </xf>
    <xf borderId="0" fillId="15" fontId="16" numFmtId="0" xfId="0" applyAlignment="1" applyFont="1">
      <alignment shrinkToFit="0" vertical="bottom" wrapText="1"/>
    </xf>
    <xf borderId="0" fillId="18" fontId="16" numFmtId="0" xfId="0" applyAlignment="1" applyFont="1">
      <alignment vertical="bottom"/>
    </xf>
    <xf borderId="0" fillId="19" fontId="16" numFmtId="0" xfId="0" applyAlignment="1" applyFont="1">
      <alignment vertical="bottom"/>
    </xf>
    <xf borderId="0" fillId="18" fontId="14" numFmtId="0" xfId="0" applyAlignment="1" applyFont="1">
      <alignment readingOrder="0" shrinkToFit="0" vertical="bottom" wrapText="1"/>
    </xf>
    <xf borderId="0" fillId="7" fontId="15" numFmtId="0" xfId="0" applyAlignment="1" applyFont="1">
      <alignment readingOrder="0" shrinkToFit="0" vertical="bottom" wrapText="1"/>
    </xf>
    <xf borderId="0" fillId="13" fontId="16" numFmtId="0" xfId="0" applyAlignment="1" applyFont="1">
      <alignment shrinkToFit="0" vertical="bottom" wrapText="1"/>
    </xf>
    <xf borderId="0" fillId="0" fontId="16" numFmtId="0" xfId="0" applyAlignment="1" applyFont="1">
      <alignment shrinkToFit="0" vertical="bottom" wrapText="1"/>
    </xf>
    <xf borderId="0" fillId="19" fontId="15" numFmtId="49" xfId="0" applyAlignment="1" applyFont="1" applyNumberFormat="1">
      <alignment readingOrder="0" shrinkToFit="0" vertical="bottom" wrapText="1"/>
    </xf>
    <xf borderId="0" fillId="19" fontId="15" numFmtId="0" xfId="0" applyAlignment="1" applyFont="1">
      <alignment readingOrder="0" shrinkToFit="0" vertical="bottom" wrapText="1"/>
    </xf>
    <xf borderId="0" fillId="0" fontId="40" numFmtId="49" xfId="0" applyAlignment="1" applyFont="1" applyNumberFormat="1">
      <alignment readingOrder="0" shrinkToFit="0" vertical="bottom" wrapText="0"/>
    </xf>
    <xf borderId="0" fillId="14" fontId="15" numFmtId="0" xfId="0" applyAlignment="1" applyFont="1">
      <alignment shrinkToFit="0" vertical="bottom" wrapText="1"/>
    </xf>
    <xf borderId="0" fillId="13" fontId="16" numFmtId="0" xfId="0" applyAlignment="1" applyFont="1">
      <alignment shrinkToFit="0" vertical="bottom" wrapText="1"/>
    </xf>
    <xf borderId="0" fillId="5" fontId="16" numFmtId="0" xfId="0" applyAlignment="1" applyFont="1">
      <alignment shrinkToFit="0" vertical="bottom" wrapText="1"/>
    </xf>
    <xf borderId="0" fillId="6" fontId="15" numFmtId="0" xfId="0" applyAlignment="1" applyFont="1">
      <alignment shrinkToFit="0" vertical="bottom" wrapText="1"/>
    </xf>
    <xf borderId="0" fillId="16" fontId="16" numFmtId="0" xfId="0" applyAlignment="1" applyFont="1">
      <alignment shrinkToFit="0" vertical="bottom" wrapText="1"/>
    </xf>
    <xf borderId="0" fillId="6" fontId="41" numFmtId="0" xfId="0" applyAlignment="1" applyFont="1">
      <alignment shrinkToFit="0" vertical="bottom" wrapText="1"/>
    </xf>
    <xf borderId="0" fillId="0" fontId="37" numFmtId="0" xfId="0" applyFont="1"/>
    <xf borderId="0" fillId="13" fontId="14" numFmtId="0" xfId="0" applyAlignment="1" applyFont="1">
      <alignment readingOrder="0" shrinkToFit="0" vertical="bottom" wrapText="1"/>
    </xf>
    <xf borderId="0" fillId="19" fontId="14" numFmtId="0" xfId="0" applyAlignment="1" applyFont="1">
      <alignment shrinkToFit="0" vertical="bottom" wrapText="1"/>
    </xf>
    <xf borderId="0" fillId="19" fontId="16" numFmtId="0" xfId="0" applyAlignment="1" applyFont="1">
      <alignment shrinkToFit="0" vertical="bottom" wrapText="1"/>
    </xf>
    <xf borderId="0" fillId="7" fontId="16" numFmtId="0" xfId="0" applyAlignment="1" applyFont="1">
      <alignment shrinkToFit="0" vertical="bottom" wrapText="1"/>
    </xf>
    <xf borderId="0" fillId="16" fontId="16" numFmtId="0" xfId="0" applyAlignment="1" applyFont="1">
      <alignment shrinkToFit="0" vertical="bottom" wrapText="1"/>
    </xf>
    <xf borderId="0" fillId="18" fontId="16" numFmtId="0" xfId="0" applyAlignment="1" applyFont="1">
      <alignment shrinkToFit="0" vertical="bottom" wrapText="1"/>
    </xf>
    <xf borderId="0" fillId="15" fontId="16" numFmtId="0" xfId="0" applyAlignment="1" applyFont="1">
      <alignment shrinkToFit="0" vertical="bottom" wrapText="1"/>
    </xf>
    <xf borderId="0" fillId="19" fontId="15" numFmtId="0" xfId="0" applyAlignment="1" applyFon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50" width="36.89"/>
  </cols>
  <sheetData>
    <row r="1" ht="18.0" customHeight="1">
      <c r="A1" s="3" t="s">
        <v>3</v>
      </c>
      <c r="B1" s="5" t="s">
        <v>6</v>
      </c>
      <c r="C1" s="7" t="s">
        <v>8</v>
      </c>
      <c r="D1" s="14" t="s">
        <v>10</v>
      </c>
      <c r="E1" s="14" t="s">
        <v>13</v>
      </c>
      <c r="F1" s="5" t="s">
        <v>14</v>
      </c>
      <c r="G1" s="3" t="s">
        <v>15</v>
      </c>
      <c r="H1" s="3" t="s">
        <v>16</v>
      </c>
      <c r="I1" s="5" t="s">
        <v>17</v>
      </c>
      <c r="J1" s="17" t="s">
        <v>19</v>
      </c>
      <c r="K1" s="5" t="s">
        <v>20</v>
      </c>
      <c r="L1" s="5" t="s">
        <v>21</v>
      </c>
      <c r="M1" s="3" t="s">
        <v>22</v>
      </c>
      <c r="N1" s="3" t="s">
        <v>23</v>
      </c>
      <c r="O1" s="5" t="s">
        <v>24</v>
      </c>
      <c r="P1" s="5" t="s">
        <v>25</v>
      </c>
      <c r="Q1" s="5" t="s">
        <v>27</v>
      </c>
      <c r="R1" s="5" t="s">
        <v>28</v>
      </c>
      <c r="S1" s="5" t="s">
        <v>30</v>
      </c>
      <c r="T1" s="5" t="s">
        <v>31</v>
      </c>
      <c r="U1" s="5" t="s">
        <v>33</v>
      </c>
      <c r="V1" s="5" t="s">
        <v>34</v>
      </c>
      <c r="W1" s="5" t="s">
        <v>35</v>
      </c>
      <c r="X1" s="5" t="s">
        <v>36</v>
      </c>
      <c r="Y1" s="5" t="s">
        <v>37</v>
      </c>
      <c r="Z1" s="5" t="s">
        <v>38</v>
      </c>
      <c r="AA1" s="5" t="s">
        <v>39</v>
      </c>
      <c r="AB1" s="5" t="s">
        <v>40</v>
      </c>
      <c r="AC1" s="5" t="s">
        <v>42</v>
      </c>
      <c r="AD1" s="5"/>
      <c r="AE1" s="5"/>
      <c r="AF1" s="5"/>
      <c r="AG1" s="5"/>
      <c r="AH1" s="5"/>
      <c r="AI1" s="5"/>
      <c r="AJ1" s="5"/>
      <c r="AK1" s="5"/>
      <c r="AL1" s="5"/>
      <c r="AM1" s="5"/>
      <c r="AN1" s="5"/>
      <c r="AO1" s="5"/>
      <c r="AP1" s="5"/>
      <c r="AQ1" s="5"/>
      <c r="AR1" s="5"/>
      <c r="AS1" s="5"/>
      <c r="AT1" s="5"/>
      <c r="AU1" s="5"/>
      <c r="AV1" s="5"/>
      <c r="AW1" s="5"/>
      <c r="AX1" s="5"/>
    </row>
    <row r="2" ht="15.75" customHeight="1">
      <c r="A2" s="25" t="s">
        <v>45</v>
      </c>
      <c r="B2" s="25" t="s">
        <v>46</v>
      </c>
      <c r="C2" s="27"/>
      <c r="D2" s="28"/>
      <c r="E2" s="28"/>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row>
    <row r="3" ht="15.75" customHeight="1">
      <c r="A3" s="25" t="s">
        <v>52</v>
      </c>
      <c r="B3" s="25" t="s">
        <v>53</v>
      </c>
      <c r="C3" s="27"/>
      <c r="D3" s="28"/>
      <c r="E3" s="28"/>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row>
    <row r="4" ht="15.75" customHeight="1">
      <c r="A4" s="25" t="s">
        <v>57</v>
      </c>
      <c r="B4" s="25" t="s">
        <v>57</v>
      </c>
      <c r="C4" s="27"/>
      <c r="D4" s="28"/>
      <c r="E4" s="28"/>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row>
    <row r="5" ht="15.75" customHeight="1">
      <c r="A5" s="25" t="s">
        <v>61</v>
      </c>
      <c r="B5" s="25" t="s">
        <v>62</v>
      </c>
      <c r="C5" s="27"/>
      <c r="D5" s="27"/>
      <c r="E5" s="28"/>
      <c r="F5" s="45"/>
      <c r="G5" s="45"/>
      <c r="H5" s="4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row>
    <row r="6" ht="15.75" customHeight="1">
      <c r="A6" s="25" t="s">
        <v>63</v>
      </c>
      <c r="B6" s="25" t="s">
        <v>63</v>
      </c>
      <c r="C6" s="27"/>
      <c r="D6" s="28"/>
      <c r="E6" s="28"/>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row>
    <row r="7" ht="15.75" customHeight="1">
      <c r="A7" s="25" t="s">
        <v>68</v>
      </c>
      <c r="B7" s="25" t="s">
        <v>69</v>
      </c>
      <c r="C7" s="27"/>
      <c r="D7" s="28"/>
      <c r="E7" s="28"/>
      <c r="F7" s="25"/>
      <c r="G7" s="25"/>
      <c r="H7" s="25"/>
      <c r="I7" s="25"/>
      <c r="J7" s="25"/>
      <c r="K7" s="25"/>
      <c r="L7" s="25"/>
      <c r="M7" s="25"/>
      <c r="N7" s="25"/>
      <c r="O7" s="25"/>
      <c r="P7" s="25"/>
      <c r="Q7" s="25"/>
      <c r="R7" s="25"/>
      <c r="S7" s="25"/>
      <c r="T7" s="25" t="s">
        <v>72</v>
      </c>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row>
    <row r="8" ht="15.75" customHeight="1">
      <c r="A8" s="25" t="s">
        <v>68</v>
      </c>
      <c r="B8" s="25" t="s">
        <v>78</v>
      </c>
      <c r="C8" s="27"/>
      <c r="D8" s="28"/>
      <c r="E8" s="28"/>
      <c r="F8" s="25"/>
      <c r="G8" s="25"/>
      <c r="H8" s="25"/>
      <c r="I8" s="25"/>
      <c r="J8" s="25"/>
      <c r="K8" s="25"/>
      <c r="L8" s="25"/>
      <c r="M8" s="25"/>
      <c r="N8" s="25"/>
      <c r="O8" s="25"/>
      <c r="P8" s="25"/>
      <c r="Q8" s="25"/>
      <c r="R8" s="25"/>
      <c r="S8" s="25"/>
      <c r="T8" s="25" t="s">
        <v>80</v>
      </c>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row>
    <row r="9" ht="15.75" customHeight="1">
      <c r="A9" s="61" t="s">
        <v>89</v>
      </c>
      <c r="B9" s="61" t="s">
        <v>91</v>
      </c>
      <c r="C9" s="63" t="s">
        <v>92</v>
      </c>
      <c r="D9" s="28"/>
      <c r="E9" s="28"/>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row>
    <row r="10" ht="15.75" customHeight="1">
      <c r="A10" s="61" t="s">
        <v>38</v>
      </c>
      <c r="B10" s="61" t="s">
        <v>104</v>
      </c>
      <c r="C10" s="64" t="s">
        <v>105</v>
      </c>
      <c r="D10" s="64" t="s">
        <v>109</v>
      </c>
      <c r="E10" s="64" t="s">
        <v>110</v>
      </c>
      <c r="F10" s="45"/>
      <c r="G10" s="45"/>
      <c r="H10" s="45"/>
      <c r="I10" s="25"/>
      <c r="J10" s="61" t="s">
        <v>113</v>
      </c>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row>
    <row r="11" ht="15.75" customHeight="1">
      <c r="A11" s="25"/>
      <c r="B11" s="25"/>
      <c r="C11" s="27"/>
      <c r="D11" s="28"/>
      <c r="E11" s="28"/>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row>
    <row r="12" ht="15.75" customHeight="1">
      <c r="A12" s="70" t="s">
        <v>127</v>
      </c>
      <c r="B12" s="71" t="s">
        <v>128</v>
      </c>
      <c r="C12" s="72"/>
      <c r="D12" s="72"/>
      <c r="E12" s="72"/>
      <c r="F12" s="73"/>
      <c r="G12" s="73"/>
      <c r="H12" s="73"/>
      <c r="I12" s="73"/>
      <c r="J12" s="73"/>
      <c r="K12" s="73"/>
      <c r="L12" s="73"/>
      <c r="M12" s="73"/>
      <c r="N12" s="73"/>
      <c r="O12" s="73"/>
      <c r="P12" s="73"/>
      <c r="Q12" s="73"/>
      <c r="R12" s="73"/>
      <c r="S12" s="73"/>
      <c r="T12" s="74" t="s">
        <v>129</v>
      </c>
      <c r="U12" s="73"/>
      <c r="V12" s="73"/>
      <c r="W12" s="73"/>
      <c r="X12" s="73"/>
      <c r="Y12" s="73"/>
      <c r="Z12" s="73"/>
      <c r="AA12" s="73"/>
      <c r="AB12" s="73"/>
      <c r="AC12" s="73"/>
      <c r="AD12" s="75"/>
      <c r="AE12" s="75"/>
      <c r="AF12" s="75"/>
      <c r="AG12" s="75"/>
      <c r="AH12" s="75"/>
      <c r="AI12" s="75"/>
      <c r="AJ12" s="75"/>
      <c r="AK12" s="75"/>
      <c r="AL12" s="75"/>
      <c r="AM12" s="75"/>
      <c r="AN12" s="75"/>
      <c r="AO12" s="75"/>
      <c r="AP12" s="75"/>
      <c r="AQ12" s="75"/>
      <c r="AR12" s="75"/>
      <c r="AS12" s="75"/>
      <c r="AT12" s="75"/>
      <c r="AU12" s="75"/>
      <c r="AV12" s="75"/>
      <c r="AW12" s="75"/>
      <c r="AX12" s="75"/>
    </row>
    <row r="13" ht="15.75" customHeight="1">
      <c r="A13" s="61" t="s">
        <v>133</v>
      </c>
      <c r="B13" s="61" t="s">
        <v>135</v>
      </c>
      <c r="C13" s="63" t="s">
        <v>136</v>
      </c>
      <c r="D13" s="28"/>
      <c r="E13" s="28"/>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row>
    <row r="14" ht="15.75" customHeight="1">
      <c r="A14" s="80" t="s">
        <v>138</v>
      </c>
      <c r="B14" s="81" t="s">
        <v>66</v>
      </c>
      <c r="C14" s="27" t="s">
        <v>142</v>
      </c>
      <c r="D14" s="27" t="s">
        <v>143</v>
      </c>
      <c r="E14" s="27" t="s">
        <v>144</v>
      </c>
      <c r="F14" s="45"/>
      <c r="G14" s="45"/>
      <c r="H14" s="45"/>
      <c r="I14" s="83"/>
      <c r="J14" s="84"/>
      <c r="K14" s="85" t="s">
        <v>148</v>
      </c>
      <c r="L14" s="85" t="s">
        <v>149</v>
      </c>
      <c r="M14" s="83"/>
      <c r="N14" s="83"/>
      <c r="O14" s="83"/>
      <c r="P14" s="83"/>
      <c r="Q14" s="80" t="s">
        <v>150</v>
      </c>
      <c r="R14" s="83"/>
      <c r="S14" s="83"/>
      <c r="T14" s="83"/>
      <c r="U14" s="83"/>
      <c r="V14" s="83"/>
      <c r="W14" s="83"/>
      <c r="X14" s="83"/>
      <c r="Y14" s="85" t="s">
        <v>151</v>
      </c>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row>
    <row r="15" ht="15.75" customHeight="1">
      <c r="A15" s="80" t="s">
        <v>154</v>
      </c>
      <c r="B15" s="81" t="s">
        <v>134</v>
      </c>
      <c r="C15" s="27" t="s">
        <v>156</v>
      </c>
      <c r="D15" s="27" t="s">
        <v>157</v>
      </c>
      <c r="E15" s="27" t="s">
        <v>158</v>
      </c>
      <c r="F15" s="45"/>
      <c r="G15" s="45"/>
      <c r="H15" s="45"/>
      <c r="I15" s="83"/>
      <c r="J15" s="88" t="s">
        <v>160</v>
      </c>
      <c r="K15" s="83"/>
      <c r="L15" s="83"/>
      <c r="M15" s="83"/>
      <c r="N15" s="83"/>
      <c r="O15" s="83"/>
      <c r="P15" s="83"/>
      <c r="Q15" s="80" t="s">
        <v>150</v>
      </c>
      <c r="R15" s="83"/>
      <c r="S15" s="83"/>
      <c r="T15" s="83"/>
      <c r="U15" s="83"/>
      <c r="V15" s="83"/>
      <c r="W15" s="83"/>
      <c r="X15" s="83"/>
      <c r="Y15" s="83"/>
      <c r="Z15" s="83"/>
      <c r="AA15" s="83"/>
      <c r="AB15" s="83"/>
      <c r="AC15" s="83"/>
      <c r="AD15" s="90"/>
      <c r="AE15" s="90"/>
      <c r="AF15" s="90"/>
      <c r="AG15" s="90"/>
      <c r="AH15" s="90"/>
      <c r="AI15" s="90"/>
      <c r="AJ15" s="90"/>
      <c r="AK15" s="90"/>
      <c r="AL15" s="90"/>
      <c r="AM15" s="90"/>
      <c r="AN15" s="90"/>
      <c r="AO15" s="90"/>
      <c r="AP15" s="90"/>
      <c r="AQ15" s="90"/>
      <c r="AR15" s="90"/>
      <c r="AS15" s="90"/>
      <c r="AT15" s="90"/>
      <c r="AU15" s="90"/>
      <c r="AV15" s="90"/>
      <c r="AW15" s="90"/>
      <c r="AX15" s="90"/>
    </row>
    <row r="16" ht="15.75" customHeight="1">
      <c r="A16" s="61" t="s">
        <v>167</v>
      </c>
      <c r="B16" s="61" t="s">
        <v>168</v>
      </c>
      <c r="C16" s="27" t="s">
        <v>169</v>
      </c>
      <c r="D16" s="27" t="s">
        <v>170</v>
      </c>
      <c r="E16" s="27" t="s">
        <v>171</v>
      </c>
      <c r="F16" s="45"/>
      <c r="G16" s="45"/>
      <c r="H16" s="45"/>
      <c r="I16" s="25"/>
      <c r="J16" s="88" t="s">
        <v>173</v>
      </c>
      <c r="K16" s="25"/>
      <c r="L16" s="25"/>
      <c r="M16" s="25"/>
      <c r="N16" s="25"/>
      <c r="O16" s="25"/>
      <c r="P16" s="25"/>
      <c r="Q16" s="61" t="s">
        <v>150</v>
      </c>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row>
    <row r="17" ht="15.75" customHeight="1">
      <c r="A17" s="61" t="s">
        <v>68</v>
      </c>
      <c r="B17" s="61" t="s">
        <v>176</v>
      </c>
      <c r="C17" s="63" t="s">
        <v>177</v>
      </c>
      <c r="D17" s="28"/>
      <c r="E17" s="28"/>
      <c r="F17" s="25"/>
      <c r="G17" s="25"/>
      <c r="H17" s="25"/>
      <c r="I17" s="25"/>
      <c r="J17" s="25"/>
      <c r="K17" s="25"/>
      <c r="L17" s="25"/>
      <c r="M17" s="25"/>
      <c r="N17" s="25"/>
      <c r="O17" s="25"/>
      <c r="P17" s="25"/>
      <c r="Q17" s="25"/>
      <c r="R17" s="25"/>
      <c r="S17" s="25"/>
      <c r="T17" s="61" t="s">
        <v>178</v>
      </c>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row>
    <row r="18" ht="15.75" customHeight="1">
      <c r="A18" s="61" t="s">
        <v>167</v>
      </c>
      <c r="B18" s="61" t="s">
        <v>183</v>
      </c>
      <c r="C18" s="27" t="s">
        <v>184</v>
      </c>
      <c r="D18" s="27" t="s">
        <v>185</v>
      </c>
      <c r="E18" s="27" t="s">
        <v>186</v>
      </c>
      <c r="F18" s="45"/>
      <c r="G18" s="45"/>
      <c r="H18" s="45"/>
      <c r="I18" s="25"/>
      <c r="J18" s="88" t="s">
        <v>173</v>
      </c>
      <c r="K18" s="25"/>
      <c r="L18" s="25"/>
      <c r="M18" s="25"/>
      <c r="N18" s="25"/>
      <c r="O18" s="25"/>
      <c r="P18" s="25"/>
      <c r="Q18" s="61" t="s">
        <v>150</v>
      </c>
      <c r="R18" s="25"/>
      <c r="S18" s="25"/>
      <c r="T18" s="25"/>
      <c r="U18" s="25"/>
      <c r="V18" s="25"/>
      <c r="W18" s="25"/>
      <c r="X18" s="25"/>
      <c r="Y18" s="61"/>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row>
    <row r="19" ht="15.75" customHeight="1">
      <c r="A19" s="61" t="s">
        <v>68</v>
      </c>
      <c r="B19" s="61" t="s">
        <v>187</v>
      </c>
      <c r="C19" s="63" t="s">
        <v>177</v>
      </c>
      <c r="D19" s="28"/>
      <c r="E19" s="28"/>
      <c r="F19" s="25"/>
      <c r="G19" s="25"/>
      <c r="H19" s="25"/>
      <c r="I19" s="25"/>
      <c r="J19" s="25"/>
      <c r="K19" s="25"/>
      <c r="L19" s="25"/>
      <c r="M19" s="25"/>
      <c r="N19" s="25"/>
      <c r="O19" s="25"/>
      <c r="P19" s="25"/>
      <c r="Q19" s="25"/>
      <c r="R19" s="25"/>
      <c r="S19" s="25"/>
      <c r="T19" s="61" t="s">
        <v>190</v>
      </c>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row>
    <row r="20" ht="15.75" customHeight="1">
      <c r="A20" s="61" t="s">
        <v>191</v>
      </c>
      <c r="B20" s="61" t="s">
        <v>180</v>
      </c>
      <c r="C20" s="27" t="s">
        <v>192</v>
      </c>
      <c r="D20" s="27" t="s">
        <v>193</v>
      </c>
      <c r="E20" s="27" t="s">
        <v>194</v>
      </c>
      <c r="F20" s="45"/>
      <c r="G20" s="45"/>
      <c r="H20" s="45"/>
      <c r="I20" s="25"/>
      <c r="J20" s="61" t="s">
        <v>195</v>
      </c>
      <c r="K20" s="25"/>
      <c r="L20" s="25"/>
      <c r="M20" s="25"/>
      <c r="N20" s="25"/>
      <c r="O20" s="25"/>
      <c r="P20" s="25"/>
      <c r="Q20" s="61" t="s">
        <v>150</v>
      </c>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row>
    <row r="21" ht="15.75" customHeight="1">
      <c r="A21" s="61" t="s">
        <v>68</v>
      </c>
      <c r="B21" s="61" t="s">
        <v>182</v>
      </c>
      <c r="C21" s="63" t="s">
        <v>199</v>
      </c>
      <c r="D21" s="28"/>
      <c r="E21" s="28"/>
      <c r="F21" s="25"/>
      <c r="G21" s="25"/>
      <c r="H21" s="25"/>
      <c r="I21" s="25"/>
      <c r="J21" s="25"/>
      <c r="K21" s="25"/>
      <c r="L21" s="25"/>
      <c r="M21" s="25"/>
      <c r="N21" s="25"/>
      <c r="O21" s="25"/>
      <c r="P21" s="25"/>
      <c r="Q21" s="25"/>
      <c r="R21" s="25"/>
      <c r="S21" s="25"/>
      <c r="T21" s="61" t="s">
        <v>207</v>
      </c>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row>
    <row r="22" ht="15.75" customHeight="1">
      <c r="A22" s="102" t="s">
        <v>68</v>
      </c>
      <c r="B22" s="103" t="s">
        <v>208</v>
      </c>
      <c r="C22" s="72"/>
      <c r="D22" s="72"/>
      <c r="E22" s="72"/>
      <c r="F22" s="104"/>
      <c r="G22" s="104"/>
      <c r="H22" s="104"/>
      <c r="I22" s="104"/>
      <c r="J22" s="104"/>
      <c r="K22" s="104"/>
      <c r="L22" s="104"/>
      <c r="M22" s="104"/>
      <c r="N22" s="104"/>
      <c r="O22" s="104"/>
      <c r="P22" s="104"/>
      <c r="Q22" s="104"/>
      <c r="R22" s="104"/>
      <c r="S22" s="104"/>
      <c r="T22" s="61" t="s">
        <v>209</v>
      </c>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row>
    <row r="23" ht="15.75" customHeight="1">
      <c r="A23" s="61" t="s">
        <v>68</v>
      </c>
      <c r="B23" s="61" t="s">
        <v>181</v>
      </c>
      <c r="C23" s="63"/>
      <c r="D23" s="106"/>
      <c r="E23" s="106"/>
      <c r="F23" s="25"/>
      <c r="G23" s="25"/>
      <c r="H23" s="25"/>
      <c r="I23" s="25"/>
      <c r="J23" s="61"/>
      <c r="K23" s="25"/>
      <c r="L23" s="25"/>
      <c r="M23" s="25"/>
      <c r="N23" s="25"/>
      <c r="O23" s="25"/>
      <c r="P23" s="25"/>
      <c r="Q23" s="61"/>
      <c r="R23" s="25"/>
      <c r="S23" s="25"/>
      <c r="T23" s="61" t="s">
        <v>211</v>
      </c>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row>
    <row r="24" ht="15.75" customHeight="1">
      <c r="A24" s="61" t="s">
        <v>213</v>
      </c>
      <c r="B24" s="61" t="s">
        <v>203</v>
      </c>
      <c r="C24" s="27" t="s">
        <v>214</v>
      </c>
      <c r="D24" s="27" t="s">
        <v>215</v>
      </c>
      <c r="E24" s="27" t="s">
        <v>216</v>
      </c>
      <c r="F24" s="45"/>
      <c r="G24" s="45"/>
      <c r="H24" s="45"/>
      <c r="I24" s="25"/>
      <c r="J24" s="61" t="s">
        <v>217</v>
      </c>
      <c r="K24" s="25"/>
      <c r="L24" s="25"/>
      <c r="M24" s="25"/>
      <c r="N24" s="25"/>
      <c r="O24" s="25"/>
      <c r="P24" s="25"/>
      <c r="Q24" s="61" t="s">
        <v>150</v>
      </c>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row>
    <row r="25" ht="15.75" customHeight="1">
      <c r="A25" s="61" t="s">
        <v>68</v>
      </c>
      <c r="B25" s="61" t="s">
        <v>205</v>
      </c>
      <c r="C25" s="63" t="s">
        <v>222</v>
      </c>
      <c r="D25" s="28"/>
      <c r="E25" s="28"/>
      <c r="F25" s="25"/>
      <c r="G25" s="25"/>
      <c r="H25" s="25"/>
      <c r="I25" s="25"/>
      <c r="J25" s="25"/>
      <c r="K25" s="25"/>
      <c r="L25" s="25"/>
      <c r="M25" s="25"/>
      <c r="N25" s="25"/>
      <c r="O25" s="25"/>
      <c r="P25" s="25"/>
      <c r="Q25" s="25"/>
      <c r="R25" s="25"/>
      <c r="S25" s="25"/>
      <c r="T25" s="61" t="s">
        <v>223</v>
      </c>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row>
    <row r="26" ht="15.75" customHeight="1">
      <c r="A26" s="61" t="s">
        <v>68</v>
      </c>
      <c r="B26" s="61" t="s">
        <v>226</v>
      </c>
      <c r="C26" s="63"/>
      <c r="D26" s="28"/>
      <c r="E26" s="28"/>
      <c r="F26" s="25"/>
      <c r="G26" s="25"/>
      <c r="H26" s="25"/>
      <c r="I26" s="25"/>
      <c r="J26" s="25"/>
      <c r="K26" s="25"/>
      <c r="L26" s="25"/>
      <c r="M26" s="25"/>
      <c r="N26" s="25"/>
      <c r="O26" s="25"/>
      <c r="P26" s="25"/>
      <c r="Q26" s="25"/>
      <c r="R26" s="25"/>
      <c r="S26" s="25"/>
      <c r="T26" s="61" t="s">
        <v>229</v>
      </c>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row>
    <row r="27" ht="15.75" customHeight="1">
      <c r="A27" s="61" t="s">
        <v>68</v>
      </c>
      <c r="B27" s="61" t="s">
        <v>231</v>
      </c>
      <c r="C27" s="63"/>
      <c r="D27" s="28"/>
      <c r="E27" s="28"/>
      <c r="F27" s="25"/>
      <c r="G27" s="25"/>
      <c r="H27" s="25"/>
      <c r="I27" s="25"/>
      <c r="J27" s="25"/>
      <c r="K27" s="25"/>
      <c r="L27" s="25"/>
      <c r="M27" s="25"/>
      <c r="N27" s="25"/>
      <c r="O27" s="25"/>
      <c r="P27" s="25"/>
      <c r="Q27" s="25"/>
      <c r="R27" s="25"/>
      <c r="S27" s="25"/>
      <c r="T27" s="61" t="s">
        <v>235</v>
      </c>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row>
    <row r="28" ht="15.75" customHeight="1">
      <c r="A28" s="61" t="s">
        <v>237</v>
      </c>
      <c r="B28" s="61" t="s">
        <v>135</v>
      </c>
      <c r="C28" s="63" t="s">
        <v>136</v>
      </c>
      <c r="D28" s="28"/>
      <c r="E28" s="28"/>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row>
    <row r="29" ht="15.75" customHeight="1">
      <c r="A29" s="25"/>
      <c r="B29" s="25"/>
      <c r="C29" s="27"/>
      <c r="D29" s="106"/>
      <c r="E29" s="28"/>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row>
    <row r="30" ht="15.75" customHeight="1">
      <c r="A30" s="61" t="s">
        <v>133</v>
      </c>
      <c r="B30" s="61" t="s">
        <v>113</v>
      </c>
      <c r="C30" s="27"/>
      <c r="D30" s="28"/>
      <c r="E30" s="28"/>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row>
    <row r="31" ht="15.75" customHeight="1">
      <c r="A31" s="102" t="s">
        <v>68</v>
      </c>
      <c r="B31" s="127" t="s">
        <v>247</v>
      </c>
      <c r="C31" s="128"/>
      <c r="D31" s="129"/>
      <c r="E31" s="129"/>
      <c r="F31" s="129"/>
      <c r="G31" s="129"/>
      <c r="H31" s="129"/>
      <c r="I31" s="129"/>
      <c r="J31" s="129"/>
      <c r="K31" s="129"/>
      <c r="L31" s="129"/>
      <c r="M31" s="129"/>
      <c r="N31" s="129"/>
      <c r="O31" s="129"/>
      <c r="P31" s="129"/>
      <c r="Q31" s="129"/>
      <c r="R31" s="129"/>
      <c r="S31" s="129"/>
      <c r="T31" s="127" t="s">
        <v>248</v>
      </c>
      <c r="U31" s="129"/>
      <c r="V31" s="129"/>
      <c r="W31" s="129"/>
      <c r="X31" s="129"/>
      <c r="Y31" s="129"/>
      <c r="Z31" s="129"/>
      <c r="AA31" s="129"/>
      <c r="AB31" s="129"/>
      <c r="AC31" s="129"/>
      <c r="AD31" s="130"/>
      <c r="AE31" s="130"/>
      <c r="AF31" s="130"/>
      <c r="AG31" s="130"/>
      <c r="AH31" s="130"/>
      <c r="AI31" s="130"/>
      <c r="AJ31" s="130"/>
      <c r="AK31" s="130"/>
      <c r="AL31" s="130"/>
      <c r="AM31" s="130"/>
      <c r="AN31" s="130"/>
      <c r="AO31" s="130"/>
      <c r="AP31" s="130"/>
      <c r="AQ31" s="130"/>
      <c r="AR31" s="130"/>
      <c r="AS31" s="130"/>
      <c r="AT31" s="130"/>
      <c r="AU31" s="130"/>
      <c r="AV31" s="130"/>
      <c r="AW31" s="130"/>
      <c r="AX31" s="130"/>
    </row>
    <row r="32" ht="15.75" customHeight="1">
      <c r="A32" s="102" t="s">
        <v>68</v>
      </c>
      <c r="B32" s="127" t="s">
        <v>254</v>
      </c>
      <c r="C32" s="128"/>
      <c r="D32" s="131"/>
      <c r="E32" s="131"/>
      <c r="F32" s="131"/>
      <c r="G32" s="129"/>
      <c r="H32" s="129"/>
      <c r="I32" s="129"/>
      <c r="J32" s="131"/>
      <c r="K32" s="131"/>
      <c r="L32" s="131"/>
      <c r="M32" s="129"/>
      <c r="N32" s="129"/>
      <c r="O32" s="129"/>
      <c r="P32" s="129"/>
      <c r="Q32" s="129"/>
      <c r="R32" s="129"/>
      <c r="S32" s="129"/>
      <c r="T32" s="127" t="s">
        <v>255</v>
      </c>
      <c r="U32" s="129"/>
      <c r="V32" s="129"/>
      <c r="W32" s="129"/>
      <c r="X32" s="129"/>
      <c r="Y32" s="129"/>
      <c r="Z32" s="129"/>
      <c r="AA32" s="129"/>
      <c r="AB32" s="129"/>
      <c r="AC32" s="129"/>
      <c r="AD32" s="130"/>
      <c r="AE32" s="130"/>
      <c r="AF32" s="130"/>
      <c r="AG32" s="130"/>
      <c r="AH32" s="130"/>
      <c r="AI32" s="130"/>
      <c r="AJ32" s="130"/>
      <c r="AK32" s="130"/>
      <c r="AL32" s="130"/>
      <c r="AM32" s="130"/>
      <c r="AN32" s="130"/>
      <c r="AO32" s="130"/>
      <c r="AP32" s="130"/>
      <c r="AQ32" s="130"/>
      <c r="AR32" s="130"/>
      <c r="AS32" s="130"/>
      <c r="AT32" s="130"/>
      <c r="AU32" s="130"/>
      <c r="AV32" s="130"/>
      <c r="AW32" s="130"/>
      <c r="AX32" s="130"/>
    </row>
    <row r="33" ht="15.75" customHeight="1">
      <c r="A33" s="102" t="s">
        <v>68</v>
      </c>
      <c r="B33" s="127" t="s">
        <v>258</v>
      </c>
      <c r="C33" s="128"/>
      <c r="D33" s="131"/>
      <c r="E33" s="131"/>
      <c r="F33" s="131"/>
      <c r="G33" s="129"/>
      <c r="H33" s="129"/>
      <c r="I33" s="129"/>
      <c r="J33" s="131"/>
      <c r="K33" s="131"/>
      <c r="L33" s="131"/>
      <c r="M33" s="129"/>
      <c r="N33" s="129"/>
      <c r="O33" s="129"/>
      <c r="P33" s="129"/>
      <c r="Q33" s="129"/>
      <c r="R33" s="129"/>
      <c r="S33" s="129"/>
      <c r="T33" s="127" t="s">
        <v>263</v>
      </c>
      <c r="U33" s="129"/>
      <c r="V33" s="129"/>
      <c r="W33" s="129"/>
      <c r="X33" s="129"/>
      <c r="Y33" s="129"/>
      <c r="Z33" s="129"/>
      <c r="AA33" s="129"/>
      <c r="AB33" s="129"/>
      <c r="AC33" s="129"/>
      <c r="AD33" s="130"/>
      <c r="AE33" s="130"/>
      <c r="AF33" s="130"/>
      <c r="AG33" s="130"/>
      <c r="AH33" s="130"/>
      <c r="AI33" s="130"/>
      <c r="AJ33" s="130"/>
      <c r="AK33" s="130"/>
      <c r="AL33" s="130"/>
      <c r="AM33" s="130"/>
      <c r="AN33" s="130"/>
      <c r="AO33" s="130"/>
      <c r="AP33" s="130"/>
      <c r="AQ33" s="130"/>
      <c r="AR33" s="130"/>
      <c r="AS33" s="130"/>
      <c r="AT33" s="130"/>
      <c r="AU33" s="130"/>
      <c r="AV33" s="130"/>
      <c r="AW33" s="130"/>
      <c r="AX33" s="130"/>
    </row>
    <row r="34" ht="15.75" customHeight="1">
      <c r="A34" s="102" t="s">
        <v>68</v>
      </c>
      <c r="B34" s="127" t="s">
        <v>264</v>
      </c>
      <c r="C34" s="128"/>
      <c r="D34" s="128"/>
      <c r="E34" s="128"/>
      <c r="F34" s="128"/>
      <c r="G34" s="128"/>
      <c r="H34" s="128"/>
      <c r="I34" s="129"/>
      <c r="J34" s="131"/>
      <c r="K34" s="131"/>
      <c r="L34" s="131"/>
      <c r="M34" s="129"/>
      <c r="N34" s="129"/>
      <c r="O34" s="129"/>
      <c r="P34" s="129"/>
      <c r="Q34" s="131"/>
      <c r="R34" s="137"/>
      <c r="S34" s="129"/>
      <c r="T34" s="139" t="s">
        <v>266</v>
      </c>
      <c r="U34" s="129"/>
      <c r="V34" s="129"/>
      <c r="W34" s="129"/>
      <c r="X34" s="129"/>
      <c r="Y34" s="129"/>
      <c r="Z34" s="129"/>
      <c r="AA34" s="129"/>
      <c r="AB34" s="129"/>
      <c r="AC34" s="129"/>
      <c r="AD34" s="130"/>
      <c r="AE34" s="130"/>
      <c r="AF34" s="130"/>
      <c r="AG34" s="130"/>
      <c r="AH34" s="130"/>
      <c r="AI34" s="130"/>
      <c r="AJ34" s="130"/>
      <c r="AK34" s="130"/>
      <c r="AL34" s="130"/>
      <c r="AM34" s="130"/>
      <c r="AN34" s="130"/>
      <c r="AO34" s="130"/>
      <c r="AP34" s="130"/>
      <c r="AQ34" s="130"/>
      <c r="AR34" s="130"/>
      <c r="AS34" s="130"/>
      <c r="AT34" s="130"/>
      <c r="AU34" s="130"/>
      <c r="AV34" s="130"/>
      <c r="AW34" s="130"/>
      <c r="AX34" s="130"/>
    </row>
    <row r="35" ht="15.75" customHeight="1">
      <c r="A35" s="102" t="s">
        <v>68</v>
      </c>
      <c r="B35" s="127" t="s">
        <v>270</v>
      </c>
      <c r="C35" s="128"/>
      <c r="D35" s="128"/>
      <c r="E35" s="128"/>
      <c r="F35" s="128"/>
      <c r="G35" s="128"/>
      <c r="H35" s="128"/>
      <c r="I35" s="129"/>
      <c r="J35" s="131"/>
      <c r="K35" s="131"/>
      <c r="L35" s="131"/>
      <c r="M35" s="129"/>
      <c r="N35" s="129"/>
      <c r="O35" s="129"/>
      <c r="P35" s="129"/>
      <c r="Q35" s="131"/>
      <c r="R35" s="137"/>
      <c r="S35" s="129"/>
      <c r="T35" s="139" t="s">
        <v>272</v>
      </c>
      <c r="U35" s="129"/>
      <c r="V35" s="129"/>
      <c r="W35" s="129"/>
      <c r="X35" s="129"/>
      <c r="Y35" s="129"/>
      <c r="Z35" s="129"/>
      <c r="AA35" s="129"/>
      <c r="AB35" s="129"/>
      <c r="AC35" s="129"/>
      <c r="AD35" s="130"/>
      <c r="AE35" s="130"/>
      <c r="AF35" s="130"/>
      <c r="AG35" s="130"/>
      <c r="AH35" s="130"/>
      <c r="AI35" s="130"/>
      <c r="AJ35" s="130"/>
      <c r="AK35" s="130"/>
      <c r="AL35" s="130"/>
      <c r="AM35" s="130"/>
      <c r="AN35" s="130"/>
      <c r="AO35" s="130"/>
      <c r="AP35" s="130"/>
      <c r="AQ35" s="130"/>
      <c r="AR35" s="130"/>
      <c r="AS35" s="130"/>
      <c r="AT35" s="130"/>
      <c r="AU35" s="130"/>
      <c r="AV35" s="130"/>
      <c r="AW35" s="130"/>
      <c r="AX35" s="130"/>
    </row>
    <row r="36" ht="15.75" customHeight="1">
      <c r="A36" s="102" t="s">
        <v>68</v>
      </c>
      <c r="B36" s="127" t="s">
        <v>274</v>
      </c>
      <c r="C36" s="128"/>
      <c r="D36" s="128"/>
      <c r="E36" s="128"/>
      <c r="F36" s="128"/>
      <c r="G36" s="128"/>
      <c r="H36" s="128"/>
      <c r="I36" s="129"/>
      <c r="J36" s="131"/>
      <c r="K36" s="131"/>
      <c r="L36" s="131"/>
      <c r="M36" s="129"/>
      <c r="N36" s="129"/>
      <c r="O36" s="129"/>
      <c r="P36" s="129"/>
      <c r="Q36" s="131"/>
      <c r="R36" s="137"/>
      <c r="S36" s="129"/>
      <c r="T36" s="139" t="s">
        <v>278</v>
      </c>
      <c r="U36" s="129"/>
      <c r="V36" s="129"/>
      <c r="W36" s="129"/>
      <c r="X36" s="129"/>
      <c r="Y36" s="129"/>
      <c r="Z36" s="129"/>
      <c r="AA36" s="129"/>
      <c r="AB36" s="129"/>
      <c r="AC36" s="129"/>
      <c r="AD36" s="130"/>
      <c r="AE36" s="130"/>
      <c r="AF36" s="130"/>
      <c r="AG36" s="130"/>
      <c r="AH36" s="130"/>
      <c r="AI36" s="130"/>
      <c r="AJ36" s="130"/>
      <c r="AK36" s="130"/>
      <c r="AL36" s="130"/>
      <c r="AM36" s="130"/>
      <c r="AN36" s="130"/>
      <c r="AO36" s="130"/>
      <c r="AP36" s="130"/>
      <c r="AQ36" s="130"/>
      <c r="AR36" s="130"/>
      <c r="AS36" s="130"/>
      <c r="AT36" s="130"/>
      <c r="AU36" s="130"/>
      <c r="AV36" s="130"/>
      <c r="AW36" s="130"/>
      <c r="AX36" s="130"/>
    </row>
    <row r="37" ht="15.75" customHeight="1">
      <c r="A37" s="102" t="s">
        <v>68</v>
      </c>
      <c r="B37" s="127" t="s">
        <v>279</v>
      </c>
      <c r="C37" s="128"/>
      <c r="D37" s="128"/>
      <c r="E37" s="128"/>
      <c r="F37" s="128"/>
      <c r="G37" s="128"/>
      <c r="H37" s="128"/>
      <c r="I37" s="129"/>
      <c r="J37" s="131"/>
      <c r="K37" s="131"/>
      <c r="L37" s="131"/>
      <c r="M37" s="129"/>
      <c r="N37" s="129"/>
      <c r="O37" s="129"/>
      <c r="P37" s="129"/>
      <c r="Q37" s="131"/>
      <c r="R37" s="137"/>
      <c r="S37" s="129"/>
      <c r="T37" s="139" t="s">
        <v>284</v>
      </c>
      <c r="U37" s="129"/>
      <c r="V37" s="129"/>
      <c r="W37" s="129"/>
      <c r="X37" s="129"/>
      <c r="Y37" s="129"/>
      <c r="Z37" s="129"/>
      <c r="AA37" s="129"/>
      <c r="AB37" s="129"/>
      <c r="AC37" s="129"/>
      <c r="AD37" s="130"/>
      <c r="AE37" s="130"/>
      <c r="AF37" s="130"/>
      <c r="AG37" s="130"/>
      <c r="AH37" s="130"/>
      <c r="AI37" s="130"/>
      <c r="AJ37" s="130"/>
      <c r="AK37" s="130"/>
      <c r="AL37" s="130"/>
      <c r="AM37" s="130"/>
      <c r="AN37" s="130"/>
      <c r="AO37" s="130"/>
      <c r="AP37" s="130"/>
      <c r="AQ37" s="130"/>
      <c r="AR37" s="130"/>
      <c r="AS37" s="130"/>
      <c r="AT37" s="130"/>
      <c r="AU37" s="130"/>
      <c r="AV37" s="130"/>
      <c r="AW37" s="130"/>
      <c r="AX37" s="130"/>
    </row>
    <row r="38" ht="15.75" customHeight="1">
      <c r="A38" s="102" t="s">
        <v>68</v>
      </c>
      <c r="B38" s="127" t="s">
        <v>289</v>
      </c>
      <c r="C38" s="128"/>
      <c r="D38" s="128"/>
      <c r="E38" s="128"/>
      <c r="F38" s="128"/>
      <c r="G38" s="128"/>
      <c r="H38" s="128"/>
      <c r="I38" s="129"/>
      <c r="J38" s="131"/>
      <c r="K38" s="131"/>
      <c r="L38" s="131"/>
      <c r="M38" s="129"/>
      <c r="N38" s="129"/>
      <c r="O38" s="129"/>
      <c r="P38" s="129"/>
      <c r="Q38" s="131"/>
      <c r="R38" s="137"/>
      <c r="S38" s="129"/>
      <c r="T38" s="139" t="s">
        <v>290</v>
      </c>
      <c r="U38" s="129"/>
      <c r="V38" s="129"/>
      <c r="W38" s="129"/>
      <c r="X38" s="129"/>
      <c r="Y38" s="129"/>
      <c r="Z38" s="129"/>
      <c r="AA38" s="129"/>
      <c r="AB38" s="129"/>
      <c r="AC38" s="129"/>
      <c r="AD38" s="130"/>
      <c r="AE38" s="130"/>
      <c r="AF38" s="130"/>
      <c r="AG38" s="130"/>
      <c r="AH38" s="130"/>
      <c r="AI38" s="130"/>
      <c r="AJ38" s="130"/>
      <c r="AK38" s="130"/>
      <c r="AL38" s="130"/>
      <c r="AM38" s="130"/>
      <c r="AN38" s="130"/>
      <c r="AO38" s="130"/>
      <c r="AP38" s="130"/>
      <c r="AQ38" s="130"/>
      <c r="AR38" s="130"/>
      <c r="AS38" s="130"/>
      <c r="AT38" s="130"/>
      <c r="AU38" s="130"/>
      <c r="AV38" s="130"/>
      <c r="AW38" s="130"/>
      <c r="AX38" s="130"/>
    </row>
    <row r="39" ht="15.75" customHeight="1">
      <c r="A39" s="102" t="s">
        <v>68</v>
      </c>
      <c r="B39" s="127" t="s">
        <v>294</v>
      </c>
      <c r="C39" s="128"/>
      <c r="D39" s="128"/>
      <c r="E39" s="128"/>
      <c r="F39" s="128"/>
      <c r="G39" s="128"/>
      <c r="H39" s="128"/>
      <c r="I39" s="129"/>
      <c r="J39" s="131"/>
      <c r="K39" s="131"/>
      <c r="L39" s="131"/>
      <c r="M39" s="129"/>
      <c r="N39" s="129"/>
      <c r="O39" s="129"/>
      <c r="P39" s="129"/>
      <c r="Q39" s="131"/>
      <c r="R39" s="137"/>
      <c r="S39" s="129"/>
      <c r="T39" s="139" t="s">
        <v>298</v>
      </c>
      <c r="U39" s="129"/>
      <c r="V39" s="129"/>
      <c r="W39" s="129"/>
      <c r="X39" s="129"/>
      <c r="Y39" s="129"/>
      <c r="Z39" s="129"/>
      <c r="AA39" s="129"/>
      <c r="AB39" s="129"/>
      <c r="AC39" s="129"/>
      <c r="AD39" s="130"/>
      <c r="AE39" s="130"/>
      <c r="AF39" s="130"/>
      <c r="AG39" s="130"/>
      <c r="AH39" s="130"/>
      <c r="AI39" s="130"/>
      <c r="AJ39" s="130"/>
      <c r="AK39" s="130"/>
      <c r="AL39" s="130"/>
      <c r="AM39" s="130"/>
      <c r="AN39" s="130"/>
      <c r="AO39" s="130"/>
      <c r="AP39" s="130"/>
      <c r="AQ39" s="130"/>
      <c r="AR39" s="130"/>
      <c r="AS39" s="130"/>
      <c r="AT39" s="130"/>
      <c r="AU39" s="130"/>
      <c r="AV39" s="130"/>
      <c r="AW39" s="130"/>
      <c r="AX39" s="130"/>
    </row>
    <row r="40" ht="15.75" customHeight="1">
      <c r="A40" s="61" t="s">
        <v>304</v>
      </c>
      <c r="B40" s="61" t="s">
        <v>249</v>
      </c>
      <c r="C40" s="27" t="s">
        <v>305</v>
      </c>
      <c r="D40" s="27" t="s">
        <v>306</v>
      </c>
      <c r="E40" s="27" t="s">
        <v>307</v>
      </c>
      <c r="F40" s="45" t="s">
        <v>308</v>
      </c>
      <c r="G40" s="45" t="s">
        <v>309</v>
      </c>
      <c r="H40" s="45" t="s">
        <v>311</v>
      </c>
      <c r="I40" s="25"/>
      <c r="J40" s="61" t="s">
        <v>312</v>
      </c>
      <c r="K40" s="61"/>
      <c r="L40" s="61"/>
      <c r="M40" s="25"/>
      <c r="N40" s="25"/>
      <c r="O40" s="25"/>
      <c r="P40" s="25"/>
      <c r="Q40" s="61" t="s">
        <v>150</v>
      </c>
      <c r="R40" s="142"/>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row>
    <row r="41" ht="15.75" customHeight="1">
      <c r="A41" s="144" t="s">
        <v>68</v>
      </c>
      <c r="B41" s="146" t="s">
        <v>251</v>
      </c>
      <c r="C41" s="147"/>
      <c r="D41" s="148"/>
      <c r="E41" s="148"/>
      <c r="F41" s="149"/>
      <c r="G41" s="149"/>
      <c r="H41" s="149"/>
      <c r="I41" s="149"/>
      <c r="J41" s="150"/>
      <c r="K41" s="151"/>
      <c r="L41" s="149"/>
      <c r="M41" s="150"/>
      <c r="N41" s="149"/>
      <c r="O41" s="149"/>
      <c r="P41" s="149"/>
      <c r="Q41" s="151"/>
      <c r="R41" s="149"/>
      <c r="S41" s="149"/>
      <c r="T41" s="153" t="s">
        <v>323</v>
      </c>
      <c r="U41" s="149"/>
      <c r="V41" s="149"/>
      <c r="W41" s="149"/>
      <c r="X41" s="149"/>
      <c r="Y41" s="149"/>
      <c r="Z41" s="149"/>
      <c r="AA41" s="149"/>
      <c r="AB41" s="90"/>
      <c r="AC41" s="90"/>
      <c r="AD41" s="90"/>
      <c r="AE41" s="90"/>
      <c r="AF41" s="90"/>
      <c r="AG41" s="90"/>
      <c r="AH41" s="90"/>
      <c r="AI41" s="90"/>
      <c r="AJ41" s="90"/>
      <c r="AK41" s="90"/>
      <c r="AL41" s="90"/>
      <c r="AM41" s="90"/>
      <c r="AN41" s="90"/>
      <c r="AO41" s="90"/>
      <c r="AP41" s="90"/>
      <c r="AQ41" s="90"/>
      <c r="AR41" s="90"/>
      <c r="AS41" s="90"/>
      <c r="AT41" s="90"/>
      <c r="AU41" s="90"/>
      <c r="AV41" s="90"/>
      <c r="AW41" s="90"/>
      <c r="AX41" s="90"/>
    </row>
    <row r="42" ht="15.75" customHeight="1">
      <c r="A42" s="144" t="s">
        <v>68</v>
      </c>
      <c r="B42" s="146" t="s">
        <v>328</v>
      </c>
      <c r="C42" s="147"/>
      <c r="D42" s="148"/>
      <c r="E42" s="148"/>
      <c r="F42" s="149"/>
      <c r="G42" s="149"/>
      <c r="H42" s="149"/>
      <c r="I42" s="149"/>
      <c r="J42" s="150"/>
      <c r="K42" s="151"/>
      <c r="L42" s="149"/>
      <c r="M42" s="150"/>
      <c r="N42" s="149"/>
      <c r="O42" s="149"/>
      <c r="P42" s="149"/>
      <c r="Q42" s="151"/>
      <c r="R42" s="149"/>
      <c r="S42" s="149"/>
      <c r="T42" s="153" t="s">
        <v>329</v>
      </c>
      <c r="U42" s="149"/>
      <c r="V42" s="149"/>
      <c r="W42" s="149"/>
      <c r="X42" s="149"/>
      <c r="Y42" s="149"/>
      <c r="Z42" s="149"/>
      <c r="AA42" s="149"/>
      <c r="AB42" s="90"/>
      <c r="AC42" s="90"/>
      <c r="AD42" s="90"/>
      <c r="AE42" s="90"/>
      <c r="AF42" s="90"/>
      <c r="AG42" s="90"/>
      <c r="AH42" s="90"/>
      <c r="AI42" s="90"/>
      <c r="AJ42" s="90"/>
      <c r="AK42" s="90"/>
      <c r="AL42" s="90"/>
      <c r="AM42" s="90"/>
      <c r="AN42" s="90"/>
      <c r="AO42" s="90"/>
      <c r="AP42" s="90"/>
      <c r="AQ42" s="90"/>
      <c r="AR42" s="90"/>
      <c r="AS42" s="90"/>
      <c r="AT42" s="90"/>
      <c r="AU42" s="90"/>
      <c r="AV42" s="90"/>
      <c r="AW42" s="90"/>
      <c r="AX42" s="90"/>
    </row>
    <row r="43" ht="15.75" customHeight="1">
      <c r="A43" s="144" t="s">
        <v>68</v>
      </c>
      <c r="B43" s="146" t="s">
        <v>338</v>
      </c>
      <c r="C43" s="158"/>
      <c r="D43" s="148"/>
      <c r="E43" s="148"/>
      <c r="F43" s="149"/>
      <c r="G43" s="149"/>
      <c r="H43" s="149"/>
      <c r="I43" s="149"/>
      <c r="J43" s="150"/>
      <c r="K43" s="151"/>
      <c r="L43" s="149"/>
      <c r="M43" s="150"/>
      <c r="N43" s="149"/>
      <c r="O43" s="149"/>
      <c r="P43" s="149"/>
      <c r="Q43" s="151"/>
      <c r="R43" s="149"/>
      <c r="S43" s="149"/>
      <c r="T43" s="153" t="s">
        <v>339</v>
      </c>
      <c r="U43" s="149"/>
      <c r="V43" s="149"/>
      <c r="W43" s="149"/>
      <c r="X43" s="149"/>
      <c r="Y43" s="149"/>
      <c r="Z43" s="149"/>
      <c r="AA43" s="149"/>
      <c r="AB43" s="90"/>
      <c r="AC43" s="90"/>
      <c r="AD43" s="90"/>
      <c r="AE43" s="90"/>
      <c r="AF43" s="90"/>
      <c r="AG43" s="90"/>
      <c r="AH43" s="90"/>
      <c r="AI43" s="90"/>
      <c r="AJ43" s="90"/>
      <c r="AK43" s="90"/>
      <c r="AL43" s="90"/>
      <c r="AM43" s="90"/>
      <c r="AN43" s="90"/>
      <c r="AO43" s="90"/>
      <c r="AP43" s="90"/>
      <c r="AQ43" s="90"/>
      <c r="AR43" s="90"/>
      <c r="AS43" s="90"/>
      <c r="AT43" s="90"/>
      <c r="AU43" s="90"/>
      <c r="AV43" s="90"/>
      <c r="AW43" s="90"/>
      <c r="AX43" s="90"/>
    </row>
    <row r="44" ht="15.75" customHeight="1">
      <c r="A44" s="144" t="s">
        <v>68</v>
      </c>
      <c r="B44" s="162" t="s">
        <v>344</v>
      </c>
      <c r="C44" s="147"/>
      <c r="D44" s="148"/>
      <c r="E44" s="148"/>
      <c r="F44" s="149"/>
      <c r="G44" s="149"/>
      <c r="H44" s="149"/>
      <c r="I44" s="149"/>
      <c r="J44" s="150"/>
      <c r="K44" s="151"/>
      <c r="L44" s="149"/>
      <c r="M44" s="150"/>
      <c r="N44" s="149"/>
      <c r="O44" s="149"/>
      <c r="P44" s="149"/>
      <c r="Q44" s="151"/>
      <c r="R44" s="149"/>
      <c r="S44" s="149"/>
      <c r="T44" s="153" t="s">
        <v>355</v>
      </c>
      <c r="U44" s="149"/>
      <c r="V44" s="149"/>
      <c r="W44" s="149"/>
      <c r="X44" s="149"/>
      <c r="Y44" s="149"/>
      <c r="Z44" s="149"/>
      <c r="AA44" s="149"/>
      <c r="AB44" s="90"/>
      <c r="AC44" s="90"/>
      <c r="AD44" s="90"/>
      <c r="AE44" s="90"/>
      <c r="AF44" s="90"/>
      <c r="AG44" s="90"/>
      <c r="AH44" s="90"/>
      <c r="AI44" s="90"/>
      <c r="AJ44" s="90"/>
      <c r="AK44" s="90"/>
      <c r="AL44" s="90"/>
      <c r="AM44" s="90"/>
      <c r="AN44" s="90"/>
      <c r="AO44" s="90"/>
      <c r="AP44" s="90"/>
      <c r="AQ44" s="90"/>
      <c r="AR44" s="90"/>
      <c r="AS44" s="90"/>
      <c r="AT44" s="90"/>
      <c r="AU44" s="90"/>
      <c r="AV44" s="90"/>
      <c r="AW44" s="90"/>
      <c r="AX44" s="90"/>
    </row>
    <row r="45" ht="15.75" customHeight="1">
      <c r="A45" s="144" t="s">
        <v>68</v>
      </c>
      <c r="B45" s="146" t="s">
        <v>358</v>
      </c>
      <c r="C45" s="148"/>
      <c r="D45" s="148"/>
      <c r="E45" s="148"/>
      <c r="F45" s="149"/>
      <c r="G45" s="149"/>
      <c r="H45" s="149"/>
      <c r="I45" s="149"/>
      <c r="J45" s="150"/>
      <c r="K45" s="151"/>
      <c r="L45" s="149"/>
      <c r="M45" s="150"/>
      <c r="N45" s="149"/>
      <c r="O45" s="149"/>
      <c r="P45" s="149"/>
      <c r="Q45" s="151"/>
      <c r="R45" s="149"/>
      <c r="S45" s="149"/>
      <c r="T45" s="153" t="s">
        <v>363</v>
      </c>
      <c r="U45" s="149"/>
      <c r="V45" s="149"/>
      <c r="W45" s="149"/>
      <c r="X45" s="149"/>
      <c r="Y45" s="144"/>
      <c r="Z45" s="149"/>
      <c r="AA45" s="149"/>
      <c r="AB45" s="90"/>
      <c r="AC45" s="90"/>
      <c r="AD45" s="90"/>
      <c r="AE45" s="90"/>
      <c r="AF45" s="90"/>
      <c r="AG45" s="90"/>
      <c r="AH45" s="90"/>
      <c r="AI45" s="90"/>
      <c r="AJ45" s="90"/>
      <c r="AK45" s="90"/>
      <c r="AL45" s="90"/>
      <c r="AM45" s="90"/>
      <c r="AN45" s="90"/>
      <c r="AO45" s="90"/>
      <c r="AP45" s="90"/>
      <c r="AQ45" s="90"/>
      <c r="AR45" s="90"/>
      <c r="AS45" s="90"/>
      <c r="AT45" s="90"/>
      <c r="AU45" s="90"/>
      <c r="AV45" s="90"/>
      <c r="AW45" s="90"/>
      <c r="AX45" s="90"/>
    </row>
    <row r="46" ht="15.75" customHeight="1">
      <c r="A46" s="144" t="s">
        <v>68</v>
      </c>
      <c r="B46" s="146" t="s">
        <v>366</v>
      </c>
      <c r="C46" s="148"/>
      <c r="D46" s="148"/>
      <c r="E46" s="148"/>
      <c r="F46" s="149"/>
      <c r="G46" s="149"/>
      <c r="H46" s="149"/>
      <c r="I46" s="149"/>
      <c r="J46" s="150"/>
      <c r="K46" s="151"/>
      <c r="L46" s="149"/>
      <c r="M46" s="150"/>
      <c r="N46" s="149"/>
      <c r="O46" s="149"/>
      <c r="P46" s="149"/>
      <c r="Q46" s="151"/>
      <c r="R46" s="149"/>
      <c r="S46" s="149"/>
      <c r="T46" s="153" t="s">
        <v>367</v>
      </c>
      <c r="U46" s="149"/>
      <c r="V46" s="149"/>
      <c r="W46" s="149"/>
      <c r="X46" s="149"/>
      <c r="Y46" s="144"/>
      <c r="Z46" s="149"/>
      <c r="AA46" s="149"/>
      <c r="AB46" s="90"/>
      <c r="AC46" s="90"/>
      <c r="AD46" s="90"/>
      <c r="AE46" s="90"/>
      <c r="AF46" s="90"/>
      <c r="AG46" s="90"/>
      <c r="AH46" s="90"/>
      <c r="AI46" s="90"/>
      <c r="AJ46" s="90"/>
      <c r="AK46" s="90"/>
      <c r="AL46" s="90"/>
      <c r="AM46" s="90"/>
      <c r="AN46" s="90"/>
      <c r="AO46" s="90"/>
      <c r="AP46" s="90"/>
      <c r="AQ46" s="90"/>
      <c r="AR46" s="90"/>
      <c r="AS46" s="90"/>
      <c r="AT46" s="90"/>
      <c r="AU46" s="90"/>
      <c r="AV46" s="90"/>
      <c r="AW46" s="90"/>
      <c r="AX46" s="90"/>
    </row>
    <row r="47" ht="15.75" customHeight="1">
      <c r="A47" s="144" t="s">
        <v>68</v>
      </c>
      <c r="B47" s="146" t="s">
        <v>372</v>
      </c>
      <c r="C47" s="148"/>
      <c r="D47" s="148"/>
      <c r="E47" s="148"/>
      <c r="F47" s="149"/>
      <c r="G47" s="149"/>
      <c r="H47" s="149"/>
      <c r="I47" s="149"/>
      <c r="J47" s="150"/>
      <c r="K47" s="151"/>
      <c r="L47" s="149"/>
      <c r="M47" s="150"/>
      <c r="N47" s="149"/>
      <c r="O47" s="149"/>
      <c r="P47" s="149"/>
      <c r="Q47" s="151"/>
      <c r="R47" s="149"/>
      <c r="S47" s="149"/>
      <c r="T47" s="153" t="s">
        <v>377</v>
      </c>
      <c r="U47" s="149"/>
      <c r="V47" s="149"/>
      <c r="W47" s="149"/>
      <c r="X47" s="149"/>
      <c r="Y47" s="144"/>
      <c r="Z47" s="149"/>
      <c r="AA47" s="149"/>
      <c r="AB47" s="90"/>
      <c r="AC47" s="90"/>
      <c r="AD47" s="90"/>
      <c r="AE47" s="90"/>
      <c r="AF47" s="90"/>
      <c r="AG47" s="90"/>
      <c r="AH47" s="90"/>
      <c r="AI47" s="90"/>
      <c r="AJ47" s="90"/>
      <c r="AK47" s="90"/>
      <c r="AL47" s="90"/>
      <c r="AM47" s="90"/>
      <c r="AN47" s="90"/>
      <c r="AO47" s="90"/>
      <c r="AP47" s="90"/>
      <c r="AQ47" s="90"/>
      <c r="AR47" s="90"/>
      <c r="AS47" s="90"/>
      <c r="AT47" s="90"/>
      <c r="AU47" s="90"/>
      <c r="AV47" s="90"/>
      <c r="AW47" s="90"/>
      <c r="AX47" s="90"/>
    </row>
    <row r="48" ht="15.75" customHeight="1">
      <c r="A48" s="144" t="s">
        <v>68</v>
      </c>
      <c r="B48" s="146" t="s">
        <v>378</v>
      </c>
      <c r="C48" s="148"/>
      <c r="D48" s="148"/>
      <c r="E48" s="148"/>
      <c r="F48" s="149"/>
      <c r="G48" s="149"/>
      <c r="H48" s="149"/>
      <c r="I48" s="149"/>
      <c r="J48" s="150"/>
      <c r="K48" s="151"/>
      <c r="L48" s="149"/>
      <c r="M48" s="150"/>
      <c r="N48" s="149"/>
      <c r="O48" s="149"/>
      <c r="P48" s="149"/>
      <c r="Q48" s="151"/>
      <c r="R48" s="149"/>
      <c r="S48" s="149"/>
      <c r="T48" s="153" t="s">
        <v>379</v>
      </c>
      <c r="U48" s="149"/>
      <c r="V48" s="149"/>
      <c r="W48" s="149"/>
      <c r="X48" s="149"/>
      <c r="Y48" s="144"/>
      <c r="Z48" s="149"/>
      <c r="AA48" s="149"/>
      <c r="AB48" s="90"/>
      <c r="AC48" s="90"/>
      <c r="AD48" s="90"/>
      <c r="AE48" s="90"/>
      <c r="AF48" s="90"/>
      <c r="AG48" s="90"/>
      <c r="AH48" s="90"/>
      <c r="AI48" s="90"/>
      <c r="AJ48" s="90"/>
      <c r="AK48" s="90"/>
      <c r="AL48" s="90"/>
      <c r="AM48" s="90"/>
      <c r="AN48" s="90"/>
      <c r="AO48" s="90"/>
      <c r="AP48" s="90"/>
      <c r="AQ48" s="90"/>
      <c r="AR48" s="90"/>
      <c r="AS48" s="90"/>
      <c r="AT48" s="90"/>
      <c r="AU48" s="90"/>
      <c r="AV48" s="90"/>
      <c r="AW48" s="90"/>
      <c r="AX48" s="90"/>
    </row>
    <row r="49" ht="15.75" customHeight="1">
      <c r="A49" s="144" t="s">
        <v>68</v>
      </c>
      <c r="B49" s="146" t="s">
        <v>380</v>
      </c>
      <c r="C49" s="148"/>
      <c r="D49" s="148"/>
      <c r="E49" s="148"/>
      <c r="F49" s="149"/>
      <c r="G49" s="149"/>
      <c r="H49" s="149"/>
      <c r="I49" s="149"/>
      <c r="J49" s="150"/>
      <c r="K49" s="151"/>
      <c r="L49" s="149"/>
      <c r="M49" s="150"/>
      <c r="N49" s="149"/>
      <c r="O49" s="149"/>
      <c r="P49" s="149"/>
      <c r="Q49" s="151"/>
      <c r="R49" s="149"/>
      <c r="S49" s="149"/>
      <c r="T49" s="153" t="s">
        <v>383</v>
      </c>
      <c r="U49" s="149"/>
      <c r="V49" s="149"/>
      <c r="W49" s="149"/>
      <c r="X49" s="149"/>
      <c r="Y49" s="144"/>
      <c r="Z49" s="149"/>
      <c r="AA49" s="149"/>
      <c r="AB49" s="90"/>
      <c r="AC49" s="90"/>
      <c r="AD49" s="90"/>
      <c r="AE49" s="90"/>
      <c r="AF49" s="90"/>
      <c r="AG49" s="90"/>
      <c r="AH49" s="90"/>
      <c r="AI49" s="90"/>
      <c r="AJ49" s="90"/>
      <c r="AK49" s="90"/>
      <c r="AL49" s="90"/>
      <c r="AM49" s="90"/>
      <c r="AN49" s="90"/>
      <c r="AO49" s="90"/>
      <c r="AP49" s="90"/>
      <c r="AQ49" s="90"/>
      <c r="AR49" s="90"/>
      <c r="AS49" s="90"/>
      <c r="AT49" s="90"/>
      <c r="AU49" s="90"/>
      <c r="AV49" s="90"/>
      <c r="AW49" s="90"/>
      <c r="AX49" s="90"/>
    </row>
    <row r="50" ht="15.75" customHeight="1">
      <c r="A50" s="144" t="s">
        <v>68</v>
      </c>
      <c r="B50" s="146" t="s">
        <v>387</v>
      </c>
      <c r="C50" s="148"/>
      <c r="D50" s="148"/>
      <c r="E50" s="148"/>
      <c r="F50" s="149"/>
      <c r="G50" s="149"/>
      <c r="H50" s="149"/>
      <c r="I50" s="149"/>
      <c r="J50" s="150"/>
      <c r="K50" s="151"/>
      <c r="L50" s="149"/>
      <c r="M50" s="150"/>
      <c r="N50" s="149"/>
      <c r="O50" s="149"/>
      <c r="P50" s="149"/>
      <c r="Q50" s="151"/>
      <c r="R50" s="149"/>
      <c r="S50" s="149"/>
      <c r="T50" s="153" t="s">
        <v>389</v>
      </c>
      <c r="U50" s="149"/>
      <c r="V50" s="149"/>
      <c r="W50" s="149"/>
      <c r="X50" s="149"/>
      <c r="Y50" s="144"/>
      <c r="Z50" s="149"/>
      <c r="AA50" s="149"/>
      <c r="AB50" s="90"/>
      <c r="AC50" s="90"/>
      <c r="AD50" s="90"/>
      <c r="AE50" s="90"/>
      <c r="AF50" s="90"/>
      <c r="AG50" s="90"/>
      <c r="AH50" s="90"/>
      <c r="AI50" s="90"/>
      <c r="AJ50" s="90"/>
      <c r="AK50" s="90"/>
      <c r="AL50" s="90"/>
      <c r="AM50" s="90"/>
      <c r="AN50" s="90"/>
      <c r="AO50" s="90"/>
      <c r="AP50" s="90"/>
      <c r="AQ50" s="90"/>
      <c r="AR50" s="90"/>
      <c r="AS50" s="90"/>
      <c r="AT50" s="90"/>
      <c r="AU50" s="90"/>
      <c r="AV50" s="90"/>
      <c r="AW50" s="90"/>
      <c r="AX50" s="90"/>
    </row>
    <row r="51" ht="15.75" customHeight="1">
      <c r="A51" s="144" t="s">
        <v>68</v>
      </c>
      <c r="B51" s="146" t="s">
        <v>394</v>
      </c>
      <c r="C51" s="148"/>
      <c r="D51" s="148"/>
      <c r="E51" s="148"/>
      <c r="F51" s="149"/>
      <c r="G51" s="149"/>
      <c r="H51" s="149"/>
      <c r="I51" s="149"/>
      <c r="J51" s="150"/>
      <c r="K51" s="151"/>
      <c r="L51" s="149"/>
      <c r="M51" s="150"/>
      <c r="N51" s="149"/>
      <c r="O51" s="149"/>
      <c r="P51" s="149"/>
      <c r="Q51" s="144"/>
      <c r="R51" s="149"/>
      <c r="S51" s="149"/>
      <c r="T51" s="153" t="s">
        <v>396</v>
      </c>
      <c r="U51" s="149"/>
      <c r="V51" s="149"/>
      <c r="W51" s="149"/>
      <c r="X51" s="149"/>
      <c r="Y51" s="144"/>
      <c r="Z51" s="149"/>
      <c r="AA51" s="149"/>
      <c r="AB51" s="90"/>
      <c r="AC51" s="90"/>
      <c r="AD51" s="90"/>
      <c r="AE51" s="90"/>
      <c r="AF51" s="90"/>
      <c r="AG51" s="90"/>
      <c r="AH51" s="90"/>
      <c r="AI51" s="90"/>
      <c r="AJ51" s="90"/>
      <c r="AK51" s="90"/>
      <c r="AL51" s="90"/>
      <c r="AM51" s="90"/>
      <c r="AN51" s="90"/>
      <c r="AO51" s="90"/>
      <c r="AP51" s="90"/>
      <c r="AQ51" s="90"/>
      <c r="AR51" s="90"/>
      <c r="AS51" s="90"/>
      <c r="AT51" s="90"/>
      <c r="AU51" s="90"/>
      <c r="AV51" s="90"/>
      <c r="AW51" s="90"/>
      <c r="AX51" s="90"/>
    </row>
    <row r="52" ht="15.75" customHeight="1">
      <c r="A52" s="144" t="s">
        <v>68</v>
      </c>
      <c r="B52" s="146" t="s">
        <v>402</v>
      </c>
      <c r="C52" s="148"/>
      <c r="D52" s="148"/>
      <c r="E52" s="148"/>
      <c r="F52" s="149"/>
      <c r="G52" s="149"/>
      <c r="H52" s="149"/>
      <c r="I52" s="149"/>
      <c r="J52" s="150"/>
      <c r="K52" s="151"/>
      <c r="L52" s="149"/>
      <c r="M52" s="150"/>
      <c r="N52" s="149"/>
      <c r="O52" s="149"/>
      <c r="P52" s="149"/>
      <c r="Q52" s="144"/>
      <c r="R52" s="149"/>
      <c r="S52" s="149"/>
      <c r="T52" s="153" t="s">
        <v>403</v>
      </c>
      <c r="U52" s="149"/>
      <c r="V52" s="149"/>
      <c r="W52" s="149"/>
      <c r="X52" s="149"/>
      <c r="Y52" s="144"/>
      <c r="Z52" s="149"/>
      <c r="AA52" s="149"/>
      <c r="AB52" s="90"/>
      <c r="AC52" s="90"/>
      <c r="AD52" s="90"/>
      <c r="AE52" s="90"/>
      <c r="AF52" s="90"/>
      <c r="AG52" s="90"/>
      <c r="AH52" s="90"/>
      <c r="AI52" s="90"/>
      <c r="AJ52" s="90"/>
      <c r="AK52" s="90"/>
      <c r="AL52" s="90"/>
      <c r="AM52" s="90"/>
      <c r="AN52" s="90"/>
      <c r="AO52" s="90"/>
      <c r="AP52" s="90"/>
      <c r="AQ52" s="90"/>
      <c r="AR52" s="90"/>
      <c r="AS52" s="90"/>
      <c r="AT52" s="90"/>
      <c r="AU52" s="90"/>
      <c r="AV52" s="90"/>
      <c r="AW52" s="90"/>
      <c r="AX52" s="90"/>
    </row>
    <row r="53" ht="15.75" customHeight="1">
      <c r="A53" s="144" t="s">
        <v>68</v>
      </c>
      <c r="B53" s="146" t="s">
        <v>408</v>
      </c>
      <c r="C53" s="148"/>
      <c r="D53" s="148"/>
      <c r="E53" s="148"/>
      <c r="F53" s="149"/>
      <c r="G53" s="149"/>
      <c r="H53" s="149"/>
      <c r="I53" s="149"/>
      <c r="J53" s="150"/>
      <c r="K53" s="151"/>
      <c r="L53" s="149"/>
      <c r="M53" s="150"/>
      <c r="N53" s="149"/>
      <c r="O53" s="149"/>
      <c r="P53" s="149"/>
      <c r="Q53" s="144"/>
      <c r="R53" s="149"/>
      <c r="S53" s="149"/>
      <c r="T53" s="153" t="s">
        <v>410</v>
      </c>
      <c r="U53" s="149"/>
      <c r="V53" s="149"/>
      <c r="W53" s="149"/>
      <c r="X53" s="149"/>
      <c r="Y53" s="144"/>
      <c r="Z53" s="149"/>
      <c r="AA53" s="149"/>
      <c r="AB53" s="90"/>
      <c r="AC53" s="90"/>
      <c r="AD53" s="90"/>
      <c r="AE53" s="90"/>
      <c r="AF53" s="90"/>
      <c r="AG53" s="90"/>
      <c r="AH53" s="90"/>
      <c r="AI53" s="90"/>
      <c r="AJ53" s="90"/>
      <c r="AK53" s="90"/>
      <c r="AL53" s="90"/>
      <c r="AM53" s="90"/>
      <c r="AN53" s="90"/>
      <c r="AO53" s="90"/>
      <c r="AP53" s="90"/>
      <c r="AQ53" s="90"/>
      <c r="AR53" s="90"/>
      <c r="AS53" s="90"/>
      <c r="AT53" s="90"/>
      <c r="AU53" s="90"/>
      <c r="AV53" s="90"/>
      <c r="AW53" s="90"/>
      <c r="AX53" s="90"/>
    </row>
    <row r="54" ht="15.75" customHeight="1">
      <c r="A54" s="102" t="s">
        <v>68</v>
      </c>
      <c r="B54" s="127" t="s">
        <v>414</v>
      </c>
      <c r="C54" s="72"/>
      <c r="D54" s="167"/>
      <c r="E54" s="72"/>
      <c r="F54" s="104"/>
      <c r="G54" s="104"/>
      <c r="H54" s="104"/>
      <c r="I54" s="104"/>
      <c r="J54" s="104"/>
      <c r="K54" s="104"/>
      <c r="L54" s="104"/>
      <c r="M54" s="104"/>
      <c r="N54" s="104"/>
      <c r="O54" s="104"/>
      <c r="P54" s="104"/>
      <c r="Q54" s="102"/>
      <c r="R54" s="104"/>
      <c r="S54" s="104"/>
      <c r="T54" s="153" t="s">
        <v>418</v>
      </c>
      <c r="U54" s="104"/>
      <c r="V54" s="104"/>
      <c r="W54" s="104"/>
      <c r="X54" s="104"/>
      <c r="Y54" s="104"/>
      <c r="Z54" s="104"/>
      <c r="AA54" s="104"/>
      <c r="AB54" s="104"/>
      <c r="AC54" s="104"/>
      <c r="AD54" s="90"/>
      <c r="AE54" s="90"/>
      <c r="AF54" s="90"/>
      <c r="AG54" s="90"/>
      <c r="AH54" s="90"/>
      <c r="AI54" s="90"/>
      <c r="AJ54" s="90"/>
      <c r="AK54" s="90"/>
      <c r="AL54" s="90"/>
      <c r="AM54" s="90"/>
      <c r="AN54" s="90"/>
      <c r="AO54" s="90"/>
      <c r="AP54" s="90"/>
      <c r="AQ54" s="90"/>
      <c r="AR54" s="90"/>
      <c r="AS54" s="90"/>
      <c r="AT54" s="90"/>
      <c r="AU54" s="90"/>
      <c r="AV54" s="90"/>
      <c r="AW54" s="90"/>
      <c r="AX54" s="90"/>
    </row>
    <row r="55" ht="15.75" customHeight="1">
      <c r="A55" s="168" t="s">
        <v>68</v>
      </c>
      <c r="B55" s="71" t="s">
        <v>422</v>
      </c>
      <c r="C55" s="72"/>
      <c r="D55" s="72"/>
      <c r="E55" s="72"/>
      <c r="F55" s="73"/>
      <c r="G55" s="73"/>
      <c r="H55" s="73"/>
      <c r="I55" s="73"/>
      <c r="J55" s="73"/>
      <c r="K55" s="73"/>
      <c r="L55" s="73"/>
      <c r="M55" s="73"/>
      <c r="N55" s="73"/>
      <c r="O55" s="73"/>
      <c r="P55" s="73"/>
      <c r="Q55" s="73"/>
      <c r="R55" s="73"/>
      <c r="S55" s="73"/>
      <c r="T55" s="169" t="s">
        <v>425</v>
      </c>
      <c r="U55" s="73"/>
      <c r="V55" s="73"/>
      <c r="W55" s="73"/>
      <c r="X55" s="73"/>
      <c r="Y55" s="73"/>
      <c r="Z55" s="73"/>
      <c r="AA55" s="73"/>
      <c r="AB55" s="73"/>
      <c r="AC55" s="73"/>
      <c r="AD55" s="73"/>
      <c r="AE55" s="73"/>
      <c r="AF55" s="73"/>
      <c r="AG55" s="73"/>
      <c r="AH55" s="73"/>
      <c r="AI55" s="73"/>
      <c r="AJ55" s="73"/>
      <c r="AK55" s="73"/>
      <c r="AL55" s="73"/>
      <c r="AM55" s="73"/>
      <c r="AN55" s="73"/>
      <c r="AO55" s="75"/>
      <c r="AP55" s="75"/>
      <c r="AQ55" s="75"/>
      <c r="AR55" s="75"/>
      <c r="AS55" s="75"/>
      <c r="AT55" s="75"/>
      <c r="AU55" s="75"/>
      <c r="AV55" s="75"/>
      <c r="AW55" s="75"/>
      <c r="AX55" s="75"/>
    </row>
    <row r="56" ht="15.75" customHeight="1">
      <c r="A56" s="170" t="s">
        <v>426</v>
      </c>
      <c r="B56" s="171" t="s">
        <v>427</v>
      </c>
      <c r="C56" s="172" t="s">
        <v>428</v>
      </c>
      <c r="D56" s="172"/>
      <c r="E56" s="172"/>
      <c r="F56" s="173"/>
      <c r="G56" s="173"/>
      <c r="H56" s="173"/>
      <c r="I56" s="173"/>
      <c r="J56" s="173"/>
      <c r="K56" s="173"/>
      <c r="L56" s="173"/>
      <c r="M56" s="174"/>
      <c r="N56" s="174"/>
      <c r="O56" s="174"/>
      <c r="P56" s="173"/>
      <c r="Q56" s="173"/>
      <c r="R56" s="173"/>
      <c r="S56" s="173"/>
      <c r="T56" s="175"/>
      <c r="U56" s="176" t="s">
        <v>434</v>
      </c>
      <c r="V56" s="173"/>
      <c r="W56" s="173"/>
      <c r="X56" s="173"/>
      <c r="Y56" s="173"/>
      <c r="Z56" s="173"/>
      <c r="AA56" s="173"/>
      <c r="AB56" s="173"/>
      <c r="AC56" s="173"/>
      <c r="AD56" s="129"/>
      <c r="AE56" s="129"/>
      <c r="AF56" s="129"/>
      <c r="AG56" s="129"/>
      <c r="AH56" s="129"/>
      <c r="AI56" s="129"/>
      <c r="AJ56" s="129"/>
      <c r="AK56" s="129"/>
      <c r="AL56" s="129"/>
      <c r="AM56" s="129"/>
      <c r="AN56" s="129"/>
      <c r="AO56" s="130"/>
      <c r="AP56" s="130"/>
      <c r="AQ56" s="130"/>
      <c r="AR56" s="130"/>
      <c r="AS56" s="130"/>
      <c r="AT56" s="130"/>
      <c r="AU56" s="130"/>
      <c r="AV56" s="130"/>
      <c r="AW56" s="130"/>
      <c r="AX56" s="130"/>
    </row>
    <row r="57" ht="15.75" customHeight="1">
      <c r="A57" s="70" t="s">
        <v>68</v>
      </c>
      <c r="B57" s="71" t="s">
        <v>436</v>
      </c>
      <c r="C57" s="72"/>
      <c r="D57" s="72"/>
      <c r="E57" s="72"/>
      <c r="F57" s="129"/>
      <c r="G57" s="129"/>
      <c r="H57" s="129"/>
      <c r="I57" s="129"/>
      <c r="J57" s="129"/>
      <c r="K57" s="129"/>
      <c r="L57" s="129"/>
      <c r="M57" s="129"/>
      <c r="N57" s="129"/>
      <c r="O57" s="129"/>
      <c r="P57" s="129"/>
      <c r="Q57" s="129"/>
      <c r="R57" s="129"/>
      <c r="S57" s="129"/>
      <c r="T57" s="177" t="s">
        <v>440</v>
      </c>
      <c r="U57" s="129"/>
      <c r="V57" s="129"/>
      <c r="W57" s="129"/>
      <c r="X57" s="129"/>
      <c r="Y57" s="129"/>
      <c r="Z57" s="129"/>
      <c r="AA57" s="129"/>
      <c r="AB57" s="129"/>
      <c r="AC57" s="129"/>
      <c r="AD57" s="129"/>
      <c r="AE57" s="129"/>
      <c r="AF57" s="129"/>
      <c r="AG57" s="129"/>
      <c r="AH57" s="129"/>
      <c r="AI57" s="129"/>
      <c r="AJ57" s="129"/>
      <c r="AK57" s="129"/>
      <c r="AL57" s="129"/>
      <c r="AM57" s="129"/>
      <c r="AN57" s="129"/>
      <c r="AO57" s="130"/>
      <c r="AP57" s="130"/>
      <c r="AQ57" s="130"/>
      <c r="AR57" s="130"/>
      <c r="AS57" s="130"/>
      <c r="AT57" s="130"/>
      <c r="AU57" s="130"/>
      <c r="AV57" s="130"/>
      <c r="AW57" s="130"/>
      <c r="AX57" s="130"/>
    </row>
    <row r="58" ht="15.75" customHeight="1">
      <c r="A58" s="70" t="s">
        <v>68</v>
      </c>
      <c r="B58" s="71" t="s">
        <v>445</v>
      </c>
      <c r="C58" s="72"/>
      <c r="D58" s="72"/>
      <c r="E58" s="72"/>
      <c r="F58" s="129"/>
      <c r="G58" s="129"/>
      <c r="H58" s="129"/>
      <c r="I58" s="129"/>
      <c r="J58" s="129"/>
      <c r="K58" s="129"/>
      <c r="L58" s="129"/>
      <c r="M58" s="129"/>
      <c r="N58" s="129"/>
      <c r="O58" s="70" t="s">
        <v>447</v>
      </c>
      <c r="P58" s="129"/>
      <c r="Q58" s="129"/>
      <c r="R58" s="129"/>
      <c r="S58" s="129"/>
      <c r="T58" s="169" t="s">
        <v>448</v>
      </c>
      <c r="U58" s="129"/>
      <c r="V58" s="129"/>
      <c r="W58" s="129"/>
      <c r="X58" s="129"/>
      <c r="Y58" s="129"/>
      <c r="Z58" s="129"/>
      <c r="AA58" s="129"/>
      <c r="AB58" s="129"/>
      <c r="AC58" s="129"/>
      <c r="AD58" s="129"/>
      <c r="AE58" s="129"/>
      <c r="AF58" s="129"/>
      <c r="AG58" s="129"/>
      <c r="AH58" s="129"/>
      <c r="AI58" s="129"/>
      <c r="AJ58" s="129"/>
      <c r="AK58" s="129"/>
      <c r="AL58" s="129"/>
      <c r="AM58" s="129"/>
      <c r="AN58" s="129"/>
      <c r="AO58" s="130"/>
      <c r="AP58" s="130"/>
      <c r="AQ58" s="130"/>
      <c r="AR58" s="130"/>
      <c r="AS58" s="130"/>
      <c r="AT58" s="130"/>
      <c r="AU58" s="130"/>
      <c r="AV58" s="130"/>
      <c r="AW58" s="130"/>
      <c r="AX58" s="130"/>
    </row>
    <row r="59" ht="15.75" customHeight="1">
      <c r="A59" s="70" t="s">
        <v>68</v>
      </c>
      <c r="B59" s="71" t="s">
        <v>449</v>
      </c>
      <c r="C59" s="72"/>
      <c r="D59" s="72"/>
      <c r="E59" s="72"/>
      <c r="F59" s="129"/>
      <c r="G59" s="129"/>
      <c r="H59" s="129"/>
      <c r="I59" s="129"/>
      <c r="J59" s="129"/>
      <c r="K59" s="129"/>
      <c r="L59" s="129"/>
      <c r="M59" s="129"/>
      <c r="N59" s="129"/>
      <c r="O59" s="129"/>
      <c r="P59" s="129"/>
      <c r="Q59" s="129"/>
      <c r="R59" s="129"/>
      <c r="S59" s="129"/>
      <c r="T59" s="169" t="s">
        <v>451</v>
      </c>
      <c r="U59" s="129"/>
      <c r="V59" s="129"/>
      <c r="W59" s="129"/>
      <c r="X59" s="129"/>
      <c r="Y59" s="129"/>
      <c r="Z59" s="129"/>
      <c r="AA59" s="129"/>
      <c r="AB59" s="129"/>
      <c r="AC59" s="129"/>
      <c r="AD59" s="129"/>
      <c r="AE59" s="129"/>
      <c r="AF59" s="129"/>
      <c r="AG59" s="129"/>
      <c r="AH59" s="129"/>
      <c r="AI59" s="129"/>
      <c r="AJ59" s="129"/>
      <c r="AK59" s="129"/>
      <c r="AL59" s="129"/>
      <c r="AM59" s="129"/>
      <c r="AN59" s="129"/>
      <c r="AO59" s="130"/>
      <c r="AP59" s="130"/>
      <c r="AQ59" s="130"/>
      <c r="AR59" s="130"/>
      <c r="AS59" s="130"/>
      <c r="AT59" s="130"/>
      <c r="AU59" s="130"/>
      <c r="AV59" s="130"/>
      <c r="AW59" s="130"/>
      <c r="AX59" s="130"/>
    </row>
    <row r="60" ht="15.75" customHeight="1">
      <c r="A60" s="70" t="s">
        <v>68</v>
      </c>
      <c r="B60" s="71" t="s">
        <v>456</v>
      </c>
      <c r="C60" s="72"/>
      <c r="D60" s="72"/>
      <c r="E60" s="72"/>
      <c r="F60" s="129"/>
      <c r="G60" s="129"/>
      <c r="H60" s="129"/>
      <c r="I60" s="129"/>
      <c r="J60" s="129"/>
      <c r="K60" s="129"/>
      <c r="L60" s="129"/>
      <c r="M60" s="129"/>
      <c r="N60" s="129"/>
      <c r="O60" s="129"/>
      <c r="P60" s="129"/>
      <c r="Q60" s="129"/>
      <c r="R60" s="129"/>
      <c r="S60" s="129"/>
      <c r="T60" s="169" t="s">
        <v>460</v>
      </c>
      <c r="U60" s="129"/>
      <c r="V60" s="129"/>
      <c r="W60" s="129"/>
      <c r="X60" s="129"/>
      <c r="Y60" s="129"/>
      <c r="Z60" s="129"/>
      <c r="AA60" s="129"/>
      <c r="AB60" s="129"/>
      <c r="AC60" s="129"/>
      <c r="AD60" s="129"/>
      <c r="AE60" s="129"/>
      <c r="AF60" s="129"/>
      <c r="AG60" s="129"/>
      <c r="AH60" s="129"/>
      <c r="AI60" s="129"/>
      <c r="AJ60" s="129"/>
      <c r="AK60" s="129"/>
      <c r="AL60" s="129"/>
      <c r="AM60" s="129"/>
      <c r="AN60" s="129"/>
      <c r="AO60" s="130"/>
      <c r="AP60" s="130"/>
      <c r="AQ60" s="130"/>
      <c r="AR60" s="130"/>
      <c r="AS60" s="130"/>
      <c r="AT60" s="130"/>
      <c r="AU60" s="130"/>
      <c r="AV60" s="130"/>
      <c r="AW60" s="130"/>
      <c r="AX60" s="130"/>
    </row>
    <row r="61" ht="15.75" customHeight="1">
      <c r="A61" s="70" t="s">
        <v>68</v>
      </c>
      <c r="B61" s="71" t="s">
        <v>465</v>
      </c>
      <c r="C61" s="72"/>
      <c r="D61" s="72"/>
      <c r="E61" s="72"/>
      <c r="F61" s="129"/>
      <c r="G61" s="129"/>
      <c r="H61" s="129"/>
      <c r="I61" s="129"/>
      <c r="J61" s="129"/>
      <c r="K61" s="129"/>
      <c r="L61" s="129"/>
      <c r="M61" s="129"/>
      <c r="N61" s="129"/>
      <c r="O61" s="129"/>
      <c r="P61" s="129"/>
      <c r="Q61" s="129"/>
      <c r="R61" s="129"/>
      <c r="S61" s="129"/>
      <c r="T61" s="177" t="s">
        <v>467</v>
      </c>
      <c r="U61" s="129"/>
      <c r="V61" s="129"/>
      <c r="W61" s="129"/>
      <c r="X61" s="129"/>
      <c r="Y61" s="129"/>
      <c r="Z61" s="129"/>
      <c r="AA61" s="129"/>
      <c r="AB61" s="129"/>
      <c r="AC61" s="129"/>
      <c r="AD61" s="129"/>
      <c r="AE61" s="129"/>
      <c r="AF61" s="129"/>
      <c r="AG61" s="129"/>
      <c r="AH61" s="129"/>
      <c r="AI61" s="129"/>
      <c r="AJ61" s="129"/>
      <c r="AK61" s="129"/>
      <c r="AL61" s="129"/>
      <c r="AM61" s="129"/>
      <c r="AN61" s="129"/>
      <c r="AO61" s="130"/>
      <c r="AP61" s="130"/>
      <c r="AQ61" s="130"/>
      <c r="AR61" s="130"/>
      <c r="AS61" s="130"/>
      <c r="AT61" s="130"/>
      <c r="AU61" s="130"/>
      <c r="AV61" s="130"/>
      <c r="AW61" s="130"/>
      <c r="AX61" s="130"/>
    </row>
    <row r="62" ht="15.75" customHeight="1">
      <c r="A62" s="170" t="s">
        <v>468</v>
      </c>
      <c r="B62" s="185" t="s">
        <v>427</v>
      </c>
      <c r="C62" s="186"/>
      <c r="D62" s="186"/>
      <c r="E62" s="186"/>
      <c r="F62" s="173"/>
      <c r="G62" s="173"/>
      <c r="H62" s="173"/>
      <c r="I62" s="173"/>
      <c r="J62" s="173"/>
      <c r="K62" s="173"/>
      <c r="L62" s="173"/>
      <c r="M62" s="173"/>
      <c r="N62" s="173"/>
      <c r="O62" s="173"/>
      <c r="P62" s="173"/>
      <c r="Q62" s="173"/>
      <c r="R62" s="173"/>
      <c r="S62" s="173"/>
      <c r="T62" s="175"/>
      <c r="U62" s="173"/>
      <c r="V62" s="173"/>
      <c r="W62" s="173"/>
      <c r="X62" s="173"/>
      <c r="Y62" s="173"/>
      <c r="Z62" s="173"/>
      <c r="AA62" s="173"/>
      <c r="AB62" s="173"/>
      <c r="AC62" s="173"/>
      <c r="AD62" s="129"/>
      <c r="AE62" s="129"/>
      <c r="AF62" s="129"/>
      <c r="AG62" s="129"/>
      <c r="AH62" s="129"/>
      <c r="AI62" s="129"/>
      <c r="AJ62" s="129"/>
      <c r="AK62" s="129"/>
      <c r="AL62" s="129"/>
      <c r="AM62" s="129"/>
      <c r="AN62" s="129"/>
      <c r="AO62" s="130"/>
      <c r="AP62" s="130"/>
      <c r="AQ62" s="130"/>
      <c r="AR62" s="130"/>
      <c r="AS62" s="130"/>
      <c r="AT62" s="130"/>
      <c r="AU62" s="130"/>
      <c r="AV62" s="130"/>
      <c r="AW62" s="130"/>
      <c r="AX62" s="130"/>
    </row>
    <row r="63" ht="15.75" customHeight="1">
      <c r="A63" s="70" t="s">
        <v>68</v>
      </c>
      <c r="B63" s="71" t="s">
        <v>475</v>
      </c>
      <c r="C63" s="72"/>
      <c r="D63" s="72"/>
      <c r="E63" s="72"/>
      <c r="F63" s="129"/>
      <c r="G63" s="129"/>
      <c r="H63" s="129"/>
      <c r="I63" s="129"/>
      <c r="J63" s="129"/>
      <c r="K63" s="129"/>
      <c r="L63" s="129"/>
      <c r="M63" s="129"/>
      <c r="N63" s="129"/>
      <c r="O63" s="129"/>
      <c r="P63" s="129"/>
      <c r="Q63" s="129"/>
      <c r="R63" s="129"/>
      <c r="S63" s="129"/>
      <c r="T63" s="177" t="s">
        <v>479</v>
      </c>
      <c r="U63" s="129"/>
      <c r="V63" s="129"/>
      <c r="W63" s="129"/>
      <c r="X63" s="129"/>
      <c r="Y63" s="129"/>
      <c r="Z63" s="129"/>
      <c r="AA63" s="129"/>
      <c r="AB63" s="129"/>
      <c r="AC63" s="129"/>
      <c r="AD63" s="129"/>
      <c r="AE63" s="129"/>
      <c r="AF63" s="129"/>
      <c r="AG63" s="129"/>
      <c r="AH63" s="129"/>
      <c r="AI63" s="129"/>
      <c r="AJ63" s="129"/>
      <c r="AK63" s="129"/>
      <c r="AL63" s="129"/>
      <c r="AM63" s="129"/>
      <c r="AN63" s="129"/>
      <c r="AO63" s="130"/>
      <c r="AP63" s="130"/>
      <c r="AQ63" s="130"/>
      <c r="AR63" s="130"/>
      <c r="AS63" s="130"/>
      <c r="AT63" s="130"/>
      <c r="AU63" s="130"/>
      <c r="AV63" s="130"/>
      <c r="AW63" s="130"/>
      <c r="AX63" s="130"/>
    </row>
    <row r="64" ht="15.75" customHeight="1">
      <c r="A64" s="70" t="s">
        <v>68</v>
      </c>
      <c r="B64" s="71" t="s">
        <v>487</v>
      </c>
      <c r="C64" s="72"/>
      <c r="D64" s="72"/>
      <c r="E64" s="72"/>
      <c r="F64" s="129"/>
      <c r="G64" s="129"/>
      <c r="H64" s="129"/>
      <c r="I64" s="129"/>
      <c r="J64" s="129"/>
      <c r="K64" s="129"/>
      <c r="L64" s="129"/>
      <c r="M64" s="129"/>
      <c r="N64" s="129"/>
      <c r="O64" s="129"/>
      <c r="P64" s="129"/>
      <c r="Q64" s="129"/>
      <c r="R64" s="129"/>
      <c r="S64" s="129"/>
      <c r="T64" s="169" t="s">
        <v>489</v>
      </c>
      <c r="U64" s="129"/>
      <c r="V64" s="129"/>
      <c r="W64" s="129"/>
      <c r="X64" s="129"/>
      <c r="Y64" s="129"/>
      <c r="Z64" s="129"/>
      <c r="AA64" s="129"/>
      <c r="AB64" s="129"/>
      <c r="AC64" s="129"/>
      <c r="AD64" s="129"/>
      <c r="AE64" s="129"/>
      <c r="AF64" s="129"/>
      <c r="AG64" s="129"/>
      <c r="AH64" s="129"/>
      <c r="AI64" s="129"/>
      <c r="AJ64" s="129"/>
      <c r="AK64" s="129"/>
      <c r="AL64" s="129"/>
      <c r="AM64" s="129"/>
      <c r="AN64" s="129"/>
      <c r="AO64" s="130"/>
      <c r="AP64" s="130"/>
      <c r="AQ64" s="130"/>
      <c r="AR64" s="130"/>
      <c r="AS64" s="130"/>
      <c r="AT64" s="130"/>
      <c r="AU64" s="130"/>
      <c r="AV64" s="130"/>
      <c r="AW64" s="130"/>
      <c r="AX64" s="130"/>
    </row>
    <row r="65" ht="15.75" customHeight="1">
      <c r="A65" s="70" t="s">
        <v>68</v>
      </c>
      <c r="B65" s="188" t="s">
        <v>490</v>
      </c>
      <c r="C65" s="72"/>
      <c r="D65" s="72"/>
      <c r="E65" s="72"/>
      <c r="F65" s="129"/>
      <c r="G65" s="129"/>
      <c r="H65" s="129"/>
      <c r="I65" s="129"/>
      <c r="J65" s="129"/>
      <c r="K65" s="129"/>
      <c r="L65" s="129"/>
      <c r="M65" s="129"/>
      <c r="N65" s="129"/>
      <c r="O65" s="129"/>
      <c r="P65" s="129"/>
      <c r="Q65" s="129"/>
      <c r="R65" s="129"/>
      <c r="S65" s="129"/>
      <c r="T65" s="169" t="s">
        <v>494</v>
      </c>
      <c r="U65" s="129"/>
      <c r="V65" s="129"/>
      <c r="W65" s="129"/>
      <c r="X65" s="129"/>
      <c r="Y65" s="129"/>
      <c r="Z65" s="129"/>
      <c r="AA65" s="129"/>
      <c r="AB65" s="129"/>
      <c r="AC65" s="129"/>
      <c r="AD65" s="129"/>
      <c r="AE65" s="129"/>
      <c r="AF65" s="129"/>
      <c r="AG65" s="129"/>
      <c r="AH65" s="129"/>
      <c r="AI65" s="129"/>
      <c r="AJ65" s="129"/>
      <c r="AK65" s="129"/>
      <c r="AL65" s="129"/>
      <c r="AM65" s="129"/>
      <c r="AN65" s="129"/>
      <c r="AO65" s="130"/>
      <c r="AP65" s="130"/>
      <c r="AQ65" s="130"/>
      <c r="AR65" s="130"/>
      <c r="AS65" s="130"/>
      <c r="AT65" s="130"/>
      <c r="AU65" s="130"/>
      <c r="AV65" s="130"/>
      <c r="AW65" s="130"/>
      <c r="AX65" s="130"/>
    </row>
    <row r="66" ht="15.75" customHeight="1">
      <c r="A66" s="70" t="s">
        <v>68</v>
      </c>
      <c r="B66" s="188" t="s">
        <v>498</v>
      </c>
      <c r="C66" s="72"/>
      <c r="D66" s="72"/>
      <c r="E66" s="72"/>
      <c r="F66" s="129"/>
      <c r="G66" s="129"/>
      <c r="H66" s="129"/>
      <c r="I66" s="129"/>
      <c r="J66" s="129"/>
      <c r="K66" s="129"/>
      <c r="L66" s="129"/>
      <c r="M66" s="129"/>
      <c r="N66" s="129"/>
      <c r="O66" s="129"/>
      <c r="P66" s="129"/>
      <c r="Q66" s="129"/>
      <c r="R66" s="129"/>
      <c r="S66" s="129"/>
      <c r="T66" s="169" t="s">
        <v>501</v>
      </c>
      <c r="U66" s="129"/>
      <c r="V66" s="129"/>
      <c r="W66" s="129"/>
      <c r="X66" s="129"/>
      <c r="Y66" s="129"/>
      <c r="Z66" s="129"/>
      <c r="AA66" s="129"/>
      <c r="AB66" s="129"/>
      <c r="AC66" s="129"/>
      <c r="AD66" s="129"/>
      <c r="AE66" s="129"/>
      <c r="AF66" s="129"/>
      <c r="AG66" s="129"/>
      <c r="AH66" s="129"/>
      <c r="AI66" s="129"/>
      <c r="AJ66" s="129"/>
      <c r="AK66" s="129"/>
      <c r="AL66" s="129"/>
      <c r="AM66" s="129"/>
      <c r="AN66" s="129"/>
      <c r="AO66" s="130"/>
      <c r="AP66" s="130"/>
      <c r="AQ66" s="130"/>
      <c r="AR66" s="130"/>
      <c r="AS66" s="130"/>
      <c r="AT66" s="130"/>
      <c r="AU66" s="130"/>
      <c r="AV66" s="130"/>
      <c r="AW66" s="130"/>
      <c r="AX66" s="130"/>
    </row>
    <row r="67" ht="15.75" customHeight="1">
      <c r="A67" s="189"/>
      <c r="B67" s="190"/>
      <c r="C67" s="191"/>
      <c r="D67" s="191"/>
      <c r="E67" s="191"/>
      <c r="F67" s="189"/>
      <c r="G67" s="189"/>
      <c r="H67" s="189"/>
      <c r="I67" s="189"/>
      <c r="J67" s="192"/>
      <c r="K67" s="189"/>
      <c r="L67" s="189"/>
      <c r="M67" s="189"/>
      <c r="N67" s="189"/>
      <c r="O67" s="189"/>
      <c r="P67" s="189"/>
      <c r="Q67" s="189"/>
      <c r="R67" s="189"/>
      <c r="S67" s="189"/>
      <c r="T67" s="193"/>
      <c r="U67" s="189"/>
      <c r="V67" s="189"/>
      <c r="W67" s="189"/>
      <c r="X67" s="189"/>
      <c r="Y67" s="189"/>
      <c r="Z67" s="189"/>
      <c r="AA67" s="189"/>
      <c r="AB67" s="189"/>
      <c r="AC67" s="189"/>
      <c r="AD67" s="189"/>
      <c r="AE67" s="189"/>
      <c r="AF67" s="189"/>
      <c r="AG67" s="189"/>
      <c r="AH67" s="189"/>
      <c r="AI67" s="189"/>
      <c r="AJ67" s="189"/>
      <c r="AK67" s="189"/>
      <c r="AL67" s="189"/>
      <c r="AM67" s="189"/>
      <c r="AN67" s="189"/>
      <c r="AO67" s="130"/>
      <c r="AP67" s="130"/>
      <c r="AQ67" s="130"/>
      <c r="AR67" s="130"/>
      <c r="AS67" s="130"/>
      <c r="AT67" s="130"/>
      <c r="AU67" s="130"/>
      <c r="AV67" s="130"/>
      <c r="AW67" s="130"/>
      <c r="AX67" s="130"/>
    </row>
    <row r="68" ht="15.75" customHeight="1">
      <c r="A68" s="70" t="s">
        <v>68</v>
      </c>
      <c r="B68" s="71" t="s">
        <v>509</v>
      </c>
      <c r="C68" s="72"/>
      <c r="D68" s="72"/>
      <c r="E68" s="72"/>
      <c r="F68" s="129"/>
      <c r="G68" s="129"/>
      <c r="H68" s="129"/>
      <c r="I68" s="129"/>
      <c r="J68" s="129"/>
      <c r="K68" s="129"/>
      <c r="L68" s="129"/>
      <c r="M68" s="129"/>
      <c r="N68" s="129"/>
      <c r="O68" s="129"/>
      <c r="P68" s="129"/>
      <c r="Q68" s="129"/>
      <c r="R68" s="129"/>
      <c r="S68" s="129"/>
      <c r="T68" s="177" t="s">
        <v>512</v>
      </c>
      <c r="U68" s="129"/>
      <c r="V68" s="129"/>
      <c r="W68" s="129"/>
      <c r="X68" s="129"/>
      <c r="Y68" s="129"/>
      <c r="Z68" s="129"/>
      <c r="AA68" s="129"/>
      <c r="AB68" s="129"/>
      <c r="AC68" s="129"/>
      <c r="AD68" s="189"/>
      <c r="AE68" s="189"/>
      <c r="AF68" s="189"/>
      <c r="AG68" s="189"/>
      <c r="AH68" s="189"/>
      <c r="AI68" s="189"/>
      <c r="AJ68" s="189"/>
      <c r="AK68" s="189"/>
      <c r="AL68" s="189"/>
      <c r="AM68" s="189"/>
      <c r="AN68" s="189"/>
      <c r="AO68" s="130"/>
      <c r="AP68" s="130"/>
      <c r="AQ68" s="130"/>
      <c r="AR68" s="130"/>
      <c r="AS68" s="130"/>
      <c r="AT68" s="130"/>
      <c r="AU68" s="130"/>
      <c r="AV68" s="130"/>
      <c r="AW68" s="130"/>
      <c r="AX68" s="130"/>
    </row>
    <row r="69" ht="15.75" customHeight="1">
      <c r="A69" s="70" t="s">
        <v>68</v>
      </c>
      <c r="B69" s="71" t="s">
        <v>516</v>
      </c>
      <c r="C69" s="72"/>
      <c r="D69" s="72"/>
      <c r="E69" s="72"/>
      <c r="F69" s="129"/>
      <c r="G69" s="129"/>
      <c r="H69" s="129"/>
      <c r="I69" s="129"/>
      <c r="J69" s="129"/>
      <c r="K69" s="129"/>
      <c r="L69" s="129"/>
      <c r="M69" s="129"/>
      <c r="N69" s="129"/>
      <c r="O69" s="129"/>
      <c r="P69" s="129"/>
      <c r="Q69" s="129"/>
      <c r="R69" s="129"/>
      <c r="S69" s="129"/>
      <c r="T69" s="177" t="s">
        <v>520</v>
      </c>
      <c r="U69" s="129"/>
      <c r="V69" s="129"/>
      <c r="W69" s="129"/>
      <c r="X69" s="129"/>
      <c r="Y69" s="129"/>
      <c r="Z69" s="129"/>
      <c r="AA69" s="129"/>
      <c r="AB69" s="129"/>
      <c r="AC69" s="129"/>
      <c r="AD69" s="189"/>
      <c r="AE69" s="189"/>
      <c r="AF69" s="189"/>
      <c r="AG69" s="189"/>
      <c r="AH69" s="189"/>
      <c r="AI69" s="189"/>
      <c r="AJ69" s="189"/>
      <c r="AK69" s="189"/>
      <c r="AL69" s="189"/>
      <c r="AM69" s="189"/>
      <c r="AN69" s="189"/>
      <c r="AO69" s="130"/>
      <c r="AP69" s="130"/>
      <c r="AQ69" s="130"/>
      <c r="AR69" s="130"/>
      <c r="AS69" s="130"/>
      <c r="AT69" s="130"/>
      <c r="AU69" s="130"/>
      <c r="AV69" s="130"/>
      <c r="AW69" s="130"/>
      <c r="AX69" s="130"/>
    </row>
    <row r="70" ht="15.75" customHeight="1">
      <c r="A70" s="70" t="s">
        <v>68</v>
      </c>
      <c r="B70" s="71" t="s">
        <v>526</v>
      </c>
      <c r="C70" s="72"/>
      <c r="D70" s="72"/>
      <c r="E70" s="72"/>
      <c r="F70" s="129"/>
      <c r="G70" s="129"/>
      <c r="H70" s="129"/>
      <c r="I70" s="129"/>
      <c r="J70" s="129"/>
      <c r="K70" s="129"/>
      <c r="L70" s="129"/>
      <c r="M70" s="129"/>
      <c r="N70" s="129"/>
      <c r="O70" s="129"/>
      <c r="P70" s="129"/>
      <c r="Q70" s="129"/>
      <c r="R70" s="129"/>
      <c r="S70" s="129"/>
      <c r="T70" s="177" t="s">
        <v>527</v>
      </c>
      <c r="U70" s="129"/>
      <c r="V70" s="129"/>
      <c r="W70" s="129"/>
      <c r="X70" s="129"/>
      <c r="Y70" s="129"/>
      <c r="Z70" s="129"/>
      <c r="AA70" s="129"/>
      <c r="AB70" s="129"/>
      <c r="AC70" s="129"/>
      <c r="AD70" s="189"/>
      <c r="AE70" s="189"/>
      <c r="AF70" s="189"/>
      <c r="AG70" s="189"/>
      <c r="AH70" s="189"/>
      <c r="AI70" s="189"/>
      <c r="AJ70" s="189"/>
      <c r="AK70" s="189"/>
      <c r="AL70" s="189"/>
      <c r="AM70" s="189"/>
      <c r="AN70" s="189"/>
      <c r="AO70" s="130"/>
      <c r="AP70" s="130"/>
      <c r="AQ70" s="130"/>
      <c r="AR70" s="130"/>
      <c r="AS70" s="130"/>
      <c r="AT70" s="130"/>
      <c r="AU70" s="130"/>
      <c r="AV70" s="130"/>
      <c r="AW70" s="130"/>
      <c r="AX70" s="130"/>
    </row>
    <row r="71" ht="15.75" customHeight="1">
      <c r="A71" s="70" t="s">
        <v>68</v>
      </c>
      <c r="B71" s="71" t="s">
        <v>531</v>
      </c>
      <c r="C71" s="72"/>
      <c r="D71" s="72"/>
      <c r="E71" s="72"/>
      <c r="F71" s="129"/>
      <c r="G71" s="129"/>
      <c r="H71" s="129"/>
      <c r="I71" s="129"/>
      <c r="J71" s="129"/>
      <c r="K71" s="129"/>
      <c r="L71" s="129"/>
      <c r="M71" s="129"/>
      <c r="N71" s="129"/>
      <c r="O71" s="129"/>
      <c r="P71" s="129"/>
      <c r="Q71" s="129"/>
      <c r="R71" s="129"/>
      <c r="S71" s="129"/>
      <c r="T71" s="177" t="s">
        <v>533</v>
      </c>
      <c r="U71" s="129"/>
      <c r="V71" s="129"/>
      <c r="W71" s="129"/>
      <c r="X71" s="129"/>
      <c r="Y71" s="129"/>
      <c r="Z71" s="129"/>
      <c r="AA71" s="129"/>
      <c r="AB71" s="129"/>
      <c r="AC71" s="129"/>
      <c r="AD71" s="189"/>
      <c r="AE71" s="189"/>
      <c r="AF71" s="189"/>
      <c r="AG71" s="189"/>
      <c r="AH71" s="189"/>
      <c r="AI71" s="189"/>
      <c r="AJ71" s="189"/>
      <c r="AK71" s="189"/>
      <c r="AL71" s="189"/>
      <c r="AM71" s="189"/>
      <c r="AN71" s="189"/>
      <c r="AO71" s="130"/>
      <c r="AP71" s="130"/>
      <c r="AQ71" s="130"/>
      <c r="AR71" s="130"/>
      <c r="AS71" s="130"/>
      <c r="AT71" s="130"/>
      <c r="AU71" s="130"/>
      <c r="AV71" s="130"/>
      <c r="AW71" s="130"/>
      <c r="AX71" s="130"/>
    </row>
    <row r="72" ht="15.75" customHeight="1">
      <c r="A72" s="70" t="s">
        <v>68</v>
      </c>
      <c r="B72" s="71" t="s">
        <v>537</v>
      </c>
      <c r="C72" s="72"/>
      <c r="D72" s="72"/>
      <c r="E72" s="72"/>
      <c r="F72" s="129"/>
      <c r="G72" s="129"/>
      <c r="H72" s="129"/>
      <c r="I72" s="129"/>
      <c r="J72" s="129"/>
      <c r="K72" s="129"/>
      <c r="L72" s="129"/>
      <c r="M72" s="129"/>
      <c r="N72" s="129"/>
      <c r="O72" s="129"/>
      <c r="P72" s="129"/>
      <c r="Q72" s="129"/>
      <c r="R72" s="129"/>
      <c r="S72" s="129"/>
      <c r="T72" s="177" t="s">
        <v>540</v>
      </c>
      <c r="U72" s="129"/>
      <c r="V72" s="129"/>
      <c r="W72" s="129"/>
      <c r="X72" s="129"/>
      <c r="Y72" s="129"/>
      <c r="Z72" s="129"/>
      <c r="AA72" s="129"/>
      <c r="AB72" s="129"/>
      <c r="AC72" s="129"/>
      <c r="AD72" s="189"/>
      <c r="AE72" s="189"/>
      <c r="AF72" s="189"/>
      <c r="AG72" s="189"/>
      <c r="AH72" s="189"/>
      <c r="AI72" s="189"/>
      <c r="AJ72" s="189"/>
      <c r="AK72" s="189"/>
      <c r="AL72" s="189"/>
      <c r="AM72" s="189"/>
      <c r="AN72" s="189"/>
      <c r="AO72" s="130"/>
      <c r="AP72" s="130"/>
      <c r="AQ72" s="130"/>
      <c r="AR72" s="130"/>
      <c r="AS72" s="130"/>
      <c r="AT72" s="130"/>
      <c r="AU72" s="130"/>
      <c r="AV72" s="130"/>
      <c r="AW72" s="130"/>
      <c r="AX72" s="130"/>
    </row>
    <row r="73" ht="15.75" customHeight="1">
      <c r="A73" s="70" t="s">
        <v>68</v>
      </c>
      <c r="B73" s="71" t="s">
        <v>541</v>
      </c>
      <c r="C73" s="72"/>
      <c r="D73" s="72"/>
      <c r="E73" s="72"/>
      <c r="F73" s="129"/>
      <c r="G73" s="129"/>
      <c r="H73" s="129"/>
      <c r="I73" s="129"/>
      <c r="J73" s="129"/>
      <c r="K73" s="129"/>
      <c r="L73" s="129"/>
      <c r="M73" s="129"/>
      <c r="N73" s="129"/>
      <c r="O73" s="129"/>
      <c r="P73" s="129"/>
      <c r="Q73" s="129"/>
      <c r="R73" s="129"/>
      <c r="S73" s="129"/>
      <c r="T73" s="177" t="s">
        <v>543</v>
      </c>
      <c r="U73" s="129"/>
      <c r="V73" s="129"/>
      <c r="W73" s="129"/>
      <c r="X73" s="129"/>
      <c r="Y73" s="129"/>
      <c r="Z73" s="129"/>
      <c r="AA73" s="129"/>
      <c r="AB73" s="129"/>
      <c r="AC73" s="129"/>
      <c r="AD73" s="189"/>
      <c r="AE73" s="189"/>
      <c r="AF73" s="189"/>
      <c r="AG73" s="189"/>
      <c r="AH73" s="189"/>
      <c r="AI73" s="189"/>
      <c r="AJ73" s="189"/>
      <c r="AK73" s="189"/>
      <c r="AL73" s="189"/>
      <c r="AM73" s="189"/>
      <c r="AN73" s="189"/>
      <c r="AO73" s="130"/>
      <c r="AP73" s="130"/>
      <c r="AQ73" s="130"/>
      <c r="AR73" s="130"/>
      <c r="AS73" s="130"/>
      <c r="AT73" s="130"/>
      <c r="AU73" s="130"/>
      <c r="AV73" s="130"/>
      <c r="AW73" s="130"/>
      <c r="AX73" s="130"/>
    </row>
    <row r="74" ht="15.75" customHeight="1">
      <c r="A74" s="70" t="s">
        <v>68</v>
      </c>
      <c r="B74" s="71" t="s">
        <v>546</v>
      </c>
      <c r="C74" s="72"/>
      <c r="D74" s="72"/>
      <c r="E74" s="72"/>
      <c r="F74" s="129"/>
      <c r="G74" s="129"/>
      <c r="H74" s="129"/>
      <c r="I74" s="129"/>
      <c r="J74" s="129"/>
      <c r="K74" s="129"/>
      <c r="L74" s="129"/>
      <c r="M74" s="129"/>
      <c r="N74" s="129"/>
      <c r="O74" s="129"/>
      <c r="P74" s="129"/>
      <c r="Q74" s="129"/>
      <c r="R74" s="129"/>
      <c r="S74" s="129"/>
      <c r="T74" s="177" t="s">
        <v>547</v>
      </c>
      <c r="U74" s="129"/>
      <c r="V74" s="129"/>
      <c r="W74" s="129"/>
      <c r="X74" s="129"/>
      <c r="Y74" s="129"/>
      <c r="Z74" s="129"/>
      <c r="AA74" s="129"/>
      <c r="AB74" s="129"/>
      <c r="AC74" s="129"/>
      <c r="AD74" s="189"/>
      <c r="AE74" s="189"/>
      <c r="AF74" s="189"/>
      <c r="AG74" s="189"/>
      <c r="AH74" s="189"/>
      <c r="AI74" s="189"/>
      <c r="AJ74" s="189"/>
      <c r="AK74" s="189"/>
      <c r="AL74" s="189"/>
      <c r="AM74" s="189"/>
      <c r="AN74" s="189"/>
      <c r="AO74" s="130"/>
      <c r="AP74" s="130"/>
      <c r="AQ74" s="130"/>
      <c r="AR74" s="130"/>
      <c r="AS74" s="130"/>
      <c r="AT74" s="130"/>
      <c r="AU74" s="130"/>
      <c r="AV74" s="130"/>
      <c r="AW74" s="130"/>
      <c r="AX74" s="130"/>
    </row>
    <row r="75" ht="15.75" customHeight="1">
      <c r="A75" s="70" t="s">
        <v>68</v>
      </c>
      <c r="B75" s="71" t="s">
        <v>551</v>
      </c>
      <c r="C75" s="72"/>
      <c r="D75" s="72"/>
      <c r="E75" s="72"/>
      <c r="F75" s="129"/>
      <c r="G75" s="129"/>
      <c r="H75" s="129"/>
      <c r="I75" s="129"/>
      <c r="J75" s="129"/>
      <c r="K75" s="129"/>
      <c r="L75" s="129"/>
      <c r="M75" s="129"/>
      <c r="N75" s="129"/>
      <c r="O75" s="129"/>
      <c r="P75" s="129"/>
      <c r="Q75" s="129"/>
      <c r="R75" s="129"/>
      <c r="S75" s="129"/>
      <c r="T75" s="177" t="s">
        <v>553</v>
      </c>
      <c r="U75" s="129"/>
      <c r="V75" s="129"/>
      <c r="W75" s="129"/>
      <c r="X75" s="129"/>
      <c r="Y75" s="129"/>
      <c r="Z75" s="129"/>
      <c r="AA75" s="129"/>
      <c r="AB75" s="129"/>
      <c r="AC75" s="129"/>
      <c r="AD75" s="189"/>
      <c r="AE75" s="189"/>
      <c r="AF75" s="189"/>
      <c r="AG75" s="189"/>
      <c r="AH75" s="189"/>
      <c r="AI75" s="189"/>
      <c r="AJ75" s="189"/>
      <c r="AK75" s="189"/>
      <c r="AL75" s="189"/>
      <c r="AM75" s="189"/>
      <c r="AN75" s="189"/>
      <c r="AO75" s="130"/>
      <c r="AP75" s="130"/>
      <c r="AQ75" s="130"/>
      <c r="AR75" s="130"/>
      <c r="AS75" s="130"/>
      <c r="AT75" s="130"/>
      <c r="AU75" s="130"/>
      <c r="AV75" s="130"/>
      <c r="AW75" s="130"/>
      <c r="AX75" s="130"/>
    </row>
    <row r="76" ht="15.75" customHeight="1">
      <c r="A76" s="70" t="s">
        <v>68</v>
      </c>
      <c r="B76" s="71" t="s">
        <v>564</v>
      </c>
      <c r="C76" s="72"/>
      <c r="D76" s="72"/>
      <c r="E76" s="72"/>
      <c r="F76" s="129"/>
      <c r="G76" s="129"/>
      <c r="H76" s="129"/>
      <c r="I76" s="129"/>
      <c r="J76" s="129"/>
      <c r="K76" s="129"/>
      <c r="L76" s="129"/>
      <c r="M76" s="129"/>
      <c r="N76" s="129"/>
      <c r="O76" s="129"/>
      <c r="P76" s="129"/>
      <c r="Q76" s="129"/>
      <c r="R76" s="129"/>
      <c r="S76" s="129"/>
      <c r="T76" s="177" t="s">
        <v>565</v>
      </c>
      <c r="U76" s="129"/>
      <c r="V76" s="129"/>
      <c r="W76" s="129"/>
      <c r="X76" s="129"/>
      <c r="Y76" s="129"/>
      <c r="Z76" s="129"/>
      <c r="AA76" s="129"/>
      <c r="AB76" s="129"/>
      <c r="AC76" s="129"/>
      <c r="AD76" s="189"/>
      <c r="AE76" s="189"/>
      <c r="AF76" s="189"/>
      <c r="AG76" s="189"/>
      <c r="AH76" s="189"/>
      <c r="AI76" s="189"/>
      <c r="AJ76" s="189"/>
      <c r="AK76" s="189"/>
      <c r="AL76" s="189"/>
      <c r="AM76" s="189"/>
      <c r="AN76" s="189"/>
      <c r="AO76" s="130"/>
      <c r="AP76" s="130"/>
      <c r="AQ76" s="130"/>
      <c r="AR76" s="130"/>
      <c r="AS76" s="130"/>
      <c r="AT76" s="130"/>
      <c r="AU76" s="130"/>
      <c r="AV76" s="130"/>
      <c r="AW76" s="130"/>
      <c r="AX76" s="130"/>
    </row>
    <row r="77" ht="15.75" customHeight="1">
      <c r="A77" s="70" t="s">
        <v>68</v>
      </c>
      <c r="B77" s="71" t="s">
        <v>572</v>
      </c>
      <c r="C77" s="72"/>
      <c r="D77" s="72"/>
      <c r="E77" s="72"/>
      <c r="F77" s="129"/>
      <c r="G77" s="129"/>
      <c r="H77" s="129"/>
      <c r="I77" s="129"/>
      <c r="J77" s="129"/>
      <c r="K77" s="129"/>
      <c r="L77" s="129"/>
      <c r="M77" s="129"/>
      <c r="N77" s="129"/>
      <c r="O77" s="129"/>
      <c r="P77" s="129"/>
      <c r="Q77" s="129"/>
      <c r="R77" s="129"/>
      <c r="S77" s="129"/>
      <c r="T77" s="177" t="s">
        <v>576</v>
      </c>
      <c r="U77" s="129"/>
      <c r="V77" s="129"/>
      <c r="W77" s="129"/>
      <c r="X77" s="129"/>
      <c r="Y77" s="129"/>
      <c r="Z77" s="129"/>
      <c r="AA77" s="129"/>
      <c r="AB77" s="129"/>
      <c r="AC77" s="129"/>
      <c r="AD77" s="189"/>
      <c r="AE77" s="189"/>
      <c r="AF77" s="189"/>
      <c r="AG77" s="189"/>
      <c r="AH77" s="189"/>
      <c r="AI77" s="189"/>
      <c r="AJ77" s="189"/>
      <c r="AK77" s="189"/>
      <c r="AL77" s="189"/>
      <c r="AM77" s="189"/>
      <c r="AN77" s="189"/>
      <c r="AO77" s="130"/>
      <c r="AP77" s="130"/>
      <c r="AQ77" s="130"/>
      <c r="AR77" s="130"/>
      <c r="AS77" s="130"/>
      <c r="AT77" s="130"/>
      <c r="AU77" s="130"/>
      <c r="AV77" s="130"/>
      <c r="AW77" s="130"/>
      <c r="AX77" s="130"/>
    </row>
    <row r="78" ht="15.75" customHeight="1">
      <c r="A78" s="70" t="s">
        <v>68</v>
      </c>
      <c r="B78" s="71" t="s">
        <v>580</v>
      </c>
      <c r="C78" s="72"/>
      <c r="D78" s="72"/>
      <c r="E78" s="72"/>
      <c r="F78" s="129"/>
      <c r="G78" s="129"/>
      <c r="H78" s="129"/>
      <c r="I78" s="129"/>
      <c r="J78" s="129"/>
      <c r="K78" s="129"/>
      <c r="L78" s="129"/>
      <c r="M78" s="129"/>
      <c r="N78" s="129"/>
      <c r="O78" s="129"/>
      <c r="P78" s="129"/>
      <c r="Q78" s="129"/>
      <c r="R78" s="129"/>
      <c r="S78" s="129"/>
      <c r="T78" s="177" t="s">
        <v>582</v>
      </c>
      <c r="U78" s="129"/>
      <c r="V78" s="129"/>
      <c r="W78" s="129"/>
      <c r="X78" s="129"/>
      <c r="Y78" s="129"/>
      <c r="Z78" s="129"/>
      <c r="AA78" s="129"/>
      <c r="AB78" s="129"/>
      <c r="AC78" s="129"/>
      <c r="AD78" s="189"/>
      <c r="AE78" s="189"/>
      <c r="AF78" s="189"/>
      <c r="AG78" s="189"/>
      <c r="AH78" s="189"/>
      <c r="AI78" s="189"/>
      <c r="AJ78" s="189"/>
      <c r="AK78" s="189"/>
      <c r="AL78" s="189"/>
      <c r="AM78" s="189"/>
      <c r="AN78" s="189"/>
      <c r="AO78" s="130"/>
      <c r="AP78" s="130"/>
      <c r="AQ78" s="130"/>
      <c r="AR78" s="130"/>
      <c r="AS78" s="130"/>
      <c r="AT78" s="130"/>
      <c r="AU78" s="130"/>
      <c r="AV78" s="130"/>
      <c r="AW78" s="130"/>
      <c r="AX78" s="130"/>
    </row>
    <row r="79" ht="15.75" customHeight="1">
      <c r="A79" s="70" t="s">
        <v>68</v>
      </c>
      <c r="B79" s="71" t="s">
        <v>586</v>
      </c>
      <c r="C79" s="72"/>
      <c r="D79" s="72"/>
      <c r="E79" s="72"/>
      <c r="F79" s="129"/>
      <c r="G79" s="129"/>
      <c r="H79" s="129"/>
      <c r="I79" s="129"/>
      <c r="J79" s="129"/>
      <c r="K79" s="129"/>
      <c r="L79" s="129"/>
      <c r="M79" s="129"/>
      <c r="N79" s="129"/>
      <c r="O79" s="129"/>
      <c r="P79" s="129"/>
      <c r="Q79" s="129"/>
      <c r="R79" s="129"/>
      <c r="S79" s="129"/>
      <c r="T79" s="177" t="s">
        <v>592</v>
      </c>
      <c r="U79" s="129"/>
      <c r="V79" s="129"/>
      <c r="W79" s="129"/>
      <c r="X79" s="129"/>
      <c r="Y79" s="129"/>
      <c r="Z79" s="129"/>
      <c r="AA79" s="129"/>
      <c r="AB79" s="129"/>
      <c r="AC79" s="129"/>
      <c r="AD79" s="189"/>
      <c r="AE79" s="189"/>
      <c r="AF79" s="189"/>
      <c r="AG79" s="189"/>
      <c r="AH79" s="189"/>
      <c r="AI79" s="189"/>
      <c r="AJ79" s="189"/>
      <c r="AK79" s="189"/>
      <c r="AL79" s="189"/>
      <c r="AM79" s="189"/>
      <c r="AN79" s="189"/>
      <c r="AO79" s="130"/>
      <c r="AP79" s="130"/>
      <c r="AQ79" s="130"/>
      <c r="AR79" s="130"/>
      <c r="AS79" s="130"/>
      <c r="AT79" s="130"/>
      <c r="AU79" s="130"/>
      <c r="AV79" s="130"/>
      <c r="AW79" s="130"/>
      <c r="AX79" s="130"/>
    </row>
    <row r="80" ht="15.75" customHeight="1">
      <c r="A80" s="70" t="s">
        <v>68</v>
      </c>
      <c r="B80" s="71" t="s">
        <v>596</v>
      </c>
      <c r="C80" s="72"/>
      <c r="D80" s="72"/>
      <c r="E80" s="72"/>
      <c r="F80" s="129"/>
      <c r="G80" s="129"/>
      <c r="H80" s="129"/>
      <c r="I80" s="129"/>
      <c r="J80" s="129"/>
      <c r="K80" s="129"/>
      <c r="L80" s="129"/>
      <c r="M80" s="129"/>
      <c r="N80" s="129"/>
      <c r="O80" s="129"/>
      <c r="P80" s="129"/>
      <c r="Q80" s="129"/>
      <c r="R80" s="129"/>
      <c r="S80" s="129"/>
      <c r="T80" s="177" t="s">
        <v>597</v>
      </c>
      <c r="U80" s="129"/>
      <c r="V80" s="129"/>
      <c r="W80" s="129"/>
      <c r="X80" s="129"/>
      <c r="Y80" s="129"/>
      <c r="Z80" s="129"/>
      <c r="AA80" s="129"/>
      <c r="AB80" s="129"/>
      <c r="AC80" s="129"/>
      <c r="AD80" s="189"/>
      <c r="AE80" s="189"/>
      <c r="AF80" s="189"/>
      <c r="AG80" s="189"/>
      <c r="AH80" s="189"/>
      <c r="AI80" s="189"/>
      <c r="AJ80" s="189"/>
      <c r="AK80" s="189"/>
      <c r="AL80" s="189"/>
      <c r="AM80" s="189"/>
      <c r="AN80" s="189"/>
      <c r="AO80" s="130"/>
      <c r="AP80" s="130"/>
      <c r="AQ80" s="130"/>
      <c r="AR80" s="130"/>
      <c r="AS80" s="130"/>
      <c r="AT80" s="130"/>
      <c r="AU80" s="130"/>
      <c r="AV80" s="130"/>
      <c r="AW80" s="130"/>
      <c r="AX80" s="130"/>
    </row>
    <row r="81" ht="15.75" customHeight="1">
      <c r="A81" s="70" t="s">
        <v>68</v>
      </c>
      <c r="B81" s="71" t="s">
        <v>601</v>
      </c>
      <c r="C81" s="72"/>
      <c r="D81" s="72"/>
      <c r="E81" s="72"/>
      <c r="F81" s="129"/>
      <c r="G81" s="129"/>
      <c r="H81" s="129"/>
      <c r="I81" s="129"/>
      <c r="J81" s="129"/>
      <c r="K81" s="129"/>
      <c r="L81" s="129"/>
      <c r="M81" s="129"/>
      <c r="N81" s="129"/>
      <c r="O81" s="129"/>
      <c r="P81" s="129"/>
      <c r="Q81" s="129"/>
      <c r="R81" s="129"/>
      <c r="S81" s="129"/>
      <c r="T81" s="177" t="s">
        <v>605</v>
      </c>
      <c r="U81" s="129"/>
      <c r="V81" s="129"/>
      <c r="W81" s="129"/>
      <c r="X81" s="129"/>
      <c r="Y81" s="129"/>
      <c r="Z81" s="129"/>
      <c r="AA81" s="129"/>
      <c r="AB81" s="129"/>
      <c r="AC81" s="129"/>
      <c r="AD81" s="189"/>
      <c r="AE81" s="189"/>
      <c r="AF81" s="189"/>
      <c r="AG81" s="189"/>
      <c r="AH81" s="189"/>
      <c r="AI81" s="189"/>
      <c r="AJ81" s="189"/>
      <c r="AK81" s="189"/>
      <c r="AL81" s="189"/>
      <c r="AM81" s="189"/>
      <c r="AN81" s="189"/>
      <c r="AO81" s="130"/>
      <c r="AP81" s="130"/>
      <c r="AQ81" s="130"/>
      <c r="AR81" s="130"/>
      <c r="AS81" s="130"/>
      <c r="AT81" s="130"/>
      <c r="AU81" s="130"/>
      <c r="AV81" s="130"/>
      <c r="AW81" s="130"/>
      <c r="AX81" s="130"/>
    </row>
    <row r="82" ht="15.75" customHeight="1">
      <c r="A82" s="70" t="s">
        <v>68</v>
      </c>
      <c r="B82" s="71" t="s">
        <v>610</v>
      </c>
      <c r="C82" s="72"/>
      <c r="D82" s="72"/>
      <c r="E82" s="72"/>
      <c r="F82" s="129"/>
      <c r="G82" s="129"/>
      <c r="H82" s="129"/>
      <c r="I82" s="129"/>
      <c r="J82" s="129"/>
      <c r="K82" s="129"/>
      <c r="L82" s="129"/>
      <c r="M82" s="129"/>
      <c r="N82" s="129"/>
      <c r="O82" s="129"/>
      <c r="P82" s="129"/>
      <c r="Q82" s="129"/>
      <c r="R82" s="129"/>
      <c r="S82" s="129"/>
      <c r="T82" s="177" t="s">
        <v>611</v>
      </c>
      <c r="U82" s="129"/>
      <c r="V82" s="129"/>
      <c r="W82" s="129"/>
      <c r="X82" s="129"/>
      <c r="Y82" s="129"/>
      <c r="Z82" s="129"/>
      <c r="AA82" s="129"/>
      <c r="AB82" s="129"/>
      <c r="AC82" s="129"/>
      <c r="AD82" s="189"/>
      <c r="AE82" s="189"/>
      <c r="AF82" s="189"/>
      <c r="AG82" s="189"/>
      <c r="AH82" s="189"/>
      <c r="AI82" s="189"/>
      <c r="AJ82" s="189"/>
      <c r="AK82" s="189"/>
      <c r="AL82" s="189"/>
      <c r="AM82" s="189"/>
      <c r="AN82" s="189"/>
      <c r="AO82" s="130"/>
      <c r="AP82" s="130"/>
      <c r="AQ82" s="130"/>
      <c r="AR82" s="130"/>
      <c r="AS82" s="130"/>
      <c r="AT82" s="130"/>
      <c r="AU82" s="130"/>
      <c r="AV82" s="130"/>
      <c r="AW82" s="130"/>
      <c r="AX82" s="130"/>
    </row>
    <row r="83" ht="15.75" customHeight="1">
      <c r="A83" s="70" t="s">
        <v>68</v>
      </c>
      <c r="B83" s="71" t="s">
        <v>612</v>
      </c>
      <c r="C83" s="72"/>
      <c r="D83" s="72"/>
      <c r="E83" s="72"/>
      <c r="F83" s="129"/>
      <c r="G83" s="129"/>
      <c r="H83" s="129"/>
      <c r="I83" s="129"/>
      <c r="J83" s="129"/>
      <c r="K83" s="129"/>
      <c r="L83" s="129"/>
      <c r="M83" s="129"/>
      <c r="N83" s="129"/>
      <c r="O83" s="129"/>
      <c r="P83" s="129"/>
      <c r="Q83" s="129"/>
      <c r="R83" s="129"/>
      <c r="S83" s="129"/>
      <c r="T83" s="177" t="s">
        <v>613</v>
      </c>
      <c r="U83" s="129"/>
      <c r="V83" s="129"/>
      <c r="W83" s="129"/>
      <c r="X83" s="129"/>
      <c r="Y83" s="129"/>
      <c r="Z83" s="129"/>
      <c r="AA83" s="129"/>
      <c r="AB83" s="129"/>
      <c r="AC83" s="129"/>
      <c r="AD83" s="189"/>
      <c r="AE83" s="189"/>
      <c r="AF83" s="189"/>
      <c r="AG83" s="189"/>
      <c r="AH83" s="189"/>
      <c r="AI83" s="189"/>
      <c r="AJ83" s="189"/>
      <c r="AK83" s="189"/>
      <c r="AL83" s="189"/>
      <c r="AM83" s="189"/>
      <c r="AN83" s="189"/>
      <c r="AO83" s="130"/>
      <c r="AP83" s="130"/>
      <c r="AQ83" s="130"/>
      <c r="AR83" s="130"/>
      <c r="AS83" s="130"/>
      <c r="AT83" s="130"/>
      <c r="AU83" s="130"/>
      <c r="AV83" s="130"/>
      <c r="AW83" s="130"/>
      <c r="AX83" s="130"/>
    </row>
    <row r="84" ht="15.75" customHeight="1">
      <c r="A84" s="70" t="s">
        <v>68</v>
      </c>
      <c r="B84" s="71" t="s">
        <v>614</v>
      </c>
      <c r="C84" s="72"/>
      <c r="D84" s="72"/>
      <c r="E84" s="72"/>
      <c r="F84" s="129"/>
      <c r="G84" s="129"/>
      <c r="H84" s="129"/>
      <c r="I84" s="129"/>
      <c r="J84" s="129"/>
      <c r="K84" s="129"/>
      <c r="L84" s="129"/>
      <c r="M84" s="129"/>
      <c r="N84" s="129"/>
      <c r="O84" s="129"/>
      <c r="P84" s="129"/>
      <c r="Q84" s="129"/>
      <c r="R84" s="129"/>
      <c r="S84" s="129"/>
      <c r="T84" s="177" t="s">
        <v>615</v>
      </c>
      <c r="U84" s="129"/>
      <c r="V84" s="129"/>
      <c r="W84" s="129"/>
      <c r="X84" s="129"/>
      <c r="Y84" s="129"/>
      <c r="Z84" s="129"/>
      <c r="AA84" s="129"/>
      <c r="AB84" s="129"/>
      <c r="AC84" s="129"/>
      <c r="AD84" s="189"/>
      <c r="AE84" s="189"/>
      <c r="AF84" s="189"/>
      <c r="AG84" s="189"/>
      <c r="AH84" s="189"/>
      <c r="AI84" s="189"/>
      <c r="AJ84" s="189"/>
      <c r="AK84" s="189"/>
      <c r="AL84" s="189"/>
      <c r="AM84" s="189"/>
      <c r="AN84" s="189"/>
      <c r="AO84" s="130"/>
      <c r="AP84" s="130"/>
      <c r="AQ84" s="130"/>
      <c r="AR84" s="130"/>
      <c r="AS84" s="130"/>
      <c r="AT84" s="130"/>
      <c r="AU84" s="130"/>
      <c r="AV84" s="130"/>
      <c r="AW84" s="130"/>
      <c r="AX84" s="130"/>
    </row>
    <row r="85" ht="15.75" customHeight="1">
      <c r="A85" s="70" t="s">
        <v>68</v>
      </c>
      <c r="B85" s="71" t="s">
        <v>620</v>
      </c>
      <c r="C85" s="72"/>
      <c r="D85" s="72"/>
      <c r="E85" s="72"/>
      <c r="F85" s="129"/>
      <c r="G85" s="129"/>
      <c r="H85" s="129"/>
      <c r="I85" s="129"/>
      <c r="J85" s="129"/>
      <c r="K85" s="129"/>
      <c r="L85" s="129"/>
      <c r="M85" s="129"/>
      <c r="N85" s="129"/>
      <c r="O85" s="129"/>
      <c r="P85" s="129"/>
      <c r="Q85" s="129"/>
      <c r="R85" s="129"/>
      <c r="S85" s="129"/>
      <c r="T85" s="177" t="s">
        <v>625</v>
      </c>
      <c r="U85" s="129"/>
      <c r="V85" s="129"/>
      <c r="W85" s="129"/>
      <c r="X85" s="129"/>
      <c r="Y85" s="129"/>
      <c r="Z85" s="129"/>
      <c r="AA85" s="129"/>
      <c r="AB85" s="129"/>
      <c r="AC85" s="129"/>
      <c r="AD85" s="189"/>
      <c r="AE85" s="189"/>
      <c r="AF85" s="189"/>
      <c r="AG85" s="189"/>
      <c r="AH85" s="189"/>
      <c r="AI85" s="189"/>
      <c r="AJ85" s="189"/>
      <c r="AK85" s="189"/>
      <c r="AL85" s="189"/>
      <c r="AM85" s="189"/>
      <c r="AN85" s="189"/>
      <c r="AO85" s="130"/>
      <c r="AP85" s="130"/>
      <c r="AQ85" s="130"/>
      <c r="AR85" s="130"/>
      <c r="AS85" s="130"/>
      <c r="AT85" s="130"/>
      <c r="AU85" s="130"/>
      <c r="AV85" s="130"/>
      <c r="AW85" s="130"/>
      <c r="AX85" s="130"/>
    </row>
    <row r="86" ht="15.75" customHeight="1">
      <c r="A86" s="70" t="s">
        <v>68</v>
      </c>
      <c r="B86" s="71" t="s">
        <v>632</v>
      </c>
      <c r="C86" s="72"/>
      <c r="D86" s="72"/>
      <c r="E86" s="72"/>
      <c r="F86" s="129"/>
      <c r="G86" s="129"/>
      <c r="H86" s="129"/>
      <c r="I86" s="129"/>
      <c r="J86" s="129"/>
      <c r="K86" s="129"/>
      <c r="L86" s="129"/>
      <c r="M86" s="129"/>
      <c r="N86" s="129"/>
      <c r="O86" s="129"/>
      <c r="P86" s="129"/>
      <c r="Q86" s="129"/>
      <c r="R86" s="129"/>
      <c r="S86" s="129"/>
      <c r="T86" s="177" t="s">
        <v>636</v>
      </c>
      <c r="U86" s="129"/>
      <c r="V86" s="129"/>
      <c r="W86" s="129"/>
      <c r="X86" s="129"/>
      <c r="Y86" s="129"/>
      <c r="Z86" s="129"/>
      <c r="AA86" s="129"/>
      <c r="AB86" s="129"/>
      <c r="AC86" s="129"/>
      <c r="AD86" s="189"/>
      <c r="AE86" s="189"/>
      <c r="AF86" s="189"/>
      <c r="AG86" s="189"/>
      <c r="AH86" s="189"/>
      <c r="AI86" s="189"/>
      <c r="AJ86" s="189"/>
      <c r="AK86" s="189"/>
      <c r="AL86" s="189"/>
      <c r="AM86" s="189"/>
      <c r="AN86" s="189"/>
      <c r="AO86" s="130"/>
      <c r="AP86" s="130"/>
      <c r="AQ86" s="130"/>
      <c r="AR86" s="130"/>
      <c r="AS86" s="130"/>
      <c r="AT86" s="130"/>
      <c r="AU86" s="130"/>
      <c r="AV86" s="130"/>
      <c r="AW86" s="130"/>
      <c r="AX86" s="130"/>
    </row>
    <row r="87" ht="15.75" customHeight="1">
      <c r="A87" s="70" t="s">
        <v>68</v>
      </c>
      <c r="B87" s="71" t="s">
        <v>641</v>
      </c>
      <c r="C87" s="72"/>
      <c r="D87" s="72"/>
      <c r="E87" s="72"/>
      <c r="F87" s="129"/>
      <c r="G87" s="129"/>
      <c r="H87" s="129"/>
      <c r="I87" s="129"/>
      <c r="J87" s="129"/>
      <c r="K87" s="129"/>
      <c r="L87" s="129"/>
      <c r="M87" s="129"/>
      <c r="N87" s="129"/>
      <c r="O87" s="129"/>
      <c r="P87" s="129"/>
      <c r="Q87" s="129"/>
      <c r="R87" s="129"/>
      <c r="S87" s="129"/>
      <c r="T87" s="177" t="s">
        <v>642</v>
      </c>
      <c r="U87" s="129"/>
      <c r="V87" s="129"/>
      <c r="W87" s="129"/>
      <c r="X87" s="129"/>
      <c r="Y87" s="129"/>
      <c r="Z87" s="129"/>
      <c r="AA87" s="129"/>
      <c r="AB87" s="129"/>
      <c r="AC87" s="129"/>
      <c r="AD87" s="189"/>
      <c r="AE87" s="189"/>
      <c r="AF87" s="189"/>
      <c r="AG87" s="189"/>
      <c r="AH87" s="189"/>
      <c r="AI87" s="189"/>
      <c r="AJ87" s="189"/>
      <c r="AK87" s="189"/>
      <c r="AL87" s="189"/>
      <c r="AM87" s="189"/>
      <c r="AN87" s="189"/>
      <c r="AO87" s="130"/>
      <c r="AP87" s="130"/>
      <c r="AQ87" s="130"/>
      <c r="AR87" s="130"/>
      <c r="AS87" s="130"/>
      <c r="AT87" s="130"/>
      <c r="AU87" s="130"/>
      <c r="AV87" s="130"/>
      <c r="AW87" s="130"/>
      <c r="AX87" s="130"/>
    </row>
    <row r="88" ht="15.75" customHeight="1">
      <c r="A88" s="70" t="s">
        <v>68</v>
      </c>
      <c r="B88" s="71" t="s">
        <v>644</v>
      </c>
      <c r="C88" s="72"/>
      <c r="D88" s="72"/>
      <c r="E88" s="72"/>
      <c r="F88" s="129"/>
      <c r="G88" s="129"/>
      <c r="H88" s="129"/>
      <c r="I88" s="129"/>
      <c r="J88" s="129"/>
      <c r="K88" s="129"/>
      <c r="L88" s="129"/>
      <c r="M88" s="129"/>
      <c r="N88" s="129"/>
      <c r="O88" s="129"/>
      <c r="P88" s="129"/>
      <c r="Q88" s="129"/>
      <c r="R88" s="129"/>
      <c r="S88" s="129"/>
      <c r="T88" s="177" t="s">
        <v>645</v>
      </c>
      <c r="U88" s="129"/>
      <c r="V88" s="129"/>
      <c r="W88" s="129"/>
      <c r="X88" s="129"/>
      <c r="Y88" s="129"/>
      <c r="Z88" s="129"/>
      <c r="AA88" s="129"/>
      <c r="AB88" s="129"/>
      <c r="AC88" s="129"/>
      <c r="AD88" s="189"/>
      <c r="AE88" s="189"/>
      <c r="AF88" s="189"/>
      <c r="AG88" s="189"/>
      <c r="AH88" s="189"/>
      <c r="AI88" s="189"/>
      <c r="AJ88" s="189"/>
      <c r="AK88" s="189"/>
      <c r="AL88" s="189"/>
      <c r="AM88" s="189"/>
      <c r="AN88" s="189"/>
      <c r="AO88" s="130"/>
      <c r="AP88" s="130"/>
      <c r="AQ88" s="130"/>
      <c r="AR88" s="130"/>
      <c r="AS88" s="130"/>
      <c r="AT88" s="130"/>
      <c r="AU88" s="130"/>
      <c r="AV88" s="130"/>
      <c r="AW88" s="130"/>
      <c r="AX88" s="130"/>
    </row>
    <row r="89" ht="15.75" customHeight="1">
      <c r="A89" s="70" t="s">
        <v>68</v>
      </c>
      <c r="B89" s="71" t="s">
        <v>649</v>
      </c>
      <c r="C89" s="72"/>
      <c r="D89" s="72"/>
      <c r="E89" s="72"/>
      <c r="F89" s="129"/>
      <c r="G89" s="129"/>
      <c r="H89" s="129"/>
      <c r="I89" s="129"/>
      <c r="J89" s="129"/>
      <c r="K89" s="129"/>
      <c r="L89" s="129"/>
      <c r="M89" s="129"/>
      <c r="N89" s="129"/>
      <c r="O89" s="129"/>
      <c r="P89" s="129"/>
      <c r="Q89" s="129"/>
      <c r="R89" s="129"/>
      <c r="S89" s="129"/>
      <c r="T89" s="177" t="s">
        <v>653</v>
      </c>
      <c r="U89" s="129"/>
      <c r="V89" s="129"/>
      <c r="W89" s="129"/>
      <c r="X89" s="129"/>
      <c r="Y89" s="129"/>
      <c r="Z89" s="129"/>
      <c r="AA89" s="129"/>
      <c r="AB89" s="129"/>
      <c r="AC89" s="129"/>
      <c r="AD89" s="189"/>
      <c r="AE89" s="189"/>
      <c r="AF89" s="189"/>
      <c r="AG89" s="189"/>
      <c r="AH89" s="189"/>
      <c r="AI89" s="189"/>
      <c r="AJ89" s="189"/>
      <c r="AK89" s="189"/>
      <c r="AL89" s="189"/>
      <c r="AM89" s="189"/>
      <c r="AN89" s="189"/>
      <c r="AO89" s="130"/>
      <c r="AP89" s="130"/>
      <c r="AQ89" s="130"/>
      <c r="AR89" s="130"/>
      <c r="AS89" s="130"/>
      <c r="AT89" s="130"/>
      <c r="AU89" s="130"/>
      <c r="AV89" s="130"/>
      <c r="AW89" s="130"/>
      <c r="AX89" s="130"/>
    </row>
    <row r="90" ht="15.75" customHeight="1">
      <c r="A90" s="70" t="s">
        <v>68</v>
      </c>
      <c r="B90" s="71" t="s">
        <v>661</v>
      </c>
      <c r="C90" s="72"/>
      <c r="D90" s="72"/>
      <c r="E90" s="72"/>
      <c r="F90" s="129"/>
      <c r="G90" s="129"/>
      <c r="H90" s="129"/>
      <c r="I90" s="129"/>
      <c r="J90" s="129"/>
      <c r="K90" s="129"/>
      <c r="L90" s="129"/>
      <c r="M90" s="129"/>
      <c r="N90" s="129"/>
      <c r="O90" s="129"/>
      <c r="P90" s="129"/>
      <c r="Q90" s="129"/>
      <c r="R90" s="129"/>
      <c r="S90" s="129"/>
      <c r="T90" s="177" t="s">
        <v>666</v>
      </c>
      <c r="U90" s="129"/>
      <c r="V90" s="129"/>
      <c r="W90" s="129"/>
      <c r="X90" s="129"/>
      <c r="Y90" s="129"/>
      <c r="Z90" s="129"/>
      <c r="AA90" s="129"/>
      <c r="AB90" s="129"/>
      <c r="AC90" s="129"/>
      <c r="AD90" s="189"/>
      <c r="AE90" s="189"/>
      <c r="AF90" s="189"/>
      <c r="AG90" s="189"/>
      <c r="AH90" s="189"/>
      <c r="AI90" s="189"/>
      <c r="AJ90" s="189"/>
      <c r="AK90" s="189"/>
      <c r="AL90" s="189"/>
      <c r="AM90" s="189"/>
      <c r="AN90" s="189"/>
      <c r="AO90" s="130"/>
      <c r="AP90" s="130"/>
      <c r="AQ90" s="130"/>
      <c r="AR90" s="130"/>
      <c r="AS90" s="130"/>
      <c r="AT90" s="130"/>
      <c r="AU90" s="130"/>
      <c r="AV90" s="130"/>
      <c r="AW90" s="130"/>
      <c r="AX90" s="130"/>
    </row>
    <row r="91" ht="15.75" customHeight="1">
      <c r="A91" s="70" t="s">
        <v>68</v>
      </c>
      <c r="B91" s="71" t="s">
        <v>670</v>
      </c>
      <c r="C91" s="72"/>
      <c r="D91" s="72"/>
      <c r="E91" s="72"/>
      <c r="F91" s="129"/>
      <c r="G91" s="129"/>
      <c r="H91" s="129"/>
      <c r="I91" s="129"/>
      <c r="J91" s="129"/>
      <c r="K91" s="129"/>
      <c r="L91" s="129"/>
      <c r="M91" s="129"/>
      <c r="N91" s="129"/>
      <c r="O91" s="129"/>
      <c r="P91" s="129"/>
      <c r="Q91" s="129"/>
      <c r="R91" s="129"/>
      <c r="S91" s="129"/>
      <c r="T91" s="177" t="s">
        <v>671</v>
      </c>
      <c r="U91" s="129"/>
      <c r="V91" s="129"/>
      <c r="W91" s="129"/>
      <c r="X91" s="129"/>
      <c r="Y91" s="129"/>
      <c r="Z91" s="129"/>
      <c r="AA91" s="129"/>
      <c r="AB91" s="129"/>
      <c r="AC91" s="129"/>
      <c r="AD91" s="189"/>
      <c r="AE91" s="189"/>
      <c r="AF91" s="189"/>
      <c r="AG91" s="189"/>
      <c r="AH91" s="189"/>
      <c r="AI91" s="189"/>
      <c r="AJ91" s="189"/>
      <c r="AK91" s="189"/>
      <c r="AL91" s="189"/>
      <c r="AM91" s="189"/>
      <c r="AN91" s="189"/>
      <c r="AO91" s="130"/>
      <c r="AP91" s="130"/>
      <c r="AQ91" s="130"/>
      <c r="AR91" s="130"/>
      <c r="AS91" s="130"/>
      <c r="AT91" s="130"/>
      <c r="AU91" s="130"/>
      <c r="AV91" s="130"/>
      <c r="AW91" s="130"/>
      <c r="AX91" s="130"/>
    </row>
    <row r="92" ht="15.75" customHeight="1">
      <c r="A92" s="70" t="s">
        <v>68</v>
      </c>
      <c r="B92" s="71" t="s">
        <v>672</v>
      </c>
      <c r="C92" s="72"/>
      <c r="D92" s="72"/>
      <c r="E92" s="72"/>
      <c r="F92" s="129"/>
      <c r="G92" s="129"/>
      <c r="H92" s="129"/>
      <c r="I92" s="129"/>
      <c r="J92" s="129"/>
      <c r="K92" s="129"/>
      <c r="L92" s="129"/>
      <c r="M92" s="129"/>
      <c r="N92" s="129"/>
      <c r="O92" s="129"/>
      <c r="P92" s="129"/>
      <c r="Q92" s="129"/>
      <c r="R92" s="129"/>
      <c r="S92" s="129"/>
      <c r="T92" s="177" t="s">
        <v>674</v>
      </c>
      <c r="U92" s="129"/>
      <c r="V92" s="129"/>
      <c r="W92" s="129"/>
      <c r="X92" s="129"/>
      <c r="Y92" s="129"/>
      <c r="Z92" s="129"/>
      <c r="AA92" s="129"/>
      <c r="AB92" s="129"/>
      <c r="AC92" s="129"/>
      <c r="AD92" s="189"/>
      <c r="AE92" s="189"/>
      <c r="AF92" s="189"/>
      <c r="AG92" s="189"/>
      <c r="AH92" s="189"/>
      <c r="AI92" s="189"/>
      <c r="AJ92" s="189"/>
      <c r="AK92" s="189"/>
      <c r="AL92" s="189"/>
      <c r="AM92" s="189"/>
      <c r="AN92" s="189"/>
      <c r="AO92" s="130"/>
      <c r="AP92" s="130"/>
      <c r="AQ92" s="130"/>
      <c r="AR92" s="130"/>
      <c r="AS92" s="130"/>
      <c r="AT92" s="130"/>
      <c r="AU92" s="130"/>
      <c r="AV92" s="130"/>
      <c r="AW92" s="130"/>
      <c r="AX92" s="130"/>
    </row>
    <row r="93" ht="15.75" customHeight="1">
      <c r="A93" s="70" t="s">
        <v>68</v>
      </c>
      <c r="B93" s="71" t="s">
        <v>677</v>
      </c>
      <c r="C93" s="72"/>
      <c r="D93" s="72"/>
      <c r="E93" s="72"/>
      <c r="F93" s="129"/>
      <c r="G93" s="129"/>
      <c r="H93" s="129"/>
      <c r="I93" s="129"/>
      <c r="J93" s="129"/>
      <c r="K93" s="129"/>
      <c r="L93" s="129"/>
      <c r="M93" s="129"/>
      <c r="N93" s="129"/>
      <c r="O93" s="129"/>
      <c r="P93" s="129"/>
      <c r="Q93" s="129"/>
      <c r="R93" s="129"/>
      <c r="S93" s="129"/>
      <c r="T93" s="177" t="s">
        <v>679</v>
      </c>
      <c r="U93" s="129"/>
      <c r="V93" s="129"/>
      <c r="W93" s="129"/>
      <c r="X93" s="129"/>
      <c r="Y93" s="129"/>
      <c r="Z93" s="129"/>
      <c r="AA93" s="129"/>
      <c r="AB93" s="129"/>
      <c r="AC93" s="129"/>
      <c r="AD93" s="189"/>
      <c r="AE93" s="189"/>
      <c r="AF93" s="189"/>
      <c r="AG93" s="189"/>
      <c r="AH93" s="189"/>
      <c r="AI93" s="189"/>
      <c r="AJ93" s="189"/>
      <c r="AK93" s="189"/>
      <c r="AL93" s="189"/>
      <c r="AM93" s="189"/>
      <c r="AN93" s="189"/>
      <c r="AO93" s="130"/>
      <c r="AP93" s="130"/>
      <c r="AQ93" s="130"/>
      <c r="AR93" s="130"/>
      <c r="AS93" s="130"/>
      <c r="AT93" s="130"/>
      <c r="AU93" s="130"/>
      <c r="AV93" s="130"/>
      <c r="AW93" s="130"/>
      <c r="AX93" s="130"/>
    </row>
    <row r="94" ht="15.75" customHeight="1">
      <c r="A94" s="70" t="s">
        <v>68</v>
      </c>
      <c r="B94" s="71" t="s">
        <v>683</v>
      </c>
      <c r="C94" s="72"/>
      <c r="D94" s="72"/>
      <c r="E94" s="72"/>
      <c r="F94" s="129"/>
      <c r="G94" s="129"/>
      <c r="H94" s="129"/>
      <c r="I94" s="129"/>
      <c r="J94" s="129"/>
      <c r="K94" s="129"/>
      <c r="L94" s="129"/>
      <c r="M94" s="129"/>
      <c r="N94" s="129"/>
      <c r="O94" s="129"/>
      <c r="P94" s="129"/>
      <c r="Q94" s="129"/>
      <c r="R94" s="129"/>
      <c r="S94" s="129"/>
      <c r="T94" s="177" t="s">
        <v>689</v>
      </c>
      <c r="U94" s="129"/>
      <c r="V94" s="129"/>
      <c r="W94" s="129"/>
      <c r="X94" s="129"/>
      <c r="Y94" s="129"/>
      <c r="Z94" s="129"/>
      <c r="AA94" s="129"/>
      <c r="AB94" s="129"/>
      <c r="AC94" s="129"/>
      <c r="AD94" s="189"/>
      <c r="AE94" s="189"/>
      <c r="AF94" s="189"/>
      <c r="AG94" s="189"/>
      <c r="AH94" s="189"/>
      <c r="AI94" s="189"/>
      <c r="AJ94" s="189"/>
      <c r="AK94" s="189"/>
      <c r="AL94" s="189"/>
      <c r="AM94" s="189"/>
      <c r="AN94" s="189"/>
      <c r="AO94" s="130"/>
      <c r="AP94" s="130"/>
      <c r="AQ94" s="130"/>
      <c r="AR94" s="130"/>
      <c r="AS94" s="130"/>
      <c r="AT94" s="130"/>
      <c r="AU94" s="130"/>
      <c r="AV94" s="130"/>
      <c r="AW94" s="130"/>
      <c r="AX94" s="130"/>
    </row>
    <row r="95" ht="15.75" customHeight="1">
      <c r="A95" s="70" t="s">
        <v>68</v>
      </c>
      <c r="B95" s="71" t="s">
        <v>696</v>
      </c>
      <c r="C95" s="72"/>
      <c r="D95" s="72"/>
      <c r="E95" s="72"/>
      <c r="F95" s="129"/>
      <c r="G95" s="129"/>
      <c r="H95" s="129"/>
      <c r="I95" s="129"/>
      <c r="J95" s="129"/>
      <c r="K95" s="129"/>
      <c r="L95" s="129"/>
      <c r="M95" s="129"/>
      <c r="N95" s="129"/>
      <c r="O95" s="129"/>
      <c r="P95" s="129"/>
      <c r="Q95" s="129"/>
      <c r="R95" s="129"/>
      <c r="S95" s="129"/>
      <c r="T95" s="177" t="s">
        <v>702</v>
      </c>
      <c r="U95" s="129"/>
      <c r="V95" s="129"/>
      <c r="W95" s="129"/>
      <c r="X95" s="129"/>
      <c r="Y95" s="129"/>
      <c r="Z95" s="129"/>
      <c r="AA95" s="129"/>
      <c r="AB95" s="129"/>
      <c r="AC95" s="129"/>
      <c r="AD95" s="189"/>
      <c r="AE95" s="189"/>
      <c r="AF95" s="189"/>
      <c r="AG95" s="189"/>
      <c r="AH95" s="189"/>
      <c r="AI95" s="189"/>
      <c r="AJ95" s="189"/>
      <c r="AK95" s="189"/>
      <c r="AL95" s="189"/>
      <c r="AM95" s="189"/>
      <c r="AN95" s="189"/>
      <c r="AO95" s="130"/>
      <c r="AP95" s="130"/>
      <c r="AQ95" s="130"/>
      <c r="AR95" s="130"/>
      <c r="AS95" s="130"/>
      <c r="AT95" s="130"/>
      <c r="AU95" s="130"/>
      <c r="AV95" s="130"/>
      <c r="AW95" s="130"/>
      <c r="AX95" s="130"/>
    </row>
    <row r="96" ht="15.75" customHeight="1">
      <c r="A96" s="70" t="s">
        <v>68</v>
      </c>
      <c r="B96" s="188" t="s">
        <v>707</v>
      </c>
      <c r="C96" s="204"/>
      <c r="D96" s="72"/>
      <c r="E96" s="72"/>
      <c r="F96" s="129"/>
      <c r="G96" s="129"/>
      <c r="H96" s="129"/>
      <c r="I96" s="129"/>
      <c r="J96" s="129"/>
      <c r="K96" s="129"/>
      <c r="L96" s="129"/>
      <c r="M96" s="129"/>
      <c r="N96" s="129"/>
      <c r="O96" s="129"/>
      <c r="P96" s="129"/>
      <c r="Q96" s="129"/>
      <c r="R96" s="129"/>
      <c r="S96" s="129"/>
      <c r="T96" s="177" t="s">
        <v>714</v>
      </c>
      <c r="U96" s="205"/>
      <c r="V96" s="129"/>
      <c r="W96" s="129"/>
      <c r="X96" s="129"/>
      <c r="Y96" s="129"/>
      <c r="Z96" s="129"/>
      <c r="AA96" s="129"/>
      <c r="AB96" s="129"/>
      <c r="AC96" s="129"/>
      <c r="AD96" s="189"/>
      <c r="AE96" s="189"/>
      <c r="AF96" s="189"/>
      <c r="AG96" s="189"/>
      <c r="AH96" s="189"/>
      <c r="AI96" s="189"/>
      <c r="AJ96" s="189"/>
      <c r="AK96" s="189"/>
      <c r="AL96" s="189"/>
      <c r="AM96" s="189"/>
      <c r="AN96" s="189"/>
      <c r="AO96" s="130"/>
      <c r="AP96" s="130"/>
      <c r="AQ96" s="130"/>
      <c r="AR96" s="130"/>
      <c r="AS96" s="130"/>
      <c r="AT96" s="130"/>
      <c r="AU96" s="130"/>
      <c r="AV96" s="130"/>
      <c r="AW96" s="130"/>
      <c r="AX96" s="130"/>
    </row>
    <row r="97" ht="15.75" customHeight="1">
      <c r="A97" s="70" t="s">
        <v>68</v>
      </c>
      <c r="B97" s="188" t="s">
        <v>718</v>
      </c>
      <c r="C97" s="204"/>
      <c r="D97" s="72"/>
      <c r="E97" s="72"/>
      <c r="F97" s="129"/>
      <c r="G97" s="129"/>
      <c r="H97" s="129"/>
      <c r="I97" s="129"/>
      <c r="J97" s="129"/>
      <c r="K97" s="129"/>
      <c r="L97" s="129"/>
      <c r="M97" s="129"/>
      <c r="N97" s="129"/>
      <c r="O97" s="129"/>
      <c r="P97" s="129"/>
      <c r="Q97" s="129"/>
      <c r="R97" s="129"/>
      <c r="S97" s="129"/>
      <c r="T97" s="177" t="s">
        <v>720</v>
      </c>
      <c r="U97" s="205"/>
      <c r="V97" s="129"/>
      <c r="W97" s="129"/>
      <c r="X97" s="129"/>
      <c r="Y97" s="129"/>
      <c r="Z97" s="129"/>
      <c r="AA97" s="129"/>
      <c r="AB97" s="129"/>
      <c r="AC97" s="129"/>
      <c r="AD97" s="189"/>
      <c r="AE97" s="189"/>
      <c r="AF97" s="189"/>
      <c r="AG97" s="189"/>
      <c r="AH97" s="189"/>
      <c r="AI97" s="189"/>
      <c r="AJ97" s="189"/>
      <c r="AK97" s="189"/>
      <c r="AL97" s="189"/>
      <c r="AM97" s="189"/>
      <c r="AN97" s="189"/>
      <c r="AO97" s="130"/>
      <c r="AP97" s="130"/>
      <c r="AQ97" s="130"/>
      <c r="AR97" s="130"/>
      <c r="AS97" s="130"/>
      <c r="AT97" s="130"/>
      <c r="AU97" s="130"/>
      <c r="AV97" s="130"/>
      <c r="AW97" s="130"/>
      <c r="AX97" s="130"/>
    </row>
    <row r="98" ht="15.75" customHeight="1">
      <c r="A98" s="70" t="s">
        <v>68</v>
      </c>
      <c r="B98" s="188" t="s">
        <v>730</v>
      </c>
      <c r="C98" s="204"/>
      <c r="D98" s="72"/>
      <c r="E98" s="72"/>
      <c r="F98" s="129"/>
      <c r="G98" s="129"/>
      <c r="H98" s="129"/>
      <c r="I98" s="129"/>
      <c r="J98" s="129"/>
      <c r="K98" s="129"/>
      <c r="L98" s="129"/>
      <c r="M98" s="129"/>
      <c r="N98" s="129"/>
      <c r="O98" s="129"/>
      <c r="P98" s="129"/>
      <c r="Q98" s="129"/>
      <c r="R98" s="129"/>
      <c r="S98" s="129"/>
      <c r="T98" s="177" t="s">
        <v>732</v>
      </c>
      <c r="U98" s="205"/>
      <c r="V98" s="129"/>
      <c r="W98" s="129"/>
      <c r="X98" s="129"/>
      <c r="Y98" s="129"/>
      <c r="Z98" s="129"/>
      <c r="AA98" s="129"/>
      <c r="AB98" s="129"/>
      <c r="AC98" s="129"/>
      <c r="AD98" s="189"/>
      <c r="AE98" s="189"/>
      <c r="AF98" s="189"/>
      <c r="AG98" s="189"/>
      <c r="AH98" s="189"/>
      <c r="AI98" s="189"/>
      <c r="AJ98" s="189"/>
      <c r="AK98" s="189"/>
      <c r="AL98" s="189"/>
      <c r="AM98" s="189"/>
      <c r="AN98" s="189"/>
      <c r="AO98" s="130"/>
      <c r="AP98" s="130"/>
      <c r="AQ98" s="130"/>
      <c r="AR98" s="130"/>
      <c r="AS98" s="130"/>
      <c r="AT98" s="130"/>
      <c r="AU98" s="130"/>
      <c r="AV98" s="130"/>
      <c r="AW98" s="130"/>
      <c r="AX98" s="130"/>
    </row>
    <row r="99" ht="15.75" customHeight="1">
      <c r="A99" s="70" t="s">
        <v>68</v>
      </c>
      <c r="B99" s="188" t="s">
        <v>742</v>
      </c>
      <c r="C99" s="204"/>
      <c r="D99" s="72"/>
      <c r="E99" s="72"/>
      <c r="F99" s="129"/>
      <c r="G99" s="129"/>
      <c r="H99" s="129"/>
      <c r="I99" s="129"/>
      <c r="J99" s="129"/>
      <c r="K99" s="129"/>
      <c r="L99" s="129"/>
      <c r="M99" s="129"/>
      <c r="N99" s="129"/>
      <c r="O99" s="129"/>
      <c r="P99" s="129"/>
      <c r="Q99" s="129"/>
      <c r="R99" s="129"/>
      <c r="S99" s="129"/>
      <c r="T99" s="177" t="s">
        <v>743</v>
      </c>
      <c r="U99" s="205"/>
      <c r="V99" s="129"/>
      <c r="W99" s="129"/>
      <c r="X99" s="129"/>
      <c r="Y99" s="129"/>
      <c r="Z99" s="129"/>
      <c r="AA99" s="129"/>
      <c r="AB99" s="129"/>
      <c r="AC99" s="129"/>
      <c r="AD99" s="189"/>
      <c r="AE99" s="189"/>
      <c r="AF99" s="189"/>
      <c r="AG99" s="189"/>
      <c r="AH99" s="189"/>
      <c r="AI99" s="189"/>
      <c r="AJ99" s="189"/>
      <c r="AK99" s="189"/>
      <c r="AL99" s="189"/>
      <c r="AM99" s="189"/>
      <c r="AN99" s="189"/>
      <c r="AO99" s="130"/>
      <c r="AP99" s="130"/>
      <c r="AQ99" s="130"/>
      <c r="AR99" s="130"/>
      <c r="AS99" s="130"/>
      <c r="AT99" s="130"/>
      <c r="AU99" s="130"/>
      <c r="AV99" s="130"/>
      <c r="AW99" s="130"/>
      <c r="AX99" s="130"/>
    </row>
    <row r="100" ht="15.75" customHeight="1">
      <c r="A100" s="70" t="s">
        <v>68</v>
      </c>
      <c r="B100" s="188" t="s">
        <v>752</v>
      </c>
      <c r="C100" s="204"/>
      <c r="D100" s="72"/>
      <c r="E100" s="72"/>
      <c r="F100" s="129"/>
      <c r="G100" s="129"/>
      <c r="H100" s="129"/>
      <c r="I100" s="129"/>
      <c r="J100" s="129"/>
      <c r="K100" s="129"/>
      <c r="L100" s="129"/>
      <c r="M100" s="129"/>
      <c r="N100" s="129"/>
      <c r="O100" s="129"/>
      <c r="P100" s="129"/>
      <c r="Q100" s="129"/>
      <c r="R100" s="129"/>
      <c r="S100" s="129"/>
      <c r="T100" s="177" t="s">
        <v>756</v>
      </c>
      <c r="U100" s="205"/>
      <c r="V100" s="129"/>
      <c r="W100" s="129"/>
      <c r="X100" s="129"/>
      <c r="Y100" s="129"/>
      <c r="Z100" s="129"/>
      <c r="AA100" s="129"/>
      <c r="AB100" s="129"/>
      <c r="AC100" s="129"/>
      <c r="AD100" s="189"/>
      <c r="AE100" s="189"/>
      <c r="AF100" s="189"/>
      <c r="AG100" s="189"/>
      <c r="AH100" s="189"/>
      <c r="AI100" s="189"/>
      <c r="AJ100" s="189"/>
      <c r="AK100" s="189"/>
      <c r="AL100" s="189"/>
      <c r="AM100" s="189"/>
      <c r="AN100" s="189"/>
      <c r="AO100" s="130"/>
      <c r="AP100" s="130"/>
      <c r="AQ100" s="130"/>
      <c r="AR100" s="130"/>
      <c r="AS100" s="130"/>
      <c r="AT100" s="130"/>
      <c r="AU100" s="130"/>
      <c r="AV100" s="130"/>
      <c r="AW100" s="130"/>
      <c r="AX100" s="130"/>
    </row>
    <row r="101" ht="15.75" customHeight="1">
      <c r="A101" s="70" t="s">
        <v>68</v>
      </c>
      <c r="B101" s="188" t="s">
        <v>762</v>
      </c>
      <c r="C101" s="204"/>
      <c r="D101" s="72"/>
      <c r="E101" s="72"/>
      <c r="F101" s="129"/>
      <c r="G101" s="129"/>
      <c r="H101" s="129"/>
      <c r="I101" s="129"/>
      <c r="J101" s="129"/>
      <c r="K101" s="129"/>
      <c r="L101" s="129"/>
      <c r="M101" s="129"/>
      <c r="N101" s="129"/>
      <c r="O101" s="129"/>
      <c r="P101" s="129"/>
      <c r="Q101" s="129"/>
      <c r="R101" s="129"/>
      <c r="S101" s="129"/>
      <c r="T101" s="177" t="s">
        <v>766</v>
      </c>
      <c r="U101" s="205"/>
      <c r="V101" s="129"/>
      <c r="W101" s="129"/>
      <c r="X101" s="129"/>
      <c r="Y101" s="129"/>
      <c r="Z101" s="129"/>
      <c r="AA101" s="129"/>
      <c r="AB101" s="129"/>
      <c r="AC101" s="129"/>
      <c r="AD101" s="189"/>
      <c r="AE101" s="189"/>
      <c r="AF101" s="189"/>
      <c r="AG101" s="189"/>
      <c r="AH101" s="189"/>
      <c r="AI101" s="189"/>
      <c r="AJ101" s="189"/>
      <c r="AK101" s="189"/>
      <c r="AL101" s="189"/>
      <c r="AM101" s="189"/>
      <c r="AN101" s="189"/>
      <c r="AO101" s="130"/>
      <c r="AP101" s="130"/>
      <c r="AQ101" s="130"/>
      <c r="AR101" s="130"/>
      <c r="AS101" s="130"/>
      <c r="AT101" s="130"/>
      <c r="AU101" s="130"/>
      <c r="AV101" s="130"/>
      <c r="AW101" s="130"/>
      <c r="AX101" s="130"/>
    </row>
    <row r="102" ht="15.75" customHeight="1">
      <c r="A102" s="70" t="s">
        <v>68</v>
      </c>
      <c r="B102" s="188" t="s">
        <v>770</v>
      </c>
      <c r="C102" s="204"/>
      <c r="D102" s="72"/>
      <c r="E102" s="72"/>
      <c r="F102" s="129"/>
      <c r="G102" s="129"/>
      <c r="H102" s="129"/>
      <c r="I102" s="129"/>
      <c r="J102" s="129"/>
      <c r="K102" s="129"/>
      <c r="L102" s="129"/>
      <c r="M102" s="129"/>
      <c r="N102" s="129"/>
      <c r="O102" s="129"/>
      <c r="P102" s="129"/>
      <c r="Q102" s="129"/>
      <c r="R102" s="129"/>
      <c r="S102" s="129"/>
      <c r="T102" s="177" t="s">
        <v>774</v>
      </c>
      <c r="U102" s="205"/>
      <c r="V102" s="129"/>
      <c r="W102" s="129"/>
      <c r="X102" s="129"/>
      <c r="Y102" s="129"/>
      <c r="Z102" s="129"/>
      <c r="AA102" s="129"/>
      <c r="AB102" s="129"/>
      <c r="AC102" s="129"/>
      <c r="AD102" s="189"/>
      <c r="AE102" s="189"/>
      <c r="AF102" s="189"/>
      <c r="AG102" s="189"/>
      <c r="AH102" s="189"/>
      <c r="AI102" s="189"/>
      <c r="AJ102" s="189"/>
      <c r="AK102" s="189"/>
      <c r="AL102" s="189"/>
      <c r="AM102" s="189"/>
      <c r="AN102" s="189"/>
      <c r="AO102" s="130"/>
      <c r="AP102" s="130"/>
      <c r="AQ102" s="130"/>
      <c r="AR102" s="130"/>
      <c r="AS102" s="130"/>
      <c r="AT102" s="130"/>
      <c r="AU102" s="130"/>
      <c r="AV102" s="130"/>
      <c r="AW102" s="130"/>
      <c r="AX102" s="130"/>
    </row>
    <row r="103" ht="15.75" customHeight="1">
      <c r="A103" s="70" t="s">
        <v>68</v>
      </c>
      <c r="B103" s="188" t="s">
        <v>783</v>
      </c>
      <c r="C103" s="204"/>
      <c r="D103" s="72"/>
      <c r="E103" s="72"/>
      <c r="F103" s="129"/>
      <c r="G103" s="129"/>
      <c r="H103" s="129"/>
      <c r="I103" s="129"/>
      <c r="J103" s="129"/>
      <c r="K103" s="129"/>
      <c r="L103" s="129"/>
      <c r="M103" s="129"/>
      <c r="N103" s="129"/>
      <c r="O103" s="129"/>
      <c r="P103" s="129"/>
      <c r="Q103" s="129"/>
      <c r="R103" s="129"/>
      <c r="S103" s="129"/>
      <c r="T103" s="177" t="s">
        <v>787</v>
      </c>
      <c r="U103" s="205"/>
      <c r="V103" s="129"/>
      <c r="W103" s="129"/>
      <c r="X103" s="129"/>
      <c r="Y103" s="129"/>
      <c r="Z103" s="129"/>
      <c r="AA103" s="129"/>
      <c r="AB103" s="129"/>
      <c r="AC103" s="129"/>
      <c r="AD103" s="189"/>
      <c r="AE103" s="189"/>
      <c r="AF103" s="189"/>
      <c r="AG103" s="189"/>
      <c r="AH103" s="189"/>
      <c r="AI103" s="189"/>
      <c r="AJ103" s="189"/>
      <c r="AK103" s="189"/>
      <c r="AL103" s="189"/>
      <c r="AM103" s="189"/>
      <c r="AN103" s="189"/>
      <c r="AO103" s="130"/>
      <c r="AP103" s="130"/>
      <c r="AQ103" s="130"/>
      <c r="AR103" s="130"/>
      <c r="AS103" s="130"/>
      <c r="AT103" s="130"/>
      <c r="AU103" s="130"/>
      <c r="AV103" s="130"/>
      <c r="AW103" s="130"/>
      <c r="AX103" s="130"/>
    </row>
    <row r="104" ht="15.75" customHeight="1">
      <c r="A104" s="70" t="s">
        <v>68</v>
      </c>
      <c r="B104" s="188" t="s">
        <v>791</v>
      </c>
      <c r="C104" s="204"/>
      <c r="D104" s="72"/>
      <c r="E104" s="72"/>
      <c r="F104" s="129"/>
      <c r="G104" s="129"/>
      <c r="H104" s="129"/>
      <c r="I104" s="129"/>
      <c r="J104" s="129"/>
      <c r="K104" s="129"/>
      <c r="L104" s="129"/>
      <c r="M104" s="129"/>
      <c r="N104" s="129"/>
      <c r="O104" s="129"/>
      <c r="P104" s="129"/>
      <c r="Q104" s="129"/>
      <c r="R104" s="129"/>
      <c r="S104" s="129"/>
      <c r="T104" s="177" t="s">
        <v>799</v>
      </c>
      <c r="U104" s="205"/>
      <c r="V104" s="129"/>
      <c r="W104" s="129"/>
      <c r="X104" s="129"/>
      <c r="Y104" s="129"/>
      <c r="Z104" s="129"/>
      <c r="AA104" s="129"/>
      <c r="AB104" s="129"/>
      <c r="AC104" s="129"/>
      <c r="AD104" s="189"/>
      <c r="AE104" s="189"/>
      <c r="AF104" s="189"/>
      <c r="AG104" s="189"/>
      <c r="AH104" s="189"/>
      <c r="AI104" s="189"/>
      <c r="AJ104" s="189"/>
      <c r="AK104" s="189"/>
      <c r="AL104" s="189"/>
      <c r="AM104" s="189"/>
      <c r="AN104" s="189"/>
      <c r="AO104" s="130"/>
      <c r="AP104" s="130"/>
      <c r="AQ104" s="130"/>
      <c r="AR104" s="130"/>
      <c r="AS104" s="130"/>
      <c r="AT104" s="130"/>
      <c r="AU104" s="130"/>
      <c r="AV104" s="130"/>
      <c r="AW104" s="130"/>
      <c r="AX104" s="130"/>
    </row>
    <row r="105" ht="15.75" customHeight="1">
      <c r="A105" s="70" t="s">
        <v>68</v>
      </c>
      <c r="B105" s="188" t="s">
        <v>806</v>
      </c>
      <c r="C105" s="204"/>
      <c r="D105" s="72"/>
      <c r="E105" s="72"/>
      <c r="F105" s="129"/>
      <c r="G105" s="129"/>
      <c r="H105" s="129"/>
      <c r="I105" s="129"/>
      <c r="J105" s="129"/>
      <c r="K105" s="129"/>
      <c r="L105" s="129"/>
      <c r="M105" s="129"/>
      <c r="N105" s="129"/>
      <c r="O105" s="129"/>
      <c r="P105" s="129"/>
      <c r="Q105" s="129"/>
      <c r="R105" s="129"/>
      <c r="S105" s="129"/>
      <c r="T105" s="177" t="s">
        <v>807</v>
      </c>
      <c r="U105" s="205"/>
      <c r="V105" s="129"/>
      <c r="W105" s="129"/>
      <c r="X105" s="129"/>
      <c r="Y105" s="129"/>
      <c r="Z105" s="129"/>
      <c r="AA105" s="129"/>
      <c r="AB105" s="129"/>
      <c r="AC105" s="129"/>
      <c r="AD105" s="189"/>
      <c r="AE105" s="189"/>
      <c r="AF105" s="189"/>
      <c r="AG105" s="189"/>
      <c r="AH105" s="189"/>
      <c r="AI105" s="189"/>
      <c r="AJ105" s="189"/>
      <c r="AK105" s="189"/>
      <c r="AL105" s="189"/>
      <c r="AM105" s="189"/>
      <c r="AN105" s="189"/>
      <c r="AO105" s="130"/>
      <c r="AP105" s="130"/>
      <c r="AQ105" s="130"/>
      <c r="AR105" s="130"/>
      <c r="AS105" s="130"/>
      <c r="AT105" s="130"/>
      <c r="AU105" s="130"/>
      <c r="AV105" s="130"/>
      <c r="AW105" s="130"/>
      <c r="AX105" s="130"/>
    </row>
    <row r="106" ht="15.75" customHeight="1">
      <c r="A106" s="70" t="s">
        <v>68</v>
      </c>
      <c r="B106" s="188" t="s">
        <v>815</v>
      </c>
      <c r="C106" s="204"/>
      <c r="D106" s="72"/>
      <c r="E106" s="72"/>
      <c r="F106" s="129"/>
      <c r="G106" s="129"/>
      <c r="H106" s="129"/>
      <c r="I106" s="129"/>
      <c r="J106" s="129"/>
      <c r="K106" s="129"/>
      <c r="L106" s="129"/>
      <c r="M106" s="129"/>
      <c r="N106" s="129"/>
      <c r="O106" s="129"/>
      <c r="P106" s="129"/>
      <c r="Q106" s="129"/>
      <c r="R106" s="129"/>
      <c r="S106" s="129"/>
      <c r="T106" s="177" t="s">
        <v>819</v>
      </c>
      <c r="U106" s="205"/>
      <c r="V106" s="129"/>
      <c r="W106" s="129"/>
      <c r="X106" s="129"/>
      <c r="Y106" s="129"/>
      <c r="Z106" s="129"/>
      <c r="AA106" s="129"/>
      <c r="AB106" s="129"/>
      <c r="AC106" s="129"/>
      <c r="AD106" s="189"/>
      <c r="AE106" s="189"/>
      <c r="AF106" s="189"/>
      <c r="AG106" s="189"/>
      <c r="AH106" s="189"/>
      <c r="AI106" s="189"/>
      <c r="AJ106" s="189"/>
      <c r="AK106" s="189"/>
      <c r="AL106" s="189"/>
      <c r="AM106" s="189"/>
      <c r="AN106" s="189"/>
      <c r="AO106" s="130"/>
      <c r="AP106" s="130"/>
      <c r="AQ106" s="130"/>
      <c r="AR106" s="130"/>
      <c r="AS106" s="130"/>
      <c r="AT106" s="130"/>
      <c r="AU106" s="130"/>
      <c r="AV106" s="130"/>
      <c r="AW106" s="130"/>
      <c r="AX106" s="130"/>
    </row>
    <row r="107" ht="15.75" customHeight="1">
      <c r="A107" s="70" t="s">
        <v>68</v>
      </c>
      <c r="B107" s="188" t="s">
        <v>826</v>
      </c>
      <c r="C107" s="204"/>
      <c r="D107" s="72"/>
      <c r="E107" s="72"/>
      <c r="F107" s="129"/>
      <c r="G107" s="129"/>
      <c r="H107" s="129"/>
      <c r="I107" s="129"/>
      <c r="J107" s="129"/>
      <c r="K107" s="129"/>
      <c r="L107" s="129"/>
      <c r="M107" s="129"/>
      <c r="N107" s="129"/>
      <c r="O107" s="129"/>
      <c r="P107" s="129"/>
      <c r="Q107" s="129"/>
      <c r="R107" s="129"/>
      <c r="S107" s="129"/>
      <c r="T107" s="177" t="s">
        <v>830</v>
      </c>
      <c r="U107" s="205"/>
      <c r="V107" s="129"/>
      <c r="W107" s="129"/>
      <c r="X107" s="129"/>
      <c r="Y107" s="129"/>
      <c r="Z107" s="129"/>
      <c r="AA107" s="129"/>
      <c r="AB107" s="129"/>
      <c r="AC107" s="129"/>
      <c r="AD107" s="189"/>
      <c r="AE107" s="189"/>
      <c r="AF107" s="189"/>
      <c r="AG107" s="189"/>
      <c r="AH107" s="189"/>
      <c r="AI107" s="189"/>
      <c r="AJ107" s="189"/>
      <c r="AK107" s="189"/>
      <c r="AL107" s="189"/>
      <c r="AM107" s="189"/>
      <c r="AN107" s="189"/>
      <c r="AO107" s="130"/>
      <c r="AP107" s="130"/>
      <c r="AQ107" s="130"/>
      <c r="AR107" s="130"/>
      <c r="AS107" s="130"/>
      <c r="AT107" s="130"/>
      <c r="AU107" s="130"/>
      <c r="AV107" s="130"/>
      <c r="AW107" s="130"/>
      <c r="AX107" s="130"/>
    </row>
    <row r="108" ht="15.75" customHeight="1">
      <c r="A108" s="70" t="s">
        <v>68</v>
      </c>
      <c r="B108" s="188" t="s">
        <v>836</v>
      </c>
      <c r="C108" s="204"/>
      <c r="D108" s="72"/>
      <c r="E108" s="72"/>
      <c r="F108" s="129"/>
      <c r="G108" s="129"/>
      <c r="H108" s="129"/>
      <c r="I108" s="129"/>
      <c r="J108" s="129"/>
      <c r="K108" s="129"/>
      <c r="L108" s="129"/>
      <c r="M108" s="129"/>
      <c r="N108" s="129"/>
      <c r="O108" s="129"/>
      <c r="P108" s="129"/>
      <c r="Q108" s="129"/>
      <c r="R108" s="129"/>
      <c r="S108" s="129"/>
      <c r="T108" s="177" t="s">
        <v>838</v>
      </c>
      <c r="U108" s="205"/>
      <c r="V108" s="129"/>
      <c r="W108" s="129"/>
      <c r="X108" s="129"/>
      <c r="Y108" s="129"/>
      <c r="Z108" s="129"/>
      <c r="AA108" s="129"/>
      <c r="AB108" s="129"/>
      <c r="AC108" s="129"/>
      <c r="AD108" s="189"/>
      <c r="AE108" s="189"/>
      <c r="AF108" s="189"/>
      <c r="AG108" s="189"/>
      <c r="AH108" s="189"/>
      <c r="AI108" s="189"/>
      <c r="AJ108" s="189"/>
      <c r="AK108" s="189"/>
      <c r="AL108" s="189"/>
      <c r="AM108" s="189"/>
      <c r="AN108" s="189"/>
      <c r="AO108" s="130"/>
      <c r="AP108" s="130"/>
      <c r="AQ108" s="130"/>
      <c r="AR108" s="130"/>
      <c r="AS108" s="130"/>
      <c r="AT108" s="130"/>
      <c r="AU108" s="130"/>
      <c r="AV108" s="130"/>
      <c r="AW108" s="130"/>
      <c r="AX108" s="130"/>
    </row>
    <row r="109" ht="15.75" customHeight="1">
      <c r="A109" s="70" t="s">
        <v>68</v>
      </c>
      <c r="B109" s="188" t="s">
        <v>845</v>
      </c>
      <c r="C109" s="204"/>
      <c r="D109" s="72"/>
      <c r="E109" s="72"/>
      <c r="F109" s="129"/>
      <c r="G109" s="129"/>
      <c r="H109" s="129"/>
      <c r="I109" s="129"/>
      <c r="J109" s="129"/>
      <c r="K109" s="129"/>
      <c r="L109" s="129"/>
      <c r="M109" s="129"/>
      <c r="N109" s="129"/>
      <c r="O109" s="129"/>
      <c r="P109" s="129"/>
      <c r="Q109" s="129"/>
      <c r="R109" s="129"/>
      <c r="S109" s="129"/>
      <c r="T109" s="177" t="s">
        <v>849</v>
      </c>
      <c r="U109" s="205"/>
      <c r="V109" s="129"/>
      <c r="W109" s="129"/>
      <c r="X109" s="129"/>
      <c r="Y109" s="129"/>
      <c r="Z109" s="129"/>
      <c r="AA109" s="129"/>
      <c r="AB109" s="129"/>
      <c r="AC109" s="129"/>
      <c r="AD109" s="189"/>
      <c r="AE109" s="189"/>
      <c r="AF109" s="189"/>
      <c r="AG109" s="189"/>
      <c r="AH109" s="189"/>
      <c r="AI109" s="189"/>
      <c r="AJ109" s="189"/>
      <c r="AK109" s="189"/>
      <c r="AL109" s="189"/>
      <c r="AM109" s="189"/>
      <c r="AN109" s="189"/>
      <c r="AO109" s="130"/>
      <c r="AP109" s="130"/>
      <c r="AQ109" s="130"/>
      <c r="AR109" s="130"/>
      <c r="AS109" s="130"/>
      <c r="AT109" s="130"/>
      <c r="AU109" s="130"/>
      <c r="AV109" s="130"/>
      <c r="AW109" s="130"/>
      <c r="AX109" s="130"/>
    </row>
    <row r="110" ht="15.75" customHeight="1">
      <c r="A110" s="70" t="s">
        <v>68</v>
      </c>
      <c r="B110" s="188" t="s">
        <v>854</v>
      </c>
      <c r="C110" s="204"/>
      <c r="D110" s="72"/>
      <c r="E110" s="72"/>
      <c r="F110" s="129"/>
      <c r="G110" s="129"/>
      <c r="H110" s="129"/>
      <c r="I110" s="129"/>
      <c r="J110" s="129"/>
      <c r="K110" s="129"/>
      <c r="L110" s="129"/>
      <c r="M110" s="129"/>
      <c r="N110" s="129"/>
      <c r="O110" s="129"/>
      <c r="P110" s="129"/>
      <c r="Q110" s="129"/>
      <c r="R110" s="129"/>
      <c r="S110" s="129"/>
      <c r="T110" s="177" t="s">
        <v>858</v>
      </c>
      <c r="U110" s="205"/>
      <c r="V110" s="129"/>
      <c r="W110" s="129"/>
      <c r="X110" s="129"/>
      <c r="Y110" s="129"/>
      <c r="Z110" s="129"/>
      <c r="AA110" s="129"/>
      <c r="AB110" s="129"/>
      <c r="AC110" s="129"/>
      <c r="AD110" s="189"/>
      <c r="AE110" s="189"/>
      <c r="AF110" s="189"/>
      <c r="AG110" s="189"/>
      <c r="AH110" s="189"/>
      <c r="AI110" s="189"/>
      <c r="AJ110" s="189"/>
      <c r="AK110" s="189"/>
      <c r="AL110" s="189"/>
      <c r="AM110" s="189"/>
      <c r="AN110" s="189"/>
      <c r="AO110" s="130"/>
      <c r="AP110" s="130"/>
      <c r="AQ110" s="130"/>
      <c r="AR110" s="130"/>
      <c r="AS110" s="130"/>
      <c r="AT110" s="130"/>
      <c r="AU110" s="130"/>
      <c r="AV110" s="130"/>
      <c r="AW110" s="130"/>
      <c r="AX110" s="130"/>
    </row>
    <row r="111" ht="15.75" customHeight="1">
      <c r="A111" s="70" t="s">
        <v>68</v>
      </c>
      <c r="B111" s="188" t="s">
        <v>863</v>
      </c>
      <c r="C111" s="204"/>
      <c r="D111" s="72"/>
      <c r="E111" s="72"/>
      <c r="F111" s="129"/>
      <c r="G111" s="129"/>
      <c r="H111" s="129"/>
      <c r="I111" s="129"/>
      <c r="J111" s="129"/>
      <c r="K111" s="129"/>
      <c r="L111" s="129"/>
      <c r="M111" s="129"/>
      <c r="N111" s="129"/>
      <c r="O111" s="129"/>
      <c r="P111" s="129"/>
      <c r="Q111" s="129"/>
      <c r="R111" s="129"/>
      <c r="S111" s="129"/>
      <c r="T111" s="177" t="s">
        <v>864</v>
      </c>
      <c r="U111" s="205"/>
      <c r="V111" s="129"/>
      <c r="W111" s="129"/>
      <c r="X111" s="129"/>
      <c r="Y111" s="129"/>
      <c r="Z111" s="129"/>
      <c r="AA111" s="129"/>
      <c r="AB111" s="129"/>
      <c r="AC111" s="129"/>
      <c r="AD111" s="189"/>
      <c r="AE111" s="189"/>
      <c r="AF111" s="189"/>
      <c r="AG111" s="189"/>
      <c r="AH111" s="189"/>
      <c r="AI111" s="189"/>
      <c r="AJ111" s="189"/>
      <c r="AK111" s="189"/>
      <c r="AL111" s="189"/>
      <c r="AM111" s="189"/>
      <c r="AN111" s="189"/>
      <c r="AO111" s="130"/>
      <c r="AP111" s="130"/>
      <c r="AQ111" s="130"/>
      <c r="AR111" s="130"/>
      <c r="AS111" s="130"/>
      <c r="AT111" s="130"/>
      <c r="AU111" s="130"/>
      <c r="AV111" s="130"/>
      <c r="AW111" s="130"/>
      <c r="AX111" s="130"/>
    </row>
    <row r="112" ht="15.75" customHeight="1">
      <c r="A112" s="70" t="s">
        <v>68</v>
      </c>
      <c r="B112" s="188" t="s">
        <v>869</v>
      </c>
      <c r="C112" s="204"/>
      <c r="D112" s="72"/>
      <c r="E112" s="72"/>
      <c r="F112" s="129"/>
      <c r="G112" s="129"/>
      <c r="H112" s="129"/>
      <c r="I112" s="129"/>
      <c r="J112" s="129"/>
      <c r="K112" s="129"/>
      <c r="L112" s="129"/>
      <c r="M112" s="129"/>
      <c r="N112" s="129"/>
      <c r="O112" s="129"/>
      <c r="P112" s="129"/>
      <c r="Q112" s="129"/>
      <c r="R112" s="129"/>
      <c r="S112" s="129"/>
      <c r="T112" s="177" t="s">
        <v>873</v>
      </c>
      <c r="U112" s="205"/>
      <c r="V112" s="129"/>
      <c r="W112" s="129"/>
      <c r="X112" s="129"/>
      <c r="Y112" s="129"/>
      <c r="Z112" s="129"/>
      <c r="AA112" s="129"/>
      <c r="AB112" s="129"/>
      <c r="AC112" s="129"/>
      <c r="AD112" s="189"/>
      <c r="AE112" s="189"/>
      <c r="AF112" s="189"/>
      <c r="AG112" s="189"/>
      <c r="AH112" s="189"/>
      <c r="AI112" s="189"/>
      <c r="AJ112" s="189"/>
      <c r="AK112" s="189"/>
      <c r="AL112" s="189"/>
      <c r="AM112" s="189"/>
      <c r="AN112" s="189"/>
      <c r="AO112" s="130"/>
      <c r="AP112" s="130"/>
      <c r="AQ112" s="130"/>
      <c r="AR112" s="130"/>
      <c r="AS112" s="130"/>
      <c r="AT112" s="130"/>
      <c r="AU112" s="130"/>
      <c r="AV112" s="130"/>
      <c r="AW112" s="130"/>
      <c r="AX112" s="130"/>
    </row>
    <row r="113" ht="15.75" customHeight="1">
      <c r="A113" s="70" t="s">
        <v>68</v>
      </c>
      <c r="B113" s="188" t="s">
        <v>877</v>
      </c>
      <c r="C113" s="204"/>
      <c r="D113" s="72"/>
      <c r="E113" s="72"/>
      <c r="F113" s="129"/>
      <c r="G113" s="129"/>
      <c r="H113" s="129"/>
      <c r="I113" s="129"/>
      <c r="J113" s="129"/>
      <c r="K113" s="129"/>
      <c r="L113" s="129"/>
      <c r="M113" s="129"/>
      <c r="N113" s="129"/>
      <c r="O113" s="129"/>
      <c r="P113" s="129"/>
      <c r="Q113" s="129"/>
      <c r="R113" s="129"/>
      <c r="S113" s="129"/>
      <c r="T113" s="177" t="s">
        <v>882</v>
      </c>
      <c r="U113" s="205"/>
      <c r="V113" s="129"/>
      <c r="W113" s="129"/>
      <c r="X113" s="129"/>
      <c r="Y113" s="129"/>
      <c r="Z113" s="129"/>
      <c r="AA113" s="129"/>
      <c r="AB113" s="129"/>
      <c r="AC113" s="129"/>
      <c r="AD113" s="189"/>
      <c r="AE113" s="189"/>
      <c r="AF113" s="189"/>
      <c r="AG113" s="189"/>
      <c r="AH113" s="189"/>
      <c r="AI113" s="189"/>
      <c r="AJ113" s="189"/>
      <c r="AK113" s="189"/>
      <c r="AL113" s="189"/>
      <c r="AM113" s="189"/>
      <c r="AN113" s="189"/>
      <c r="AO113" s="130"/>
      <c r="AP113" s="130"/>
      <c r="AQ113" s="130"/>
      <c r="AR113" s="130"/>
      <c r="AS113" s="130"/>
      <c r="AT113" s="130"/>
      <c r="AU113" s="130"/>
      <c r="AV113" s="130"/>
      <c r="AW113" s="130"/>
      <c r="AX113" s="130"/>
    </row>
    <row r="114" ht="15.75" customHeight="1">
      <c r="A114" s="70" t="s">
        <v>68</v>
      </c>
      <c r="B114" s="188" t="s">
        <v>889</v>
      </c>
      <c r="C114" s="204"/>
      <c r="D114" s="72"/>
      <c r="E114" s="72"/>
      <c r="F114" s="129"/>
      <c r="G114" s="129"/>
      <c r="H114" s="129"/>
      <c r="I114" s="129"/>
      <c r="J114" s="129"/>
      <c r="K114" s="129"/>
      <c r="L114" s="129"/>
      <c r="M114" s="129"/>
      <c r="N114" s="129"/>
      <c r="O114" s="129"/>
      <c r="P114" s="129"/>
      <c r="Q114" s="129"/>
      <c r="R114" s="129"/>
      <c r="S114" s="129"/>
      <c r="T114" s="177" t="s">
        <v>891</v>
      </c>
      <c r="U114" s="205"/>
      <c r="V114" s="129"/>
      <c r="W114" s="129"/>
      <c r="X114" s="129"/>
      <c r="Y114" s="129"/>
      <c r="Z114" s="129"/>
      <c r="AA114" s="129"/>
      <c r="AB114" s="129"/>
      <c r="AC114" s="129"/>
      <c r="AD114" s="189"/>
      <c r="AE114" s="189"/>
      <c r="AF114" s="189"/>
      <c r="AG114" s="189"/>
      <c r="AH114" s="189"/>
      <c r="AI114" s="189"/>
      <c r="AJ114" s="189"/>
      <c r="AK114" s="189"/>
      <c r="AL114" s="189"/>
      <c r="AM114" s="189"/>
      <c r="AN114" s="189"/>
      <c r="AO114" s="130"/>
      <c r="AP114" s="130"/>
      <c r="AQ114" s="130"/>
      <c r="AR114" s="130"/>
      <c r="AS114" s="130"/>
      <c r="AT114" s="130"/>
      <c r="AU114" s="130"/>
      <c r="AV114" s="130"/>
      <c r="AW114" s="130"/>
      <c r="AX114" s="130"/>
    </row>
    <row r="115" ht="15.75" customHeight="1">
      <c r="A115" s="70" t="s">
        <v>68</v>
      </c>
      <c r="B115" s="188" t="s">
        <v>898</v>
      </c>
      <c r="C115" s="204"/>
      <c r="D115" s="72"/>
      <c r="E115" s="72"/>
      <c r="F115" s="129"/>
      <c r="G115" s="129"/>
      <c r="H115" s="129"/>
      <c r="I115" s="129"/>
      <c r="J115" s="129"/>
      <c r="K115" s="129"/>
      <c r="L115" s="129"/>
      <c r="M115" s="129"/>
      <c r="N115" s="129"/>
      <c r="O115" s="129"/>
      <c r="P115" s="129"/>
      <c r="Q115" s="129"/>
      <c r="R115" s="129"/>
      <c r="S115" s="129"/>
      <c r="T115" s="177" t="s">
        <v>902</v>
      </c>
      <c r="U115" s="205"/>
      <c r="V115" s="129"/>
      <c r="W115" s="129"/>
      <c r="X115" s="129"/>
      <c r="Y115" s="129"/>
      <c r="Z115" s="129"/>
      <c r="AA115" s="129"/>
      <c r="AB115" s="129"/>
      <c r="AC115" s="129"/>
      <c r="AD115" s="189"/>
      <c r="AE115" s="189"/>
      <c r="AF115" s="189"/>
      <c r="AG115" s="189"/>
      <c r="AH115" s="189"/>
      <c r="AI115" s="189"/>
      <c r="AJ115" s="189"/>
      <c r="AK115" s="189"/>
      <c r="AL115" s="189"/>
      <c r="AM115" s="189"/>
      <c r="AN115" s="189"/>
      <c r="AO115" s="130"/>
      <c r="AP115" s="130"/>
      <c r="AQ115" s="130"/>
      <c r="AR115" s="130"/>
      <c r="AS115" s="130"/>
      <c r="AT115" s="130"/>
      <c r="AU115" s="130"/>
      <c r="AV115" s="130"/>
      <c r="AW115" s="130"/>
      <c r="AX115" s="130"/>
    </row>
    <row r="116" ht="15.75" customHeight="1">
      <c r="A116" s="70" t="s">
        <v>68</v>
      </c>
      <c r="B116" s="188" t="s">
        <v>910</v>
      </c>
      <c r="C116" s="204"/>
      <c r="D116" s="72"/>
      <c r="E116" s="72"/>
      <c r="F116" s="129"/>
      <c r="G116" s="129"/>
      <c r="H116" s="129"/>
      <c r="I116" s="129"/>
      <c r="J116" s="129"/>
      <c r="K116" s="129"/>
      <c r="L116" s="129"/>
      <c r="M116" s="129"/>
      <c r="N116" s="129"/>
      <c r="O116" s="129"/>
      <c r="P116" s="129"/>
      <c r="Q116" s="129"/>
      <c r="R116" s="129"/>
      <c r="S116" s="129"/>
      <c r="T116" s="177" t="s">
        <v>914</v>
      </c>
      <c r="U116" s="205"/>
      <c r="V116" s="129"/>
      <c r="W116" s="129"/>
      <c r="X116" s="129"/>
      <c r="Y116" s="129"/>
      <c r="Z116" s="129"/>
      <c r="AA116" s="129"/>
      <c r="AB116" s="129"/>
      <c r="AC116" s="129"/>
      <c r="AD116" s="189"/>
      <c r="AE116" s="189"/>
      <c r="AF116" s="189"/>
      <c r="AG116" s="189"/>
      <c r="AH116" s="189"/>
      <c r="AI116" s="189"/>
      <c r="AJ116" s="189"/>
      <c r="AK116" s="189"/>
      <c r="AL116" s="189"/>
      <c r="AM116" s="189"/>
      <c r="AN116" s="189"/>
      <c r="AO116" s="130"/>
      <c r="AP116" s="130"/>
      <c r="AQ116" s="130"/>
      <c r="AR116" s="130"/>
      <c r="AS116" s="130"/>
      <c r="AT116" s="130"/>
      <c r="AU116" s="130"/>
      <c r="AV116" s="130"/>
      <c r="AW116" s="130"/>
      <c r="AX116" s="130"/>
    </row>
    <row r="117" ht="15.75" customHeight="1">
      <c r="A117" s="70" t="s">
        <v>68</v>
      </c>
      <c r="B117" s="188" t="s">
        <v>919</v>
      </c>
      <c r="C117" s="204"/>
      <c r="D117" s="72"/>
      <c r="E117" s="72"/>
      <c r="F117" s="129"/>
      <c r="G117" s="129"/>
      <c r="H117" s="129"/>
      <c r="I117" s="129"/>
      <c r="J117" s="129"/>
      <c r="K117" s="129"/>
      <c r="L117" s="129"/>
      <c r="M117" s="129"/>
      <c r="N117" s="129"/>
      <c r="O117" s="129"/>
      <c r="P117" s="129"/>
      <c r="Q117" s="129"/>
      <c r="R117" s="129"/>
      <c r="S117" s="129"/>
      <c r="T117" s="177" t="s">
        <v>925</v>
      </c>
      <c r="U117" s="205"/>
      <c r="V117" s="129"/>
      <c r="W117" s="129"/>
      <c r="X117" s="129"/>
      <c r="Y117" s="129"/>
      <c r="Z117" s="129"/>
      <c r="AA117" s="129"/>
      <c r="AB117" s="129"/>
      <c r="AC117" s="129"/>
      <c r="AD117" s="189"/>
      <c r="AE117" s="189"/>
      <c r="AF117" s="189"/>
      <c r="AG117" s="189"/>
      <c r="AH117" s="189"/>
      <c r="AI117" s="189"/>
      <c r="AJ117" s="189"/>
      <c r="AK117" s="189"/>
      <c r="AL117" s="189"/>
      <c r="AM117" s="189"/>
      <c r="AN117" s="189"/>
      <c r="AO117" s="130"/>
      <c r="AP117" s="130"/>
      <c r="AQ117" s="130"/>
      <c r="AR117" s="130"/>
      <c r="AS117" s="130"/>
      <c r="AT117" s="130"/>
      <c r="AU117" s="130"/>
      <c r="AV117" s="130"/>
      <c r="AW117" s="130"/>
      <c r="AX117" s="130"/>
    </row>
    <row r="118" ht="15.75" customHeight="1">
      <c r="A118" s="70" t="s">
        <v>68</v>
      </c>
      <c r="B118" s="188" t="s">
        <v>935</v>
      </c>
      <c r="C118" s="204"/>
      <c r="D118" s="72"/>
      <c r="E118" s="72"/>
      <c r="F118" s="129"/>
      <c r="G118" s="129"/>
      <c r="H118" s="129"/>
      <c r="I118" s="129"/>
      <c r="J118" s="129"/>
      <c r="K118" s="129"/>
      <c r="L118" s="129"/>
      <c r="M118" s="129"/>
      <c r="N118" s="129"/>
      <c r="O118" s="129"/>
      <c r="P118" s="129"/>
      <c r="Q118" s="129"/>
      <c r="R118" s="129"/>
      <c r="S118" s="129"/>
      <c r="T118" s="177" t="s">
        <v>939</v>
      </c>
      <c r="U118" s="205"/>
      <c r="V118" s="129"/>
      <c r="W118" s="129"/>
      <c r="X118" s="129"/>
      <c r="Y118" s="129"/>
      <c r="Z118" s="129"/>
      <c r="AA118" s="129"/>
      <c r="AB118" s="129"/>
      <c r="AC118" s="129"/>
      <c r="AD118" s="189"/>
      <c r="AE118" s="189"/>
      <c r="AF118" s="189"/>
      <c r="AG118" s="189"/>
      <c r="AH118" s="189"/>
      <c r="AI118" s="189"/>
      <c r="AJ118" s="189"/>
      <c r="AK118" s="189"/>
      <c r="AL118" s="189"/>
      <c r="AM118" s="189"/>
      <c r="AN118" s="189"/>
      <c r="AO118" s="130"/>
      <c r="AP118" s="130"/>
      <c r="AQ118" s="130"/>
      <c r="AR118" s="130"/>
      <c r="AS118" s="130"/>
      <c r="AT118" s="130"/>
      <c r="AU118" s="130"/>
      <c r="AV118" s="130"/>
      <c r="AW118" s="130"/>
      <c r="AX118" s="130"/>
    </row>
    <row r="119" ht="15.75" customHeight="1">
      <c r="A119" s="70" t="s">
        <v>68</v>
      </c>
      <c r="B119" s="188" t="s">
        <v>944</v>
      </c>
      <c r="C119" s="204"/>
      <c r="D119" s="72"/>
      <c r="E119" s="72"/>
      <c r="F119" s="129"/>
      <c r="G119" s="129"/>
      <c r="H119" s="129"/>
      <c r="I119" s="129"/>
      <c r="J119" s="129"/>
      <c r="K119" s="129"/>
      <c r="L119" s="129"/>
      <c r="M119" s="129"/>
      <c r="N119" s="129"/>
      <c r="O119" s="129"/>
      <c r="P119" s="129"/>
      <c r="Q119" s="129"/>
      <c r="R119" s="129"/>
      <c r="S119" s="129"/>
      <c r="T119" s="177" t="s">
        <v>947</v>
      </c>
      <c r="U119" s="205"/>
      <c r="V119" s="129"/>
      <c r="W119" s="129"/>
      <c r="X119" s="129"/>
      <c r="Y119" s="129"/>
      <c r="Z119" s="129"/>
      <c r="AA119" s="129"/>
      <c r="AB119" s="129"/>
      <c r="AC119" s="129"/>
      <c r="AD119" s="189"/>
      <c r="AE119" s="189"/>
      <c r="AF119" s="189"/>
      <c r="AG119" s="189"/>
      <c r="AH119" s="189"/>
      <c r="AI119" s="189"/>
      <c r="AJ119" s="189"/>
      <c r="AK119" s="189"/>
      <c r="AL119" s="189"/>
      <c r="AM119" s="189"/>
      <c r="AN119" s="189"/>
      <c r="AO119" s="130"/>
      <c r="AP119" s="130"/>
      <c r="AQ119" s="130"/>
      <c r="AR119" s="130"/>
      <c r="AS119" s="130"/>
      <c r="AT119" s="130"/>
      <c r="AU119" s="130"/>
      <c r="AV119" s="130"/>
      <c r="AW119" s="130"/>
      <c r="AX119" s="130"/>
    </row>
    <row r="120" ht="15.75" customHeight="1">
      <c r="A120" s="70" t="s">
        <v>68</v>
      </c>
      <c r="B120" s="188" t="s">
        <v>952</v>
      </c>
      <c r="C120" s="204"/>
      <c r="D120" s="72"/>
      <c r="E120" s="72"/>
      <c r="F120" s="129"/>
      <c r="G120" s="129"/>
      <c r="H120" s="129"/>
      <c r="I120" s="129"/>
      <c r="J120" s="129"/>
      <c r="K120" s="129"/>
      <c r="L120" s="129"/>
      <c r="M120" s="129"/>
      <c r="N120" s="129"/>
      <c r="O120" s="129"/>
      <c r="P120" s="129"/>
      <c r="Q120" s="129"/>
      <c r="R120" s="129"/>
      <c r="S120" s="129"/>
      <c r="T120" s="177" t="s">
        <v>954</v>
      </c>
      <c r="U120" s="205"/>
      <c r="V120" s="129"/>
      <c r="W120" s="129"/>
      <c r="X120" s="129"/>
      <c r="Y120" s="129"/>
      <c r="Z120" s="129"/>
      <c r="AA120" s="129"/>
      <c r="AB120" s="129"/>
      <c r="AC120" s="129"/>
      <c r="AD120" s="189"/>
      <c r="AE120" s="189"/>
      <c r="AF120" s="189"/>
      <c r="AG120" s="189"/>
      <c r="AH120" s="189"/>
      <c r="AI120" s="189"/>
      <c r="AJ120" s="189"/>
      <c r="AK120" s="189"/>
      <c r="AL120" s="189"/>
      <c r="AM120" s="189"/>
      <c r="AN120" s="189"/>
      <c r="AO120" s="130"/>
      <c r="AP120" s="130"/>
      <c r="AQ120" s="130"/>
      <c r="AR120" s="130"/>
      <c r="AS120" s="130"/>
      <c r="AT120" s="130"/>
      <c r="AU120" s="130"/>
      <c r="AV120" s="130"/>
      <c r="AW120" s="130"/>
      <c r="AX120" s="130"/>
    </row>
    <row r="121" ht="15.75" customHeight="1">
      <c r="A121" s="70" t="s">
        <v>68</v>
      </c>
      <c r="B121" s="188" t="s">
        <v>960</v>
      </c>
      <c r="C121" s="204"/>
      <c r="D121" s="72"/>
      <c r="E121" s="72"/>
      <c r="F121" s="129"/>
      <c r="G121" s="129"/>
      <c r="H121" s="129"/>
      <c r="I121" s="129"/>
      <c r="J121" s="129"/>
      <c r="K121" s="129"/>
      <c r="L121" s="129"/>
      <c r="M121" s="129"/>
      <c r="N121" s="129"/>
      <c r="O121" s="129"/>
      <c r="P121" s="129"/>
      <c r="Q121" s="129"/>
      <c r="R121" s="129"/>
      <c r="S121" s="129"/>
      <c r="T121" s="177" t="s">
        <v>962</v>
      </c>
      <c r="U121" s="205"/>
      <c r="V121" s="129"/>
      <c r="W121" s="129"/>
      <c r="X121" s="129"/>
      <c r="Y121" s="129"/>
      <c r="Z121" s="129"/>
      <c r="AA121" s="129"/>
      <c r="AB121" s="129"/>
      <c r="AC121" s="129"/>
      <c r="AD121" s="189"/>
      <c r="AE121" s="189"/>
      <c r="AF121" s="189"/>
      <c r="AG121" s="189"/>
      <c r="AH121" s="189"/>
      <c r="AI121" s="189"/>
      <c r="AJ121" s="189"/>
      <c r="AK121" s="189"/>
      <c r="AL121" s="189"/>
      <c r="AM121" s="189"/>
      <c r="AN121" s="189"/>
      <c r="AO121" s="130"/>
      <c r="AP121" s="130"/>
      <c r="AQ121" s="130"/>
      <c r="AR121" s="130"/>
      <c r="AS121" s="130"/>
      <c r="AT121" s="130"/>
      <c r="AU121" s="130"/>
      <c r="AV121" s="130"/>
      <c r="AW121" s="130"/>
      <c r="AX121" s="130"/>
    </row>
    <row r="122" ht="15.75" customHeight="1">
      <c r="A122" s="70" t="s">
        <v>68</v>
      </c>
      <c r="B122" s="188" t="s">
        <v>971</v>
      </c>
      <c r="C122" s="204"/>
      <c r="D122" s="72"/>
      <c r="E122" s="72"/>
      <c r="F122" s="129"/>
      <c r="G122" s="129"/>
      <c r="H122" s="129"/>
      <c r="I122" s="129"/>
      <c r="J122" s="129"/>
      <c r="K122" s="129"/>
      <c r="L122" s="129"/>
      <c r="M122" s="129"/>
      <c r="N122" s="129"/>
      <c r="O122" s="129"/>
      <c r="P122" s="129"/>
      <c r="Q122" s="129"/>
      <c r="R122" s="129"/>
      <c r="S122" s="129"/>
      <c r="T122" s="177" t="s">
        <v>975</v>
      </c>
      <c r="U122" s="205"/>
      <c r="V122" s="129"/>
      <c r="W122" s="129"/>
      <c r="X122" s="129"/>
      <c r="Y122" s="129"/>
      <c r="Z122" s="129"/>
      <c r="AA122" s="129"/>
      <c r="AB122" s="129"/>
      <c r="AC122" s="129"/>
      <c r="AD122" s="189"/>
      <c r="AE122" s="189"/>
      <c r="AF122" s="189"/>
      <c r="AG122" s="189"/>
      <c r="AH122" s="189"/>
      <c r="AI122" s="189"/>
      <c r="AJ122" s="189"/>
      <c r="AK122" s="189"/>
      <c r="AL122" s="189"/>
      <c r="AM122" s="189"/>
      <c r="AN122" s="189"/>
      <c r="AO122" s="130"/>
      <c r="AP122" s="130"/>
      <c r="AQ122" s="130"/>
      <c r="AR122" s="130"/>
      <c r="AS122" s="130"/>
      <c r="AT122" s="130"/>
      <c r="AU122" s="130"/>
      <c r="AV122" s="130"/>
      <c r="AW122" s="130"/>
      <c r="AX122" s="130"/>
    </row>
    <row r="123" ht="15.75" customHeight="1">
      <c r="A123" s="70" t="s">
        <v>68</v>
      </c>
      <c r="B123" s="188" t="s">
        <v>981</v>
      </c>
      <c r="C123" s="204"/>
      <c r="D123" s="72"/>
      <c r="E123" s="72"/>
      <c r="F123" s="129"/>
      <c r="G123" s="129"/>
      <c r="H123" s="129"/>
      <c r="I123" s="129"/>
      <c r="J123" s="129"/>
      <c r="K123" s="129"/>
      <c r="L123" s="129"/>
      <c r="M123" s="129"/>
      <c r="N123" s="129"/>
      <c r="O123" s="129"/>
      <c r="P123" s="129"/>
      <c r="Q123" s="129"/>
      <c r="R123" s="129"/>
      <c r="S123" s="129"/>
      <c r="T123" s="177" t="s">
        <v>986</v>
      </c>
      <c r="U123" s="205"/>
      <c r="V123" s="129"/>
      <c r="W123" s="129"/>
      <c r="X123" s="129"/>
      <c r="Y123" s="129"/>
      <c r="Z123" s="129"/>
      <c r="AA123" s="129"/>
      <c r="AB123" s="129"/>
      <c r="AC123" s="129"/>
      <c r="AD123" s="189"/>
      <c r="AE123" s="189"/>
      <c r="AF123" s="189"/>
      <c r="AG123" s="189"/>
      <c r="AH123" s="189"/>
      <c r="AI123" s="189"/>
      <c r="AJ123" s="189"/>
      <c r="AK123" s="189"/>
      <c r="AL123" s="189"/>
      <c r="AM123" s="189"/>
      <c r="AN123" s="189"/>
      <c r="AO123" s="130"/>
      <c r="AP123" s="130"/>
      <c r="AQ123" s="130"/>
      <c r="AR123" s="130"/>
      <c r="AS123" s="130"/>
      <c r="AT123" s="130"/>
      <c r="AU123" s="130"/>
      <c r="AV123" s="130"/>
      <c r="AW123" s="130"/>
      <c r="AX123" s="130"/>
    </row>
    <row r="124" ht="15.75" customHeight="1">
      <c r="A124" s="70" t="s">
        <v>68</v>
      </c>
      <c r="B124" s="188" t="s">
        <v>995</v>
      </c>
      <c r="C124" s="204"/>
      <c r="D124" s="72"/>
      <c r="E124" s="72"/>
      <c r="F124" s="129"/>
      <c r="G124" s="129"/>
      <c r="H124" s="129"/>
      <c r="I124" s="129"/>
      <c r="J124" s="129"/>
      <c r="K124" s="129"/>
      <c r="L124" s="129"/>
      <c r="M124" s="129"/>
      <c r="N124" s="129"/>
      <c r="O124" s="129"/>
      <c r="P124" s="129"/>
      <c r="Q124" s="129"/>
      <c r="R124" s="129"/>
      <c r="S124" s="129"/>
      <c r="T124" s="177" t="s">
        <v>997</v>
      </c>
      <c r="U124" s="205"/>
      <c r="V124" s="129"/>
      <c r="W124" s="129"/>
      <c r="X124" s="129"/>
      <c r="Y124" s="129"/>
      <c r="Z124" s="129"/>
      <c r="AA124" s="129"/>
      <c r="AB124" s="129"/>
      <c r="AC124" s="129"/>
      <c r="AD124" s="189"/>
      <c r="AE124" s="189"/>
      <c r="AF124" s="189"/>
      <c r="AG124" s="189"/>
      <c r="AH124" s="189"/>
      <c r="AI124" s="189"/>
      <c r="AJ124" s="189"/>
      <c r="AK124" s="189"/>
      <c r="AL124" s="189"/>
      <c r="AM124" s="189"/>
      <c r="AN124" s="189"/>
      <c r="AO124" s="130"/>
      <c r="AP124" s="130"/>
      <c r="AQ124" s="130"/>
      <c r="AR124" s="130"/>
      <c r="AS124" s="130"/>
      <c r="AT124" s="130"/>
      <c r="AU124" s="130"/>
      <c r="AV124" s="130"/>
      <c r="AW124" s="130"/>
      <c r="AX124" s="130"/>
    </row>
    <row r="125" ht="15.75" customHeight="1">
      <c r="A125" s="70" t="s">
        <v>68</v>
      </c>
      <c r="B125" s="188" t="s">
        <v>1004</v>
      </c>
      <c r="C125" s="204"/>
      <c r="D125" s="72"/>
      <c r="E125" s="72"/>
      <c r="F125" s="129"/>
      <c r="G125" s="129"/>
      <c r="H125" s="129"/>
      <c r="I125" s="129"/>
      <c r="J125" s="129"/>
      <c r="K125" s="129"/>
      <c r="L125" s="129"/>
      <c r="M125" s="129"/>
      <c r="N125" s="129"/>
      <c r="O125" s="129"/>
      <c r="P125" s="129"/>
      <c r="Q125" s="129"/>
      <c r="R125" s="129"/>
      <c r="S125" s="129"/>
      <c r="T125" s="177" t="s">
        <v>1008</v>
      </c>
      <c r="U125" s="205"/>
      <c r="V125" s="129"/>
      <c r="W125" s="129"/>
      <c r="X125" s="129"/>
      <c r="Y125" s="129"/>
      <c r="Z125" s="129"/>
      <c r="AA125" s="129"/>
      <c r="AB125" s="129"/>
      <c r="AC125" s="129"/>
      <c r="AD125" s="189"/>
      <c r="AE125" s="189"/>
      <c r="AF125" s="189"/>
      <c r="AG125" s="189"/>
      <c r="AH125" s="189"/>
      <c r="AI125" s="189"/>
      <c r="AJ125" s="189"/>
      <c r="AK125" s="189"/>
      <c r="AL125" s="189"/>
      <c r="AM125" s="189"/>
      <c r="AN125" s="189"/>
      <c r="AO125" s="130"/>
      <c r="AP125" s="130"/>
      <c r="AQ125" s="130"/>
      <c r="AR125" s="130"/>
      <c r="AS125" s="130"/>
      <c r="AT125" s="130"/>
      <c r="AU125" s="130"/>
      <c r="AV125" s="130"/>
      <c r="AW125" s="130"/>
      <c r="AX125" s="130"/>
    </row>
    <row r="126" ht="15.75" customHeight="1">
      <c r="A126" s="70" t="s">
        <v>68</v>
      </c>
      <c r="B126" s="188" t="s">
        <v>1017</v>
      </c>
      <c r="C126" s="204"/>
      <c r="D126" s="72"/>
      <c r="E126" s="72"/>
      <c r="F126" s="129"/>
      <c r="G126" s="129"/>
      <c r="H126" s="129"/>
      <c r="I126" s="129"/>
      <c r="J126" s="129"/>
      <c r="K126" s="129"/>
      <c r="L126" s="129"/>
      <c r="M126" s="129"/>
      <c r="N126" s="129"/>
      <c r="O126" s="129"/>
      <c r="P126" s="129"/>
      <c r="Q126" s="129"/>
      <c r="R126" s="129"/>
      <c r="S126" s="129"/>
      <c r="T126" s="177" t="s">
        <v>1019</v>
      </c>
      <c r="U126" s="205"/>
      <c r="V126" s="129"/>
      <c r="W126" s="129"/>
      <c r="X126" s="129"/>
      <c r="Y126" s="129"/>
      <c r="Z126" s="129"/>
      <c r="AA126" s="129"/>
      <c r="AB126" s="129"/>
      <c r="AC126" s="129"/>
      <c r="AD126" s="189"/>
      <c r="AE126" s="189"/>
      <c r="AF126" s="189"/>
      <c r="AG126" s="189"/>
      <c r="AH126" s="189"/>
      <c r="AI126" s="189"/>
      <c r="AJ126" s="189"/>
      <c r="AK126" s="189"/>
      <c r="AL126" s="189"/>
      <c r="AM126" s="189"/>
      <c r="AN126" s="189"/>
      <c r="AO126" s="130"/>
      <c r="AP126" s="130"/>
      <c r="AQ126" s="130"/>
      <c r="AR126" s="130"/>
      <c r="AS126" s="130"/>
      <c r="AT126" s="130"/>
      <c r="AU126" s="130"/>
      <c r="AV126" s="130"/>
      <c r="AW126" s="130"/>
      <c r="AX126" s="130"/>
    </row>
    <row r="127" ht="15.75" customHeight="1">
      <c r="A127" s="70" t="s">
        <v>68</v>
      </c>
      <c r="B127" s="188" t="s">
        <v>1028</v>
      </c>
      <c r="C127" s="204"/>
      <c r="D127" s="72"/>
      <c r="E127" s="72"/>
      <c r="F127" s="129"/>
      <c r="G127" s="129"/>
      <c r="H127" s="129"/>
      <c r="I127" s="129"/>
      <c r="J127" s="129"/>
      <c r="K127" s="129"/>
      <c r="L127" s="129"/>
      <c r="M127" s="129"/>
      <c r="N127" s="129"/>
      <c r="O127" s="129"/>
      <c r="P127" s="129"/>
      <c r="Q127" s="129"/>
      <c r="R127" s="129"/>
      <c r="S127" s="129"/>
      <c r="T127" s="177" t="s">
        <v>1030</v>
      </c>
      <c r="U127" s="205"/>
      <c r="V127" s="129"/>
      <c r="W127" s="129"/>
      <c r="X127" s="129"/>
      <c r="Y127" s="129"/>
      <c r="Z127" s="129"/>
      <c r="AA127" s="129"/>
      <c r="AB127" s="129"/>
      <c r="AC127" s="129"/>
      <c r="AD127" s="189"/>
      <c r="AE127" s="189"/>
      <c r="AF127" s="189"/>
      <c r="AG127" s="189"/>
      <c r="AH127" s="189"/>
      <c r="AI127" s="189"/>
      <c r="AJ127" s="189"/>
      <c r="AK127" s="189"/>
      <c r="AL127" s="189"/>
      <c r="AM127" s="189"/>
      <c r="AN127" s="189"/>
      <c r="AO127" s="130"/>
      <c r="AP127" s="130"/>
      <c r="AQ127" s="130"/>
      <c r="AR127" s="130"/>
      <c r="AS127" s="130"/>
      <c r="AT127" s="130"/>
      <c r="AU127" s="130"/>
      <c r="AV127" s="130"/>
      <c r="AW127" s="130"/>
      <c r="AX127" s="130"/>
    </row>
    <row r="128" ht="15.75" customHeight="1">
      <c r="A128" s="70" t="s">
        <v>68</v>
      </c>
      <c r="B128" s="188" t="s">
        <v>1040</v>
      </c>
      <c r="C128" s="204"/>
      <c r="D128" s="72"/>
      <c r="E128" s="72"/>
      <c r="F128" s="129"/>
      <c r="G128" s="129"/>
      <c r="H128" s="129"/>
      <c r="I128" s="129"/>
      <c r="J128" s="129"/>
      <c r="K128" s="129"/>
      <c r="L128" s="129"/>
      <c r="M128" s="129"/>
      <c r="N128" s="129"/>
      <c r="O128" s="129"/>
      <c r="P128" s="129"/>
      <c r="Q128" s="129"/>
      <c r="R128" s="129"/>
      <c r="S128" s="129"/>
      <c r="T128" s="177" t="s">
        <v>1044</v>
      </c>
      <c r="U128" s="205"/>
      <c r="V128" s="129"/>
      <c r="W128" s="129"/>
      <c r="X128" s="129"/>
      <c r="Y128" s="129"/>
      <c r="Z128" s="129"/>
      <c r="AA128" s="129"/>
      <c r="AB128" s="129"/>
      <c r="AC128" s="129"/>
      <c r="AD128" s="189"/>
      <c r="AE128" s="189"/>
      <c r="AF128" s="189"/>
      <c r="AG128" s="189"/>
      <c r="AH128" s="189"/>
      <c r="AI128" s="189"/>
      <c r="AJ128" s="189"/>
      <c r="AK128" s="189"/>
      <c r="AL128" s="189"/>
      <c r="AM128" s="189"/>
      <c r="AN128" s="189"/>
      <c r="AO128" s="130"/>
      <c r="AP128" s="130"/>
      <c r="AQ128" s="130"/>
      <c r="AR128" s="130"/>
      <c r="AS128" s="130"/>
      <c r="AT128" s="130"/>
      <c r="AU128" s="130"/>
      <c r="AV128" s="130"/>
      <c r="AW128" s="130"/>
      <c r="AX128" s="130"/>
    </row>
    <row r="129" ht="15.75" customHeight="1">
      <c r="A129" s="70" t="s">
        <v>68</v>
      </c>
      <c r="B129" s="188" t="s">
        <v>1051</v>
      </c>
      <c r="C129" s="204"/>
      <c r="D129" s="72"/>
      <c r="E129" s="72"/>
      <c r="F129" s="129"/>
      <c r="G129" s="129"/>
      <c r="H129" s="129"/>
      <c r="I129" s="129"/>
      <c r="J129" s="129"/>
      <c r="K129" s="129"/>
      <c r="L129" s="129"/>
      <c r="M129" s="129"/>
      <c r="N129" s="129"/>
      <c r="O129" s="129"/>
      <c r="P129" s="129"/>
      <c r="Q129" s="129"/>
      <c r="R129" s="129"/>
      <c r="S129" s="129"/>
      <c r="T129" s="177" t="s">
        <v>1054</v>
      </c>
      <c r="U129" s="205"/>
      <c r="V129" s="129"/>
      <c r="W129" s="129"/>
      <c r="X129" s="129"/>
      <c r="Y129" s="129"/>
      <c r="Z129" s="129"/>
      <c r="AA129" s="129"/>
      <c r="AB129" s="129"/>
      <c r="AC129" s="129"/>
      <c r="AD129" s="189"/>
      <c r="AE129" s="189"/>
      <c r="AF129" s="189"/>
      <c r="AG129" s="189"/>
      <c r="AH129" s="189"/>
      <c r="AI129" s="189"/>
      <c r="AJ129" s="189"/>
      <c r="AK129" s="189"/>
      <c r="AL129" s="189"/>
      <c r="AM129" s="189"/>
      <c r="AN129" s="189"/>
      <c r="AO129" s="130"/>
      <c r="AP129" s="130"/>
      <c r="AQ129" s="130"/>
      <c r="AR129" s="130"/>
      <c r="AS129" s="130"/>
      <c r="AT129" s="130"/>
      <c r="AU129" s="130"/>
      <c r="AV129" s="130"/>
      <c r="AW129" s="130"/>
      <c r="AX129" s="130"/>
    </row>
    <row r="130" ht="15.75" customHeight="1">
      <c r="A130" s="70" t="s">
        <v>68</v>
      </c>
      <c r="B130" s="188" t="s">
        <v>1059</v>
      </c>
      <c r="C130" s="204"/>
      <c r="D130" s="72"/>
      <c r="E130" s="72"/>
      <c r="F130" s="129"/>
      <c r="G130" s="129"/>
      <c r="H130" s="129"/>
      <c r="I130" s="129"/>
      <c r="J130" s="129"/>
      <c r="K130" s="129"/>
      <c r="L130" s="129"/>
      <c r="M130" s="129"/>
      <c r="N130" s="129"/>
      <c r="O130" s="129"/>
      <c r="P130" s="129"/>
      <c r="Q130" s="129"/>
      <c r="R130" s="129"/>
      <c r="S130" s="129"/>
      <c r="T130" s="177" t="s">
        <v>1063</v>
      </c>
      <c r="U130" s="205"/>
      <c r="V130" s="129"/>
      <c r="W130" s="129"/>
      <c r="X130" s="129"/>
      <c r="Y130" s="129"/>
      <c r="Z130" s="129"/>
      <c r="AA130" s="129"/>
      <c r="AB130" s="129"/>
      <c r="AC130" s="129"/>
      <c r="AD130" s="189"/>
      <c r="AE130" s="189"/>
      <c r="AF130" s="189"/>
      <c r="AG130" s="189"/>
      <c r="AH130" s="189"/>
      <c r="AI130" s="189"/>
      <c r="AJ130" s="189"/>
      <c r="AK130" s="189"/>
      <c r="AL130" s="189"/>
      <c r="AM130" s="189"/>
      <c r="AN130" s="189"/>
      <c r="AO130" s="130"/>
      <c r="AP130" s="130"/>
      <c r="AQ130" s="130"/>
      <c r="AR130" s="130"/>
      <c r="AS130" s="130"/>
      <c r="AT130" s="130"/>
      <c r="AU130" s="130"/>
      <c r="AV130" s="130"/>
      <c r="AW130" s="130"/>
      <c r="AX130" s="130"/>
    </row>
    <row r="131" ht="15.75" customHeight="1">
      <c r="A131" s="70" t="s">
        <v>68</v>
      </c>
      <c r="B131" s="188" t="s">
        <v>1068</v>
      </c>
      <c r="C131" s="204"/>
      <c r="D131" s="72"/>
      <c r="E131" s="72"/>
      <c r="F131" s="129"/>
      <c r="G131" s="129"/>
      <c r="H131" s="129"/>
      <c r="I131" s="129"/>
      <c r="J131" s="129"/>
      <c r="K131" s="129"/>
      <c r="L131" s="129"/>
      <c r="M131" s="129"/>
      <c r="N131" s="129"/>
      <c r="O131" s="129"/>
      <c r="P131" s="129"/>
      <c r="Q131" s="129"/>
      <c r="R131" s="129"/>
      <c r="S131" s="129"/>
      <c r="T131" s="177" t="s">
        <v>1071</v>
      </c>
      <c r="U131" s="205"/>
      <c r="V131" s="129"/>
      <c r="W131" s="129"/>
      <c r="X131" s="129"/>
      <c r="Y131" s="129"/>
      <c r="Z131" s="129"/>
      <c r="AA131" s="129"/>
      <c r="AB131" s="129"/>
      <c r="AC131" s="129"/>
      <c r="AD131" s="189"/>
      <c r="AE131" s="189"/>
      <c r="AF131" s="189"/>
      <c r="AG131" s="189"/>
      <c r="AH131" s="189"/>
      <c r="AI131" s="189"/>
      <c r="AJ131" s="189"/>
      <c r="AK131" s="189"/>
      <c r="AL131" s="189"/>
      <c r="AM131" s="189"/>
      <c r="AN131" s="189"/>
      <c r="AO131" s="130"/>
      <c r="AP131" s="130"/>
      <c r="AQ131" s="130"/>
      <c r="AR131" s="130"/>
      <c r="AS131" s="130"/>
      <c r="AT131" s="130"/>
      <c r="AU131" s="130"/>
      <c r="AV131" s="130"/>
      <c r="AW131" s="130"/>
      <c r="AX131" s="130"/>
    </row>
    <row r="132" ht="15.75" customHeight="1">
      <c r="A132" s="70" t="s">
        <v>68</v>
      </c>
      <c r="B132" s="188" t="s">
        <v>1075</v>
      </c>
      <c r="C132" s="204"/>
      <c r="D132" s="72"/>
      <c r="E132" s="72"/>
      <c r="F132" s="129"/>
      <c r="G132" s="129"/>
      <c r="H132" s="129"/>
      <c r="I132" s="129"/>
      <c r="J132" s="129"/>
      <c r="K132" s="129"/>
      <c r="L132" s="129"/>
      <c r="M132" s="129"/>
      <c r="N132" s="129"/>
      <c r="O132" s="129"/>
      <c r="P132" s="129"/>
      <c r="Q132" s="129"/>
      <c r="R132" s="129"/>
      <c r="S132" s="129"/>
      <c r="T132" s="177" t="s">
        <v>1079</v>
      </c>
      <c r="U132" s="205"/>
      <c r="V132" s="129"/>
      <c r="W132" s="129"/>
      <c r="X132" s="129"/>
      <c r="Y132" s="129"/>
      <c r="Z132" s="129"/>
      <c r="AA132" s="129"/>
      <c r="AB132" s="129"/>
      <c r="AC132" s="129"/>
      <c r="AD132" s="189"/>
      <c r="AE132" s="189"/>
      <c r="AF132" s="189"/>
      <c r="AG132" s="189"/>
      <c r="AH132" s="189"/>
      <c r="AI132" s="189"/>
      <c r="AJ132" s="189"/>
      <c r="AK132" s="189"/>
      <c r="AL132" s="189"/>
      <c r="AM132" s="189"/>
      <c r="AN132" s="189"/>
      <c r="AO132" s="130"/>
      <c r="AP132" s="130"/>
      <c r="AQ132" s="130"/>
      <c r="AR132" s="130"/>
      <c r="AS132" s="130"/>
      <c r="AT132" s="130"/>
      <c r="AU132" s="130"/>
      <c r="AV132" s="130"/>
      <c r="AW132" s="130"/>
      <c r="AX132" s="130"/>
    </row>
    <row r="133" ht="15.75" customHeight="1">
      <c r="A133" s="70" t="s">
        <v>68</v>
      </c>
      <c r="B133" s="188" t="s">
        <v>1083</v>
      </c>
      <c r="C133" s="204"/>
      <c r="D133" s="72"/>
      <c r="E133" s="72"/>
      <c r="F133" s="129"/>
      <c r="G133" s="129"/>
      <c r="H133" s="129"/>
      <c r="I133" s="129"/>
      <c r="J133" s="129"/>
      <c r="K133" s="129"/>
      <c r="L133" s="129"/>
      <c r="M133" s="129"/>
      <c r="N133" s="129"/>
      <c r="O133" s="129"/>
      <c r="P133" s="129"/>
      <c r="Q133" s="129"/>
      <c r="R133" s="129"/>
      <c r="S133" s="129"/>
      <c r="T133" s="177" t="s">
        <v>1087</v>
      </c>
      <c r="U133" s="205"/>
      <c r="V133" s="129"/>
      <c r="W133" s="129"/>
      <c r="X133" s="129"/>
      <c r="Y133" s="129"/>
      <c r="Z133" s="129"/>
      <c r="AA133" s="129"/>
      <c r="AB133" s="129"/>
      <c r="AC133" s="129"/>
      <c r="AD133" s="189"/>
      <c r="AE133" s="189"/>
      <c r="AF133" s="189"/>
      <c r="AG133" s="189"/>
      <c r="AH133" s="189"/>
      <c r="AI133" s="189"/>
      <c r="AJ133" s="189"/>
      <c r="AK133" s="189"/>
      <c r="AL133" s="189"/>
      <c r="AM133" s="189"/>
      <c r="AN133" s="189"/>
      <c r="AO133" s="130"/>
      <c r="AP133" s="130"/>
      <c r="AQ133" s="130"/>
      <c r="AR133" s="130"/>
      <c r="AS133" s="130"/>
      <c r="AT133" s="130"/>
      <c r="AU133" s="130"/>
      <c r="AV133" s="130"/>
      <c r="AW133" s="130"/>
      <c r="AX133" s="130"/>
    </row>
    <row r="134" ht="15.75" customHeight="1">
      <c r="A134" s="70" t="s">
        <v>68</v>
      </c>
      <c r="B134" s="188" t="s">
        <v>1091</v>
      </c>
      <c r="C134" s="204"/>
      <c r="D134" s="72"/>
      <c r="E134" s="72"/>
      <c r="F134" s="129"/>
      <c r="G134" s="129"/>
      <c r="H134" s="129"/>
      <c r="I134" s="129"/>
      <c r="J134" s="129"/>
      <c r="K134" s="129"/>
      <c r="L134" s="129"/>
      <c r="M134" s="129"/>
      <c r="N134" s="129"/>
      <c r="O134" s="129"/>
      <c r="P134" s="129"/>
      <c r="Q134" s="129"/>
      <c r="R134" s="129"/>
      <c r="S134" s="129"/>
      <c r="T134" s="177" t="s">
        <v>1096</v>
      </c>
      <c r="U134" s="205"/>
      <c r="V134" s="129"/>
      <c r="W134" s="129"/>
      <c r="X134" s="129"/>
      <c r="Y134" s="129"/>
      <c r="Z134" s="129"/>
      <c r="AA134" s="129"/>
      <c r="AB134" s="129"/>
      <c r="AC134" s="129"/>
      <c r="AD134" s="189"/>
      <c r="AE134" s="189"/>
      <c r="AF134" s="189"/>
      <c r="AG134" s="189"/>
      <c r="AH134" s="189"/>
      <c r="AI134" s="189"/>
      <c r="AJ134" s="189"/>
      <c r="AK134" s="189"/>
      <c r="AL134" s="189"/>
      <c r="AM134" s="189"/>
      <c r="AN134" s="189"/>
      <c r="AO134" s="130"/>
      <c r="AP134" s="130"/>
      <c r="AQ134" s="130"/>
      <c r="AR134" s="130"/>
      <c r="AS134" s="130"/>
      <c r="AT134" s="130"/>
      <c r="AU134" s="130"/>
      <c r="AV134" s="130"/>
      <c r="AW134" s="130"/>
      <c r="AX134" s="130"/>
    </row>
    <row r="135" ht="15.75" customHeight="1">
      <c r="A135" s="70" t="s">
        <v>68</v>
      </c>
      <c r="B135" s="188" t="s">
        <v>1100</v>
      </c>
      <c r="C135" s="204"/>
      <c r="D135" s="72"/>
      <c r="E135" s="72"/>
      <c r="F135" s="129"/>
      <c r="G135" s="129"/>
      <c r="H135" s="129"/>
      <c r="I135" s="129"/>
      <c r="J135" s="129"/>
      <c r="K135" s="129"/>
      <c r="L135" s="129"/>
      <c r="M135" s="129"/>
      <c r="N135" s="129"/>
      <c r="O135" s="129"/>
      <c r="P135" s="129"/>
      <c r="Q135" s="129"/>
      <c r="R135" s="129"/>
      <c r="S135" s="129"/>
      <c r="T135" s="177" t="s">
        <v>1105</v>
      </c>
      <c r="U135" s="205"/>
      <c r="V135" s="129"/>
      <c r="W135" s="129"/>
      <c r="X135" s="129"/>
      <c r="Y135" s="129"/>
      <c r="Z135" s="129"/>
      <c r="AA135" s="129"/>
      <c r="AB135" s="129"/>
      <c r="AC135" s="129"/>
      <c r="AD135" s="189"/>
      <c r="AE135" s="189"/>
      <c r="AF135" s="189"/>
      <c r="AG135" s="189"/>
      <c r="AH135" s="189"/>
      <c r="AI135" s="189"/>
      <c r="AJ135" s="189"/>
      <c r="AK135" s="189"/>
      <c r="AL135" s="189"/>
      <c r="AM135" s="189"/>
      <c r="AN135" s="189"/>
      <c r="AO135" s="130"/>
      <c r="AP135" s="130"/>
      <c r="AQ135" s="130"/>
      <c r="AR135" s="130"/>
      <c r="AS135" s="130"/>
      <c r="AT135" s="130"/>
      <c r="AU135" s="130"/>
      <c r="AV135" s="130"/>
      <c r="AW135" s="130"/>
      <c r="AX135" s="130"/>
    </row>
    <row r="136" ht="15.75" customHeight="1">
      <c r="A136" s="70" t="s">
        <v>68</v>
      </c>
      <c r="B136" s="188" t="s">
        <v>1109</v>
      </c>
      <c r="C136" s="204"/>
      <c r="D136" s="72"/>
      <c r="E136" s="72"/>
      <c r="F136" s="129"/>
      <c r="G136" s="129"/>
      <c r="H136" s="129"/>
      <c r="I136" s="129"/>
      <c r="J136" s="129"/>
      <c r="K136" s="129"/>
      <c r="L136" s="129"/>
      <c r="M136" s="129"/>
      <c r="N136" s="129"/>
      <c r="O136" s="129"/>
      <c r="P136" s="129"/>
      <c r="Q136" s="129"/>
      <c r="R136" s="129"/>
      <c r="S136" s="129"/>
      <c r="T136" s="177" t="s">
        <v>1113</v>
      </c>
      <c r="U136" s="205"/>
      <c r="V136" s="129"/>
      <c r="W136" s="129"/>
      <c r="X136" s="129"/>
      <c r="Y136" s="129"/>
      <c r="Z136" s="129"/>
      <c r="AA136" s="129"/>
      <c r="AB136" s="129"/>
      <c r="AC136" s="129"/>
      <c r="AD136" s="189"/>
      <c r="AE136" s="189"/>
      <c r="AF136" s="189"/>
      <c r="AG136" s="189"/>
      <c r="AH136" s="189"/>
      <c r="AI136" s="189"/>
      <c r="AJ136" s="189"/>
      <c r="AK136" s="189"/>
      <c r="AL136" s="189"/>
      <c r="AM136" s="189"/>
      <c r="AN136" s="189"/>
      <c r="AO136" s="130"/>
      <c r="AP136" s="130"/>
      <c r="AQ136" s="130"/>
      <c r="AR136" s="130"/>
      <c r="AS136" s="130"/>
      <c r="AT136" s="130"/>
      <c r="AU136" s="130"/>
      <c r="AV136" s="130"/>
      <c r="AW136" s="130"/>
      <c r="AX136" s="130"/>
    </row>
    <row r="137" ht="15.75" customHeight="1">
      <c r="A137" s="70" t="s">
        <v>68</v>
      </c>
      <c r="B137" s="188" t="s">
        <v>1120</v>
      </c>
      <c r="C137" s="204"/>
      <c r="D137" s="72"/>
      <c r="E137" s="72"/>
      <c r="F137" s="129"/>
      <c r="G137" s="129"/>
      <c r="H137" s="129"/>
      <c r="I137" s="129"/>
      <c r="J137" s="129"/>
      <c r="K137" s="129"/>
      <c r="L137" s="129"/>
      <c r="M137" s="129"/>
      <c r="N137" s="129"/>
      <c r="O137" s="129"/>
      <c r="P137" s="129"/>
      <c r="Q137" s="129"/>
      <c r="R137" s="129"/>
      <c r="S137" s="129"/>
      <c r="T137" s="177" t="s">
        <v>1121</v>
      </c>
      <c r="U137" s="205"/>
      <c r="V137" s="129"/>
      <c r="W137" s="129"/>
      <c r="X137" s="129"/>
      <c r="Y137" s="129"/>
      <c r="Z137" s="129"/>
      <c r="AA137" s="129"/>
      <c r="AB137" s="129"/>
      <c r="AC137" s="129"/>
      <c r="AD137" s="189"/>
      <c r="AE137" s="189"/>
      <c r="AF137" s="189"/>
      <c r="AG137" s="189"/>
      <c r="AH137" s="189"/>
      <c r="AI137" s="189"/>
      <c r="AJ137" s="189"/>
      <c r="AK137" s="189"/>
      <c r="AL137" s="189"/>
      <c r="AM137" s="189"/>
      <c r="AN137" s="189"/>
      <c r="AO137" s="130"/>
      <c r="AP137" s="130"/>
      <c r="AQ137" s="130"/>
      <c r="AR137" s="130"/>
      <c r="AS137" s="130"/>
      <c r="AT137" s="130"/>
      <c r="AU137" s="130"/>
      <c r="AV137" s="130"/>
      <c r="AW137" s="130"/>
      <c r="AX137" s="130"/>
    </row>
    <row r="138" ht="15.75" customHeight="1">
      <c r="A138" s="70" t="s">
        <v>68</v>
      </c>
      <c r="B138" s="188" t="s">
        <v>1125</v>
      </c>
      <c r="C138" s="204"/>
      <c r="D138" s="72"/>
      <c r="E138" s="72"/>
      <c r="F138" s="129"/>
      <c r="G138" s="129"/>
      <c r="H138" s="129"/>
      <c r="I138" s="129"/>
      <c r="J138" s="129"/>
      <c r="K138" s="129"/>
      <c r="L138" s="129"/>
      <c r="M138" s="129"/>
      <c r="N138" s="129"/>
      <c r="O138" s="129"/>
      <c r="P138" s="129"/>
      <c r="Q138" s="129"/>
      <c r="R138" s="129"/>
      <c r="S138" s="129"/>
      <c r="T138" s="177" t="s">
        <v>1127</v>
      </c>
      <c r="U138" s="205"/>
      <c r="V138" s="129"/>
      <c r="W138" s="129"/>
      <c r="X138" s="129"/>
      <c r="Y138" s="129"/>
      <c r="Z138" s="129"/>
      <c r="AA138" s="129"/>
      <c r="AB138" s="129"/>
      <c r="AC138" s="129"/>
      <c r="AD138" s="189"/>
      <c r="AE138" s="189"/>
      <c r="AF138" s="189"/>
      <c r="AG138" s="189"/>
      <c r="AH138" s="189"/>
      <c r="AI138" s="189"/>
      <c r="AJ138" s="189"/>
      <c r="AK138" s="189"/>
      <c r="AL138" s="189"/>
      <c r="AM138" s="189"/>
      <c r="AN138" s="189"/>
      <c r="AO138" s="130"/>
      <c r="AP138" s="130"/>
      <c r="AQ138" s="130"/>
      <c r="AR138" s="130"/>
      <c r="AS138" s="130"/>
      <c r="AT138" s="130"/>
      <c r="AU138" s="130"/>
      <c r="AV138" s="130"/>
      <c r="AW138" s="130"/>
      <c r="AX138" s="130"/>
    </row>
    <row r="139" ht="15.75" customHeight="1">
      <c r="A139" s="70" t="s">
        <v>68</v>
      </c>
      <c r="B139" s="188" t="s">
        <v>1132</v>
      </c>
      <c r="C139" s="204"/>
      <c r="D139" s="72"/>
      <c r="E139" s="72"/>
      <c r="F139" s="129"/>
      <c r="G139" s="129"/>
      <c r="H139" s="129"/>
      <c r="I139" s="129"/>
      <c r="J139" s="129"/>
      <c r="K139" s="129"/>
      <c r="L139" s="129"/>
      <c r="M139" s="129"/>
      <c r="N139" s="129"/>
      <c r="O139" s="129"/>
      <c r="P139" s="129"/>
      <c r="Q139" s="129"/>
      <c r="R139" s="129"/>
      <c r="S139" s="129"/>
      <c r="T139" s="177" t="s">
        <v>1138</v>
      </c>
      <c r="U139" s="205"/>
      <c r="V139" s="129"/>
      <c r="W139" s="129"/>
      <c r="X139" s="129"/>
      <c r="Y139" s="129"/>
      <c r="Z139" s="129"/>
      <c r="AA139" s="129"/>
      <c r="AB139" s="129"/>
      <c r="AC139" s="129"/>
      <c r="AD139" s="189"/>
      <c r="AE139" s="189"/>
      <c r="AF139" s="189"/>
      <c r="AG139" s="189"/>
      <c r="AH139" s="189"/>
      <c r="AI139" s="189"/>
      <c r="AJ139" s="189"/>
      <c r="AK139" s="189"/>
      <c r="AL139" s="189"/>
      <c r="AM139" s="189"/>
      <c r="AN139" s="189"/>
      <c r="AO139" s="130"/>
      <c r="AP139" s="130"/>
      <c r="AQ139" s="130"/>
      <c r="AR139" s="130"/>
      <c r="AS139" s="130"/>
      <c r="AT139" s="130"/>
      <c r="AU139" s="130"/>
      <c r="AV139" s="130"/>
      <c r="AW139" s="130"/>
      <c r="AX139" s="130"/>
    </row>
    <row r="140" ht="15.75" customHeight="1">
      <c r="A140" s="70" t="s">
        <v>68</v>
      </c>
      <c r="B140" s="188" t="s">
        <v>1142</v>
      </c>
      <c r="C140" s="204"/>
      <c r="D140" s="72"/>
      <c r="E140" s="72"/>
      <c r="F140" s="129"/>
      <c r="G140" s="129"/>
      <c r="H140" s="129"/>
      <c r="I140" s="129"/>
      <c r="J140" s="129"/>
      <c r="K140" s="129"/>
      <c r="L140" s="129"/>
      <c r="M140" s="129"/>
      <c r="N140" s="129"/>
      <c r="O140" s="129"/>
      <c r="P140" s="129"/>
      <c r="Q140" s="129"/>
      <c r="R140" s="129"/>
      <c r="S140" s="129"/>
      <c r="T140" s="177" t="s">
        <v>1148</v>
      </c>
      <c r="U140" s="205"/>
      <c r="V140" s="129"/>
      <c r="W140" s="129"/>
      <c r="X140" s="129"/>
      <c r="Y140" s="129"/>
      <c r="Z140" s="129"/>
      <c r="AA140" s="129"/>
      <c r="AB140" s="129"/>
      <c r="AC140" s="129"/>
      <c r="AD140" s="189"/>
      <c r="AE140" s="189"/>
      <c r="AF140" s="189"/>
      <c r="AG140" s="189"/>
      <c r="AH140" s="189"/>
      <c r="AI140" s="189"/>
      <c r="AJ140" s="189"/>
      <c r="AK140" s="189"/>
      <c r="AL140" s="189"/>
      <c r="AM140" s="189"/>
      <c r="AN140" s="189"/>
      <c r="AO140" s="130"/>
      <c r="AP140" s="130"/>
      <c r="AQ140" s="130"/>
      <c r="AR140" s="130"/>
      <c r="AS140" s="130"/>
      <c r="AT140" s="130"/>
      <c r="AU140" s="130"/>
      <c r="AV140" s="130"/>
      <c r="AW140" s="130"/>
      <c r="AX140" s="130"/>
    </row>
    <row r="141" ht="15.75" customHeight="1">
      <c r="A141" s="70" t="s">
        <v>68</v>
      </c>
      <c r="B141" s="188" t="s">
        <v>1152</v>
      </c>
      <c r="C141" s="204"/>
      <c r="D141" s="72"/>
      <c r="E141" s="72"/>
      <c r="F141" s="129"/>
      <c r="G141" s="129"/>
      <c r="H141" s="129"/>
      <c r="I141" s="129"/>
      <c r="J141" s="129"/>
      <c r="K141" s="129"/>
      <c r="L141" s="129"/>
      <c r="M141" s="129"/>
      <c r="N141" s="129"/>
      <c r="O141" s="129"/>
      <c r="P141" s="129"/>
      <c r="Q141" s="129"/>
      <c r="R141" s="129"/>
      <c r="S141" s="129"/>
      <c r="T141" s="177" t="s">
        <v>1157</v>
      </c>
      <c r="U141" s="205"/>
      <c r="V141" s="129"/>
      <c r="W141" s="129"/>
      <c r="X141" s="129"/>
      <c r="Y141" s="129"/>
      <c r="Z141" s="129"/>
      <c r="AA141" s="129"/>
      <c r="AB141" s="129"/>
      <c r="AC141" s="129"/>
      <c r="AD141" s="189"/>
      <c r="AE141" s="189"/>
      <c r="AF141" s="189"/>
      <c r="AG141" s="189"/>
      <c r="AH141" s="189"/>
      <c r="AI141" s="189"/>
      <c r="AJ141" s="189"/>
      <c r="AK141" s="189"/>
      <c r="AL141" s="189"/>
      <c r="AM141" s="189"/>
      <c r="AN141" s="189"/>
      <c r="AO141" s="130"/>
      <c r="AP141" s="130"/>
      <c r="AQ141" s="130"/>
      <c r="AR141" s="130"/>
      <c r="AS141" s="130"/>
      <c r="AT141" s="130"/>
      <c r="AU141" s="130"/>
      <c r="AV141" s="130"/>
      <c r="AW141" s="130"/>
      <c r="AX141" s="130"/>
    </row>
    <row r="142" ht="15.75" customHeight="1">
      <c r="A142" s="70" t="s">
        <v>68</v>
      </c>
      <c r="B142" s="188" t="s">
        <v>1161</v>
      </c>
      <c r="C142" s="204"/>
      <c r="D142" s="72"/>
      <c r="E142" s="72"/>
      <c r="F142" s="129"/>
      <c r="G142" s="129"/>
      <c r="H142" s="129"/>
      <c r="I142" s="129"/>
      <c r="J142" s="129"/>
      <c r="K142" s="129"/>
      <c r="L142" s="129"/>
      <c r="M142" s="129"/>
      <c r="N142" s="129"/>
      <c r="O142" s="129"/>
      <c r="P142" s="129"/>
      <c r="Q142" s="129"/>
      <c r="R142" s="129"/>
      <c r="S142" s="129"/>
      <c r="T142" s="177" t="s">
        <v>1162</v>
      </c>
      <c r="U142" s="205"/>
      <c r="V142" s="129"/>
      <c r="W142" s="129"/>
      <c r="X142" s="129"/>
      <c r="Y142" s="129"/>
      <c r="Z142" s="129"/>
      <c r="AA142" s="129"/>
      <c r="AB142" s="129"/>
      <c r="AC142" s="129"/>
      <c r="AD142" s="189"/>
      <c r="AE142" s="189"/>
      <c r="AF142" s="189"/>
      <c r="AG142" s="189"/>
      <c r="AH142" s="189"/>
      <c r="AI142" s="189"/>
      <c r="AJ142" s="189"/>
      <c r="AK142" s="189"/>
      <c r="AL142" s="189"/>
      <c r="AM142" s="189"/>
      <c r="AN142" s="189"/>
      <c r="AO142" s="130"/>
      <c r="AP142" s="130"/>
      <c r="AQ142" s="130"/>
      <c r="AR142" s="130"/>
      <c r="AS142" s="130"/>
      <c r="AT142" s="130"/>
      <c r="AU142" s="130"/>
      <c r="AV142" s="130"/>
      <c r="AW142" s="130"/>
      <c r="AX142" s="130"/>
    </row>
    <row r="143" ht="15.75" customHeight="1">
      <c r="A143" s="70" t="s">
        <v>68</v>
      </c>
      <c r="B143" s="188" t="s">
        <v>1169</v>
      </c>
      <c r="C143" s="204"/>
      <c r="D143" s="72"/>
      <c r="E143" s="72"/>
      <c r="F143" s="129"/>
      <c r="G143" s="129"/>
      <c r="H143" s="129"/>
      <c r="I143" s="129"/>
      <c r="J143" s="129"/>
      <c r="K143" s="129"/>
      <c r="L143" s="129"/>
      <c r="M143" s="129"/>
      <c r="N143" s="129"/>
      <c r="O143" s="129"/>
      <c r="P143" s="129"/>
      <c r="Q143" s="129"/>
      <c r="R143" s="129"/>
      <c r="S143" s="129"/>
      <c r="T143" s="177" t="s">
        <v>1173</v>
      </c>
      <c r="U143" s="205"/>
      <c r="V143" s="129"/>
      <c r="W143" s="129"/>
      <c r="X143" s="129"/>
      <c r="Y143" s="129"/>
      <c r="Z143" s="129"/>
      <c r="AA143" s="129"/>
      <c r="AB143" s="129"/>
      <c r="AC143" s="129"/>
      <c r="AD143" s="189"/>
      <c r="AE143" s="189"/>
      <c r="AF143" s="189"/>
      <c r="AG143" s="189"/>
      <c r="AH143" s="189"/>
      <c r="AI143" s="189"/>
      <c r="AJ143" s="189"/>
      <c r="AK143" s="189"/>
      <c r="AL143" s="189"/>
      <c r="AM143" s="189"/>
      <c r="AN143" s="189"/>
      <c r="AO143" s="130"/>
      <c r="AP143" s="130"/>
      <c r="AQ143" s="130"/>
      <c r="AR143" s="130"/>
      <c r="AS143" s="130"/>
      <c r="AT143" s="130"/>
      <c r="AU143" s="130"/>
      <c r="AV143" s="130"/>
      <c r="AW143" s="130"/>
      <c r="AX143" s="130"/>
    </row>
    <row r="144" ht="15.75" customHeight="1">
      <c r="A144" s="70" t="s">
        <v>68</v>
      </c>
      <c r="B144" s="188" t="s">
        <v>1177</v>
      </c>
      <c r="C144" s="204"/>
      <c r="D144" s="72"/>
      <c r="E144" s="72"/>
      <c r="F144" s="129"/>
      <c r="G144" s="129"/>
      <c r="H144" s="129"/>
      <c r="I144" s="129"/>
      <c r="J144" s="129"/>
      <c r="K144" s="129"/>
      <c r="L144" s="129"/>
      <c r="M144" s="129"/>
      <c r="N144" s="129"/>
      <c r="O144" s="129"/>
      <c r="P144" s="129"/>
      <c r="Q144" s="129"/>
      <c r="R144" s="129"/>
      <c r="S144" s="129"/>
      <c r="T144" s="177" t="s">
        <v>1182</v>
      </c>
      <c r="U144" s="205"/>
      <c r="V144" s="129"/>
      <c r="W144" s="129"/>
      <c r="X144" s="129"/>
      <c r="Y144" s="129"/>
      <c r="Z144" s="129"/>
      <c r="AA144" s="129"/>
      <c r="AB144" s="129"/>
      <c r="AC144" s="129"/>
      <c r="AD144" s="189"/>
      <c r="AE144" s="189"/>
      <c r="AF144" s="189"/>
      <c r="AG144" s="189"/>
      <c r="AH144" s="189"/>
      <c r="AI144" s="189"/>
      <c r="AJ144" s="189"/>
      <c r="AK144" s="189"/>
      <c r="AL144" s="189"/>
      <c r="AM144" s="189"/>
      <c r="AN144" s="189"/>
      <c r="AO144" s="130"/>
      <c r="AP144" s="130"/>
      <c r="AQ144" s="130"/>
      <c r="AR144" s="130"/>
      <c r="AS144" s="130"/>
      <c r="AT144" s="130"/>
      <c r="AU144" s="130"/>
      <c r="AV144" s="130"/>
      <c r="AW144" s="130"/>
      <c r="AX144" s="130"/>
    </row>
    <row r="145" ht="15.75" customHeight="1">
      <c r="A145" s="70" t="s">
        <v>68</v>
      </c>
      <c r="B145" s="188" t="s">
        <v>1190</v>
      </c>
      <c r="C145" s="204"/>
      <c r="D145" s="72"/>
      <c r="E145" s="72"/>
      <c r="F145" s="129"/>
      <c r="G145" s="129"/>
      <c r="H145" s="129"/>
      <c r="I145" s="129"/>
      <c r="J145" s="129"/>
      <c r="K145" s="129"/>
      <c r="L145" s="129"/>
      <c r="M145" s="129"/>
      <c r="N145" s="129"/>
      <c r="O145" s="129"/>
      <c r="P145" s="129"/>
      <c r="Q145" s="129"/>
      <c r="R145" s="129"/>
      <c r="S145" s="129"/>
      <c r="T145" s="177" t="s">
        <v>1196</v>
      </c>
      <c r="U145" s="205"/>
      <c r="V145" s="129"/>
      <c r="W145" s="129"/>
      <c r="X145" s="129"/>
      <c r="Y145" s="129"/>
      <c r="Z145" s="129"/>
      <c r="AA145" s="129"/>
      <c r="AB145" s="129"/>
      <c r="AC145" s="129"/>
      <c r="AD145" s="189"/>
      <c r="AE145" s="189"/>
      <c r="AF145" s="189"/>
      <c r="AG145" s="189"/>
      <c r="AH145" s="189"/>
      <c r="AI145" s="189"/>
      <c r="AJ145" s="189"/>
      <c r="AK145" s="189"/>
      <c r="AL145" s="189"/>
      <c r="AM145" s="189"/>
      <c r="AN145" s="189"/>
      <c r="AO145" s="130"/>
      <c r="AP145" s="130"/>
      <c r="AQ145" s="130"/>
      <c r="AR145" s="130"/>
      <c r="AS145" s="130"/>
      <c r="AT145" s="130"/>
      <c r="AU145" s="130"/>
      <c r="AV145" s="130"/>
      <c r="AW145" s="130"/>
      <c r="AX145" s="130"/>
    </row>
    <row r="146" ht="15.75" customHeight="1">
      <c r="A146" s="70" t="s">
        <v>68</v>
      </c>
      <c r="B146" s="188" t="s">
        <v>1200</v>
      </c>
      <c r="C146" s="204"/>
      <c r="D146" s="72"/>
      <c r="E146" s="72"/>
      <c r="F146" s="129"/>
      <c r="G146" s="129"/>
      <c r="H146" s="129"/>
      <c r="I146" s="129"/>
      <c r="J146" s="129"/>
      <c r="K146" s="129"/>
      <c r="L146" s="129"/>
      <c r="M146" s="129"/>
      <c r="N146" s="129"/>
      <c r="O146" s="129"/>
      <c r="P146" s="129"/>
      <c r="Q146" s="129"/>
      <c r="R146" s="129"/>
      <c r="S146" s="129"/>
      <c r="T146" s="177" t="s">
        <v>1206</v>
      </c>
      <c r="U146" s="205"/>
      <c r="V146" s="129"/>
      <c r="W146" s="129"/>
      <c r="X146" s="129"/>
      <c r="Y146" s="129"/>
      <c r="Z146" s="129"/>
      <c r="AA146" s="129"/>
      <c r="AB146" s="129"/>
      <c r="AC146" s="129"/>
      <c r="AD146" s="189"/>
      <c r="AE146" s="189"/>
      <c r="AF146" s="189"/>
      <c r="AG146" s="189"/>
      <c r="AH146" s="189"/>
      <c r="AI146" s="189"/>
      <c r="AJ146" s="189"/>
      <c r="AK146" s="189"/>
      <c r="AL146" s="189"/>
      <c r="AM146" s="189"/>
      <c r="AN146" s="189"/>
      <c r="AO146" s="130"/>
      <c r="AP146" s="130"/>
      <c r="AQ146" s="130"/>
      <c r="AR146" s="130"/>
      <c r="AS146" s="130"/>
      <c r="AT146" s="130"/>
      <c r="AU146" s="130"/>
      <c r="AV146" s="130"/>
      <c r="AW146" s="130"/>
      <c r="AX146" s="130"/>
    </row>
    <row r="147" ht="15.75" customHeight="1">
      <c r="A147" s="70" t="s">
        <v>68</v>
      </c>
      <c r="B147" s="188" t="s">
        <v>1215</v>
      </c>
      <c r="C147" s="204"/>
      <c r="D147" s="72"/>
      <c r="E147" s="72"/>
      <c r="F147" s="129"/>
      <c r="G147" s="129"/>
      <c r="H147" s="129"/>
      <c r="I147" s="129"/>
      <c r="J147" s="129"/>
      <c r="K147" s="129"/>
      <c r="L147" s="129"/>
      <c r="M147" s="129"/>
      <c r="N147" s="129"/>
      <c r="O147" s="129"/>
      <c r="P147" s="129"/>
      <c r="Q147" s="129"/>
      <c r="R147" s="129"/>
      <c r="S147" s="129"/>
      <c r="T147" s="177" t="s">
        <v>1220</v>
      </c>
      <c r="U147" s="205"/>
      <c r="V147" s="129"/>
      <c r="W147" s="129"/>
      <c r="X147" s="129"/>
      <c r="Y147" s="129"/>
      <c r="Z147" s="129"/>
      <c r="AA147" s="129"/>
      <c r="AB147" s="129"/>
      <c r="AC147" s="129"/>
      <c r="AD147" s="189"/>
      <c r="AE147" s="189"/>
      <c r="AF147" s="189"/>
      <c r="AG147" s="189"/>
      <c r="AH147" s="189"/>
      <c r="AI147" s="189"/>
      <c r="AJ147" s="189"/>
      <c r="AK147" s="189"/>
      <c r="AL147" s="189"/>
      <c r="AM147" s="189"/>
      <c r="AN147" s="189"/>
      <c r="AO147" s="130"/>
      <c r="AP147" s="130"/>
      <c r="AQ147" s="130"/>
      <c r="AR147" s="130"/>
      <c r="AS147" s="130"/>
      <c r="AT147" s="130"/>
      <c r="AU147" s="130"/>
      <c r="AV147" s="130"/>
      <c r="AW147" s="130"/>
      <c r="AX147" s="130"/>
    </row>
    <row r="148" ht="15.75" customHeight="1">
      <c r="A148" s="70" t="s">
        <v>68</v>
      </c>
      <c r="B148" s="188" t="s">
        <v>1230</v>
      </c>
      <c r="C148" s="204"/>
      <c r="D148" s="72"/>
      <c r="E148" s="72"/>
      <c r="F148" s="129"/>
      <c r="G148" s="129"/>
      <c r="H148" s="129"/>
      <c r="I148" s="129"/>
      <c r="J148" s="129"/>
      <c r="K148" s="129"/>
      <c r="L148" s="129"/>
      <c r="M148" s="129"/>
      <c r="N148" s="129"/>
      <c r="O148" s="129"/>
      <c r="P148" s="129"/>
      <c r="Q148" s="129"/>
      <c r="R148" s="129"/>
      <c r="S148" s="129"/>
      <c r="T148" s="177" t="s">
        <v>1235</v>
      </c>
      <c r="U148" s="205"/>
      <c r="V148" s="129"/>
      <c r="W148" s="129"/>
      <c r="X148" s="129"/>
      <c r="Y148" s="129"/>
      <c r="Z148" s="129"/>
      <c r="AA148" s="129"/>
      <c r="AB148" s="129"/>
      <c r="AC148" s="129"/>
      <c r="AD148" s="189"/>
      <c r="AE148" s="189"/>
      <c r="AF148" s="189"/>
      <c r="AG148" s="189"/>
      <c r="AH148" s="189"/>
      <c r="AI148" s="189"/>
      <c r="AJ148" s="189"/>
      <c r="AK148" s="189"/>
      <c r="AL148" s="189"/>
      <c r="AM148" s="189"/>
      <c r="AN148" s="189"/>
      <c r="AO148" s="130"/>
      <c r="AP148" s="130"/>
      <c r="AQ148" s="130"/>
      <c r="AR148" s="130"/>
      <c r="AS148" s="130"/>
      <c r="AT148" s="130"/>
      <c r="AU148" s="130"/>
      <c r="AV148" s="130"/>
      <c r="AW148" s="130"/>
      <c r="AX148" s="130"/>
    </row>
    <row r="149" ht="15.75" customHeight="1">
      <c r="A149" s="70" t="s">
        <v>68</v>
      </c>
      <c r="B149" s="188" t="s">
        <v>1242</v>
      </c>
      <c r="C149" s="204"/>
      <c r="D149" s="72"/>
      <c r="E149" s="72"/>
      <c r="F149" s="129"/>
      <c r="G149" s="129"/>
      <c r="H149" s="129"/>
      <c r="I149" s="129"/>
      <c r="J149" s="129"/>
      <c r="K149" s="129"/>
      <c r="L149" s="129"/>
      <c r="M149" s="129"/>
      <c r="N149" s="129"/>
      <c r="O149" s="129"/>
      <c r="P149" s="129"/>
      <c r="Q149" s="129"/>
      <c r="R149" s="129"/>
      <c r="S149" s="129"/>
      <c r="T149" s="177" t="s">
        <v>1247</v>
      </c>
      <c r="U149" s="205"/>
      <c r="V149" s="129"/>
      <c r="W149" s="129"/>
      <c r="X149" s="129"/>
      <c r="Y149" s="129"/>
      <c r="Z149" s="129"/>
      <c r="AA149" s="129"/>
      <c r="AB149" s="129"/>
      <c r="AC149" s="129"/>
      <c r="AD149" s="189"/>
      <c r="AE149" s="189"/>
      <c r="AF149" s="189"/>
      <c r="AG149" s="189"/>
      <c r="AH149" s="189"/>
      <c r="AI149" s="189"/>
      <c r="AJ149" s="189"/>
      <c r="AK149" s="189"/>
      <c r="AL149" s="189"/>
      <c r="AM149" s="189"/>
      <c r="AN149" s="189"/>
      <c r="AO149" s="130"/>
      <c r="AP149" s="130"/>
      <c r="AQ149" s="130"/>
      <c r="AR149" s="130"/>
      <c r="AS149" s="130"/>
      <c r="AT149" s="130"/>
      <c r="AU149" s="130"/>
      <c r="AV149" s="130"/>
      <c r="AW149" s="130"/>
      <c r="AX149" s="130"/>
    </row>
    <row r="150" ht="15.75" customHeight="1">
      <c r="A150" s="70" t="s">
        <v>68</v>
      </c>
      <c r="B150" s="188" t="s">
        <v>1257</v>
      </c>
      <c r="C150" s="204"/>
      <c r="D150" s="72"/>
      <c r="E150" s="72"/>
      <c r="F150" s="129"/>
      <c r="G150" s="129"/>
      <c r="H150" s="129"/>
      <c r="I150" s="129"/>
      <c r="J150" s="129"/>
      <c r="K150" s="129"/>
      <c r="L150" s="129"/>
      <c r="M150" s="129"/>
      <c r="N150" s="129"/>
      <c r="O150" s="129"/>
      <c r="P150" s="129"/>
      <c r="Q150" s="129"/>
      <c r="R150" s="129"/>
      <c r="S150" s="129"/>
      <c r="T150" s="177" t="s">
        <v>1262</v>
      </c>
      <c r="U150" s="205"/>
      <c r="V150" s="129"/>
      <c r="W150" s="129"/>
      <c r="X150" s="129"/>
      <c r="Y150" s="129"/>
      <c r="Z150" s="129"/>
      <c r="AA150" s="129"/>
      <c r="AB150" s="129"/>
      <c r="AC150" s="129"/>
      <c r="AD150" s="189"/>
      <c r="AE150" s="189"/>
      <c r="AF150" s="189"/>
      <c r="AG150" s="189"/>
      <c r="AH150" s="189"/>
      <c r="AI150" s="189"/>
      <c r="AJ150" s="189"/>
      <c r="AK150" s="189"/>
      <c r="AL150" s="189"/>
      <c r="AM150" s="189"/>
      <c r="AN150" s="189"/>
      <c r="AO150" s="130"/>
      <c r="AP150" s="130"/>
      <c r="AQ150" s="130"/>
      <c r="AR150" s="130"/>
      <c r="AS150" s="130"/>
      <c r="AT150" s="130"/>
      <c r="AU150" s="130"/>
      <c r="AV150" s="130"/>
      <c r="AW150" s="130"/>
      <c r="AX150" s="130"/>
    </row>
    <row r="151" ht="15.75" customHeight="1">
      <c r="A151" s="70" t="s">
        <v>68</v>
      </c>
      <c r="B151" s="188" t="s">
        <v>1274</v>
      </c>
      <c r="C151" s="204"/>
      <c r="D151" s="72"/>
      <c r="E151" s="72"/>
      <c r="F151" s="129"/>
      <c r="G151" s="129"/>
      <c r="H151" s="129"/>
      <c r="I151" s="129"/>
      <c r="J151" s="129"/>
      <c r="K151" s="129"/>
      <c r="L151" s="129"/>
      <c r="M151" s="129"/>
      <c r="N151" s="129"/>
      <c r="O151" s="129"/>
      <c r="P151" s="129"/>
      <c r="Q151" s="129"/>
      <c r="R151" s="129"/>
      <c r="S151" s="129"/>
      <c r="T151" s="177" t="s">
        <v>1279</v>
      </c>
      <c r="U151" s="205"/>
      <c r="V151" s="129"/>
      <c r="W151" s="129"/>
      <c r="X151" s="129"/>
      <c r="Y151" s="129"/>
      <c r="Z151" s="129"/>
      <c r="AA151" s="129"/>
      <c r="AB151" s="129"/>
      <c r="AC151" s="129"/>
      <c r="AD151" s="189"/>
      <c r="AE151" s="189"/>
      <c r="AF151" s="189"/>
      <c r="AG151" s="189"/>
      <c r="AH151" s="189"/>
      <c r="AI151" s="189"/>
      <c r="AJ151" s="189"/>
      <c r="AK151" s="189"/>
      <c r="AL151" s="189"/>
      <c r="AM151" s="189"/>
      <c r="AN151" s="189"/>
      <c r="AO151" s="130"/>
      <c r="AP151" s="130"/>
      <c r="AQ151" s="130"/>
      <c r="AR151" s="130"/>
      <c r="AS151" s="130"/>
      <c r="AT151" s="130"/>
      <c r="AU151" s="130"/>
      <c r="AV151" s="130"/>
      <c r="AW151" s="130"/>
      <c r="AX151" s="130"/>
    </row>
    <row r="152" ht="15.75" customHeight="1">
      <c r="A152" s="70" t="s">
        <v>68</v>
      </c>
      <c r="B152" s="71" t="s">
        <v>1288</v>
      </c>
      <c r="C152" s="72"/>
      <c r="D152" s="72"/>
      <c r="E152" s="72"/>
      <c r="F152" s="129"/>
      <c r="G152" s="129"/>
      <c r="H152" s="129"/>
      <c r="I152" s="129"/>
      <c r="J152" s="129"/>
      <c r="K152" s="129"/>
      <c r="L152" s="129"/>
      <c r="M152" s="129"/>
      <c r="N152" s="129"/>
      <c r="O152" s="129"/>
      <c r="P152" s="129"/>
      <c r="Q152" s="129"/>
      <c r="R152" s="129"/>
      <c r="S152" s="129"/>
      <c r="T152" s="85" t="s">
        <v>1292</v>
      </c>
      <c r="U152" s="129"/>
      <c r="V152" s="129"/>
      <c r="W152" s="129"/>
      <c r="X152" s="129"/>
      <c r="Y152" s="129"/>
      <c r="Z152" s="129"/>
      <c r="AA152" s="129"/>
      <c r="AB152" s="129"/>
      <c r="AC152" s="129"/>
      <c r="AD152" s="189"/>
      <c r="AE152" s="189"/>
      <c r="AF152" s="189"/>
      <c r="AG152" s="189"/>
      <c r="AH152" s="189"/>
      <c r="AI152" s="189"/>
      <c r="AJ152" s="189"/>
      <c r="AK152" s="189"/>
      <c r="AL152" s="189"/>
      <c r="AM152" s="189"/>
      <c r="AN152" s="189"/>
      <c r="AO152" s="130"/>
      <c r="AP152" s="130"/>
      <c r="AQ152" s="130"/>
      <c r="AR152" s="130"/>
      <c r="AS152" s="130"/>
      <c r="AT152" s="130"/>
      <c r="AU152" s="130"/>
      <c r="AV152" s="130"/>
      <c r="AW152" s="130"/>
      <c r="AX152" s="130"/>
    </row>
    <row r="153" ht="15.75" customHeight="1">
      <c r="A153" s="61"/>
      <c r="B153" s="61"/>
      <c r="C153" s="63"/>
      <c r="D153" s="63"/>
      <c r="E153" s="63"/>
      <c r="F153" s="25"/>
      <c r="G153" s="25"/>
      <c r="H153" s="25"/>
      <c r="I153" s="25"/>
      <c r="J153" s="25"/>
      <c r="K153" s="25"/>
      <c r="L153" s="25"/>
      <c r="M153" s="25"/>
      <c r="N153" s="25"/>
      <c r="O153" s="25"/>
      <c r="P153" s="25"/>
      <c r="Q153" s="61"/>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row>
    <row r="154" ht="15.75" customHeight="1">
      <c r="A154" s="61" t="s">
        <v>1306</v>
      </c>
      <c r="B154" s="61" t="s">
        <v>1307</v>
      </c>
      <c r="C154" s="27" t="s">
        <v>1308</v>
      </c>
      <c r="D154" s="27" t="s">
        <v>1309</v>
      </c>
      <c r="E154" s="27" t="s">
        <v>1310</v>
      </c>
      <c r="F154" s="45"/>
      <c r="G154" s="45"/>
      <c r="H154" s="45"/>
      <c r="I154" s="25"/>
      <c r="J154" s="25"/>
      <c r="K154" s="25"/>
      <c r="L154" s="25"/>
      <c r="M154" s="25"/>
      <c r="N154" s="25"/>
      <c r="O154" s="25"/>
      <c r="P154" s="25"/>
      <c r="Q154" s="61" t="s">
        <v>150</v>
      </c>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row>
    <row r="155" ht="15.75" customHeight="1">
      <c r="A155" s="80" t="s">
        <v>1317</v>
      </c>
      <c r="B155" s="81" t="s">
        <v>1318</v>
      </c>
      <c r="C155" s="27" t="s">
        <v>548</v>
      </c>
      <c r="D155" s="27" t="s">
        <v>549</v>
      </c>
      <c r="E155" s="27" t="s">
        <v>550</v>
      </c>
      <c r="F155" s="45"/>
      <c r="G155" s="45"/>
      <c r="H155" s="45"/>
      <c r="I155" s="83"/>
      <c r="J155" s="84"/>
      <c r="K155" s="83"/>
      <c r="L155" s="83"/>
      <c r="M155" s="83"/>
      <c r="N155" s="83"/>
      <c r="O155" s="217" t="s">
        <v>1323</v>
      </c>
      <c r="P155" s="83"/>
      <c r="Q155" s="80" t="s">
        <v>150</v>
      </c>
      <c r="R155" s="83"/>
      <c r="S155" s="83"/>
      <c r="T155" s="83"/>
      <c r="U155" s="83"/>
      <c r="V155" s="83"/>
      <c r="W155" s="83"/>
      <c r="X155" s="83"/>
      <c r="Y155" s="83" t="s">
        <v>1326</v>
      </c>
      <c r="Z155" s="83"/>
      <c r="AA155" s="83"/>
      <c r="AB155" s="83"/>
      <c r="AC155" s="83"/>
      <c r="AD155" s="90"/>
      <c r="AE155" s="90"/>
      <c r="AF155" s="90"/>
      <c r="AG155" s="90"/>
      <c r="AH155" s="90"/>
      <c r="AI155" s="90"/>
      <c r="AJ155" s="90"/>
      <c r="AK155" s="90"/>
      <c r="AL155" s="90"/>
      <c r="AM155" s="90"/>
      <c r="AN155" s="90"/>
      <c r="AO155" s="90"/>
      <c r="AP155" s="90"/>
      <c r="AQ155" s="90"/>
      <c r="AR155" s="90"/>
      <c r="AS155" s="90"/>
      <c r="AT155" s="90"/>
      <c r="AU155" s="90"/>
      <c r="AV155" s="90"/>
      <c r="AW155" s="90"/>
      <c r="AX155" s="90"/>
    </row>
    <row r="156" ht="15.75" customHeight="1">
      <c r="A156" s="218" t="s">
        <v>38</v>
      </c>
      <c r="B156" s="219" t="s">
        <v>1332</v>
      </c>
      <c r="C156" s="27" t="s">
        <v>554</v>
      </c>
      <c r="D156" s="27" t="s">
        <v>555</v>
      </c>
      <c r="E156" s="27" t="s">
        <v>557</v>
      </c>
      <c r="F156" s="45"/>
      <c r="G156" s="45"/>
      <c r="H156" s="45"/>
      <c r="I156" s="220"/>
      <c r="J156" s="220"/>
      <c r="K156" s="220"/>
      <c r="L156" s="220"/>
      <c r="M156" s="220"/>
      <c r="N156" s="220"/>
      <c r="O156" s="217" t="s">
        <v>1338</v>
      </c>
      <c r="P156" s="220"/>
      <c r="Q156" s="218" t="s">
        <v>150</v>
      </c>
      <c r="R156" s="220"/>
      <c r="S156" s="220"/>
      <c r="T156" s="220"/>
      <c r="U156" s="220"/>
      <c r="V156" s="220"/>
      <c r="W156" s="220"/>
      <c r="X156" s="220"/>
      <c r="Y156" s="220"/>
      <c r="Z156" s="220"/>
      <c r="AA156" s="220"/>
      <c r="AB156" s="220"/>
      <c r="AC156" s="220"/>
      <c r="AD156" s="90"/>
      <c r="AE156" s="90"/>
      <c r="AF156" s="90"/>
      <c r="AG156" s="90"/>
      <c r="AH156" s="90"/>
      <c r="AI156" s="90"/>
      <c r="AJ156" s="90"/>
      <c r="AK156" s="90"/>
      <c r="AL156" s="90"/>
      <c r="AM156" s="90"/>
      <c r="AN156" s="90"/>
      <c r="AO156" s="90"/>
      <c r="AP156" s="90"/>
      <c r="AQ156" s="90"/>
      <c r="AR156" s="90"/>
      <c r="AS156" s="90"/>
      <c r="AT156" s="90"/>
      <c r="AU156" s="90"/>
      <c r="AV156" s="90"/>
      <c r="AW156" s="90"/>
      <c r="AX156" s="90"/>
    </row>
    <row r="157" ht="15.75" customHeight="1">
      <c r="A157" s="218" t="s">
        <v>38</v>
      </c>
      <c r="B157" s="221" t="s">
        <v>1346</v>
      </c>
      <c r="C157" s="27" t="s">
        <v>561</v>
      </c>
      <c r="D157" s="27" t="s">
        <v>562</v>
      </c>
      <c r="E157" s="27" t="s">
        <v>563</v>
      </c>
      <c r="F157" s="45"/>
      <c r="G157" s="45"/>
      <c r="H157" s="45"/>
      <c r="I157" s="220"/>
      <c r="J157" s="220"/>
      <c r="K157" s="220"/>
      <c r="L157" s="220"/>
      <c r="M157" s="220"/>
      <c r="N157" s="220"/>
      <c r="O157" s="220" t="s">
        <v>1349</v>
      </c>
      <c r="P157" s="220"/>
      <c r="Q157" s="218" t="s">
        <v>150</v>
      </c>
      <c r="R157" s="220"/>
      <c r="S157" s="220"/>
      <c r="T157" s="220"/>
      <c r="U157" s="220"/>
      <c r="V157" s="220"/>
      <c r="W157" s="220"/>
      <c r="X157" s="220"/>
      <c r="Y157" s="220"/>
      <c r="Z157" s="220"/>
      <c r="AA157" s="220"/>
      <c r="AB157" s="220"/>
      <c r="AC157" s="220"/>
      <c r="AD157" s="90"/>
      <c r="AE157" s="90"/>
      <c r="AF157" s="90"/>
      <c r="AG157" s="90"/>
      <c r="AH157" s="90"/>
      <c r="AI157" s="90"/>
      <c r="AJ157" s="90"/>
      <c r="AK157" s="90"/>
      <c r="AL157" s="90"/>
      <c r="AM157" s="90"/>
      <c r="AN157" s="90"/>
      <c r="AO157" s="90"/>
      <c r="AP157" s="90"/>
      <c r="AQ157" s="90"/>
      <c r="AR157" s="90"/>
      <c r="AS157" s="90"/>
      <c r="AT157" s="90"/>
      <c r="AU157" s="90"/>
      <c r="AV157" s="90"/>
      <c r="AW157" s="90"/>
      <c r="AX157" s="90"/>
    </row>
    <row r="158" ht="15.75" customHeight="1">
      <c r="A158" s="61" t="s">
        <v>1306</v>
      </c>
      <c r="B158" s="88" t="s">
        <v>1356</v>
      </c>
      <c r="C158" s="27" t="s">
        <v>1357</v>
      </c>
      <c r="D158" s="27" t="s">
        <v>1358</v>
      </c>
      <c r="E158" s="27" t="s">
        <v>1360</v>
      </c>
      <c r="F158" s="45"/>
      <c r="G158" s="45"/>
      <c r="H158" s="45"/>
      <c r="I158" s="83"/>
      <c r="J158" s="84"/>
      <c r="K158" s="83"/>
      <c r="L158" s="83"/>
      <c r="M158" s="83"/>
      <c r="N158" s="83"/>
      <c r="O158" s="217" t="s">
        <v>1364</v>
      </c>
      <c r="P158" s="83"/>
      <c r="Q158" s="218" t="s">
        <v>150</v>
      </c>
      <c r="R158" s="83"/>
      <c r="S158" s="83"/>
      <c r="T158" s="83"/>
      <c r="U158" s="83"/>
      <c r="V158" s="83"/>
      <c r="W158" s="83"/>
      <c r="X158" s="83"/>
      <c r="Y158" s="83"/>
      <c r="Z158" s="83"/>
      <c r="AA158" s="83"/>
      <c r="AB158" s="83"/>
      <c r="AC158" s="83"/>
      <c r="AD158" s="90"/>
      <c r="AE158" s="90"/>
      <c r="AF158" s="90"/>
      <c r="AG158" s="90"/>
      <c r="AH158" s="90"/>
      <c r="AI158" s="90"/>
      <c r="AJ158" s="90"/>
      <c r="AK158" s="90"/>
      <c r="AL158" s="90"/>
      <c r="AM158" s="90"/>
      <c r="AN158" s="90"/>
      <c r="AO158" s="90"/>
      <c r="AP158" s="90"/>
      <c r="AQ158" s="90"/>
      <c r="AR158" s="90"/>
      <c r="AS158" s="90"/>
      <c r="AT158" s="90"/>
      <c r="AU158" s="90"/>
      <c r="AV158" s="90"/>
      <c r="AW158" s="90"/>
      <c r="AX158" s="90"/>
    </row>
    <row r="159" ht="15.75" customHeight="1">
      <c r="A159" s="61" t="s">
        <v>1371</v>
      </c>
      <c r="B159" s="88" t="s">
        <v>1372</v>
      </c>
      <c r="C159" s="27" t="s">
        <v>1373</v>
      </c>
      <c r="D159" s="27" t="s">
        <v>1374</v>
      </c>
      <c r="E159" s="27" t="s">
        <v>1375</v>
      </c>
      <c r="F159" s="45"/>
      <c r="G159" s="45"/>
      <c r="H159" s="45"/>
      <c r="I159" s="83"/>
      <c r="J159" s="84"/>
      <c r="K159" s="83"/>
      <c r="L159" s="83"/>
      <c r="M159" s="83"/>
      <c r="N159" s="83"/>
      <c r="O159" s="85" t="s">
        <v>1379</v>
      </c>
      <c r="P159" s="83"/>
      <c r="Q159" s="218" t="s">
        <v>150</v>
      </c>
      <c r="R159" s="83"/>
      <c r="S159" s="83"/>
      <c r="T159" s="83"/>
      <c r="U159" s="83"/>
      <c r="V159" s="83"/>
      <c r="W159" s="83"/>
      <c r="X159" s="83"/>
      <c r="Y159" s="85" t="s">
        <v>1380</v>
      </c>
      <c r="Z159" s="83"/>
      <c r="AA159" s="83"/>
      <c r="AB159" s="83"/>
      <c r="AC159" s="83"/>
      <c r="AD159" s="90"/>
      <c r="AE159" s="90"/>
      <c r="AF159" s="90"/>
      <c r="AG159" s="90"/>
      <c r="AH159" s="90"/>
      <c r="AI159" s="90"/>
      <c r="AJ159" s="90"/>
      <c r="AK159" s="90"/>
      <c r="AL159" s="90"/>
      <c r="AM159" s="90"/>
      <c r="AN159" s="90"/>
      <c r="AO159" s="90"/>
      <c r="AP159" s="90"/>
      <c r="AQ159" s="90"/>
      <c r="AR159" s="90"/>
      <c r="AS159" s="90"/>
      <c r="AT159" s="90"/>
      <c r="AU159" s="90"/>
      <c r="AV159" s="90"/>
      <c r="AW159" s="90"/>
      <c r="AX159" s="90"/>
    </row>
    <row r="160" ht="15.75" customHeight="1">
      <c r="A160" s="61" t="s">
        <v>68</v>
      </c>
      <c r="B160" s="61" t="s">
        <v>1387</v>
      </c>
      <c r="C160" s="63"/>
      <c r="D160" s="63"/>
      <c r="E160" s="63"/>
      <c r="F160" s="25"/>
      <c r="G160" s="25"/>
      <c r="H160" s="25"/>
      <c r="I160" s="25"/>
      <c r="J160" s="25"/>
      <c r="K160" s="25"/>
      <c r="L160" s="25"/>
      <c r="M160" s="25"/>
      <c r="N160" s="25"/>
      <c r="O160" s="217"/>
      <c r="P160" s="25"/>
      <c r="Q160" s="61"/>
      <c r="R160" s="25"/>
      <c r="S160" s="188"/>
      <c r="T160" s="61" t="s">
        <v>1391</v>
      </c>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row>
    <row r="161" ht="15.75" customHeight="1">
      <c r="A161" s="61" t="s">
        <v>68</v>
      </c>
      <c r="B161" s="61" t="s">
        <v>1398</v>
      </c>
      <c r="C161" s="63"/>
      <c r="D161" s="63"/>
      <c r="E161" s="63"/>
      <c r="F161" s="25"/>
      <c r="G161" s="25"/>
      <c r="H161" s="25"/>
      <c r="I161" s="25"/>
      <c r="J161" s="25"/>
      <c r="K161" s="25"/>
      <c r="L161" s="25"/>
      <c r="M161" s="25"/>
      <c r="N161" s="25"/>
      <c r="O161" s="217"/>
      <c r="P161" s="25"/>
      <c r="Q161" s="61"/>
      <c r="R161" s="25"/>
      <c r="S161" s="188"/>
      <c r="T161" s="61" t="s">
        <v>1402</v>
      </c>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row>
    <row r="162" ht="15.75" customHeight="1">
      <c r="A162" s="61" t="s">
        <v>68</v>
      </c>
      <c r="B162" s="61" t="s">
        <v>1411</v>
      </c>
      <c r="C162" s="63"/>
      <c r="D162" s="63"/>
      <c r="E162" s="63"/>
      <c r="F162" s="25"/>
      <c r="G162" s="25"/>
      <c r="H162" s="25"/>
      <c r="I162" s="25"/>
      <c r="J162" s="25"/>
      <c r="K162" s="25"/>
      <c r="L162" s="25"/>
      <c r="M162" s="25"/>
      <c r="N162" s="25"/>
      <c r="O162" s="217"/>
      <c r="P162" s="25"/>
      <c r="Q162" s="61"/>
      <c r="R162" s="25"/>
      <c r="S162" s="25"/>
      <c r="T162" s="61" t="s">
        <v>1415</v>
      </c>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row>
    <row r="163" ht="15.75" customHeight="1">
      <c r="A163" s="61" t="s">
        <v>68</v>
      </c>
      <c r="B163" s="61" t="s">
        <v>1422</v>
      </c>
      <c r="C163" s="63"/>
      <c r="D163" s="63"/>
      <c r="E163" s="63"/>
      <c r="F163" s="25"/>
      <c r="G163" s="25"/>
      <c r="H163" s="25"/>
      <c r="I163" s="25"/>
      <c r="J163" s="25"/>
      <c r="K163" s="25"/>
      <c r="L163" s="25"/>
      <c r="M163" s="25"/>
      <c r="N163" s="25"/>
      <c r="O163" s="217"/>
      <c r="P163" s="25"/>
      <c r="Q163" s="61"/>
      <c r="R163" s="25"/>
      <c r="S163" s="25"/>
      <c r="T163" s="61" t="s">
        <v>1426</v>
      </c>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row>
    <row r="164" ht="15.75" customHeight="1">
      <c r="A164" s="61" t="s">
        <v>68</v>
      </c>
      <c r="B164" s="146" t="s">
        <v>1430</v>
      </c>
      <c r="C164" s="63"/>
      <c r="D164" s="63"/>
      <c r="E164" s="63"/>
      <c r="F164" s="25"/>
      <c r="G164" s="25"/>
      <c r="H164" s="25"/>
      <c r="I164" s="25"/>
      <c r="J164" s="25"/>
      <c r="K164" s="25"/>
      <c r="L164" s="25"/>
      <c r="M164" s="25"/>
      <c r="N164" s="25"/>
      <c r="O164" s="217"/>
      <c r="P164" s="25"/>
      <c r="Q164" s="61"/>
      <c r="R164" s="25"/>
      <c r="S164" s="25"/>
      <c r="T164" s="61" t="s">
        <v>1434</v>
      </c>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row>
    <row r="165" ht="40.5" customHeight="1">
      <c r="A165" s="61" t="s">
        <v>1306</v>
      </c>
      <c r="B165" s="61" t="s">
        <v>1440</v>
      </c>
      <c r="C165" s="27" t="s">
        <v>1442</v>
      </c>
      <c r="D165" s="27" t="s">
        <v>1443</v>
      </c>
      <c r="E165" s="27" t="s">
        <v>1444</v>
      </c>
      <c r="F165" s="45"/>
      <c r="G165" s="45"/>
      <c r="H165" s="45"/>
      <c r="I165" s="25"/>
      <c r="J165" s="25"/>
      <c r="K165" s="25"/>
      <c r="L165" s="25"/>
      <c r="M165" s="25"/>
      <c r="N165" s="25"/>
      <c r="O165" s="217" t="s">
        <v>1364</v>
      </c>
      <c r="P165" s="25"/>
      <c r="Q165" s="61" t="s">
        <v>150</v>
      </c>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row>
    <row r="166" ht="15.75" customHeight="1">
      <c r="A166" s="61" t="s">
        <v>1454</v>
      </c>
      <c r="B166" s="61" t="s">
        <v>1455</v>
      </c>
      <c r="C166" s="27" t="s">
        <v>1457</v>
      </c>
      <c r="D166" s="27" t="s">
        <v>1460</v>
      </c>
      <c r="E166" s="27" t="s">
        <v>1462</v>
      </c>
      <c r="F166" s="25"/>
      <c r="G166" s="25"/>
      <c r="H166" s="25"/>
      <c r="I166" s="25"/>
      <c r="J166" s="25"/>
      <c r="K166" s="25"/>
      <c r="L166" s="25"/>
      <c r="M166" s="25"/>
      <c r="N166" s="25"/>
      <c r="O166" s="61" t="s">
        <v>1463</v>
      </c>
      <c r="P166" s="25"/>
      <c r="Q166" s="61" t="s">
        <v>150</v>
      </c>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row>
    <row r="167" ht="15.75" customHeight="1">
      <c r="A167" s="61" t="s">
        <v>252</v>
      </c>
      <c r="B167" s="61" t="s">
        <v>1468</v>
      </c>
      <c r="C167" s="27" t="s">
        <v>1469</v>
      </c>
      <c r="D167" s="27" t="s">
        <v>1470</v>
      </c>
      <c r="E167" s="27" t="s">
        <v>1471</v>
      </c>
      <c r="F167" s="25"/>
      <c r="G167" s="25"/>
      <c r="H167" s="25"/>
      <c r="I167" s="25"/>
      <c r="J167" s="25"/>
      <c r="K167" s="25"/>
      <c r="L167" s="25"/>
      <c r="M167" s="25"/>
      <c r="N167" s="25"/>
      <c r="O167" s="61" t="s">
        <v>1474</v>
      </c>
      <c r="P167" s="25"/>
      <c r="Q167" s="25" t="s">
        <v>150</v>
      </c>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row>
    <row r="168" ht="15.75" customHeight="1">
      <c r="A168" s="61" t="s">
        <v>237</v>
      </c>
      <c r="B168" s="61" t="s">
        <v>113</v>
      </c>
      <c r="C168" s="27"/>
      <c r="D168" s="28"/>
      <c r="E168" s="28"/>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row>
    <row r="169" ht="15.75" customHeight="1">
      <c r="A169" s="61" t="s">
        <v>1306</v>
      </c>
      <c r="B169" s="61" t="s">
        <v>1482</v>
      </c>
      <c r="C169" s="27" t="s">
        <v>1483</v>
      </c>
      <c r="D169" s="27" t="s">
        <v>1484</v>
      </c>
      <c r="E169" s="27" t="s">
        <v>1485</v>
      </c>
      <c r="F169" s="45"/>
      <c r="G169" s="45"/>
      <c r="H169" s="45"/>
      <c r="I169" s="25"/>
      <c r="J169" s="25"/>
      <c r="K169" s="25"/>
      <c r="L169" s="25"/>
      <c r="M169" s="25"/>
      <c r="N169" s="25"/>
      <c r="O169" s="61" t="s">
        <v>1486</v>
      </c>
      <c r="P169" s="25"/>
      <c r="Q169" s="61" t="s">
        <v>150</v>
      </c>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row>
    <row r="170" ht="15.75" customHeight="1">
      <c r="A170" s="70" t="s">
        <v>127</v>
      </c>
      <c r="B170" s="71" t="s">
        <v>1490</v>
      </c>
      <c r="C170" s="72"/>
      <c r="D170" s="72"/>
      <c r="E170" s="72"/>
      <c r="F170" s="73"/>
      <c r="G170" s="73"/>
      <c r="H170" s="73"/>
      <c r="I170" s="73"/>
      <c r="J170" s="73"/>
      <c r="K170" s="73"/>
      <c r="L170" s="73"/>
      <c r="M170" s="73"/>
      <c r="N170" s="73"/>
      <c r="O170" s="73"/>
      <c r="P170" s="73"/>
      <c r="Q170" s="73"/>
      <c r="R170" s="73"/>
      <c r="S170" s="73"/>
      <c r="T170" s="74" t="s">
        <v>129</v>
      </c>
      <c r="U170" s="73"/>
      <c r="V170" s="73"/>
      <c r="W170" s="73"/>
      <c r="X170" s="73"/>
      <c r="Y170" s="73"/>
      <c r="Z170" s="73"/>
      <c r="AA170" s="73"/>
      <c r="AB170" s="73"/>
      <c r="AC170" s="73"/>
      <c r="AD170" s="75"/>
      <c r="AE170" s="75"/>
      <c r="AF170" s="75"/>
      <c r="AG170" s="75"/>
      <c r="AH170" s="75"/>
      <c r="AI170" s="75"/>
      <c r="AJ170" s="75"/>
      <c r="AK170" s="75"/>
      <c r="AL170" s="75"/>
      <c r="AM170" s="75"/>
      <c r="AN170" s="75"/>
      <c r="AO170" s="75"/>
      <c r="AP170" s="75"/>
      <c r="AQ170" s="75"/>
      <c r="AR170" s="75"/>
      <c r="AS170" s="75"/>
      <c r="AT170" s="75"/>
      <c r="AU170" s="75"/>
      <c r="AV170" s="75"/>
      <c r="AW170" s="75"/>
      <c r="AX170" s="75"/>
    </row>
    <row r="171" ht="15.75" customHeight="1">
      <c r="A171" s="168" t="s">
        <v>68</v>
      </c>
      <c r="B171" s="177" t="s">
        <v>1500</v>
      </c>
      <c r="C171" s="72"/>
      <c r="D171" s="104"/>
      <c r="E171" s="104"/>
      <c r="F171" s="73"/>
      <c r="G171" s="73"/>
      <c r="H171" s="73"/>
      <c r="I171" s="73"/>
      <c r="J171" s="73"/>
      <c r="K171" s="73"/>
      <c r="L171" s="73"/>
      <c r="M171" s="73"/>
      <c r="N171" s="73"/>
      <c r="O171" s="223"/>
      <c r="P171" s="73"/>
      <c r="Q171" s="73"/>
      <c r="R171" s="73"/>
      <c r="S171" s="73"/>
      <c r="T171" s="74" t="s">
        <v>1501</v>
      </c>
      <c r="U171" s="73"/>
      <c r="V171" s="73"/>
      <c r="W171" s="73"/>
      <c r="X171" s="73"/>
      <c r="Y171" s="73"/>
      <c r="Z171" s="73"/>
      <c r="AA171" s="73"/>
      <c r="AB171" s="73"/>
      <c r="AC171" s="73"/>
      <c r="AD171" s="75"/>
      <c r="AE171" s="75"/>
      <c r="AF171" s="75"/>
      <c r="AG171" s="75"/>
      <c r="AH171" s="75"/>
      <c r="AI171" s="75"/>
      <c r="AJ171" s="75"/>
      <c r="AK171" s="75"/>
      <c r="AL171" s="75"/>
      <c r="AM171" s="75"/>
      <c r="AN171" s="75"/>
      <c r="AO171" s="75"/>
      <c r="AP171" s="75"/>
      <c r="AQ171" s="75"/>
      <c r="AR171" s="75"/>
      <c r="AS171" s="75"/>
      <c r="AT171" s="75"/>
      <c r="AU171" s="75"/>
      <c r="AV171" s="75"/>
      <c r="AW171" s="75"/>
      <c r="AX171" s="75"/>
    </row>
    <row r="172" ht="15.75" customHeight="1">
      <c r="A172" s="61" t="s">
        <v>133</v>
      </c>
      <c r="B172" s="61" t="s">
        <v>1508</v>
      </c>
      <c r="C172" s="63" t="s">
        <v>1509</v>
      </c>
      <c r="D172" s="28"/>
      <c r="E172" s="28"/>
      <c r="F172" s="25"/>
      <c r="G172" s="25"/>
      <c r="H172" s="25"/>
      <c r="I172" s="25"/>
      <c r="J172" s="25"/>
      <c r="K172" s="25"/>
      <c r="L172" s="25"/>
      <c r="M172" s="25"/>
      <c r="N172" s="25"/>
      <c r="O172" s="61" t="s">
        <v>1510</v>
      </c>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row>
    <row r="173" ht="15.75" customHeight="1">
      <c r="A173" s="61" t="s">
        <v>133</v>
      </c>
      <c r="B173" s="61" t="s">
        <v>1517</v>
      </c>
      <c r="C173" s="27"/>
      <c r="D173" s="28"/>
      <c r="E173" s="28"/>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row>
    <row r="174" ht="15.75" customHeight="1">
      <c r="A174" s="70"/>
      <c r="B174" s="188"/>
      <c r="C174" s="63"/>
      <c r="D174" s="63"/>
      <c r="E174" s="63"/>
      <c r="F174" s="220"/>
      <c r="G174" s="220"/>
      <c r="H174" s="220"/>
      <c r="I174" s="220"/>
      <c r="J174" s="220"/>
      <c r="K174" s="220"/>
      <c r="L174" s="220"/>
      <c r="M174" s="220"/>
      <c r="N174" s="220"/>
      <c r="O174" s="220"/>
      <c r="P174" s="220"/>
      <c r="Q174" s="220"/>
      <c r="R174" s="220"/>
      <c r="S174" s="220"/>
      <c r="T174" s="85"/>
      <c r="U174" s="220"/>
      <c r="V174" s="220"/>
      <c r="W174" s="220"/>
      <c r="X174" s="220"/>
      <c r="Y174" s="220"/>
      <c r="Z174" s="220"/>
      <c r="AA174" s="220"/>
      <c r="AB174" s="220"/>
      <c r="AC174" s="220"/>
      <c r="AD174" s="90"/>
      <c r="AE174" s="90"/>
      <c r="AF174" s="90"/>
      <c r="AG174" s="90"/>
      <c r="AH174" s="90"/>
      <c r="AI174" s="90"/>
      <c r="AJ174" s="90"/>
      <c r="AK174" s="90"/>
      <c r="AL174" s="90"/>
      <c r="AM174" s="90"/>
      <c r="AN174" s="90"/>
      <c r="AO174" s="90"/>
      <c r="AP174" s="90"/>
      <c r="AQ174" s="90"/>
      <c r="AR174" s="90"/>
      <c r="AS174" s="90"/>
      <c r="AT174" s="90"/>
      <c r="AU174" s="90"/>
      <c r="AV174" s="90"/>
      <c r="AW174" s="90"/>
      <c r="AX174" s="90"/>
    </row>
    <row r="175" ht="15.75" customHeight="1">
      <c r="A175" s="70" t="s">
        <v>127</v>
      </c>
      <c r="B175" s="188" t="s">
        <v>1536</v>
      </c>
      <c r="C175" s="63"/>
      <c r="D175" s="63"/>
      <c r="E175" s="63"/>
      <c r="F175" s="220"/>
      <c r="G175" s="220"/>
      <c r="H175" s="220"/>
      <c r="I175" s="220"/>
      <c r="J175" s="220"/>
      <c r="K175" s="220"/>
      <c r="L175" s="220"/>
      <c r="M175" s="220"/>
      <c r="N175" s="220"/>
      <c r="O175" s="220"/>
      <c r="P175" s="220"/>
      <c r="Q175" s="220"/>
      <c r="R175" s="220"/>
      <c r="S175" s="220"/>
      <c r="T175" s="85" t="s">
        <v>129</v>
      </c>
      <c r="U175" s="220"/>
      <c r="V175" s="220"/>
      <c r="W175" s="220"/>
      <c r="X175" s="220"/>
      <c r="Y175" s="220"/>
      <c r="Z175" s="220"/>
      <c r="AA175" s="220"/>
      <c r="AB175" s="220"/>
      <c r="AC175" s="220"/>
      <c r="AD175" s="90"/>
      <c r="AE175" s="90"/>
      <c r="AF175" s="90"/>
      <c r="AG175" s="90"/>
      <c r="AH175" s="90"/>
      <c r="AI175" s="90"/>
      <c r="AJ175" s="90"/>
      <c r="AK175" s="90"/>
      <c r="AL175" s="90"/>
      <c r="AM175" s="90"/>
      <c r="AN175" s="90"/>
      <c r="AO175" s="90"/>
      <c r="AP175" s="90"/>
      <c r="AQ175" s="90"/>
      <c r="AR175" s="90"/>
      <c r="AS175" s="90"/>
      <c r="AT175" s="90"/>
      <c r="AU175" s="90"/>
      <c r="AV175" s="90"/>
      <c r="AW175" s="90"/>
      <c r="AX175" s="90"/>
    </row>
    <row r="176" ht="15.75" customHeight="1">
      <c r="A176" s="151" t="s">
        <v>133</v>
      </c>
      <c r="B176" s="225" t="s">
        <v>1539</v>
      </c>
      <c r="C176" s="147" t="s">
        <v>1540</v>
      </c>
      <c r="D176" s="149"/>
      <c r="E176" s="149"/>
      <c r="F176" s="149"/>
      <c r="G176" s="149"/>
      <c r="H176" s="149"/>
      <c r="I176" s="149"/>
      <c r="J176" s="150"/>
      <c r="K176" s="149"/>
      <c r="L176" s="149"/>
      <c r="M176" s="150"/>
      <c r="N176" s="150"/>
      <c r="O176" s="225"/>
      <c r="P176" s="149"/>
      <c r="Q176" s="149"/>
      <c r="R176" s="149"/>
      <c r="S176" s="149"/>
      <c r="T176" s="149"/>
      <c r="U176" s="149"/>
      <c r="V176" s="149"/>
      <c r="W176" s="149"/>
      <c r="X176" s="149"/>
      <c r="Y176" s="149"/>
      <c r="Z176" s="149"/>
      <c r="AA176" s="149"/>
      <c r="AB176" s="149"/>
      <c r="AC176" s="149"/>
      <c r="AD176" s="90"/>
      <c r="AE176" s="90"/>
      <c r="AF176" s="90"/>
      <c r="AG176" s="90"/>
      <c r="AH176" s="90"/>
      <c r="AI176" s="90"/>
      <c r="AJ176" s="90"/>
      <c r="AK176" s="90"/>
      <c r="AL176" s="90"/>
      <c r="AM176" s="90"/>
      <c r="AN176" s="90"/>
      <c r="AO176" s="90"/>
      <c r="AP176" s="90"/>
      <c r="AQ176" s="90"/>
      <c r="AR176" s="90"/>
      <c r="AS176" s="90"/>
      <c r="AT176" s="90"/>
      <c r="AU176" s="90"/>
      <c r="AV176" s="90"/>
      <c r="AW176" s="90"/>
      <c r="AX176" s="90"/>
    </row>
    <row r="177" ht="15.75" customHeight="1">
      <c r="A177" s="218" t="s">
        <v>38</v>
      </c>
      <c r="B177" s="221" t="s">
        <v>1542</v>
      </c>
      <c r="C177" s="27" t="s">
        <v>1543</v>
      </c>
      <c r="D177" s="27" t="s">
        <v>1544</v>
      </c>
      <c r="E177" s="27" t="s">
        <v>1545</v>
      </c>
      <c r="F177" s="45"/>
      <c r="G177" s="45"/>
      <c r="H177" s="45"/>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90"/>
      <c r="AE177" s="90"/>
      <c r="AF177" s="90"/>
      <c r="AG177" s="90"/>
      <c r="AH177" s="90"/>
      <c r="AI177" s="90"/>
      <c r="AJ177" s="90"/>
      <c r="AK177" s="90"/>
      <c r="AL177" s="90"/>
      <c r="AM177" s="90"/>
      <c r="AN177" s="90"/>
      <c r="AO177" s="90"/>
      <c r="AP177" s="90"/>
      <c r="AQ177" s="90"/>
      <c r="AR177" s="90"/>
      <c r="AS177" s="90"/>
      <c r="AT177" s="90"/>
      <c r="AU177" s="90"/>
      <c r="AV177" s="90"/>
      <c r="AW177" s="90"/>
      <c r="AX177" s="90"/>
    </row>
    <row r="178" ht="15.75" customHeight="1">
      <c r="A178" s="151" t="s">
        <v>133</v>
      </c>
      <c r="B178" s="147" t="s">
        <v>1546</v>
      </c>
      <c r="C178" s="147" t="s">
        <v>1547</v>
      </c>
      <c r="D178" s="226"/>
      <c r="E178" s="226"/>
      <c r="F178" s="149"/>
      <c r="G178" s="149"/>
      <c r="H178" s="149"/>
      <c r="I178" s="149"/>
      <c r="J178" s="150"/>
      <c r="K178" s="149"/>
      <c r="L178" s="149"/>
      <c r="M178" s="150"/>
      <c r="N178" s="150"/>
      <c r="O178" s="150"/>
      <c r="P178" s="149"/>
      <c r="Q178" s="149"/>
      <c r="R178" s="149"/>
      <c r="S178" s="149"/>
      <c r="T178" s="149"/>
      <c r="U178" s="149"/>
      <c r="V178" s="149"/>
      <c r="W178" s="149"/>
      <c r="X178" s="149"/>
      <c r="Y178" s="149"/>
      <c r="Z178" s="149"/>
      <c r="AA178" s="149"/>
      <c r="AB178" s="149"/>
      <c r="AC178" s="149"/>
      <c r="AD178" s="149"/>
      <c r="AE178" s="149"/>
      <c r="AF178" s="149"/>
      <c r="AG178" s="149"/>
      <c r="AH178" s="149"/>
      <c r="AI178" s="149"/>
      <c r="AJ178" s="149"/>
      <c r="AK178" s="149"/>
      <c r="AL178" s="149"/>
      <c r="AM178" s="149"/>
      <c r="AN178" s="149"/>
      <c r="AO178" s="90"/>
      <c r="AP178" s="90"/>
      <c r="AQ178" s="90"/>
      <c r="AR178" s="90"/>
      <c r="AS178" s="90"/>
      <c r="AT178" s="90"/>
      <c r="AU178" s="90"/>
      <c r="AV178" s="90"/>
      <c r="AW178" s="90"/>
      <c r="AX178" s="90"/>
    </row>
    <row r="179" ht="15.75" customHeight="1">
      <c r="A179" s="85" t="s">
        <v>127</v>
      </c>
      <c r="B179" s="227" t="s">
        <v>1549</v>
      </c>
      <c r="C179" s="63"/>
      <c r="D179" s="63"/>
      <c r="E179" s="63"/>
      <c r="F179" s="83"/>
      <c r="G179" s="83"/>
      <c r="H179" s="83"/>
      <c r="I179" s="83"/>
      <c r="J179" s="84"/>
      <c r="K179" s="83"/>
      <c r="L179" s="83"/>
      <c r="M179" s="83"/>
      <c r="N179" s="83"/>
      <c r="O179" s="80"/>
      <c r="P179" s="83"/>
      <c r="Q179" s="83"/>
      <c r="R179" s="83"/>
      <c r="S179" s="83"/>
      <c r="T179" s="85" t="s">
        <v>129</v>
      </c>
      <c r="U179" s="83"/>
      <c r="V179" s="83"/>
      <c r="W179" s="83"/>
      <c r="X179" s="83"/>
      <c r="Y179" s="83"/>
      <c r="Z179" s="83"/>
      <c r="AA179" s="83"/>
      <c r="AB179" s="83"/>
      <c r="AC179" s="83"/>
      <c r="AD179" s="83"/>
      <c r="AE179" s="83"/>
      <c r="AF179" s="83"/>
      <c r="AG179" s="83"/>
      <c r="AH179" s="83"/>
      <c r="AI179" s="83"/>
      <c r="AJ179" s="83"/>
      <c r="AK179" s="83"/>
      <c r="AL179" s="83"/>
      <c r="AM179" s="83"/>
      <c r="AN179" s="83"/>
      <c r="AO179" s="90"/>
      <c r="AP179" s="90"/>
      <c r="AQ179" s="90"/>
      <c r="AR179" s="90"/>
      <c r="AS179" s="90"/>
      <c r="AT179" s="90"/>
      <c r="AU179" s="90"/>
      <c r="AV179" s="90"/>
      <c r="AW179" s="90"/>
      <c r="AX179" s="90"/>
    </row>
    <row r="180" ht="15.75" customHeight="1">
      <c r="A180" s="80" t="s">
        <v>1306</v>
      </c>
      <c r="B180" s="228" t="s">
        <v>1551</v>
      </c>
      <c r="C180" s="27" t="s">
        <v>1552</v>
      </c>
      <c r="D180" s="27" t="s">
        <v>1553</v>
      </c>
      <c r="E180" s="27" t="s">
        <v>1554</v>
      </c>
      <c r="F180" s="45"/>
      <c r="G180" s="45"/>
      <c r="H180" s="45"/>
      <c r="I180" s="83"/>
      <c r="J180" s="84"/>
      <c r="K180" s="83"/>
      <c r="L180" s="83"/>
      <c r="M180" s="83"/>
      <c r="N180" s="83"/>
      <c r="O180" s="80"/>
      <c r="P180" s="83"/>
      <c r="Q180" s="83" t="s">
        <v>150</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90"/>
      <c r="AP180" s="90"/>
      <c r="AQ180" s="90"/>
      <c r="AR180" s="90"/>
      <c r="AS180" s="90"/>
      <c r="AT180" s="90"/>
      <c r="AU180" s="90"/>
      <c r="AV180" s="90"/>
      <c r="AW180" s="90"/>
      <c r="AX180" s="90"/>
    </row>
    <row r="181" ht="15.75" customHeight="1">
      <c r="A181" s="80" t="s">
        <v>1306</v>
      </c>
      <c r="B181" s="228" t="s">
        <v>1557</v>
      </c>
      <c r="C181" s="27" t="s">
        <v>1558</v>
      </c>
      <c r="D181" s="27" t="s">
        <v>1559</v>
      </c>
      <c r="E181" s="27" t="s">
        <v>1560</v>
      </c>
      <c r="F181" s="45"/>
      <c r="G181" s="45"/>
      <c r="H181" s="45"/>
      <c r="I181" s="83"/>
      <c r="J181" s="84"/>
      <c r="K181" s="83"/>
      <c r="L181" s="83"/>
      <c r="M181" s="83"/>
      <c r="N181" s="83"/>
      <c r="O181" s="83"/>
      <c r="P181" s="83"/>
      <c r="Q181" s="83"/>
      <c r="R181" s="83"/>
      <c r="S181" s="83"/>
      <c r="T181" s="80"/>
      <c r="U181" s="83"/>
      <c r="V181" s="83"/>
      <c r="W181" s="83"/>
      <c r="X181" s="83"/>
      <c r="Y181" s="83"/>
      <c r="Z181" s="83"/>
      <c r="AA181" s="83"/>
      <c r="AB181" s="83"/>
      <c r="AC181" s="83"/>
      <c r="AD181" s="83"/>
      <c r="AE181" s="83"/>
      <c r="AF181" s="83"/>
      <c r="AG181" s="83"/>
      <c r="AH181" s="83"/>
      <c r="AI181" s="83"/>
      <c r="AJ181" s="83"/>
      <c r="AK181" s="83"/>
      <c r="AL181" s="83"/>
      <c r="AM181" s="83"/>
      <c r="AN181" s="83"/>
      <c r="AO181" s="90"/>
      <c r="AP181" s="90"/>
      <c r="AQ181" s="90"/>
      <c r="AR181" s="90"/>
      <c r="AS181" s="90"/>
      <c r="AT181" s="90"/>
      <c r="AU181" s="90"/>
      <c r="AV181" s="90"/>
      <c r="AW181" s="90"/>
      <c r="AX181" s="90"/>
    </row>
    <row r="182" ht="15.75" customHeight="1">
      <c r="A182" s="80" t="s">
        <v>1306</v>
      </c>
      <c r="B182" s="228" t="s">
        <v>1565</v>
      </c>
      <c r="C182" s="27" t="s">
        <v>1566</v>
      </c>
      <c r="D182" s="27" t="s">
        <v>1567</v>
      </c>
      <c r="E182" s="27" t="s">
        <v>1568</v>
      </c>
      <c r="F182" s="45"/>
      <c r="G182" s="45"/>
      <c r="H182" s="45"/>
      <c r="I182" s="83"/>
      <c r="J182" s="84"/>
      <c r="K182" s="83"/>
      <c r="L182" s="83"/>
      <c r="M182" s="83"/>
      <c r="N182" s="83"/>
      <c r="O182" s="83" t="s">
        <v>1572</v>
      </c>
      <c r="P182" s="83"/>
      <c r="Q182" s="83" t="s">
        <v>150</v>
      </c>
      <c r="R182" s="83"/>
      <c r="S182" s="83"/>
      <c r="T182" s="80"/>
      <c r="U182" s="83"/>
      <c r="V182" s="83"/>
      <c r="W182" s="83"/>
      <c r="X182" s="83"/>
      <c r="Y182" s="83"/>
      <c r="Z182" s="83"/>
      <c r="AA182" s="83"/>
      <c r="AB182" s="83"/>
      <c r="AC182" s="83"/>
      <c r="AD182" s="83"/>
      <c r="AE182" s="83"/>
      <c r="AF182" s="83"/>
      <c r="AG182" s="83"/>
      <c r="AH182" s="83"/>
      <c r="AI182" s="83"/>
      <c r="AJ182" s="83"/>
      <c r="AK182" s="83"/>
      <c r="AL182" s="83"/>
      <c r="AM182" s="83"/>
      <c r="AN182" s="83"/>
      <c r="AO182" s="90"/>
      <c r="AP182" s="90"/>
      <c r="AQ182" s="90"/>
      <c r="AR182" s="90"/>
      <c r="AS182" s="90"/>
      <c r="AT182" s="90"/>
      <c r="AU182" s="90"/>
      <c r="AV182" s="90"/>
      <c r="AW182" s="90"/>
      <c r="AX182" s="90"/>
    </row>
    <row r="183" ht="15.75" customHeight="1">
      <c r="A183" s="80" t="s">
        <v>1573</v>
      </c>
      <c r="B183" s="228" t="s">
        <v>1574</v>
      </c>
      <c r="C183" s="27" t="s">
        <v>1575</v>
      </c>
      <c r="D183" s="27" t="s">
        <v>1576</v>
      </c>
      <c r="E183" s="27" t="s">
        <v>1577</v>
      </c>
      <c r="F183" s="45"/>
      <c r="G183" s="45"/>
      <c r="H183" s="45"/>
      <c r="I183" s="83"/>
      <c r="J183" s="84"/>
      <c r="K183" s="83"/>
      <c r="L183" s="83"/>
      <c r="M183" s="83"/>
      <c r="N183" s="83"/>
      <c r="O183" s="83" t="s">
        <v>1581</v>
      </c>
      <c r="P183" s="83"/>
      <c r="Q183" s="83" t="s">
        <v>150</v>
      </c>
      <c r="R183" s="83"/>
      <c r="S183" s="83"/>
      <c r="T183" s="80"/>
      <c r="U183" s="83"/>
      <c r="V183" s="83"/>
      <c r="W183" s="83"/>
      <c r="X183" s="83"/>
      <c r="Y183" s="83"/>
      <c r="Z183" s="83"/>
      <c r="AA183" s="83"/>
      <c r="AB183" s="83"/>
      <c r="AC183" s="83"/>
      <c r="AD183" s="83"/>
      <c r="AE183" s="83"/>
      <c r="AF183" s="83"/>
      <c r="AG183" s="83"/>
      <c r="AH183" s="83"/>
      <c r="AI183" s="83"/>
      <c r="AJ183" s="83"/>
      <c r="AK183" s="83"/>
      <c r="AL183" s="83"/>
      <c r="AM183" s="83"/>
      <c r="AN183" s="83"/>
      <c r="AO183" s="90"/>
      <c r="AP183" s="90"/>
      <c r="AQ183" s="90"/>
      <c r="AR183" s="90"/>
      <c r="AS183" s="90"/>
      <c r="AT183" s="90"/>
      <c r="AU183" s="90"/>
      <c r="AV183" s="90"/>
      <c r="AW183" s="90"/>
      <c r="AX183" s="90"/>
    </row>
    <row r="184" ht="15.75" customHeight="1">
      <c r="A184" s="80" t="s">
        <v>1586</v>
      </c>
      <c r="B184" s="228" t="s">
        <v>1587</v>
      </c>
      <c r="C184" s="27" t="s">
        <v>1588</v>
      </c>
      <c r="D184" s="27" t="s">
        <v>1589</v>
      </c>
      <c r="E184" s="27" t="s">
        <v>1590</v>
      </c>
      <c r="F184" s="45"/>
      <c r="G184" s="45"/>
      <c r="H184" s="45"/>
      <c r="I184" s="83"/>
      <c r="J184" s="84"/>
      <c r="K184" s="83"/>
      <c r="L184" s="83"/>
      <c r="M184" s="83"/>
      <c r="N184" s="83"/>
      <c r="O184" s="83" t="s">
        <v>1591</v>
      </c>
      <c r="P184" s="83"/>
      <c r="Q184" s="83" t="s">
        <v>150</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90"/>
      <c r="AP184" s="90"/>
      <c r="AQ184" s="90"/>
      <c r="AR184" s="90"/>
      <c r="AS184" s="90"/>
      <c r="AT184" s="90"/>
      <c r="AU184" s="90"/>
      <c r="AV184" s="90"/>
      <c r="AW184" s="90"/>
      <c r="AX184" s="90"/>
    </row>
    <row r="185" ht="15.75" customHeight="1">
      <c r="A185" s="236" t="s">
        <v>252</v>
      </c>
      <c r="B185" s="237" t="s">
        <v>1599</v>
      </c>
      <c r="C185" s="27" t="s">
        <v>1600</v>
      </c>
      <c r="D185" s="27" t="s">
        <v>1601</v>
      </c>
      <c r="E185" s="27" t="s">
        <v>1602</v>
      </c>
      <c r="F185" s="45"/>
      <c r="G185" s="45"/>
      <c r="H185" s="45"/>
      <c r="I185" s="238"/>
      <c r="J185" s="240"/>
      <c r="K185" s="238"/>
      <c r="L185" s="238"/>
      <c r="M185" s="238"/>
      <c r="N185" s="238"/>
      <c r="O185" s="238" t="s">
        <v>1613</v>
      </c>
      <c r="P185" s="238"/>
      <c r="Q185" s="238" t="s">
        <v>150</v>
      </c>
      <c r="R185" s="238"/>
      <c r="S185" s="238"/>
      <c r="T185" s="238"/>
      <c r="U185" s="238"/>
      <c r="V185" s="238"/>
      <c r="W185" s="238"/>
      <c r="X185" s="238"/>
      <c r="Y185" s="238"/>
      <c r="Z185" s="238"/>
      <c r="AA185" s="238"/>
      <c r="AB185" s="238"/>
      <c r="AC185" s="238"/>
      <c r="AD185" s="238"/>
      <c r="AE185" s="238"/>
      <c r="AF185" s="238"/>
      <c r="AG185" s="238"/>
      <c r="AH185" s="238"/>
      <c r="AI185" s="238"/>
      <c r="AJ185" s="238"/>
      <c r="AK185" s="238"/>
      <c r="AL185" s="238"/>
      <c r="AM185" s="238"/>
      <c r="AN185" s="238"/>
      <c r="AO185" s="90"/>
      <c r="AP185" s="90"/>
      <c r="AQ185" s="90"/>
      <c r="AR185" s="90"/>
      <c r="AS185" s="90"/>
      <c r="AT185" s="90"/>
      <c r="AU185" s="90"/>
      <c r="AV185" s="90"/>
      <c r="AW185" s="90"/>
      <c r="AX185" s="90"/>
    </row>
    <row r="186" ht="15.75" customHeight="1">
      <c r="A186" s="80" t="s">
        <v>1624</v>
      </c>
      <c r="B186" s="228" t="s">
        <v>1626</v>
      </c>
      <c r="C186" s="27" t="s">
        <v>1627</v>
      </c>
      <c r="D186" s="27" t="s">
        <v>1629</v>
      </c>
      <c r="E186" s="27" t="s">
        <v>1631</v>
      </c>
      <c r="F186" s="45"/>
      <c r="G186" s="45"/>
      <c r="H186" s="45"/>
      <c r="I186" s="83"/>
      <c r="J186" s="84" t="s">
        <v>1637</v>
      </c>
      <c r="K186" s="83"/>
      <c r="L186" s="83"/>
      <c r="M186" s="83"/>
      <c r="N186" s="83"/>
      <c r="O186" s="85" t="s">
        <v>1641</v>
      </c>
      <c r="P186" s="83"/>
      <c r="Q186" s="83" t="s">
        <v>150</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90"/>
      <c r="AP186" s="90"/>
      <c r="AQ186" s="90"/>
      <c r="AR186" s="90"/>
      <c r="AS186" s="90"/>
      <c r="AT186" s="90"/>
      <c r="AU186" s="90"/>
      <c r="AV186" s="90"/>
      <c r="AW186" s="90"/>
      <c r="AX186" s="90"/>
    </row>
    <row r="187" ht="15.75" customHeight="1">
      <c r="A187" s="102" t="s">
        <v>68</v>
      </c>
      <c r="B187" s="103" t="s">
        <v>1660</v>
      </c>
      <c r="C187" s="72"/>
      <c r="D187" s="72"/>
      <c r="E187" s="72"/>
      <c r="F187" s="104"/>
      <c r="G187" s="104"/>
      <c r="H187" s="104"/>
      <c r="I187" s="104"/>
      <c r="J187" s="104"/>
      <c r="K187" s="104"/>
      <c r="L187" s="104"/>
      <c r="M187" s="104"/>
      <c r="N187" s="104"/>
      <c r="O187" s="104"/>
      <c r="P187" s="104"/>
      <c r="Q187" s="104"/>
      <c r="R187" s="104"/>
      <c r="S187" s="104"/>
      <c r="T187" s="139" t="s">
        <v>1671</v>
      </c>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90"/>
      <c r="AP187" s="90"/>
      <c r="AQ187" s="90"/>
      <c r="AR187" s="90"/>
      <c r="AS187" s="90"/>
      <c r="AT187" s="90"/>
      <c r="AU187" s="90"/>
      <c r="AV187" s="90"/>
      <c r="AW187" s="90"/>
      <c r="AX187" s="90"/>
    </row>
    <row r="188" ht="15.75" customHeight="1">
      <c r="A188" s="102" t="s">
        <v>68</v>
      </c>
      <c r="B188" s="103" t="s">
        <v>1689</v>
      </c>
      <c r="C188" s="72"/>
      <c r="D188" s="72"/>
      <c r="E188" s="72"/>
      <c r="F188" s="104"/>
      <c r="G188" s="104"/>
      <c r="H188" s="104"/>
      <c r="I188" s="104"/>
      <c r="J188" s="104"/>
      <c r="K188" s="104"/>
      <c r="L188" s="104"/>
      <c r="M188" s="104"/>
      <c r="N188" s="104"/>
      <c r="O188" s="104"/>
      <c r="P188" s="104"/>
      <c r="Q188" s="104"/>
      <c r="R188" s="104"/>
      <c r="S188" s="104"/>
      <c r="T188" s="139" t="s">
        <v>1694</v>
      </c>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90"/>
      <c r="AP188" s="90"/>
      <c r="AQ188" s="90"/>
      <c r="AR188" s="90"/>
      <c r="AS188" s="90"/>
      <c r="AT188" s="90"/>
      <c r="AU188" s="90"/>
      <c r="AV188" s="90"/>
      <c r="AW188" s="90"/>
      <c r="AX188" s="90"/>
    </row>
    <row r="189" ht="15.75" customHeight="1">
      <c r="A189" s="102" t="s">
        <v>68</v>
      </c>
      <c r="B189" s="103" t="s">
        <v>1710</v>
      </c>
      <c r="C189" s="72" t="s">
        <v>1712</v>
      </c>
      <c r="D189" s="72"/>
      <c r="E189" s="72"/>
      <c r="F189" s="104"/>
      <c r="G189" s="104"/>
      <c r="H189" s="104"/>
      <c r="I189" s="104"/>
      <c r="J189" s="104"/>
      <c r="K189" s="104"/>
      <c r="L189" s="104"/>
      <c r="M189" s="104"/>
      <c r="N189" s="104"/>
      <c r="O189" s="104"/>
      <c r="P189" s="104"/>
      <c r="Q189" s="104"/>
      <c r="R189" s="104"/>
      <c r="S189" s="104"/>
      <c r="T189" s="139" t="s">
        <v>1716</v>
      </c>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90"/>
      <c r="AP189" s="90"/>
      <c r="AQ189" s="90"/>
      <c r="AR189" s="90"/>
      <c r="AS189" s="90"/>
      <c r="AT189" s="90"/>
      <c r="AU189" s="90"/>
      <c r="AV189" s="90"/>
      <c r="AW189" s="90"/>
      <c r="AX189" s="90"/>
    </row>
    <row r="190" ht="15.75" customHeight="1">
      <c r="A190" s="80" t="s">
        <v>1730</v>
      </c>
      <c r="B190" s="228" t="s">
        <v>1733</v>
      </c>
      <c r="C190" s="27" t="s">
        <v>1734</v>
      </c>
      <c r="D190" s="27" t="s">
        <v>1735</v>
      </c>
      <c r="E190" s="27" t="s">
        <v>1736</v>
      </c>
      <c r="F190" s="45"/>
      <c r="G190" s="45"/>
      <c r="H190" s="45"/>
      <c r="I190" s="83"/>
      <c r="J190" s="84"/>
      <c r="K190" s="83"/>
      <c r="L190" s="83"/>
      <c r="M190" s="83"/>
      <c r="N190" s="83"/>
      <c r="O190" s="83" t="s">
        <v>1572</v>
      </c>
      <c r="P190" s="83"/>
      <c r="Q190" s="83" t="s">
        <v>150</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90"/>
      <c r="AP190" s="90"/>
      <c r="AQ190" s="90"/>
      <c r="AR190" s="90"/>
      <c r="AS190" s="90"/>
      <c r="AT190" s="90"/>
      <c r="AU190" s="90"/>
      <c r="AV190" s="90"/>
      <c r="AW190" s="90"/>
      <c r="AX190" s="90"/>
    </row>
    <row r="191" ht="15.75" customHeight="1">
      <c r="A191" s="248" t="s">
        <v>268</v>
      </c>
      <c r="B191" s="249" t="s">
        <v>1752</v>
      </c>
      <c r="C191" s="27" t="s">
        <v>1755</v>
      </c>
      <c r="D191" s="27" t="s">
        <v>1756</v>
      </c>
      <c r="E191" s="27" t="s">
        <v>1757</v>
      </c>
      <c r="F191" s="45"/>
      <c r="G191" s="45"/>
      <c r="H191" s="45"/>
      <c r="I191" s="250"/>
      <c r="J191" s="250"/>
      <c r="K191" s="251" t="s">
        <v>1760</v>
      </c>
      <c r="L191" s="251"/>
      <c r="M191" s="250"/>
      <c r="N191" s="250"/>
      <c r="O191" s="250" t="s">
        <v>1572</v>
      </c>
      <c r="P191" s="250"/>
      <c r="Q191" s="250" t="s">
        <v>150</v>
      </c>
      <c r="R191" s="250"/>
      <c r="S191" s="250"/>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90"/>
      <c r="AP191" s="90"/>
      <c r="AQ191" s="90"/>
      <c r="AR191" s="90"/>
      <c r="AS191" s="90"/>
      <c r="AT191" s="90"/>
      <c r="AU191" s="90"/>
      <c r="AV191" s="90"/>
      <c r="AW191" s="90"/>
      <c r="AX191" s="90"/>
    </row>
    <row r="192" ht="15.75" customHeight="1">
      <c r="A192" s="85" t="s">
        <v>127</v>
      </c>
      <c r="B192" s="227" t="s">
        <v>1782</v>
      </c>
      <c r="C192" s="63"/>
      <c r="D192" s="63"/>
      <c r="E192" s="63"/>
      <c r="F192" s="83"/>
      <c r="G192" s="83"/>
      <c r="H192" s="83"/>
      <c r="I192" s="83"/>
      <c r="J192" s="84"/>
      <c r="K192" s="83"/>
      <c r="L192" s="83"/>
      <c r="M192" s="83"/>
      <c r="N192" s="83"/>
      <c r="O192" s="80"/>
      <c r="P192" s="83"/>
      <c r="Q192" s="83"/>
      <c r="R192" s="83"/>
      <c r="S192" s="83"/>
      <c r="T192" s="85" t="s">
        <v>129</v>
      </c>
      <c r="U192" s="83"/>
      <c r="V192" s="83"/>
      <c r="W192" s="83"/>
      <c r="X192" s="83"/>
      <c r="Y192" s="83"/>
      <c r="Z192" s="83"/>
      <c r="AA192" s="83"/>
      <c r="AB192" s="83"/>
      <c r="AC192" s="83"/>
      <c r="AD192" s="83"/>
      <c r="AE192" s="83"/>
      <c r="AF192" s="83"/>
      <c r="AG192" s="83"/>
      <c r="AH192" s="83"/>
      <c r="AI192" s="83"/>
      <c r="AJ192" s="83"/>
      <c r="AK192" s="83"/>
      <c r="AL192" s="83"/>
      <c r="AM192" s="83"/>
      <c r="AN192" s="83"/>
      <c r="AO192" s="90"/>
      <c r="AP192" s="90"/>
      <c r="AQ192" s="90"/>
      <c r="AR192" s="90"/>
      <c r="AS192" s="90"/>
      <c r="AT192" s="90"/>
      <c r="AU192" s="90"/>
      <c r="AV192" s="90"/>
      <c r="AW192" s="90"/>
      <c r="AX192" s="90"/>
    </row>
    <row r="193" ht="15.75" customHeight="1">
      <c r="A193" s="144" t="s">
        <v>68</v>
      </c>
      <c r="B193" s="252" t="s">
        <v>1800</v>
      </c>
      <c r="C193" s="226"/>
      <c r="D193" s="226"/>
      <c r="E193" s="226"/>
      <c r="F193" s="149"/>
      <c r="G193" s="149"/>
      <c r="H193" s="149"/>
      <c r="I193" s="149"/>
      <c r="J193" s="149"/>
      <c r="K193" s="149"/>
      <c r="L193" s="149"/>
      <c r="M193" s="149"/>
      <c r="N193" s="149"/>
      <c r="O193" s="149"/>
      <c r="P193" s="149"/>
      <c r="Q193" s="149"/>
      <c r="R193" s="149"/>
      <c r="S193" s="149"/>
      <c r="T193" s="144" t="s">
        <v>1806</v>
      </c>
      <c r="U193" s="149"/>
      <c r="V193" s="149"/>
      <c r="W193" s="149"/>
      <c r="X193" s="149"/>
      <c r="Y193" s="149"/>
      <c r="Z193" s="149"/>
      <c r="AA193" s="149"/>
      <c r="AB193" s="149"/>
      <c r="AC193" s="149"/>
      <c r="AD193" s="149"/>
      <c r="AE193" s="149"/>
      <c r="AF193" s="149"/>
      <c r="AG193" s="149"/>
      <c r="AH193" s="149"/>
      <c r="AI193" s="149"/>
      <c r="AJ193" s="149"/>
      <c r="AK193" s="149"/>
      <c r="AL193" s="149"/>
      <c r="AM193" s="149"/>
      <c r="AN193" s="149"/>
      <c r="AO193" s="90"/>
      <c r="AP193" s="90"/>
      <c r="AQ193" s="90"/>
      <c r="AR193" s="90"/>
      <c r="AS193" s="90"/>
      <c r="AT193" s="90"/>
      <c r="AU193" s="90"/>
      <c r="AV193" s="90"/>
      <c r="AW193" s="90"/>
      <c r="AX193" s="90"/>
    </row>
    <row r="194" ht="15.75" customHeight="1">
      <c r="A194" s="151" t="s">
        <v>237</v>
      </c>
      <c r="B194" s="226" t="s">
        <v>1546</v>
      </c>
      <c r="C194" s="226" t="s">
        <v>1547</v>
      </c>
      <c r="D194" s="226"/>
      <c r="E194" s="226"/>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c r="AB194" s="149"/>
      <c r="AC194" s="149"/>
      <c r="AD194" s="149"/>
      <c r="AE194" s="149"/>
      <c r="AF194" s="149"/>
      <c r="AG194" s="149"/>
      <c r="AH194" s="149"/>
      <c r="AI194" s="149"/>
      <c r="AJ194" s="149"/>
      <c r="AK194" s="149"/>
      <c r="AL194" s="149"/>
      <c r="AM194" s="149"/>
      <c r="AN194" s="149"/>
      <c r="AO194" s="90"/>
      <c r="AP194" s="90"/>
      <c r="AQ194" s="90"/>
      <c r="AR194" s="90"/>
      <c r="AS194" s="90"/>
      <c r="AT194" s="90"/>
      <c r="AU194" s="90"/>
      <c r="AV194" s="90"/>
      <c r="AW194" s="90"/>
      <c r="AX194" s="90"/>
    </row>
    <row r="195" ht="15.75" customHeight="1">
      <c r="A195" s="254"/>
      <c r="B195" s="191"/>
      <c r="C195" s="191" t="s">
        <v>50</v>
      </c>
      <c r="D195" s="191" t="s">
        <v>50</v>
      </c>
      <c r="E195" s="191" t="s">
        <v>50</v>
      </c>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row>
    <row r="196" ht="15.75" customHeight="1">
      <c r="A196" s="85" t="s">
        <v>127</v>
      </c>
      <c r="B196" s="227" t="s">
        <v>1830</v>
      </c>
      <c r="C196" s="63"/>
      <c r="D196" s="63"/>
      <c r="E196" s="63"/>
      <c r="F196" s="220"/>
      <c r="G196" s="220"/>
      <c r="H196" s="220"/>
      <c r="I196" s="220"/>
      <c r="J196" s="220"/>
      <c r="K196" s="220"/>
      <c r="L196" s="220"/>
      <c r="M196" s="220"/>
      <c r="N196" s="220"/>
      <c r="O196" s="220"/>
      <c r="P196" s="220"/>
      <c r="Q196" s="220"/>
      <c r="R196" s="220"/>
      <c r="S196" s="220"/>
      <c r="T196" s="85" t="s">
        <v>129</v>
      </c>
      <c r="U196" s="220"/>
      <c r="V196" s="220"/>
      <c r="W196" s="220"/>
      <c r="X196" s="220"/>
      <c r="Y196" s="220"/>
      <c r="Z196" s="220"/>
      <c r="AA196" s="220"/>
      <c r="AB196" s="220"/>
      <c r="AC196" s="220"/>
      <c r="AD196" s="220"/>
      <c r="AE196" s="220"/>
      <c r="AF196" s="220"/>
      <c r="AG196" s="220"/>
      <c r="AH196" s="220"/>
      <c r="AI196" s="220"/>
      <c r="AJ196" s="220"/>
      <c r="AK196" s="220"/>
      <c r="AL196" s="220"/>
      <c r="AM196" s="220"/>
      <c r="AN196" s="220"/>
      <c r="AO196" s="90"/>
      <c r="AP196" s="90"/>
      <c r="AQ196" s="90"/>
      <c r="AR196" s="90"/>
      <c r="AS196" s="90"/>
      <c r="AT196" s="90"/>
      <c r="AU196" s="90"/>
      <c r="AV196" s="90"/>
      <c r="AW196" s="90"/>
      <c r="AX196" s="90"/>
    </row>
    <row r="197" ht="15.75" customHeight="1">
      <c r="A197" s="218" t="s">
        <v>38</v>
      </c>
      <c r="B197" s="64" t="s">
        <v>1836</v>
      </c>
      <c r="C197" s="27" t="s">
        <v>1837</v>
      </c>
      <c r="D197" s="27" t="s">
        <v>1838</v>
      </c>
      <c r="E197" s="27" t="s">
        <v>1839</v>
      </c>
      <c r="F197" s="45"/>
      <c r="G197" s="45"/>
      <c r="H197" s="45"/>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c r="AO197" s="90"/>
      <c r="AP197" s="90"/>
      <c r="AQ197" s="90"/>
      <c r="AR197" s="90"/>
      <c r="AS197" s="90"/>
      <c r="AT197" s="90"/>
      <c r="AU197" s="90"/>
      <c r="AV197" s="90"/>
      <c r="AW197" s="90"/>
      <c r="AX197" s="90"/>
    </row>
    <row r="198" ht="15.75" customHeight="1">
      <c r="A198" s="80" t="s">
        <v>1843</v>
      </c>
      <c r="B198" s="228" t="s">
        <v>1845</v>
      </c>
      <c r="C198" s="27" t="s">
        <v>1847</v>
      </c>
      <c r="D198" s="27" t="s">
        <v>1848</v>
      </c>
      <c r="E198" s="27" t="s">
        <v>1850</v>
      </c>
      <c r="F198" s="45"/>
      <c r="G198" s="45"/>
      <c r="H198" s="45"/>
      <c r="I198" s="83"/>
      <c r="J198" s="84"/>
      <c r="K198" s="83"/>
      <c r="L198" s="83"/>
      <c r="M198" s="83"/>
      <c r="N198" s="83"/>
      <c r="O198" s="83"/>
      <c r="P198" s="83"/>
      <c r="Q198" s="83" t="s">
        <v>150</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90"/>
      <c r="AP198" s="90"/>
      <c r="AQ198" s="90"/>
      <c r="AR198" s="90"/>
      <c r="AS198" s="90"/>
      <c r="AT198" s="90"/>
      <c r="AU198" s="90"/>
      <c r="AV198" s="90"/>
      <c r="AW198" s="90"/>
      <c r="AX198" s="90"/>
    </row>
    <row r="199" ht="15.75" customHeight="1">
      <c r="A199" s="80" t="s">
        <v>1306</v>
      </c>
      <c r="B199" s="228" t="s">
        <v>1860</v>
      </c>
      <c r="C199" s="27" t="s">
        <v>1861</v>
      </c>
      <c r="D199" s="27" t="s">
        <v>1862</v>
      </c>
      <c r="E199" s="27" t="s">
        <v>1863</v>
      </c>
      <c r="F199" s="45"/>
      <c r="G199" s="45"/>
      <c r="H199" s="45"/>
      <c r="I199" s="83"/>
      <c r="J199" s="84"/>
      <c r="K199" s="83"/>
      <c r="L199" s="83"/>
      <c r="M199" s="83"/>
      <c r="N199" s="83"/>
      <c r="O199" s="83"/>
      <c r="P199" s="83"/>
      <c r="Q199" s="83" t="s">
        <v>150</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90"/>
      <c r="AP199" s="90"/>
      <c r="AQ199" s="90"/>
      <c r="AR199" s="90"/>
      <c r="AS199" s="90"/>
      <c r="AT199" s="90"/>
      <c r="AU199" s="90"/>
      <c r="AV199" s="90"/>
      <c r="AW199" s="90"/>
      <c r="AX199" s="90"/>
    </row>
    <row r="200" ht="15.75" customHeight="1">
      <c r="A200" s="80" t="s">
        <v>1873</v>
      </c>
      <c r="B200" s="228" t="s">
        <v>1874</v>
      </c>
      <c r="C200" s="27" t="s">
        <v>1875</v>
      </c>
      <c r="D200" s="27" t="s">
        <v>1876</v>
      </c>
      <c r="E200" s="27" t="s">
        <v>1877</v>
      </c>
      <c r="F200" s="45"/>
      <c r="G200" s="45"/>
      <c r="H200" s="45"/>
      <c r="I200" s="83"/>
      <c r="J200" s="84"/>
      <c r="K200" s="83"/>
      <c r="L200" s="83"/>
      <c r="M200" s="83"/>
      <c r="N200" s="83"/>
      <c r="O200" s="83" t="s">
        <v>1879</v>
      </c>
      <c r="P200" s="83"/>
      <c r="Q200" s="83" t="s">
        <v>150</v>
      </c>
      <c r="R200" s="83"/>
      <c r="S200" s="83"/>
      <c r="T200" s="83"/>
      <c r="U200" s="83"/>
      <c r="V200" s="83"/>
      <c r="W200" s="83"/>
      <c r="X200" s="83"/>
      <c r="Y200" s="83"/>
      <c r="Z200" s="83"/>
      <c r="AA200" s="83"/>
      <c r="AB200" s="83"/>
      <c r="AC200" s="83"/>
      <c r="AD200" s="220"/>
      <c r="AE200" s="220"/>
      <c r="AF200" s="220"/>
      <c r="AG200" s="220"/>
      <c r="AH200" s="220"/>
      <c r="AI200" s="220"/>
      <c r="AJ200" s="220"/>
      <c r="AK200" s="220"/>
      <c r="AL200" s="220"/>
      <c r="AM200" s="220"/>
      <c r="AN200" s="220"/>
      <c r="AO200" s="90"/>
      <c r="AP200" s="90"/>
      <c r="AQ200" s="90"/>
      <c r="AR200" s="90"/>
      <c r="AS200" s="90"/>
      <c r="AT200" s="90"/>
      <c r="AU200" s="90"/>
      <c r="AV200" s="90"/>
      <c r="AW200" s="90"/>
      <c r="AX200" s="90"/>
    </row>
    <row r="201" ht="15.75" customHeight="1">
      <c r="A201" s="236" t="s">
        <v>252</v>
      </c>
      <c r="B201" s="237" t="s">
        <v>1884</v>
      </c>
      <c r="C201" s="27" t="s">
        <v>1886</v>
      </c>
      <c r="D201" s="27" t="s">
        <v>1887</v>
      </c>
      <c r="E201" s="27" t="s">
        <v>1888</v>
      </c>
      <c r="F201" s="45"/>
      <c r="G201" s="45"/>
      <c r="H201" s="45"/>
      <c r="I201" s="238"/>
      <c r="J201" s="240"/>
      <c r="K201" s="238"/>
      <c r="L201" s="238"/>
      <c r="M201" s="238"/>
      <c r="N201" s="238"/>
      <c r="O201" s="238" t="s">
        <v>1892</v>
      </c>
      <c r="P201" s="238"/>
      <c r="Q201" s="238"/>
      <c r="R201" s="238"/>
      <c r="S201" s="238"/>
      <c r="T201" s="238"/>
      <c r="U201" s="238"/>
      <c r="V201" s="238"/>
      <c r="W201" s="238"/>
      <c r="X201" s="238"/>
      <c r="Y201" s="238"/>
      <c r="Z201" s="238"/>
      <c r="AA201" s="238"/>
      <c r="AB201" s="238"/>
      <c r="AC201" s="238"/>
      <c r="AD201" s="220"/>
      <c r="AE201" s="220"/>
      <c r="AF201" s="220"/>
      <c r="AG201" s="220"/>
      <c r="AH201" s="220"/>
      <c r="AI201" s="220"/>
      <c r="AJ201" s="220"/>
      <c r="AK201" s="220"/>
      <c r="AL201" s="220"/>
      <c r="AM201" s="220"/>
      <c r="AN201" s="220"/>
      <c r="AO201" s="90"/>
      <c r="AP201" s="90"/>
      <c r="AQ201" s="90"/>
      <c r="AR201" s="90"/>
      <c r="AS201" s="90"/>
      <c r="AT201" s="90"/>
      <c r="AU201" s="90"/>
      <c r="AV201" s="90"/>
      <c r="AW201" s="90"/>
      <c r="AX201" s="90"/>
    </row>
    <row r="202" ht="15.75" customHeight="1">
      <c r="A202" s="80" t="s">
        <v>1306</v>
      </c>
      <c r="B202" s="228" t="s">
        <v>1899</v>
      </c>
      <c r="C202" s="27" t="s">
        <v>1900</v>
      </c>
      <c r="D202" s="27" t="s">
        <v>1901</v>
      </c>
      <c r="E202" s="27" t="s">
        <v>1902</v>
      </c>
      <c r="F202" s="45"/>
      <c r="G202" s="45"/>
      <c r="H202" s="45"/>
      <c r="I202" s="83"/>
      <c r="J202" s="84"/>
      <c r="K202" s="83"/>
      <c r="L202" s="83"/>
      <c r="M202" s="83"/>
      <c r="N202" s="83"/>
      <c r="O202" s="83" t="s">
        <v>1906</v>
      </c>
      <c r="P202" s="83"/>
      <c r="Q202" s="83" t="s">
        <v>150</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90"/>
      <c r="AP202" s="90"/>
      <c r="AQ202" s="90"/>
      <c r="AR202" s="90"/>
      <c r="AS202" s="90"/>
      <c r="AT202" s="90"/>
      <c r="AU202" s="90"/>
      <c r="AV202" s="90"/>
      <c r="AW202" s="90"/>
      <c r="AX202" s="90"/>
    </row>
    <row r="203" ht="15.75" customHeight="1">
      <c r="A203" s="80" t="s">
        <v>1873</v>
      </c>
      <c r="B203" s="228" t="s">
        <v>1915</v>
      </c>
      <c r="C203" s="27" t="s">
        <v>1916</v>
      </c>
      <c r="D203" s="27" t="s">
        <v>1917</v>
      </c>
      <c r="E203" s="27" t="s">
        <v>1918</v>
      </c>
      <c r="F203" s="45" t="s">
        <v>1920</v>
      </c>
      <c r="G203" s="45" t="s">
        <v>1921</v>
      </c>
      <c r="H203" s="45" t="s">
        <v>1922</v>
      </c>
      <c r="I203" s="83"/>
      <c r="J203" s="84"/>
      <c r="K203" s="83"/>
      <c r="L203" s="83"/>
      <c r="M203" s="83"/>
      <c r="N203" s="83"/>
      <c r="O203" s="83" t="s">
        <v>1924</v>
      </c>
      <c r="P203" s="83"/>
      <c r="Q203" s="83" t="s">
        <v>150</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90"/>
      <c r="AP203" s="90"/>
      <c r="AQ203" s="90"/>
      <c r="AR203" s="90"/>
      <c r="AS203" s="90"/>
      <c r="AT203" s="90"/>
      <c r="AU203" s="90"/>
      <c r="AV203" s="90"/>
      <c r="AW203" s="90"/>
      <c r="AX203" s="90"/>
    </row>
    <row r="204" ht="15.75" customHeight="1">
      <c r="A204" s="236" t="s">
        <v>252</v>
      </c>
      <c r="B204" s="237" t="s">
        <v>1937</v>
      </c>
      <c r="C204" s="27" t="s">
        <v>1938</v>
      </c>
      <c r="D204" s="27" t="s">
        <v>1939</v>
      </c>
      <c r="E204" s="27" t="s">
        <v>1940</v>
      </c>
      <c r="F204" s="45"/>
      <c r="G204" s="45"/>
      <c r="H204" s="45"/>
      <c r="I204" s="238"/>
      <c r="J204" s="240"/>
      <c r="K204" s="238"/>
      <c r="L204" s="238"/>
      <c r="M204" s="238"/>
      <c r="N204" s="238"/>
      <c r="O204" s="238" t="s">
        <v>1943</v>
      </c>
      <c r="P204" s="238"/>
      <c r="Q204" s="238" t="s">
        <v>150</v>
      </c>
      <c r="R204" s="238"/>
      <c r="S204" s="238"/>
      <c r="T204" s="238"/>
      <c r="U204" s="238"/>
      <c r="V204" s="238"/>
      <c r="W204" s="238"/>
      <c r="X204" s="238"/>
      <c r="Y204" s="238"/>
      <c r="Z204" s="238"/>
      <c r="AA204" s="238"/>
      <c r="AB204" s="238"/>
      <c r="AC204" s="238"/>
      <c r="AD204" s="238"/>
      <c r="AE204" s="238"/>
      <c r="AF204" s="238"/>
      <c r="AG204" s="238"/>
      <c r="AH204" s="238"/>
      <c r="AI204" s="238"/>
      <c r="AJ204" s="238"/>
      <c r="AK204" s="238"/>
      <c r="AL204" s="238"/>
      <c r="AM204" s="238"/>
      <c r="AN204" s="238"/>
      <c r="AO204" s="90"/>
      <c r="AP204" s="90"/>
      <c r="AQ204" s="90"/>
      <c r="AR204" s="90"/>
      <c r="AS204" s="90"/>
      <c r="AT204" s="90"/>
      <c r="AU204" s="90"/>
      <c r="AV204" s="90"/>
      <c r="AW204" s="90"/>
      <c r="AX204" s="90"/>
    </row>
    <row r="205" ht="15.75" customHeight="1">
      <c r="A205" s="80" t="s">
        <v>1306</v>
      </c>
      <c r="B205" s="228" t="s">
        <v>1948</v>
      </c>
      <c r="C205" s="27" t="s">
        <v>1949</v>
      </c>
      <c r="D205" s="27" t="s">
        <v>1950</v>
      </c>
      <c r="E205" s="27" t="s">
        <v>1951</v>
      </c>
      <c r="F205" s="45"/>
      <c r="G205" s="45"/>
      <c r="H205" s="45"/>
      <c r="I205" s="83"/>
      <c r="J205" s="84"/>
      <c r="K205" s="83"/>
      <c r="L205" s="83"/>
      <c r="M205" s="83"/>
      <c r="N205" s="83"/>
      <c r="O205" s="83" t="s">
        <v>1924</v>
      </c>
      <c r="P205" s="83"/>
      <c r="Q205" s="83" t="s">
        <v>150</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90"/>
      <c r="AP205" s="90"/>
      <c r="AQ205" s="90"/>
      <c r="AR205" s="90"/>
      <c r="AS205" s="90"/>
      <c r="AT205" s="90"/>
      <c r="AU205" s="90"/>
      <c r="AV205" s="90"/>
      <c r="AW205" s="90"/>
      <c r="AX205" s="90"/>
    </row>
    <row r="206" ht="15.75" customHeight="1">
      <c r="A206" s="218" t="s">
        <v>38</v>
      </c>
      <c r="B206" s="64" t="s">
        <v>1963</v>
      </c>
      <c r="C206" s="27" t="s">
        <v>1965</v>
      </c>
      <c r="D206" s="27" t="s">
        <v>1966</v>
      </c>
      <c r="E206" s="27" t="s">
        <v>1967</v>
      </c>
      <c r="F206" s="45"/>
      <c r="G206" s="45"/>
      <c r="H206" s="45"/>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220"/>
      <c r="AL206" s="220"/>
      <c r="AM206" s="220"/>
      <c r="AN206" s="220"/>
      <c r="AO206" s="90"/>
      <c r="AP206" s="90"/>
      <c r="AQ206" s="90"/>
      <c r="AR206" s="90"/>
      <c r="AS206" s="90"/>
      <c r="AT206" s="90"/>
      <c r="AU206" s="90"/>
      <c r="AV206" s="90"/>
      <c r="AW206" s="90"/>
      <c r="AX206" s="90"/>
    </row>
    <row r="207" ht="15.75" customHeight="1">
      <c r="A207" s="248" t="s">
        <v>268</v>
      </c>
      <c r="B207" s="249" t="s">
        <v>1971</v>
      </c>
      <c r="C207" s="27" t="s">
        <v>1972</v>
      </c>
      <c r="D207" s="27" t="s">
        <v>1973</v>
      </c>
      <c r="E207" s="27" t="s">
        <v>1974</v>
      </c>
      <c r="F207" s="45"/>
      <c r="G207" s="45"/>
      <c r="H207" s="45"/>
      <c r="I207" s="250"/>
      <c r="J207" s="250"/>
      <c r="K207" s="251" t="s">
        <v>1975</v>
      </c>
      <c r="L207" s="251"/>
      <c r="M207" s="250"/>
      <c r="N207" s="250"/>
      <c r="O207" s="250"/>
      <c r="P207" s="250"/>
      <c r="Q207" s="250" t="s">
        <v>150</v>
      </c>
      <c r="R207" s="250"/>
      <c r="S207" s="250"/>
      <c r="T207" s="250"/>
      <c r="U207" s="250"/>
      <c r="V207" s="250"/>
      <c r="W207" s="250"/>
      <c r="X207" s="250"/>
      <c r="Y207" s="250"/>
      <c r="Z207" s="250"/>
      <c r="AA207" s="250"/>
      <c r="AB207" s="250"/>
      <c r="AC207" s="250"/>
      <c r="AD207" s="250"/>
      <c r="AE207" s="250"/>
      <c r="AF207" s="250"/>
      <c r="AG207" s="250"/>
      <c r="AH207" s="250"/>
      <c r="AI207" s="250"/>
      <c r="AJ207" s="250"/>
      <c r="AK207" s="250"/>
      <c r="AL207" s="250"/>
      <c r="AM207" s="250"/>
      <c r="AN207" s="250"/>
      <c r="AO207" s="90"/>
      <c r="AP207" s="90"/>
      <c r="AQ207" s="90"/>
      <c r="AR207" s="90"/>
      <c r="AS207" s="90"/>
      <c r="AT207" s="90"/>
      <c r="AU207" s="90"/>
      <c r="AV207" s="90"/>
      <c r="AW207" s="90"/>
      <c r="AX207" s="90"/>
    </row>
    <row r="208" ht="15.75" customHeight="1">
      <c r="A208" s="151" t="s">
        <v>133</v>
      </c>
      <c r="B208" s="147" t="s">
        <v>1979</v>
      </c>
      <c r="C208" s="147"/>
      <c r="D208" s="226"/>
      <c r="E208" s="226"/>
      <c r="F208" s="149"/>
      <c r="G208" s="149"/>
      <c r="H208" s="149"/>
      <c r="I208" s="149"/>
      <c r="J208" s="150" t="s">
        <v>1982</v>
      </c>
      <c r="K208" s="146" t="s">
        <v>1983</v>
      </c>
      <c r="L208" s="149"/>
      <c r="M208" s="150"/>
      <c r="N208" s="150"/>
      <c r="O208" s="150"/>
      <c r="P208" s="149"/>
      <c r="Q208" s="149"/>
      <c r="R208" s="149"/>
      <c r="S208" s="149"/>
      <c r="T208" s="149"/>
      <c r="U208" s="149"/>
      <c r="V208" s="149"/>
      <c r="W208" s="149"/>
      <c r="X208" s="149"/>
      <c r="Y208" s="149"/>
      <c r="Z208" s="149"/>
      <c r="AA208" s="149"/>
      <c r="AB208" s="149"/>
      <c r="AC208" s="149"/>
      <c r="AD208" s="90"/>
      <c r="AE208" s="90"/>
      <c r="AF208" s="90"/>
      <c r="AG208" s="90"/>
      <c r="AH208" s="90"/>
      <c r="AI208" s="90"/>
      <c r="AJ208" s="90"/>
      <c r="AK208" s="90"/>
      <c r="AL208" s="90"/>
      <c r="AM208" s="90"/>
      <c r="AN208" s="90"/>
      <c r="AO208" s="90"/>
      <c r="AP208" s="90"/>
      <c r="AQ208" s="90"/>
      <c r="AR208" s="90"/>
      <c r="AS208" s="90"/>
      <c r="AT208" s="90"/>
      <c r="AU208" s="90"/>
      <c r="AV208" s="90"/>
      <c r="AW208" s="90"/>
      <c r="AX208" s="90"/>
    </row>
    <row r="209" ht="15.75" customHeight="1">
      <c r="A209" s="80" t="s">
        <v>1988</v>
      </c>
      <c r="B209" s="228" t="s">
        <v>1989</v>
      </c>
      <c r="C209" s="27" t="s">
        <v>1990</v>
      </c>
      <c r="D209" s="27" t="s">
        <v>1991</v>
      </c>
      <c r="E209" s="27" t="s">
        <v>1992</v>
      </c>
      <c r="F209" s="45"/>
      <c r="G209" s="45"/>
      <c r="H209" s="45"/>
      <c r="I209" s="83"/>
      <c r="J209" s="84" t="s">
        <v>8</v>
      </c>
      <c r="K209" s="83"/>
      <c r="L209" s="83"/>
      <c r="M209" s="83"/>
      <c r="N209" s="83"/>
      <c r="O209" s="83"/>
      <c r="P209" s="83"/>
      <c r="Q209" s="83"/>
      <c r="R209" s="83"/>
      <c r="S209" s="83"/>
      <c r="T209" s="83"/>
      <c r="U209" s="83"/>
      <c r="V209" s="83"/>
      <c r="W209" s="83"/>
      <c r="X209" s="83"/>
      <c r="Y209" s="83"/>
      <c r="Z209" s="83"/>
      <c r="AA209" s="83"/>
      <c r="AB209" s="83"/>
      <c r="AC209" s="83"/>
      <c r="AD209" s="90"/>
      <c r="AE209" s="90"/>
      <c r="AF209" s="90"/>
      <c r="AG209" s="90"/>
      <c r="AH209" s="90"/>
      <c r="AI209" s="90"/>
      <c r="AJ209" s="90"/>
      <c r="AK209" s="90"/>
      <c r="AL209" s="90"/>
      <c r="AM209" s="90"/>
      <c r="AN209" s="90"/>
      <c r="AO209" s="90"/>
      <c r="AP209" s="90"/>
      <c r="AQ209" s="90"/>
      <c r="AR209" s="90"/>
      <c r="AS209" s="90"/>
      <c r="AT209" s="90"/>
      <c r="AU209" s="90"/>
      <c r="AV209" s="90"/>
      <c r="AW209" s="90"/>
      <c r="AX209" s="90"/>
    </row>
    <row r="210" ht="15.75" customHeight="1">
      <c r="A210" s="80" t="s">
        <v>1988</v>
      </c>
      <c r="B210" s="228" t="s">
        <v>1996</v>
      </c>
      <c r="C210" s="27" t="s">
        <v>1997</v>
      </c>
      <c r="D210" s="27" t="s">
        <v>1998</v>
      </c>
      <c r="E210" s="27" t="s">
        <v>1999</v>
      </c>
      <c r="F210" s="45"/>
      <c r="G210" s="45"/>
      <c r="H210" s="45"/>
      <c r="I210" s="83"/>
      <c r="J210" s="84" t="s">
        <v>2000</v>
      </c>
      <c r="K210" s="83"/>
      <c r="L210" s="83"/>
      <c r="M210" s="83"/>
      <c r="N210" s="83"/>
      <c r="O210" s="83"/>
      <c r="P210" s="83"/>
      <c r="Q210" s="83" t="s">
        <v>150</v>
      </c>
      <c r="R210" s="83"/>
      <c r="S210" s="83"/>
      <c r="T210" s="83"/>
      <c r="U210" s="83"/>
      <c r="V210" s="83"/>
      <c r="W210" s="83"/>
      <c r="X210" s="83"/>
      <c r="Y210" s="83"/>
      <c r="Z210" s="83"/>
      <c r="AA210" s="83"/>
      <c r="AB210" s="83"/>
      <c r="AC210" s="83"/>
      <c r="AD210" s="90"/>
      <c r="AE210" s="90"/>
      <c r="AF210" s="90"/>
      <c r="AG210" s="90"/>
      <c r="AH210" s="90"/>
      <c r="AI210" s="90"/>
      <c r="AJ210" s="90"/>
      <c r="AK210" s="90"/>
      <c r="AL210" s="90"/>
      <c r="AM210" s="90"/>
      <c r="AN210" s="90"/>
      <c r="AO210" s="90"/>
      <c r="AP210" s="90"/>
      <c r="AQ210" s="90"/>
      <c r="AR210" s="90"/>
      <c r="AS210" s="90"/>
      <c r="AT210" s="90"/>
      <c r="AU210" s="90"/>
      <c r="AV210" s="90"/>
      <c r="AW210" s="90"/>
      <c r="AX210" s="90"/>
    </row>
    <row r="211" ht="15.75" customHeight="1">
      <c r="A211" s="80" t="s">
        <v>1988</v>
      </c>
      <c r="B211" s="228" t="s">
        <v>2004</v>
      </c>
      <c r="C211" s="27" t="s">
        <v>2005</v>
      </c>
      <c r="D211" s="27" t="s">
        <v>2006</v>
      </c>
      <c r="E211" s="27" t="s">
        <v>2007</v>
      </c>
      <c r="F211" s="45"/>
      <c r="G211" s="45"/>
      <c r="H211" s="45"/>
      <c r="I211" s="83"/>
      <c r="J211" s="84" t="s">
        <v>2000</v>
      </c>
      <c r="K211" s="83"/>
      <c r="L211" s="83"/>
      <c r="M211" s="83"/>
      <c r="N211" s="83"/>
      <c r="O211" s="83"/>
      <c r="P211" s="83"/>
      <c r="Q211" s="83" t="s">
        <v>150</v>
      </c>
      <c r="R211" s="83"/>
      <c r="S211" s="83"/>
      <c r="T211" s="83"/>
      <c r="U211" s="83"/>
      <c r="V211" s="83"/>
      <c r="W211" s="83"/>
      <c r="X211" s="83"/>
      <c r="Y211" s="83"/>
      <c r="Z211" s="83"/>
      <c r="AA211" s="83"/>
      <c r="AB211" s="83"/>
      <c r="AC211" s="83"/>
      <c r="AD211" s="90"/>
      <c r="AE211" s="90"/>
      <c r="AF211" s="90"/>
      <c r="AG211" s="90"/>
      <c r="AH211" s="90"/>
      <c r="AI211" s="90"/>
      <c r="AJ211" s="90"/>
      <c r="AK211" s="90"/>
      <c r="AL211" s="90"/>
      <c r="AM211" s="90"/>
      <c r="AN211" s="90"/>
      <c r="AO211" s="90"/>
      <c r="AP211" s="90"/>
      <c r="AQ211" s="90"/>
      <c r="AR211" s="90"/>
      <c r="AS211" s="90"/>
      <c r="AT211" s="90"/>
      <c r="AU211" s="90"/>
      <c r="AV211" s="90"/>
      <c r="AW211" s="90"/>
      <c r="AX211" s="90"/>
    </row>
    <row r="212" ht="15.75" customHeight="1">
      <c r="A212" s="80" t="s">
        <v>1988</v>
      </c>
      <c r="B212" s="228" t="s">
        <v>2018</v>
      </c>
      <c r="C212" s="27" t="s">
        <v>2020</v>
      </c>
      <c r="D212" s="27" t="s">
        <v>2020</v>
      </c>
      <c r="E212" s="27" t="s">
        <v>2022</v>
      </c>
      <c r="F212" s="45"/>
      <c r="G212" s="45"/>
      <c r="H212" s="45"/>
      <c r="I212" s="83"/>
      <c r="J212" s="84" t="s">
        <v>2000</v>
      </c>
      <c r="K212" s="83"/>
      <c r="L212" s="83"/>
      <c r="M212" s="83"/>
      <c r="N212" s="83"/>
      <c r="O212" s="83"/>
      <c r="P212" s="83"/>
      <c r="Q212" s="83" t="s">
        <v>150</v>
      </c>
      <c r="R212" s="83"/>
      <c r="S212" s="83"/>
      <c r="T212" s="83"/>
      <c r="U212" s="83"/>
      <c r="V212" s="83"/>
      <c r="W212" s="83"/>
      <c r="X212" s="83"/>
      <c r="Y212" s="83"/>
      <c r="Z212" s="83"/>
      <c r="AA212" s="83"/>
      <c r="AB212" s="83"/>
      <c r="AC212" s="83"/>
      <c r="AD212" s="90"/>
      <c r="AE212" s="90"/>
      <c r="AF212" s="90"/>
      <c r="AG212" s="90"/>
      <c r="AH212" s="90"/>
      <c r="AI212" s="90"/>
      <c r="AJ212" s="90"/>
      <c r="AK212" s="90"/>
      <c r="AL212" s="90"/>
      <c r="AM212" s="90"/>
      <c r="AN212" s="90"/>
      <c r="AO212" s="90"/>
      <c r="AP212" s="90"/>
      <c r="AQ212" s="90"/>
      <c r="AR212" s="90"/>
      <c r="AS212" s="90"/>
      <c r="AT212" s="90"/>
      <c r="AU212" s="90"/>
      <c r="AV212" s="90"/>
      <c r="AW212" s="90"/>
      <c r="AX212" s="90"/>
    </row>
    <row r="213" ht="15.75" customHeight="1">
      <c r="A213" s="80" t="s">
        <v>1988</v>
      </c>
      <c r="B213" s="228" t="s">
        <v>2029</v>
      </c>
      <c r="C213" s="27" t="s">
        <v>2030</v>
      </c>
      <c r="D213" s="27" t="s">
        <v>2031</v>
      </c>
      <c r="E213" s="27" t="s">
        <v>2032</v>
      </c>
      <c r="F213" s="45"/>
      <c r="G213" s="45"/>
      <c r="H213" s="45"/>
      <c r="I213" s="83"/>
      <c r="J213" s="84" t="s">
        <v>2000</v>
      </c>
      <c r="K213" s="83"/>
      <c r="L213" s="83"/>
      <c r="M213" s="83"/>
      <c r="N213" s="83"/>
      <c r="O213" s="83"/>
      <c r="P213" s="83"/>
      <c r="Q213" s="83" t="s">
        <v>150</v>
      </c>
      <c r="R213" s="83"/>
      <c r="S213" s="83"/>
      <c r="T213" s="83"/>
      <c r="U213" s="83"/>
      <c r="V213" s="83"/>
      <c r="W213" s="83"/>
      <c r="X213" s="83"/>
      <c r="Y213" s="83"/>
      <c r="Z213" s="83"/>
      <c r="AA213" s="83"/>
      <c r="AB213" s="83"/>
      <c r="AC213" s="83"/>
      <c r="AD213" s="90"/>
      <c r="AE213" s="90"/>
      <c r="AF213" s="90"/>
      <c r="AG213" s="90"/>
      <c r="AH213" s="90"/>
      <c r="AI213" s="90"/>
      <c r="AJ213" s="90"/>
      <c r="AK213" s="90"/>
      <c r="AL213" s="90"/>
      <c r="AM213" s="90"/>
      <c r="AN213" s="90"/>
      <c r="AO213" s="90"/>
      <c r="AP213" s="90"/>
      <c r="AQ213" s="90"/>
      <c r="AR213" s="90"/>
      <c r="AS213" s="90"/>
      <c r="AT213" s="90"/>
      <c r="AU213" s="90"/>
      <c r="AV213" s="90"/>
      <c r="AW213" s="90"/>
      <c r="AX213" s="90"/>
    </row>
    <row r="214" ht="15.75" customHeight="1">
      <c r="A214" s="80" t="s">
        <v>1988</v>
      </c>
      <c r="B214" s="228" t="s">
        <v>2039</v>
      </c>
      <c r="C214" s="27" t="s">
        <v>2040</v>
      </c>
      <c r="D214" s="27" t="s">
        <v>2041</v>
      </c>
      <c r="E214" s="27" t="s">
        <v>2042</v>
      </c>
      <c r="F214" s="45"/>
      <c r="G214" s="45"/>
      <c r="H214" s="45"/>
      <c r="I214" s="83"/>
      <c r="J214" s="84" t="s">
        <v>2000</v>
      </c>
      <c r="K214" s="83"/>
      <c r="L214" s="83"/>
      <c r="M214" s="83"/>
      <c r="N214" s="83"/>
      <c r="O214" s="83"/>
      <c r="P214" s="83"/>
      <c r="Q214" s="83" t="s">
        <v>150</v>
      </c>
      <c r="R214" s="83"/>
      <c r="S214" s="83"/>
      <c r="T214" s="83"/>
      <c r="U214" s="83"/>
      <c r="V214" s="83"/>
      <c r="W214" s="83"/>
      <c r="X214" s="83"/>
      <c r="Y214" s="83"/>
      <c r="Z214" s="83"/>
      <c r="AA214" s="83"/>
      <c r="AB214" s="83"/>
      <c r="AC214" s="83"/>
      <c r="AD214" s="90"/>
      <c r="AE214" s="90"/>
      <c r="AF214" s="90"/>
      <c r="AG214" s="90"/>
      <c r="AH214" s="90"/>
      <c r="AI214" s="90"/>
      <c r="AJ214" s="90"/>
      <c r="AK214" s="90"/>
      <c r="AL214" s="90"/>
      <c r="AM214" s="90"/>
      <c r="AN214" s="90"/>
      <c r="AO214" s="90"/>
      <c r="AP214" s="90"/>
      <c r="AQ214" s="90"/>
      <c r="AR214" s="90"/>
      <c r="AS214" s="90"/>
      <c r="AT214" s="90"/>
      <c r="AU214" s="90"/>
      <c r="AV214" s="90"/>
      <c r="AW214" s="90"/>
      <c r="AX214" s="90"/>
    </row>
    <row r="215" ht="15.75" customHeight="1">
      <c r="A215" s="80" t="s">
        <v>1988</v>
      </c>
      <c r="B215" s="228" t="s">
        <v>2043</v>
      </c>
      <c r="C215" s="27" t="s">
        <v>2044</v>
      </c>
      <c r="D215" s="27" t="s">
        <v>2045</v>
      </c>
      <c r="E215" s="27" t="s">
        <v>2046</v>
      </c>
      <c r="F215" s="45"/>
      <c r="G215" s="45"/>
      <c r="H215" s="45"/>
      <c r="I215" s="83"/>
      <c r="J215" s="84" t="s">
        <v>2000</v>
      </c>
      <c r="K215" s="83"/>
      <c r="L215" s="83"/>
      <c r="M215" s="83"/>
      <c r="N215" s="83"/>
      <c r="O215" s="83"/>
      <c r="P215" s="83"/>
      <c r="Q215" s="83" t="s">
        <v>150</v>
      </c>
      <c r="R215" s="83"/>
      <c r="S215" s="83"/>
      <c r="T215" s="83"/>
      <c r="U215" s="83"/>
      <c r="V215" s="83"/>
      <c r="W215" s="83"/>
      <c r="X215" s="83"/>
      <c r="Y215" s="83"/>
      <c r="Z215" s="83"/>
      <c r="AA215" s="83"/>
      <c r="AB215" s="83"/>
      <c r="AC215" s="83"/>
      <c r="AD215" s="90"/>
      <c r="AE215" s="90"/>
      <c r="AF215" s="90"/>
      <c r="AG215" s="90"/>
      <c r="AH215" s="90"/>
      <c r="AI215" s="90"/>
      <c r="AJ215" s="90"/>
      <c r="AK215" s="90"/>
      <c r="AL215" s="90"/>
      <c r="AM215" s="90"/>
      <c r="AN215" s="90"/>
      <c r="AO215" s="90"/>
      <c r="AP215" s="90"/>
      <c r="AQ215" s="90"/>
      <c r="AR215" s="90"/>
      <c r="AS215" s="90"/>
      <c r="AT215" s="90"/>
      <c r="AU215" s="90"/>
      <c r="AV215" s="90"/>
      <c r="AW215" s="90"/>
      <c r="AX215" s="90"/>
    </row>
    <row r="216" ht="15.75" customHeight="1">
      <c r="A216" s="80" t="s">
        <v>1988</v>
      </c>
      <c r="B216" s="228" t="s">
        <v>2051</v>
      </c>
      <c r="C216" s="27" t="s">
        <v>2052</v>
      </c>
      <c r="D216" s="27" t="s">
        <v>2053</v>
      </c>
      <c r="E216" s="27" t="s">
        <v>2054</v>
      </c>
      <c r="F216" s="45"/>
      <c r="G216" s="45"/>
      <c r="H216" s="45"/>
      <c r="I216" s="83"/>
      <c r="J216" s="84" t="s">
        <v>2000</v>
      </c>
      <c r="K216" s="83"/>
      <c r="L216" s="83"/>
      <c r="M216" s="83"/>
      <c r="N216" s="83"/>
      <c r="O216" s="83"/>
      <c r="P216" s="83"/>
      <c r="Q216" s="83" t="s">
        <v>150</v>
      </c>
      <c r="R216" s="83"/>
      <c r="S216" s="83"/>
      <c r="T216" s="83"/>
      <c r="U216" s="83"/>
      <c r="V216" s="83"/>
      <c r="W216" s="83"/>
      <c r="X216" s="83"/>
      <c r="Y216" s="83"/>
      <c r="Z216" s="83"/>
      <c r="AA216" s="83"/>
      <c r="AB216" s="83"/>
      <c r="AC216" s="83"/>
      <c r="AD216" s="90"/>
      <c r="AE216" s="90"/>
      <c r="AF216" s="90"/>
      <c r="AG216" s="90"/>
      <c r="AH216" s="90"/>
      <c r="AI216" s="90"/>
      <c r="AJ216" s="90"/>
      <c r="AK216" s="90"/>
      <c r="AL216" s="90"/>
      <c r="AM216" s="90"/>
      <c r="AN216" s="90"/>
      <c r="AO216" s="90"/>
      <c r="AP216" s="90"/>
      <c r="AQ216" s="90"/>
      <c r="AR216" s="90"/>
      <c r="AS216" s="90"/>
      <c r="AT216" s="90"/>
      <c r="AU216" s="90"/>
      <c r="AV216" s="90"/>
      <c r="AW216" s="90"/>
      <c r="AX216" s="90"/>
    </row>
    <row r="217" ht="15.75" customHeight="1">
      <c r="A217" s="151" t="s">
        <v>237</v>
      </c>
      <c r="B217" s="226" t="s">
        <v>1979</v>
      </c>
      <c r="C217" s="226"/>
      <c r="D217" s="226"/>
      <c r="E217" s="226"/>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c r="AB217" s="149"/>
      <c r="AC217" s="149"/>
      <c r="AD217" s="90"/>
      <c r="AE217" s="90"/>
      <c r="AF217" s="90"/>
      <c r="AG217" s="90"/>
      <c r="AH217" s="90"/>
      <c r="AI217" s="90"/>
      <c r="AJ217" s="90"/>
      <c r="AK217" s="90"/>
      <c r="AL217" s="90"/>
      <c r="AM217" s="90"/>
      <c r="AN217" s="90"/>
      <c r="AO217" s="90"/>
      <c r="AP217" s="90"/>
      <c r="AQ217" s="90"/>
      <c r="AR217" s="90"/>
      <c r="AS217" s="90"/>
      <c r="AT217" s="90"/>
      <c r="AU217" s="90"/>
      <c r="AV217" s="90"/>
      <c r="AW217" s="90"/>
      <c r="AX217" s="90"/>
    </row>
    <row r="218" ht="15.75" customHeight="1">
      <c r="A218" s="151" t="s">
        <v>133</v>
      </c>
      <c r="B218" s="147" t="s">
        <v>2062</v>
      </c>
      <c r="C218" s="147"/>
      <c r="D218" s="226"/>
      <c r="E218" s="226"/>
      <c r="F218" s="149"/>
      <c r="G218" s="149"/>
      <c r="H218" s="149"/>
      <c r="I218" s="149"/>
      <c r="J218" s="150" t="s">
        <v>1982</v>
      </c>
      <c r="K218" s="149"/>
      <c r="L218" s="149"/>
      <c r="M218" s="150"/>
      <c r="N218" s="150"/>
      <c r="O218" s="150"/>
      <c r="P218" s="149"/>
      <c r="Q218" s="149"/>
      <c r="R218" s="149"/>
      <c r="S218" s="149"/>
      <c r="T218" s="149"/>
      <c r="U218" s="149"/>
      <c r="V218" s="149"/>
      <c r="W218" s="149"/>
      <c r="X218" s="149"/>
      <c r="Y218" s="149"/>
      <c r="Z218" s="149"/>
      <c r="AA218" s="149"/>
      <c r="AB218" s="149"/>
      <c r="AC218" s="149"/>
      <c r="AD218" s="149"/>
      <c r="AE218" s="149"/>
      <c r="AF218" s="90"/>
      <c r="AG218" s="90"/>
      <c r="AH218" s="90"/>
      <c r="AI218" s="90"/>
      <c r="AJ218" s="90"/>
      <c r="AK218" s="90"/>
      <c r="AL218" s="149"/>
      <c r="AM218" s="149"/>
      <c r="AN218" s="149"/>
      <c r="AO218" s="90"/>
      <c r="AP218" s="90"/>
      <c r="AQ218" s="90"/>
      <c r="AR218" s="90"/>
      <c r="AS218" s="90"/>
      <c r="AT218" s="90"/>
      <c r="AU218" s="90"/>
      <c r="AV218" s="90"/>
      <c r="AW218" s="90"/>
      <c r="AX218" s="90"/>
    </row>
    <row r="219" ht="15.75" customHeight="1">
      <c r="A219" s="80" t="s">
        <v>2073</v>
      </c>
      <c r="B219" s="228" t="s">
        <v>2074</v>
      </c>
      <c r="C219" s="27" t="s">
        <v>2075</v>
      </c>
      <c r="D219" s="27" t="s">
        <v>2076</v>
      </c>
      <c r="E219" s="27" t="s">
        <v>2077</v>
      </c>
      <c r="F219" s="45" t="s">
        <v>2078</v>
      </c>
      <c r="G219" s="45" t="s">
        <v>2079</v>
      </c>
      <c r="H219" s="45" t="s">
        <v>2080</v>
      </c>
      <c r="I219" s="83"/>
      <c r="J219" s="84" t="s">
        <v>8</v>
      </c>
      <c r="K219" s="83"/>
      <c r="L219" s="83"/>
      <c r="M219" s="83"/>
      <c r="N219" s="83"/>
      <c r="O219" s="83"/>
      <c r="P219" s="83"/>
      <c r="Q219" s="83"/>
      <c r="R219" s="83"/>
      <c r="S219" s="83"/>
      <c r="T219" s="83"/>
      <c r="U219" s="83"/>
      <c r="V219" s="83"/>
      <c r="W219" s="83"/>
      <c r="X219" s="83"/>
      <c r="Y219" s="83"/>
      <c r="Z219" s="83"/>
      <c r="AA219" s="83"/>
      <c r="AB219" s="83"/>
      <c r="AC219" s="83"/>
      <c r="AD219" s="90"/>
      <c r="AE219" s="90"/>
      <c r="AF219" s="90"/>
      <c r="AG219" s="90"/>
      <c r="AH219" s="90"/>
      <c r="AI219" s="90"/>
      <c r="AJ219" s="90"/>
      <c r="AK219" s="90"/>
      <c r="AL219" s="149"/>
      <c r="AM219" s="149"/>
      <c r="AN219" s="149"/>
      <c r="AO219" s="90"/>
      <c r="AP219" s="90"/>
      <c r="AQ219" s="90"/>
      <c r="AR219" s="90"/>
      <c r="AS219" s="90"/>
      <c r="AT219" s="90"/>
      <c r="AU219" s="90"/>
      <c r="AV219" s="90"/>
      <c r="AW219" s="90"/>
      <c r="AX219" s="90"/>
    </row>
    <row r="220" ht="15.75" customHeight="1">
      <c r="A220" s="80" t="s">
        <v>2073</v>
      </c>
      <c r="B220" s="228" t="s">
        <v>2087</v>
      </c>
      <c r="C220" s="27" t="s">
        <v>2088</v>
      </c>
      <c r="D220" s="27" t="s">
        <v>2089</v>
      </c>
      <c r="E220" s="27" t="s">
        <v>2090</v>
      </c>
      <c r="F220" s="45"/>
      <c r="G220" s="45"/>
      <c r="H220" s="45"/>
      <c r="I220" s="83"/>
      <c r="J220" s="84" t="s">
        <v>2000</v>
      </c>
      <c r="K220" s="83"/>
      <c r="L220" s="83"/>
      <c r="M220" s="83"/>
      <c r="N220" s="83"/>
      <c r="O220" s="83"/>
      <c r="P220" s="83"/>
      <c r="Q220" s="83" t="s">
        <v>150</v>
      </c>
      <c r="R220" s="83"/>
      <c r="S220" s="83"/>
      <c r="T220" s="83"/>
      <c r="U220" s="83"/>
      <c r="V220" s="83"/>
      <c r="W220" s="83"/>
      <c r="X220" s="83"/>
      <c r="Y220" s="83"/>
      <c r="Z220" s="83"/>
      <c r="AA220" s="83"/>
      <c r="AB220" s="83"/>
      <c r="AC220" s="83"/>
      <c r="AD220" s="90"/>
      <c r="AE220" s="90"/>
      <c r="AF220" s="90"/>
      <c r="AG220" s="90"/>
      <c r="AH220" s="90"/>
      <c r="AI220" s="90"/>
      <c r="AJ220" s="90"/>
      <c r="AK220" s="90"/>
      <c r="AL220" s="149"/>
      <c r="AM220" s="149"/>
      <c r="AN220" s="149"/>
      <c r="AO220" s="90"/>
      <c r="AP220" s="90"/>
      <c r="AQ220" s="90"/>
      <c r="AR220" s="90"/>
      <c r="AS220" s="90"/>
      <c r="AT220" s="90"/>
      <c r="AU220" s="90"/>
      <c r="AV220" s="90"/>
      <c r="AW220" s="90"/>
      <c r="AX220" s="90"/>
    </row>
    <row r="221" ht="15.75" customHeight="1">
      <c r="A221" s="80" t="s">
        <v>2073</v>
      </c>
      <c r="B221" s="228" t="s">
        <v>2100</v>
      </c>
      <c r="C221" s="27" t="s">
        <v>2101</v>
      </c>
      <c r="D221" s="27" t="s">
        <v>2102</v>
      </c>
      <c r="E221" s="27" t="s">
        <v>2103</v>
      </c>
      <c r="F221" s="45"/>
      <c r="G221" s="45"/>
      <c r="H221" s="45"/>
      <c r="I221" s="83"/>
      <c r="J221" s="84" t="s">
        <v>2000</v>
      </c>
      <c r="K221" s="83"/>
      <c r="L221" s="83"/>
      <c r="M221" s="83"/>
      <c r="N221" s="83"/>
      <c r="O221" s="83"/>
      <c r="P221" s="83"/>
      <c r="Q221" s="83" t="s">
        <v>150</v>
      </c>
      <c r="R221" s="83"/>
      <c r="S221" s="83"/>
      <c r="T221" s="83"/>
      <c r="U221" s="83"/>
      <c r="V221" s="83"/>
      <c r="W221" s="83"/>
      <c r="X221" s="83"/>
      <c r="Y221" s="83"/>
      <c r="Z221" s="83"/>
      <c r="AA221" s="83"/>
      <c r="AB221" s="83"/>
      <c r="AC221" s="83"/>
      <c r="AD221" s="90"/>
      <c r="AE221" s="90"/>
      <c r="AF221" s="90"/>
      <c r="AG221" s="90"/>
      <c r="AH221" s="90"/>
      <c r="AI221" s="90"/>
      <c r="AJ221" s="90"/>
      <c r="AK221" s="90"/>
      <c r="AL221" s="149"/>
      <c r="AM221" s="149"/>
      <c r="AN221" s="149"/>
      <c r="AO221" s="90"/>
      <c r="AP221" s="90"/>
      <c r="AQ221" s="90"/>
      <c r="AR221" s="90"/>
      <c r="AS221" s="90"/>
      <c r="AT221" s="90"/>
      <c r="AU221" s="90"/>
      <c r="AV221" s="90"/>
      <c r="AW221" s="90"/>
      <c r="AX221" s="90"/>
    </row>
    <row r="222" ht="15.75" customHeight="1">
      <c r="A222" s="151" t="s">
        <v>237</v>
      </c>
      <c r="B222" s="226" t="s">
        <v>2062</v>
      </c>
      <c r="C222" s="226"/>
      <c r="D222" s="226"/>
      <c r="E222" s="226"/>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c r="AB222" s="149"/>
      <c r="AC222" s="149"/>
      <c r="AD222" s="149"/>
      <c r="AE222" s="149"/>
      <c r="AF222" s="90"/>
      <c r="AG222" s="90"/>
      <c r="AH222" s="90"/>
      <c r="AI222" s="90"/>
      <c r="AJ222" s="90"/>
      <c r="AK222" s="90"/>
      <c r="AL222" s="149"/>
      <c r="AM222" s="149"/>
      <c r="AN222" s="149"/>
      <c r="AO222" s="90"/>
      <c r="AP222" s="90"/>
      <c r="AQ222" s="90"/>
      <c r="AR222" s="90"/>
      <c r="AS222" s="90"/>
      <c r="AT222" s="90"/>
      <c r="AU222" s="90"/>
      <c r="AV222" s="90"/>
      <c r="AW222" s="90"/>
      <c r="AX222" s="90"/>
    </row>
    <row r="223" ht="15.75" customHeight="1">
      <c r="A223" s="151" t="s">
        <v>133</v>
      </c>
      <c r="B223" s="147" t="s">
        <v>2121</v>
      </c>
      <c r="C223" s="147"/>
      <c r="D223" s="226"/>
      <c r="E223" s="226"/>
      <c r="F223" s="149"/>
      <c r="G223" s="149"/>
      <c r="H223" s="149"/>
      <c r="I223" s="149"/>
      <c r="J223" s="150" t="s">
        <v>1982</v>
      </c>
      <c r="K223" s="149"/>
      <c r="L223" s="149"/>
      <c r="M223" s="150"/>
      <c r="N223" s="150"/>
      <c r="O223" s="150"/>
      <c r="P223" s="149"/>
      <c r="Q223" s="149"/>
      <c r="R223" s="149"/>
      <c r="S223" s="149"/>
      <c r="T223" s="149"/>
      <c r="U223" s="149"/>
      <c r="V223" s="149"/>
      <c r="W223" s="149"/>
      <c r="X223" s="149"/>
      <c r="Y223" s="149"/>
      <c r="Z223" s="149"/>
      <c r="AA223" s="149"/>
      <c r="AB223" s="149"/>
      <c r="AC223" s="149"/>
      <c r="AD223" s="149"/>
      <c r="AE223" s="149"/>
      <c r="AF223" s="149"/>
      <c r="AG223" s="149"/>
      <c r="AH223" s="149"/>
      <c r="AI223" s="149"/>
      <c r="AJ223" s="149"/>
      <c r="AK223" s="149"/>
      <c r="AL223" s="149"/>
      <c r="AM223" s="149"/>
      <c r="AN223" s="149"/>
      <c r="AO223" s="90"/>
      <c r="AP223" s="90"/>
      <c r="AQ223" s="90"/>
      <c r="AR223" s="90"/>
      <c r="AS223" s="90"/>
      <c r="AT223" s="90"/>
      <c r="AU223" s="90"/>
      <c r="AV223" s="90"/>
      <c r="AW223" s="90"/>
      <c r="AX223" s="90"/>
    </row>
    <row r="224" ht="15.75" customHeight="1">
      <c r="A224" s="80" t="s">
        <v>2122</v>
      </c>
      <c r="B224" s="228" t="s">
        <v>2123</v>
      </c>
      <c r="C224" s="27" t="s">
        <v>2124</v>
      </c>
      <c r="D224" s="27" t="s">
        <v>2125</v>
      </c>
      <c r="E224" s="27" t="s">
        <v>2126</v>
      </c>
      <c r="F224" s="45"/>
      <c r="G224" s="45"/>
      <c r="H224" s="45"/>
      <c r="I224" s="83"/>
      <c r="J224" s="84" t="s">
        <v>8</v>
      </c>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90"/>
      <c r="AP224" s="90"/>
      <c r="AQ224" s="90"/>
      <c r="AR224" s="90"/>
      <c r="AS224" s="90"/>
      <c r="AT224" s="90"/>
      <c r="AU224" s="90"/>
      <c r="AV224" s="90"/>
      <c r="AW224" s="90"/>
      <c r="AX224" s="90"/>
    </row>
    <row r="225" ht="15.75" customHeight="1">
      <c r="A225" s="80" t="s">
        <v>2122</v>
      </c>
      <c r="B225" s="228" t="s">
        <v>2136</v>
      </c>
      <c r="C225" s="27" t="s">
        <v>2137</v>
      </c>
      <c r="D225" s="27" t="s">
        <v>2138</v>
      </c>
      <c r="E225" s="27" t="s">
        <v>2139</v>
      </c>
      <c r="F225" s="45"/>
      <c r="G225" s="45"/>
      <c r="H225" s="45"/>
      <c r="I225" s="83"/>
      <c r="J225" s="84" t="s">
        <v>2000</v>
      </c>
      <c r="K225" s="83"/>
      <c r="L225" s="83"/>
      <c r="M225" s="83"/>
      <c r="N225" s="83"/>
      <c r="O225" s="83"/>
      <c r="P225" s="83"/>
      <c r="Q225" s="83" t="s">
        <v>150</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90"/>
      <c r="AP225" s="90"/>
      <c r="AQ225" s="90"/>
      <c r="AR225" s="90"/>
      <c r="AS225" s="90"/>
      <c r="AT225" s="90"/>
      <c r="AU225" s="90"/>
      <c r="AV225" s="90"/>
      <c r="AW225" s="90"/>
      <c r="AX225" s="90"/>
    </row>
    <row r="226" ht="15.75" customHeight="1">
      <c r="A226" s="80" t="s">
        <v>2122</v>
      </c>
      <c r="B226" s="228" t="s">
        <v>2146</v>
      </c>
      <c r="C226" s="27" t="s">
        <v>2147</v>
      </c>
      <c r="D226" s="27" t="s">
        <v>2149</v>
      </c>
      <c r="E226" s="27" t="s">
        <v>2150</v>
      </c>
      <c r="F226" s="45"/>
      <c r="G226" s="45"/>
      <c r="H226" s="45"/>
      <c r="I226" s="83"/>
      <c r="J226" s="84" t="s">
        <v>2000</v>
      </c>
      <c r="K226" s="83"/>
      <c r="L226" s="83"/>
      <c r="M226" s="83"/>
      <c r="N226" s="83"/>
      <c r="O226" s="83"/>
      <c r="P226" s="83"/>
      <c r="Q226" s="83" t="s">
        <v>150</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90"/>
      <c r="AP226" s="90"/>
      <c r="AQ226" s="90"/>
      <c r="AR226" s="90"/>
      <c r="AS226" s="90"/>
      <c r="AT226" s="90"/>
      <c r="AU226" s="90"/>
      <c r="AV226" s="90"/>
      <c r="AW226" s="90"/>
      <c r="AX226" s="90"/>
    </row>
    <row r="227" ht="15.75" customHeight="1">
      <c r="A227" s="80" t="s">
        <v>2122</v>
      </c>
      <c r="B227" s="228" t="s">
        <v>2154</v>
      </c>
      <c r="C227" s="27" t="s">
        <v>2155</v>
      </c>
      <c r="D227" s="27" t="s">
        <v>2156</v>
      </c>
      <c r="E227" s="27" t="s">
        <v>2157</v>
      </c>
      <c r="F227" s="45"/>
      <c r="G227" s="45"/>
      <c r="H227" s="45"/>
      <c r="I227" s="83"/>
      <c r="J227" s="84" t="s">
        <v>2000</v>
      </c>
      <c r="K227" s="83"/>
      <c r="L227" s="83"/>
      <c r="M227" s="83"/>
      <c r="N227" s="83"/>
      <c r="O227" s="83"/>
      <c r="P227" s="83"/>
      <c r="Q227" s="83" t="s">
        <v>150</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90"/>
      <c r="AP227" s="90"/>
      <c r="AQ227" s="90"/>
      <c r="AR227" s="90"/>
      <c r="AS227" s="90"/>
      <c r="AT227" s="90"/>
      <c r="AU227" s="90"/>
      <c r="AV227" s="90"/>
      <c r="AW227" s="90"/>
      <c r="AX227" s="90"/>
    </row>
    <row r="228" ht="15.75" customHeight="1">
      <c r="A228" s="80" t="s">
        <v>2122</v>
      </c>
      <c r="B228" s="228" t="s">
        <v>2161</v>
      </c>
      <c r="C228" s="27" t="s">
        <v>2165</v>
      </c>
      <c r="D228" s="27" t="s">
        <v>2166</v>
      </c>
      <c r="E228" s="27" t="s">
        <v>2167</v>
      </c>
      <c r="F228" s="45"/>
      <c r="G228" s="45"/>
      <c r="H228" s="45"/>
      <c r="I228" s="83"/>
      <c r="J228" s="84" t="s">
        <v>2000</v>
      </c>
      <c r="K228" s="83"/>
      <c r="L228" s="83"/>
      <c r="M228" s="83"/>
      <c r="N228" s="83"/>
      <c r="O228" s="83"/>
      <c r="P228" s="83"/>
      <c r="Q228" s="83" t="s">
        <v>150</v>
      </c>
      <c r="R228" s="83"/>
      <c r="S228" s="83"/>
      <c r="T228" s="83"/>
      <c r="U228" s="83"/>
      <c r="V228" s="83"/>
      <c r="W228" s="83"/>
      <c r="X228" s="83"/>
      <c r="Y228" s="83"/>
      <c r="Z228" s="83"/>
      <c r="AA228" s="83"/>
      <c r="AB228" s="83"/>
      <c r="AC228" s="83"/>
      <c r="AD228" s="90"/>
      <c r="AE228" s="90"/>
      <c r="AF228" s="90"/>
      <c r="AG228" s="90"/>
      <c r="AH228" s="90"/>
      <c r="AI228" s="90"/>
      <c r="AJ228" s="90"/>
      <c r="AK228" s="90"/>
      <c r="AL228" s="83"/>
      <c r="AM228" s="83"/>
      <c r="AN228" s="83"/>
      <c r="AO228" s="90"/>
      <c r="AP228" s="90"/>
      <c r="AQ228" s="90"/>
      <c r="AR228" s="90"/>
      <c r="AS228" s="90"/>
      <c r="AT228" s="90"/>
      <c r="AU228" s="90"/>
      <c r="AV228" s="90"/>
      <c r="AW228" s="90"/>
      <c r="AX228" s="90"/>
    </row>
    <row r="229" ht="15.75" customHeight="1">
      <c r="A229" s="80" t="s">
        <v>2122</v>
      </c>
      <c r="B229" s="228" t="s">
        <v>2168</v>
      </c>
      <c r="C229" s="27" t="s">
        <v>2173</v>
      </c>
      <c r="D229" s="27" t="s">
        <v>2174</v>
      </c>
      <c r="E229" s="27" t="s">
        <v>2175</v>
      </c>
      <c r="F229" s="45"/>
      <c r="G229" s="45"/>
      <c r="H229" s="45"/>
      <c r="I229" s="83"/>
      <c r="J229" s="84" t="s">
        <v>2000</v>
      </c>
      <c r="K229" s="83"/>
      <c r="L229" s="83"/>
      <c r="M229" s="83"/>
      <c r="N229" s="83"/>
      <c r="O229" s="83"/>
      <c r="P229" s="83"/>
      <c r="Q229" s="83" t="s">
        <v>150</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90"/>
      <c r="AP229" s="90"/>
      <c r="AQ229" s="90"/>
      <c r="AR229" s="90"/>
      <c r="AS229" s="90"/>
      <c r="AT229" s="90"/>
      <c r="AU229" s="90"/>
      <c r="AV229" s="90"/>
      <c r="AW229" s="90"/>
      <c r="AX229" s="90"/>
    </row>
    <row r="230" ht="15.75" customHeight="1">
      <c r="A230" s="80" t="s">
        <v>2122</v>
      </c>
      <c r="B230" s="228" t="s">
        <v>2172</v>
      </c>
      <c r="C230" s="27" t="s">
        <v>2181</v>
      </c>
      <c r="D230" s="27" t="s">
        <v>2182</v>
      </c>
      <c r="E230" s="27" t="s">
        <v>2183</v>
      </c>
      <c r="F230" s="45"/>
      <c r="G230" s="45"/>
      <c r="H230" s="45"/>
      <c r="I230" s="83"/>
      <c r="J230" s="84" t="s">
        <v>2000</v>
      </c>
      <c r="K230" s="83"/>
      <c r="L230" s="83"/>
      <c r="M230" s="83"/>
      <c r="N230" s="83"/>
      <c r="O230" s="83"/>
      <c r="P230" s="83"/>
      <c r="Q230" s="83" t="s">
        <v>150</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90"/>
      <c r="AP230" s="90"/>
      <c r="AQ230" s="90"/>
      <c r="AR230" s="90"/>
      <c r="AS230" s="90"/>
      <c r="AT230" s="90"/>
      <c r="AU230" s="90"/>
      <c r="AV230" s="90"/>
      <c r="AW230" s="90"/>
      <c r="AX230" s="90"/>
    </row>
    <row r="231" ht="15.75" customHeight="1">
      <c r="A231" s="80" t="s">
        <v>2122</v>
      </c>
      <c r="B231" s="228" t="s">
        <v>2179</v>
      </c>
      <c r="C231" s="27" t="s">
        <v>2185</v>
      </c>
      <c r="D231" s="27" t="s">
        <v>2186</v>
      </c>
      <c r="E231" s="27" t="s">
        <v>2187</v>
      </c>
      <c r="F231" s="45"/>
      <c r="G231" s="45"/>
      <c r="H231" s="45"/>
      <c r="I231" s="83"/>
      <c r="J231" s="84" t="s">
        <v>2000</v>
      </c>
      <c r="K231" s="83"/>
      <c r="L231" s="83"/>
      <c r="M231" s="83"/>
      <c r="N231" s="83"/>
      <c r="O231" s="83"/>
      <c r="P231" s="83"/>
      <c r="Q231" s="83" t="s">
        <v>150</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90"/>
      <c r="AP231" s="90"/>
      <c r="AQ231" s="90"/>
      <c r="AR231" s="90"/>
      <c r="AS231" s="90"/>
      <c r="AT231" s="90"/>
      <c r="AU231" s="90"/>
      <c r="AV231" s="90"/>
      <c r="AW231" s="90"/>
      <c r="AX231" s="90"/>
    </row>
    <row r="232" ht="15.75" customHeight="1">
      <c r="A232" s="80" t="s">
        <v>2122</v>
      </c>
      <c r="B232" s="228" t="s">
        <v>2180</v>
      </c>
      <c r="C232" s="27" t="s">
        <v>2193</v>
      </c>
      <c r="D232" s="27" t="s">
        <v>2194</v>
      </c>
      <c r="E232" s="27" t="s">
        <v>2196</v>
      </c>
      <c r="F232" s="45"/>
      <c r="G232" s="45"/>
      <c r="H232" s="45"/>
      <c r="I232" s="83"/>
      <c r="J232" s="84" t="s">
        <v>2000</v>
      </c>
      <c r="K232" s="83"/>
      <c r="L232" s="83"/>
      <c r="M232" s="83"/>
      <c r="N232" s="83"/>
      <c r="O232" s="83" t="s">
        <v>2198</v>
      </c>
      <c r="P232" s="83"/>
      <c r="Q232" s="83" t="s">
        <v>150</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90"/>
      <c r="AP232" s="90"/>
      <c r="AQ232" s="90"/>
      <c r="AR232" s="90"/>
      <c r="AS232" s="90"/>
      <c r="AT232" s="90"/>
      <c r="AU232" s="90"/>
      <c r="AV232" s="90"/>
      <c r="AW232" s="90"/>
      <c r="AX232" s="90"/>
    </row>
    <row r="233" ht="15.75" customHeight="1">
      <c r="A233" s="80" t="s">
        <v>2122</v>
      </c>
      <c r="B233" s="228" t="s">
        <v>2184</v>
      </c>
      <c r="C233" s="27" t="s">
        <v>2202</v>
      </c>
      <c r="D233" s="27" t="s">
        <v>2203</v>
      </c>
      <c r="E233" s="27" t="s">
        <v>2204</v>
      </c>
      <c r="F233" s="45"/>
      <c r="G233" s="45"/>
      <c r="H233" s="45"/>
      <c r="I233" s="83"/>
      <c r="J233" s="84" t="s">
        <v>2000</v>
      </c>
      <c r="K233" s="83"/>
      <c r="L233" s="83"/>
      <c r="M233" s="83"/>
      <c r="N233" s="83"/>
      <c r="O233" s="83" t="s">
        <v>2198</v>
      </c>
      <c r="P233" s="83"/>
      <c r="Q233" s="83" t="s">
        <v>150</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90"/>
      <c r="AP233" s="90"/>
      <c r="AQ233" s="90"/>
      <c r="AR233" s="90"/>
      <c r="AS233" s="90"/>
      <c r="AT233" s="90"/>
      <c r="AU233" s="90"/>
      <c r="AV233" s="90"/>
      <c r="AW233" s="90"/>
      <c r="AX233" s="90"/>
    </row>
    <row r="234" ht="15.75" customHeight="1">
      <c r="A234" s="80" t="s">
        <v>2122</v>
      </c>
      <c r="B234" s="228" t="s">
        <v>2214</v>
      </c>
      <c r="C234" s="27" t="s">
        <v>2216</v>
      </c>
      <c r="D234" s="27" t="s">
        <v>2222</v>
      </c>
      <c r="E234" s="27" t="s">
        <v>2223</v>
      </c>
      <c r="F234" s="45"/>
      <c r="G234" s="45"/>
      <c r="H234" s="45"/>
      <c r="I234" s="83"/>
      <c r="J234" s="84" t="s">
        <v>2000</v>
      </c>
      <c r="K234" s="83"/>
      <c r="L234" s="83"/>
      <c r="M234" s="83"/>
      <c r="N234" s="83"/>
      <c r="O234" s="83"/>
      <c r="P234" s="83"/>
      <c r="Q234" s="83" t="s">
        <v>150</v>
      </c>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90"/>
      <c r="AP234" s="90"/>
      <c r="AQ234" s="90"/>
      <c r="AR234" s="90"/>
      <c r="AS234" s="90"/>
      <c r="AT234" s="90"/>
      <c r="AU234" s="90"/>
      <c r="AV234" s="90"/>
      <c r="AW234" s="90"/>
      <c r="AX234" s="90"/>
    </row>
    <row r="235" ht="15.75" customHeight="1">
      <c r="A235" s="80" t="s">
        <v>2122</v>
      </c>
      <c r="B235" s="228" t="s">
        <v>2227</v>
      </c>
      <c r="C235" s="27" t="s">
        <v>2234</v>
      </c>
      <c r="D235" s="27" t="s">
        <v>2235</v>
      </c>
      <c r="E235" s="27" t="s">
        <v>2236</v>
      </c>
      <c r="F235" s="45"/>
      <c r="G235" s="45"/>
      <c r="H235" s="45"/>
      <c r="I235" s="83"/>
      <c r="J235" s="84" t="s">
        <v>2000</v>
      </c>
      <c r="K235" s="83"/>
      <c r="L235" s="83"/>
      <c r="M235" s="83"/>
      <c r="N235" s="83"/>
      <c r="O235" s="83"/>
      <c r="P235" s="83"/>
      <c r="Q235" s="83" t="s">
        <v>150</v>
      </c>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90"/>
      <c r="AP235" s="90"/>
      <c r="AQ235" s="90"/>
      <c r="AR235" s="90"/>
      <c r="AS235" s="90"/>
      <c r="AT235" s="90"/>
      <c r="AU235" s="90"/>
      <c r="AV235" s="90"/>
      <c r="AW235" s="90"/>
      <c r="AX235" s="90"/>
    </row>
    <row r="236" ht="15.75" customHeight="1">
      <c r="A236" s="151" t="s">
        <v>237</v>
      </c>
      <c r="B236" s="226" t="s">
        <v>2121</v>
      </c>
      <c r="C236" s="226"/>
      <c r="D236" s="226"/>
      <c r="E236" s="226"/>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c r="AB236" s="149"/>
      <c r="AC236" s="149"/>
      <c r="AD236" s="149"/>
      <c r="AE236" s="149"/>
      <c r="AF236" s="149"/>
      <c r="AG236" s="149"/>
      <c r="AH236" s="149"/>
      <c r="AI236" s="149"/>
      <c r="AJ236" s="149"/>
      <c r="AK236" s="149"/>
      <c r="AL236" s="149"/>
      <c r="AM236" s="149"/>
      <c r="AN236" s="149"/>
      <c r="AO236" s="90"/>
      <c r="AP236" s="90"/>
      <c r="AQ236" s="90"/>
      <c r="AR236" s="90"/>
      <c r="AS236" s="90"/>
      <c r="AT236" s="90"/>
      <c r="AU236" s="90"/>
      <c r="AV236" s="90"/>
      <c r="AW236" s="90"/>
      <c r="AX236" s="90"/>
    </row>
    <row r="237" ht="15.75" customHeight="1">
      <c r="A237" s="248" t="s">
        <v>268</v>
      </c>
      <c r="B237" s="249" t="s">
        <v>2251</v>
      </c>
      <c r="C237" s="27" t="s">
        <v>2252</v>
      </c>
      <c r="D237" s="27" t="s">
        <v>2253</v>
      </c>
      <c r="E237" s="27" t="s">
        <v>2254</v>
      </c>
      <c r="F237" s="45" t="s">
        <v>755</v>
      </c>
      <c r="G237" s="45" t="s">
        <v>2257</v>
      </c>
      <c r="H237" s="45" t="s">
        <v>2258</v>
      </c>
      <c r="I237" s="250"/>
      <c r="J237" s="259"/>
      <c r="K237" s="250" t="s">
        <v>2260</v>
      </c>
      <c r="L237" s="251"/>
      <c r="M237" s="250"/>
      <c r="N237" s="250"/>
      <c r="O237" s="250"/>
      <c r="P237" s="250"/>
      <c r="Q237" s="250" t="s">
        <v>150</v>
      </c>
      <c r="R237" s="250"/>
      <c r="S237" s="250"/>
      <c r="T237" s="250"/>
      <c r="U237" s="250"/>
      <c r="V237" s="250"/>
      <c r="W237" s="250"/>
      <c r="X237" s="250"/>
      <c r="Y237" s="250"/>
      <c r="Z237" s="250"/>
      <c r="AA237" s="250"/>
      <c r="AB237" s="250"/>
      <c r="AC237" s="250"/>
      <c r="AD237" s="90"/>
      <c r="AE237" s="90"/>
      <c r="AF237" s="90"/>
      <c r="AG237" s="90"/>
      <c r="AH237" s="90"/>
      <c r="AI237" s="90"/>
      <c r="AJ237" s="90"/>
      <c r="AK237" s="149"/>
      <c r="AL237" s="149"/>
      <c r="AM237" s="149"/>
      <c r="AN237" s="149"/>
      <c r="AO237" s="90"/>
      <c r="AP237" s="90"/>
      <c r="AQ237" s="90"/>
      <c r="AR237" s="90"/>
      <c r="AS237" s="90"/>
      <c r="AT237" s="90"/>
      <c r="AU237" s="90"/>
      <c r="AV237" s="90"/>
      <c r="AW237" s="90"/>
      <c r="AX237" s="90"/>
    </row>
    <row r="238" ht="15.75" customHeight="1">
      <c r="A238" s="85" t="s">
        <v>127</v>
      </c>
      <c r="B238" s="227" t="s">
        <v>2264</v>
      </c>
      <c r="C238" s="63"/>
      <c r="D238" s="63"/>
      <c r="E238" s="63"/>
      <c r="F238" s="220"/>
      <c r="G238" s="220"/>
      <c r="H238" s="220"/>
      <c r="I238" s="220"/>
      <c r="J238" s="220"/>
      <c r="K238" s="220"/>
      <c r="L238" s="220"/>
      <c r="M238" s="220"/>
      <c r="N238" s="220"/>
      <c r="O238" s="220"/>
      <c r="P238" s="220"/>
      <c r="Q238" s="220"/>
      <c r="R238" s="220"/>
      <c r="S238" s="220"/>
      <c r="T238" s="85" t="s">
        <v>129</v>
      </c>
      <c r="U238" s="220"/>
      <c r="V238" s="220"/>
      <c r="W238" s="220"/>
      <c r="X238" s="220"/>
      <c r="Y238" s="220"/>
      <c r="Z238" s="220"/>
      <c r="AA238" s="220"/>
      <c r="AB238" s="220"/>
      <c r="AC238" s="220"/>
      <c r="AD238" s="220"/>
      <c r="AE238" s="220"/>
      <c r="AF238" s="220"/>
      <c r="AG238" s="220"/>
      <c r="AH238" s="220"/>
      <c r="AI238" s="220"/>
      <c r="AJ238" s="220"/>
      <c r="AK238" s="220"/>
      <c r="AL238" s="220"/>
      <c r="AM238" s="220"/>
      <c r="AN238" s="220"/>
      <c r="AO238" s="90"/>
      <c r="AP238" s="90"/>
      <c r="AQ238" s="90"/>
      <c r="AR238" s="90"/>
      <c r="AS238" s="90"/>
      <c r="AT238" s="90"/>
      <c r="AU238" s="90"/>
      <c r="AV238" s="90"/>
      <c r="AW238" s="90"/>
      <c r="AX238" s="90"/>
    </row>
    <row r="239" ht="15.75" customHeight="1">
      <c r="A239" s="144" t="s">
        <v>68</v>
      </c>
      <c r="B239" s="148" t="s">
        <v>2268</v>
      </c>
      <c r="C239" s="147"/>
      <c r="D239" s="147"/>
      <c r="E239" s="147"/>
      <c r="F239" s="149"/>
      <c r="G239" s="149"/>
      <c r="H239" s="149"/>
      <c r="I239" s="149"/>
      <c r="J239" s="150"/>
      <c r="K239" s="149"/>
      <c r="L239" s="149"/>
      <c r="M239" s="149"/>
      <c r="N239" s="149"/>
      <c r="O239" s="150"/>
      <c r="P239" s="149"/>
      <c r="Q239" s="149"/>
      <c r="R239" s="149"/>
      <c r="S239" s="149"/>
      <c r="T239" s="144" t="s">
        <v>2272</v>
      </c>
      <c r="U239" s="149"/>
      <c r="V239" s="149"/>
      <c r="W239" s="149"/>
      <c r="X239" s="149"/>
      <c r="Y239" s="149"/>
      <c r="Z239" s="149"/>
      <c r="AA239" s="149"/>
      <c r="AB239" s="149"/>
      <c r="AC239" s="149"/>
      <c r="AD239" s="149"/>
      <c r="AE239" s="149"/>
      <c r="AF239" s="149"/>
      <c r="AG239" s="149"/>
      <c r="AH239" s="149"/>
      <c r="AI239" s="149"/>
      <c r="AJ239" s="149"/>
      <c r="AK239" s="149"/>
      <c r="AL239" s="149"/>
      <c r="AM239" s="149"/>
      <c r="AN239" s="149"/>
      <c r="AO239" s="90"/>
      <c r="AP239" s="90"/>
      <c r="AQ239" s="90"/>
      <c r="AR239" s="90"/>
      <c r="AS239" s="90"/>
      <c r="AT239" s="90"/>
      <c r="AU239" s="90"/>
      <c r="AV239" s="90"/>
      <c r="AW239" s="90"/>
      <c r="AX239" s="90"/>
    </row>
    <row r="240" ht="15.75" customHeight="1">
      <c r="A240" s="151"/>
      <c r="B240" s="147"/>
      <c r="C240" s="147"/>
      <c r="D240" s="147"/>
      <c r="E240" s="147"/>
      <c r="F240" s="149"/>
      <c r="G240" s="149"/>
      <c r="H240" s="149"/>
      <c r="I240" s="149"/>
      <c r="J240" s="150"/>
      <c r="K240" s="149"/>
      <c r="L240" s="149"/>
      <c r="M240" s="149"/>
      <c r="N240" s="149"/>
      <c r="O240" s="150"/>
      <c r="P240" s="149"/>
      <c r="Q240" s="149"/>
      <c r="R240" s="149"/>
      <c r="S240" s="149"/>
      <c r="T240" s="149"/>
      <c r="U240" s="149"/>
      <c r="V240" s="149"/>
      <c r="W240" s="149"/>
      <c r="X240" s="149"/>
      <c r="Y240" s="149"/>
      <c r="Z240" s="149"/>
      <c r="AA240" s="149"/>
      <c r="AB240" s="149"/>
      <c r="AC240" s="149"/>
      <c r="AD240" s="149"/>
      <c r="AE240" s="149"/>
      <c r="AF240" s="149"/>
      <c r="AG240" s="149"/>
      <c r="AH240" s="149"/>
      <c r="AI240" s="149"/>
      <c r="AJ240" s="149"/>
      <c r="AK240" s="149"/>
      <c r="AL240" s="149"/>
      <c r="AM240" s="149"/>
      <c r="AN240" s="149"/>
      <c r="AO240" s="90"/>
      <c r="AP240" s="90"/>
      <c r="AQ240" s="90"/>
      <c r="AR240" s="90"/>
      <c r="AS240" s="90"/>
      <c r="AT240" s="90"/>
      <c r="AU240" s="90"/>
      <c r="AV240" s="90"/>
      <c r="AW240" s="90"/>
      <c r="AX240" s="90"/>
    </row>
    <row r="241" ht="15.75" customHeight="1">
      <c r="A241" s="85" t="s">
        <v>127</v>
      </c>
      <c r="B241" s="227" t="s">
        <v>2287</v>
      </c>
      <c r="C241" s="63"/>
      <c r="D241" s="63"/>
      <c r="E241" s="63"/>
      <c r="F241" s="220"/>
      <c r="G241" s="220"/>
      <c r="H241" s="220"/>
      <c r="I241" s="220"/>
      <c r="J241" s="220"/>
      <c r="K241" s="220"/>
      <c r="L241" s="220"/>
      <c r="M241" s="220"/>
      <c r="N241" s="220"/>
      <c r="O241" s="220"/>
      <c r="P241" s="220"/>
      <c r="Q241" s="220"/>
      <c r="R241" s="220"/>
      <c r="S241" s="220"/>
      <c r="T241" s="85" t="s">
        <v>129</v>
      </c>
      <c r="U241" s="220"/>
      <c r="V241" s="220"/>
      <c r="W241" s="220"/>
      <c r="X241" s="220"/>
      <c r="Y241" s="220"/>
      <c r="Z241" s="220"/>
      <c r="AA241" s="220"/>
      <c r="AB241" s="220"/>
      <c r="AC241" s="220"/>
      <c r="AD241" s="220"/>
      <c r="AE241" s="220"/>
      <c r="AF241" s="220"/>
      <c r="AG241" s="220"/>
      <c r="AH241" s="220"/>
      <c r="AI241" s="220"/>
      <c r="AJ241" s="220"/>
      <c r="AK241" s="220"/>
      <c r="AL241" s="220"/>
      <c r="AM241" s="220"/>
      <c r="AN241" s="220"/>
      <c r="AO241" s="90"/>
      <c r="AP241" s="90"/>
      <c r="AQ241" s="90"/>
      <c r="AR241" s="90"/>
      <c r="AS241" s="90"/>
      <c r="AT241" s="90"/>
      <c r="AU241" s="90"/>
      <c r="AV241" s="90"/>
      <c r="AW241" s="90"/>
      <c r="AX241" s="90"/>
    </row>
    <row r="242" ht="15.75" customHeight="1">
      <c r="A242" s="218" t="s">
        <v>38</v>
      </c>
      <c r="B242" s="64" t="s">
        <v>2293</v>
      </c>
      <c r="C242" s="27" t="s">
        <v>2295</v>
      </c>
      <c r="D242" s="27" t="s">
        <v>2296</v>
      </c>
      <c r="E242" s="27" t="s">
        <v>2297</v>
      </c>
      <c r="F242" s="45"/>
      <c r="G242" s="45"/>
      <c r="H242" s="45"/>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c r="AO242" s="90"/>
      <c r="AP242" s="90"/>
      <c r="AQ242" s="90"/>
      <c r="AR242" s="90"/>
      <c r="AS242" s="90"/>
      <c r="AT242" s="90"/>
      <c r="AU242" s="90"/>
      <c r="AV242" s="90"/>
      <c r="AW242" s="90"/>
      <c r="AX242" s="90"/>
    </row>
    <row r="243" ht="15.75" customHeight="1">
      <c r="A243" s="80" t="s">
        <v>1988</v>
      </c>
      <c r="B243" s="228" t="s">
        <v>2301</v>
      </c>
      <c r="C243" s="27" t="s">
        <v>2302</v>
      </c>
      <c r="D243" s="27" t="s">
        <v>2303</v>
      </c>
      <c r="E243" s="27" t="s">
        <v>2304</v>
      </c>
      <c r="F243" s="45"/>
      <c r="G243" s="45"/>
      <c r="H243" s="45"/>
      <c r="I243" s="83"/>
      <c r="J243" s="84"/>
      <c r="K243" s="83"/>
      <c r="L243" s="83"/>
      <c r="M243" s="83"/>
      <c r="N243" s="83"/>
      <c r="O243" s="83"/>
      <c r="P243" s="83"/>
      <c r="Q243" s="83" t="s">
        <v>150</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90"/>
      <c r="AP243" s="90"/>
      <c r="AQ243" s="90"/>
      <c r="AR243" s="90"/>
      <c r="AS243" s="90"/>
      <c r="AT243" s="90"/>
      <c r="AU243" s="90"/>
      <c r="AV243" s="90"/>
      <c r="AW243" s="90"/>
      <c r="AX243" s="90"/>
    </row>
    <row r="244" ht="15.75" customHeight="1">
      <c r="A244" s="80" t="s">
        <v>1988</v>
      </c>
      <c r="B244" s="228" t="s">
        <v>2308</v>
      </c>
      <c r="C244" s="27" t="s">
        <v>2310</v>
      </c>
      <c r="D244" s="27" t="s">
        <v>2311</v>
      </c>
      <c r="E244" s="27" t="s">
        <v>2312</v>
      </c>
      <c r="F244" s="45"/>
      <c r="G244" s="45"/>
      <c r="H244" s="45"/>
      <c r="I244" s="83"/>
      <c r="J244" s="84"/>
      <c r="K244" s="83"/>
      <c r="L244" s="83"/>
      <c r="M244" s="83"/>
      <c r="N244" s="83"/>
      <c r="O244" s="83"/>
      <c r="P244" s="83"/>
      <c r="Q244" s="83" t="s">
        <v>150</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90"/>
      <c r="AP244" s="90"/>
      <c r="AQ244" s="90"/>
      <c r="AR244" s="90"/>
      <c r="AS244" s="90"/>
      <c r="AT244" s="90"/>
      <c r="AU244" s="90"/>
      <c r="AV244" s="90"/>
      <c r="AW244" s="90"/>
      <c r="AX244" s="90"/>
    </row>
    <row r="245" ht="15.75" customHeight="1">
      <c r="A245" s="151" t="s">
        <v>133</v>
      </c>
      <c r="B245" s="147" t="s">
        <v>2322</v>
      </c>
      <c r="C245" s="147"/>
      <c r="D245" s="226"/>
      <c r="E245" s="226"/>
      <c r="F245" s="149"/>
      <c r="G245" s="149"/>
      <c r="H245" s="149"/>
      <c r="I245" s="149"/>
      <c r="J245" s="150" t="s">
        <v>1982</v>
      </c>
      <c r="K245" s="146" t="s">
        <v>1983</v>
      </c>
      <c r="L245" s="149"/>
      <c r="M245" s="150"/>
      <c r="N245" s="150"/>
      <c r="O245" s="150"/>
      <c r="P245" s="149"/>
      <c r="Q245" s="149"/>
      <c r="R245" s="149"/>
      <c r="S245" s="149"/>
      <c r="T245" s="149"/>
      <c r="U245" s="149"/>
      <c r="V245" s="149"/>
      <c r="W245" s="149"/>
      <c r="X245" s="149"/>
      <c r="Y245" s="149"/>
      <c r="Z245" s="149"/>
      <c r="AA245" s="149"/>
      <c r="AB245" s="149"/>
      <c r="AC245" s="149"/>
      <c r="AD245" s="220"/>
      <c r="AE245" s="220"/>
      <c r="AF245" s="220"/>
      <c r="AG245" s="220"/>
      <c r="AH245" s="220"/>
      <c r="AI245" s="220"/>
      <c r="AJ245" s="220"/>
      <c r="AK245" s="220"/>
      <c r="AL245" s="220"/>
      <c r="AM245" s="220"/>
      <c r="AN245" s="220"/>
      <c r="AO245" s="90"/>
      <c r="AP245" s="90"/>
      <c r="AQ245" s="90"/>
      <c r="AR245" s="90"/>
      <c r="AS245" s="90"/>
      <c r="AT245" s="90"/>
      <c r="AU245" s="90"/>
      <c r="AV245" s="90"/>
      <c r="AW245" s="90"/>
      <c r="AX245" s="90"/>
    </row>
    <row r="246" ht="15.75" customHeight="1">
      <c r="A246" s="80" t="s">
        <v>1306</v>
      </c>
      <c r="B246" s="228" t="s">
        <v>2330</v>
      </c>
      <c r="C246" s="27" t="s">
        <v>2332</v>
      </c>
      <c r="D246" s="27" t="s">
        <v>2334</v>
      </c>
      <c r="E246" s="27" t="s">
        <v>2336</v>
      </c>
      <c r="F246" s="45"/>
      <c r="G246" s="45"/>
      <c r="H246" s="45"/>
      <c r="I246" s="83"/>
      <c r="J246" s="84" t="s">
        <v>8</v>
      </c>
      <c r="K246" s="83"/>
      <c r="L246" s="83"/>
      <c r="M246" s="83"/>
      <c r="N246" s="83"/>
      <c r="O246" s="83"/>
      <c r="P246" s="83"/>
      <c r="Q246" s="83"/>
      <c r="R246" s="83"/>
      <c r="S246" s="83"/>
      <c r="T246" s="83"/>
      <c r="U246" s="83"/>
      <c r="V246" s="83"/>
      <c r="W246" s="83"/>
      <c r="X246" s="83"/>
      <c r="Y246" s="83"/>
      <c r="Z246" s="83"/>
      <c r="AA246" s="83"/>
      <c r="AB246" s="83"/>
      <c r="AC246" s="83"/>
      <c r="AD246" s="220"/>
      <c r="AE246" s="220"/>
      <c r="AF246" s="220"/>
      <c r="AG246" s="220"/>
      <c r="AH246" s="220"/>
      <c r="AI246" s="220"/>
      <c r="AJ246" s="220"/>
      <c r="AK246" s="220"/>
      <c r="AL246" s="220"/>
      <c r="AM246" s="220"/>
      <c r="AN246" s="220"/>
      <c r="AO246" s="90"/>
      <c r="AP246" s="90"/>
      <c r="AQ246" s="90"/>
      <c r="AR246" s="90"/>
      <c r="AS246" s="90"/>
      <c r="AT246" s="90"/>
      <c r="AU246" s="90"/>
      <c r="AV246" s="90"/>
      <c r="AW246" s="90"/>
      <c r="AX246" s="90"/>
    </row>
    <row r="247" ht="15.75" customHeight="1">
      <c r="A247" s="80" t="s">
        <v>1306</v>
      </c>
      <c r="B247" s="228" t="s">
        <v>2342</v>
      </c>
      <c r="C247" s="27" t="s">
        <v>2343</v>
      </c>
      <c r="D247" s="27" t="s">
        <v>2344</v>
      </c>
      <c r="E247" s="27" t="s">
        <v>2345</v>
      </c>
      <c r="F247" s="45"/>
      <c r="G247" s="45"/>
      <c r="H247" s="45"/>
      <c r="I247" s="83"/>
      <c r="J247" s="84" t="s">
        <v>2000</v>
      </c>
      <c r="K247" s="83"/>
      <c r="L247" s="83"/>
      <c r="M247" s="83"/>
      <c r="N247" s="83"/>
      <c r="O247" s="83"/>
      <c r="P247" s="83"/>
      <c r="Q247" s="83" t="s">
        <v>150</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90"/>
      <c r="AP247" s="90"/>
      <c r="AQ247" s="90"/>
      <c r="AR247" s="90"/>
      <c r="AS247" s="90"/>
      <c r="AT247" s="90"/>
      <c r="AU247" s="90"/>
      <c r="AV247" s="90"/>
      <c r="AW247" s="90"/>
      <c r="AX247" s="90"/>
    </row>
    <row r="248" ht="15.75" customHeight="1">
      <c r="A248" s="80" t="s">
        <v>1306</v>
      </c>
      <c r="B248" s="228" t="s">
        <v>2351</v>
      </c>
      <c r="C248" s="27" t="s">
        <v>2353</v>
      </c>
      <c r="D248" s="27" t="s">
        <v>2354</v>
      </c>
      <c r="E248" s="27" t="s">
        <v>2355</v>
      </c>
      <c r="F248" s="45"/>
      <c r="G248" s="45"/>
      <c r="H248" s="45"/>
      <c r="I248" s="83"/>
      <c r="J248" s="84" t="s">
        <v>2000</v>
      </c>
      <c r="K248" s="83"/>
      <c r="L248" s="83"/>
      <c r="M248" s="83"/>
      <c r="N248" s="83"/>
      <c r="O248" s="83"/>
      <c r="P248" s="83"/>
      <c r="Q248" s="83" t="s">
        <v>150</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90"/>
      <c r="AP248" s="90"/>
      <c r="AQ248" s="90"/>
      <c r="AR248" s="90"/>
      <c r="AS248" s="90"/>
      <c r="AT248" s="90"/>
      <c r="AU248" s="90"/>
      <c r="AV248" s="90"/>
      <c r="AW248" s="90"/>
      <c r="AX248" s="90"/>
    </row>
    <row r="249" ht="15.75" customHeight="1">
      <c r="A249" s="80" t="s">
        <v>1306</v>
      </c>
      <c r="B249" s="228" t="s">
        <v>2363</v>
      </c>
      <c r="C249" s="27" t="s">
        <v>2364</v>
      </c>
      <c r="D249" s="27" t="s">
        <v>2365</v>
      </c>
      <c r="E249" s="27" t="s">
        <v>2366</v>
      </c>
      <c r="F249" s="45"/>
      <c r="G249" s="45"/>
      <c r="H249" s="45"/>
      <c r="I249" s="83"/>
      <c r="J249" s="84" t="s">
        <v>2000</v>
      </c>
      <c r="K249" s="83"/>
      <c r="L249" s="83"/>
      <c r="M249" s="83"/>
      <c r="N249" s="83"/>
      <c r="O249" s="83"/>
      <c r="P249" s="83"/>
      <c r="Q249" s="83" t="s">
        <v>150</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90"/>
      <c r="AP249" s="90"/>
      <c r="AQ249" s="90"/>
      <c r="AR249" s="90"/>
      <c r="AS249" s="90"/>
      <c r="AT249" s="90"/>
      <c r="AU249" s="90"/>
      <c r="AV249" s="90"/>
      <c r="AW249" s="90"/>
      <c r="AX249" s="90"/>
    </row>
    <row r="250" ht="15.75" customHeight="1">
      <c r="A250" s="80" t="s">
        <v>1306</v>
      </c>
      <c r="B250" s="228" t="s">
        <v>2373</v>
      </c>
      <c r="C250" s="27" t="s">
        <v>2374</v>
      </c>
      <c r="D250" s="27" t="s">
        <v>2375</v>
      </c>
      <c r="E250" s="27" t="s">
        <v>2376</v>
      </c>
      <c r="F250" s="45"/>
      <c r="G250" s="45"/>
      <c r="H250" s="45"/>
      <c r="I250" s="83"/>
      <c r="J250" s="84" t="s">
        <v>2000</v>
      </c>
      <c r="K250" s="83"/>
      <c r="L250" s="83"/>
      <c r="M250" s="83"/>
      <c r="N250" s="83"/>
      <c r="O250" s="83"/>
      <c r="P250" s="83"/>
      <c r="Q250" s="83" t="s">
        <v>150</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90"/>
      <c r="AP250" s="90"/>
      <c r="AQ250" s="90"/>
      <c r="AR250" s="90"/>
      <c r="AS250" s="90"/>
      <c r="AT250" s="90"/>
      <c r="AU250" s="90"/>
      <c r="AV250" s="90"/>
      <c r="AW250" s="90"/>
      <c r="AX250" s="90"/>
    </row>
    <row r="251" ht="15.75" customHeight="1">
      <c r="A251" s="151" t="s">
        <v>237</v>
      </c>
      <c r="B251" s="226" t="s">
        <v>2322</v>
      </c>
      <c r="C251" s="226"/>
      <c r="D251" s="226"/>
      <c r="E251" s="226"/>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238"/>
      <c r="AE251" s="238"/>
      <c r="AF251" s="238"/>
      <c r="AG251" s="238"/>
      <c r="AH251" s="238"/>
      <c r="AI251" s="238"/>
      <c r="AJ251" s="238"/>
      <c r="AK251" s="238"/>
      <c r="AL251" s="238"/>
      <c r="AM251" s="238"/>
      <c r="AN251" s="238"/>
      <c r="AO251" s="90"/>
      <c r="AP251" s="90"/>
      <c r="AQ251" s="90"/>
      <c r="AR251" s="90"/>
      <c r="AS251" s="90"/>
      <c r="AT251" s="90"/>
      <c r="AU251" s="90"/>
      <c r="AV251" s="90"/>
      <c r="AW251" s="90"/>
      <c r="AX251" s="90"/>
    </row>
    <row r="252" ht="15.75" customHeight="1">
      <c r="A252" s="151" t="s">
        <v>133</v>
      </c>
      <c r="B252" s="147" t="s">
        <v>2389</v>
      </c>
      <c r="C252" s="147"/>
      <c r="D252" s="226"/>
      <c r="E252" s="226"/>
      <c r="F252" s="149"/>
      <c r="G252" s="149"/>
      <c r="H252" s="149"/>
      <c r="I252" s="149"/>
      <c r="J252" s="150" t="s">
        <v>1982</v>
      </c>
      <c r="K252" s="149"/>
      <c r="L252" s="149"/>
      <c r="M252" s="150"/>
      <c r="N252" s="150"/>
      <c r="O252" s="150" t="s">
        <v>2396</v>
      </c>
      <c r="P252" s="149"/>
      <c r="Q252" s="149"/>
      <c r="R252" s="149"/>
      <c r="S252" s="149"/>
      <c r="T252" s="149"/>
      <c r="U252" s="149"/>
      <c r="V252" s="149"/>
      <c r="W252" s="149"/>
      <c r="X252" s="149"/>
      <c r="Y252" s="149"/>
      <c r="Z252" s="149"/>
      <c r="AA252" s="149"/>
      <c r="AB252" s="149"/>
      <c r="AC252" s="149"/>
      <c r="AD252" s="149"/>
      <c r="AE252" s="149"/>
      <c r="AF252" s="149"/>
      <c r="AG252" s="149"/>
      <c r="AH252" s="149"/>
      <c r="AI252" s="149"/>
      <c r="AJ252" s="149"/>
      <c r="AK252" s="149"/>
      <c r="AL252" s="149"/>
      <c r="AM252" s="149"/>
      <c r="AN252" s="149"/>
      <c r="AO252" s="90"/>
      <c r="AP252" s="90"/>
      <c r="AQ252" s="90"/>
      <c r="AR252" s="90"/>
      <c r="AS252" s="90"/>
      <c r="AT252" s="90"/>
      <c r="AU252" s="90"/>
      <c r="AV252" s="90"/>
      <c r="AW252" s="90"/>
      <c r="AX252" s="90"/>
    </row>
    <row r="253" ht="15.75" customHeight="1">
      <c r="A253" s="218" t="s">
        <v>38</v>
      </c>
      <c r="B253" s="64" t="s">
        <v>2403</v>
      </c>
      <c r="C253" s="27" t="s">
        <v>2404</v>
      </c>
      <c r="D253" s="27" t="s">
        <v>2405</v>
      </c>
      <c r="E253" s="27" t="s">
        <v>2406</v>
      </c>
      <c r="F253" s="45"/>
      <c r="G253" s="45"/>
      <c r="H253" s="45"/>
      <c r="I253" s="220"/>
      <c r="J253" s="220" t="s">
        <v>8</v>
      </c>
      <c r="K253" s="220"/>
      <c r="L253" s="220"/>
      <c r="M253" s="220"/>
      <c r="N253" s="220"/>
      <c r="O253" s="220"/>
      <c r="P253" s="220"/>
      <c r="Q253" s="220"/>
      <c r="R253" s="220"/>
      <c r="S253" s="220"/>
      <c r="T253" s="220"/>
      <c r="U253" s="220"/>
      <c r="V253" s="220"/>
      <c r="W253" s="220"/>
      <c r="X253" s="220"/>
      <c r="Y253" s="220"/>
      <c r="Z253" s="220"/>
      <c r="AA253" s="220"/>
      <c r="AB253" s="220"/>
      <c r="AC253" s="220"/>
      <c r="AD253" s="238"/>
      <c r="AE253" s="238"/>
      <c r="AF253" s="238"/>
      <c r="AG253" s="238"/>
      <c r="AH253" s="238"/>
      <c r="AI253" s="238"/>
      <c r="AJ253" s="238"/>
      <c r="AK253" s="238"/>
      <c r="AL253" s="238"/>
      <c r="AM253" s="238"/>
      <c r="AN253" s="238"/>
      <c r="AO253" s="90"/>
      <c r="AP253" s="90"/>
      <c r="AQ253" s="90"/>
      <c r="AR253" s="90"/>
      <c r="AS253" s="90"/>
      <c r="AT253" s="90"/>
      <c r="AU253" s="90"/>
      <c r="AV253" s="90"/>
      <c r="AW253" s="90"/>
      <c r="AX253" s="90"/>
    </row>
    <row r="254" ht="15.75" customHeight="1">
      <c r="A254" s="236" t="s">
        <v>252</v>
      </c>
      <c r="B254" s="237" t="s">
        <v>2421</v>
      </c>
      <c r="C254" s="27" t="s">
        <v>2424</v>
      </c>
      <c r="D254" s="27" t="s">
        <v>2426</v>
      </c>
      <c r="E254" s="27" t="s">
        <v>2428</v>
      </c>
      <c r="F254" s="45" t="s">
        <v>2429</v>
      </c>
      <c r="G254" s="45" t="s">
        <v>2430</v>
      </c>
      <c r="H254" s="45" t="s">
        <v>2431</v>
      </c>
      <c r="I254" s="238"/>
      <c r="J254" s="240" t="s">
        <v>2000</v>
      </c>
      <c r="K254" s="238"/>
      <c r="L254" s="238"/>
      <c r="M254" s="238"/>
      <c r="N254" s="238"/>
      <c r="O254" s="238" t="s">
        <v>2435</v>
      </c>
      <c r="P254" s="238"/>
      <c r="Q254" s="238" t="s">
        <v>150</v>
      </c>
      <c r="R254" s="238"/>
      <c r="S254" s="238"/>
      <c r="T254" s="238"/>
      <c r="U254" s="238"/>
      <c r="V254" s="238"/>
      <c r="W254" s="238"/>
      <c r="X254" s="238"/>
      <c r="Y254" s="238"/>
      <c r="Z254" s="238"/>
      <c r="AA254" s="238"/>
      <c r="AB254" s="238"/>
      <c r="AC254" s="238"/>
      <c r="AD254" s="238"/>
      <c r="AE254" s="238"/>
      <c r="AF254" s="238"/>
      <c r="AG254" s="238"/>
      <c r="AH254" s="238"/>
      <c r="AI254" s="238"/>
      <c r="AJ254" s="238"/>
      <c r="AK254" s="238"/>
      <c r="AL254" s="238"/>
      <c r="AM254" s="238"/>
      <c r="AN254" s="238"/>
      <c r="AO254" s="90"/>
      <c r="AP254" s="90"/>
      <c r="AQ254" s="90"/>
      <c r="AR254" s="90"/>
      <c r="AS254" s="90"/>
      <c r="AT254" s="90"/>
      <c r="AU254" s="90"/>
      <c r="AV254" s="90"/>
      <c r="AW254" s="90"/>
      <c r="AX254" s="90"/>
    </row>
    <row r="255" ht="15.75" customHeight="1">
      <c r="A255" s="236" t="s">
        <v>252</v>
      </c>
      <c r="B255" s="237" t="s">
        <v>2440</v>
      </c>
      <c r="C255" s="27" t="s">
        <v>2442</v>
      </c>
      <c r="D255" s="27" t="s">
        <v>2444</v>
      </c>
      <c r="E255" s="27" t="s">
        <v>2445</v>
      </c>
      <c r="F255" s="45" t="s">
        <v>2429</v>
      </c>
      <c r="G255" s="45" t="s">
        <v>2430</v>
      </c>
      <c r="H255" s="45" t="s">
        <v>2431</v>
      </c>
      <c r="I255" s="238"/>
      <c r="J255" s="240" t="s">
        <v>2000</v>
      </c>
      <c r="K255" s="238"/>
      <c r="L255" s="238"/>
      <c r="M255" s="238"/>
      <c r="N255" s="238"/>
      <c r="O255" s="238" t="s">
        <v>2449</v>
      </c>
      <c r="P255" s="238"/>
      <c r="Q255" s="238" t="s">
        <v>150</v>
      </c>
      <c r="R255" s="238"/>
      <c r="S255" s="238"/>
      <c r="T255" s="238"/>
      <c r="U255" s="238"/>
      <c r="V255" s="238"/>
      <c r="W255" s="238"/>
      <c r="X255" s="238"/>
      <c r="Y255" s="238"/>
      <c r="Z255" s="238"/>
      <c r="AA255" s="238"/>
      <c r="AB255" s="238"/>
      <c r="AC255" s="238"/>
      <c r="AD255" s="238"/>
      <c r="AE255" s="238"/>
      <c r="AF255" s="238"/>
      <c r="AG255" s="238"/>
      <c r="AH255" s="238"/>
      <c r="AI255" s="238"/>
      <c r="AJ255" s="238"/>
      <c r="AK255" s="238"/>
      <c r="AL255" s="238"/>
      <c r="AM255" s="238"/>
      <c r="AN255" s="238"/>
      <c r="AO255" s="90"/>
      <c r="AP255" s="90"/>
      <c r="AQ255" s="90"/>
      <c r="AR255" s="90"/>
      <c r="AS255" s="90"/>
      <c r="AT255" s="90"/>
      <c r="AU255" s="90"/>
      <c r="AV255" s="90"/>
      <c r="AW255" s="90"/>
      <c r="AX255" s="90"/>
    </row>
    <row r="256">
      <c r="A256" s="262" t="s">
        <v>252</v>
      </c>
      <c r="B256" s="237" t="s">
        <v>2450</v>
      </c>
      <c r="C256" s="27" t="s">
        <v>2451</v>
      </c>
      <c r="D256" s="27" t="s">
        <v>2452</v>
      </c>
      <c r="E256" s="27" t="s">
        <v>2454</v>
      </c>
      <c r="F256" s="45" t="s">
        <v>2429</v>
      </c>
      <c r="G256" s="45" t="s">
        <v>2430</v>
      </c>
      <c r="H256" s="45" t="s">
        <v>2431</v>
      </c>
      <c r="I256" s="262"/>
      <c r="J256" s="263" t="s">
        <v>2000</v>
      </c>
      <c r="K256" s="262"/>
      <c r="L256" s="262"/>
      <c r="M256" s="262"/>
      <c r="N256" s="262"/>
      <c r="O256" s="262" t="s">
        <v>2455</v>
      </c>
      <c r="P256" s="262"/>
      <c r="Q256" s="262" t="s">
        <v>150</v>
      </c>
      <c r="R256" s="262"/>
      <c r="S256" s="262"/>
      <c r="T256" s="262"/>
      <c r="U256" s="262"/>
      <c r="V256" s="262"/>
      <c r="W256" s="262"/>
      <c r="X256" s="262"/>
      <c r="Y256" s="262"/>
      <c r="Z256" s="262"/>
      <c r="AA256" s="262"/>
      <c r="AB256" s="262"/>
      <c r="AC256" s="262"/>
      <c r="AD256" s="262"/>
      <c r="AE256" s="262"/>
      <c r="AF256" s="262"/>
      <c r="AG256" s="262"/>
      <c r="AH256" s="262"/>
      <c r="AI256" s="262"/>
      <c r="AJ256" s="262"/>
      <c r="AK256" s="262"/>
      <c r="AL256" s="262"/>
      <c r="AM256" s="262"/>
      <c r="AN256" s="262"/>
      <c r="AO256" s="158"/>
      <c r="AP256" s="158"/>
      <c r="AQ256" s="158"/>
      <c r="AR256" s="158"/>
      <c r="AS256" s="158"/>
      <c r="AT256" s="158"/>
      <c r="AU256" s="158"/>
      <c r="AV256" s="158"/>
      <c r="AW256" s="158"/>
      <c r="AX256" s="158"/>
    </row>
    <row r="257" ht="15.75" customHeight="1">
      <c r="A257" s="236" t="s">
        <v>252</v>
      </c>
      <c r="B257" s="237" t="s">
        <v>2453</v>
      </c>
      <c r="C257" s="27" t="s">
        <v>2466</v>
      </c>
      <c r="D257" s="27" t="s">
        <v>2468</v>
      </c>
      <c r="E257" s="27" t="s">
        <v>2469</v>
      </c>
      <c r="F257" s="45" t="s">
        <v>2429</v>
      </c>
      <c r="G257" s="45" t="s">
        <v>2430</v>
      </c>
      <c r="H257" s="45" t="s">
        <v>2431</v>
      </c>
      <c r="I257" s="238"/>
      <c r="J257" s="240" t="s">
        <v>2000</v>
      </c>
      <c r="K257" s="238"/>
      <c r="L257" s="238"/>
      <c r="M257" s="238"/>
      <c r="N257" s="238"/>
      <c r="O257" s="238" t="s">
        <v>2471</v>
      </c>
      <c r="P257" s="238"/>
      <c r="Q257" s="238" t="s">
        <v>150</v>
      </c>
      <c r="R257" s="238"/>
      <c r="S257" s="238"/>
      <c r="T257" s="238"/>
      <c r="U257" s="238"/>
      <c r="V257" s="238"/>
      <c r="W257" s="238"/>
      <c r="X257" s="238"/>
      <c r="Y257" s="238"/>
      <c r="Z257" s="238"/>
      <c r="AA257" s="238"/>
      <c r="AB257" s="238"/>
      <c r="AC257" s="238"/>
      <c r="AD257" s="238"/>
      <c r="AE257" s="238"/>
      <c r="AF257" s="238"/>
      <c r="AG257" s="238"/>
      <c r="AH257" s="238"/>
      <c r="AI257" s="238"/>
      <c r="AJ257" s="238"/>
      <c r="AK257" s="238"/>
      <c r="AL257" s="238"/>
      <c r="AM257" s="238"/>
      <c r="AN257" s="238"/>
      <c r="AO257" s="90"/>
      <c r="AP257" s="90"/>
      <c r="AQ257" s="90"/>
      <c r="AR257" s="90"/>
      <c r="AS257" s="90"/>
      <c r="AT257" s="90"/>
      <c r="AU257" s="90"/>
      <c r="AV257" s="90"/>
      <c r="AW257" s="90"/>
      <c r="AX257" s="90"/>
    </row>
    <row r="258" ht="15.75" customHeight="1">
      <c r="A258" s="151" t="s">
        <v>237</v>
      </c>
      <c r="B258" s="226" t="s">
        <v>2389</v>
      </c>
      <c r="C258" s="226"/>
      <c r="D258" s="226"/>
      <c r="E258" s="226"/>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49"/>
      <c r="AC258" s="149"/>
      <c r="AD258" s="149"/>
      <c r="AE258" s="149"/>
      <c r="AF258" s="149"/>
      <c r="AG258" s="149"/>
      <c r="AH258" s="149"/>
      <c r="AI258" s="149"/>
      <c r="AJ258" s="149"/>
      <c r="AK258" s="149"/>
      <c r="AL258" s="149"/>
      <c r="AM258" s="149"/>
      <c r="AN258" s="149"/>
      <c r="AO258" s="90"/>
      <c r="AP258" s="90"/>
      <c r="AQ258" s="90"/>
      <c r="AR258" s="90"/>
      <c r="AS258" s="90"/>
      <c r="AT258" s="90"/>
      <c r="AU258" s="90"/>
      <c r="AV258" s="90"/>
      <c r="AW258" s="90"/>
      <c r="AX258" s="90"/>
    </row>
    <row r="259" ht="15.75" customHeight="1">
      <c r="A259" s="85" t="s">
        <v>127</v>
      </c>
      <c r="B259" s="227" t="s">
        <v>2460</v>
      </c>
      <c r="C259" s="63"/>
      <c r="D259" s="63"/>
      <c r="E259" s="63"/>
      <c r="F259" s="220"/>
      <c r="G259" s="220"/>
      <c r="H259" s="220"/>
      <c r="I259" s="220"/>
      <c r="J259" s="220"/>
      <c r="K259" s="220"/>
      <c r="L259" s="220"/>
      <c r="M259" s="220"/>
      <c r="N259" s="220"/>
      <c r="O259" s="220"/>
      <c r="P259" s="220"/>
      <c r="Q259" s="220"/>
      <c r="R259" s="220"/>
      <c r="S259" s="220"/>
      <c r="T259" s="85" t="s">
        <v>129</v>
      </c>
      <c r="U259" s="220"/>
      <c r="V259" s="220"/>
      <c r="W259" s="220"/>
      <c r="X259" s="220"/>
      <c r="Y259" s="220"/>
      <c r="Z259" s="220"/>
      <c r="AA259" s="220"/>
      <c r="AB259" s="220"/>
      <c r="AC259" s="220"/>
      <c r="AD259" s="220"/>
      <c r="AE259" s="220"/>
      <c r="AF259" s="220"/>
      <c r="AG259" s="220"/>
      <c r="AH259" s="220"/>
      <c r="AI259" s="220"/>
      <c r="AJ259" s="220"/>
      <c r="AK259" s="220"/>
      <c r="AL259" s="220"/>
      <c r="AM259" s="220"/>
      <c r="AN259" s="220"/>
      <c r="AO259" s="90"/>
      <c r="AP259" s="90"/>
      <c r="AQ259" s="90"/>
      <c r="AR259" s="90"/>
      <c r="AS259" s="90"/>
      <c r="AT259" s="90"/>
      <c r="AU259" s="90"/>
      <c r="AV259" s="90"/>
      <c r="AW259" s="90"/>
      <c r="AX259" s="90"/>
    </row>
    <row r="260" ht="15.75" customHeight="1">
      <c r="A260" s="144" t="s">
        <v>68</v>
      </c>
      <c r="B260" s="148" t="s">
        <v>2470</v>
      </c>
      <c r="C260" s="147"/>
      <c r="D260" s="147"/>
      <c r="E260" s="147"/>
      <c r="F260" s="149"/>
      <c r="G260" s="149"/>
      <c r="H260" s="149"/>
      <c r="I260" s="149"/>
      <c r="J260" s="150"/>
      <c r="K260" s="149"/>
      <c r="L260" s="149"/>
      <c r="M260" s="149"/>
      <c r="N260" s="149"/>
      <c r="O260" s="150"/>
      <c r="P260" s="149"/>
      <c r="Q260" s="149"/>
      <c r="R260" s="149"/>
      <c r="S260" s="149"/>
      <c r="T260" s="144" t="s">
        <v>2508</v>
      </c>
      <c r="U260" s="149"/>
      <c r="V260" s="149"/>
      <c r="W260" s="149"/>
      <c r="X260" s="149"/>
      <c r="Y260" s="149"/>
      <c r="Z260" s="149"/>
      <c r="AA260" s="149"/>
      <c r="AB260" s="149"/>
      <c r="AC260" s="149"/>
      <c r="AD260" s="149"/>
      <c r="AE260" s="149"/>
      <c r="AF260" s="149"/>
      <c r="AG260" s="149"/>
      <c r="AH260" s="149"/>
      <c r="AI260" s="149"/>
      <c r="AJ260" s="149"/>
      <c r="AK260" s="149"/>
      <c r="AL260" s="149"/>
      <c r="AM260" s="149"/>
      <c r="AN260" s="149"/>
      <c r="AO260" s="90"/>
      <c r="AP260" s="90"/>
      <c r="AQ260" s="90"/>
      <c r="AR260" s="90"/>
      <c r="AS260" s="90"/>
      <c r="AT260" s="90"/>
      <c r="AU260" s="90"/>
      <c r="AV260" s="90"/>
      <c r="AW260" s="90"/>
      <c r="AX260" s="90"/>
    </row>
    <row r="261" ht="15.75" customHeight="1">
      <c r="A261" s="254"/>
      <c r="B261" s="254"/>
      <c r="C261" s="191" t="s">
        <v>50</v>
      </c>
      <c r="D261" s="191" t="s">
        <v>50</v>
      </c>
      <c r="E261" s="191" t="s">
        <v>50</v>
      </c>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row>
    <row r="262" ht="15.75" customHeight="1">
      <c r="A262" s="151" t="s">
        <v>133</v>
      </c>
      <c r="B262" s="147" t="s">
        <v>2487</v>
      </c>
      <c r="C262" s="147" t="s">
        <v>2488</v>
      </c>
      <c r="D262" s="226" t="s">
        <v>2489</v>
      </c>
      <c r="E262" s="226" t="s">
        <v>2490</v>
      </c>
      <c r="F262" s="149"/>
      <c r="G262" s="149"/>
      <c r="H262" s="149"/>
      <c r="I262" s="149"/>
      <c r="J262" s="150"/>
      <c r="K262" s="149"/>
      <c r="L262" s="149"/>
      <c r="M262" s="150"/>
      <c r="N262" s="150"/>
      <c r="O262" s="150"/>
      <c r="P262" s="149"/>
      <c r="Q262" s="149"/>
      <c r="R262" s="149"/>
      <c r="S262" s="149"/>
      <c r="T262" s="149"/>
      <c r="U262" s="149"/>
      <c r="V262" s="149"/>
      <c r="W262" s="149"/>
      <c r="X262" s="149"/>
      <c r="Y262" s="149"/>
      <c r="Z262" s="149"/>
      <c r="AA262" s="149"/>
      <c r="AB262" s="149"/>
      <c r="AC262" s="149"/>
      <c r="AD262" s="149"/>
      <c r="AE262" s="149"/>
      <c r="AF262" s="149"/>
      <c r="AG262" s="149"/>
      <c r="AH262" s="149"/>
      <c r="AI262" s="149"/>
      <c r="AJ262" s="149"/>
      <c r="AK262" s="149"/>
      <c r="AL262" s="149"/>
      <c r="AM262" s="149"/>
      <c r="AN262" s="149"/>
      <c r="AO262" s="90"/>
      <c r="AP262" s="90"/>
      <c r="AQ262" s="90"/>
      <c r="AR262" s="90"/>
      <c r="AS262" s="90"/>
      <c r="AT262" s="90"/>
      <c r="AU262" s="90"/>
      <c r="AV262" s="90"/>
      <c r="AW262" s="90"/>
      <c r="AX262" s="90"/>
    </row>
    <row r="263" ht="15.75" customHeight="1">
      <c r="A263" s="264" t="s">
        <v>127</v>
      </c>
      <c r="B263" s="265" t="s">
        <v>2494</v>
      </c>
      <c r="C263" s="63"/>
      <c r="D263" s="63"/>
      <c r="E263" s="63"/>
      <c r="F263" s="220"/>
      <c r="G263" s="220"/>
      <c r="H263" s="220"/>
      <c r="I263" s="220"/>
      <c r="J263" s="220"/>
      <c r="K263" s="220"/>
      <c r="L263" s="220"/>
      <c r="M263" s="220"/>
      <c r="N263" s="220"/>
      <c r="O263" s="220"/>
      <c r="P263" s="220"/>
      <c r="Q263" s="220"/>
      <c r="R263" s="220"/>
      <c r="S263" s="220"/>
      <c r="T263" s="144" t="s">
        <v>129</v>
      </c>
      <c r="U263" s="220"/>
      <c r="V263" s="220"/>
      <c r="W263" s="220"/>
      <c r="X263" s="220"/>
      <c r="Y263" s="220"/>
      <c r="Z263" s="220"/>
      <c r="AA263" s="220"/>
      <c r="AB263" s="220"/>
      <c r="AC263" s="220"/>
      <c r="AD263" s="220"/>
      <c r="AE263" s="220"/>
      <c r="AF263" s="220"/>
      <c r="AG263" s="220"/>
      <c r="AH263" s="220"/>
      <c r="AI263" s="220"/>
      <c r="AJ263" s="220"/>
      <c r="AK263" s="220"/>
      <c r="AL263" s="220"/>
      <c r="AM263" s="220"/>
      <c r="AN263" s="220"/>
      <c r="AO263" s="90"/>
      <c r="AP263" s="90"/>
      <c r="AQ263" s="90"/>
      <c r="AR263" s="90"/>
      <c r="AS263" s="90"/>
      <c r="AT263" s="90"/>
      <c r="AU263" s="90"/>
      <c r="AV263" s="90"/>
      <c r="AW263" s="90"/>
      <c r="AX263" s="90"/>
    </row>
    <row r="264" ht="15.75" customHeight="1">
      <c r="A264" s="266" t="s">
        <v>38</v>
      </c>
      <c r="B264" s="64" t="s">
        <v>2501</v>
      </c>
      <c r="C264" s="27" t="s">
        <v>2530</v>
      </c>
      <c r="D264" s="27" t="s">
        <v>2531</v>
      </c>
      <c r="E264" s="27" t="s">
        <v>2532</v>
      </c>
      <c r="F264" s="45"/>
      <c r="G264" s="45"/>
      <c r="H264" s="45"/>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c r="AH264" s="220"/>
      <c r="AI264" s="220"/>
      <c r="AJ264" s="220"/>
      <c r="AK264" s="220"/>
      <c r="AL264" s="220"/>
      <c r="AM264" s="220"/>
      <c r="AN264" s="220"/>
      <c r="AO264" s="90"/>
      <c r="AP264" s="90"/>
      <c r="AQ264" s="90"/>
      <c r="AR264" s="90"/>
      <c r="AS264" s="90"/>
      <c r="AT264" s="90"/>
      <c r="AU264" s="90"/>
      <c r="AV264" s="90"/>
      <c r="AW264" s="90"/>
      <c r="AX264" s="90"/>
    </row>
    <row r="265" ht="15.75" customHeight="1">
      <c r="A265" s="80" t="s">
        <v>1306</v>
      </c>
      <c r="B265" s="228" t="s">
        <v>2505</v>
      </c>
      <c r="C265" s="27" t="s">
        <v>2539</v>
      </c>
      <c r="D265" s="27" t="s">
        <v>2541</v>
      </c>
      <c r="E265" s="27" t="s">
        <v>2542</v>
      </c>
      <c r="F265" s="45"/>
      <c r="G265" s="45"/>
      <c r="H265" s="45"/>
      <c r="I265" s="83"/>
      <c r="J265" s="84"/>
      <c r="K265" s="83"/>
      <c r="L265" s="83"/>
      <c r="M265" s="83"/>
      <c r="N265" s="83"/>
      <c r="O265" s="83"/>
      <c r="P265" s="83"/>
      <c r="Q265" s="83" t="s">
        <v>150</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90"/>
      <c r="AP265" s="90"/>
      <c r="AQ265" s="90"/>
      <c r="AR265" s="90"/>
      <c r="AS265" s="90"/>
      <c r="AT265" s="90"/>
      <c r="AU265" s="90"/>
      <c r="AV265" s="90"/>
      <c r="AW265" s="90"/>
      <c r="AX265" s="90"/>
    </row>
    <row r="266" ht="15.75" customHeight="1">
      <c r="A266" s="248" t="s">
        <v>268</v>
      </c>
      <c r="B266" s="249" t="s">
        <v>2506</v>
      </c>
      <c r="C266" s="27" t="s">
        <v>2547</v>
      </c>
      <c r="D266" s="27" t="s">
        <v>2548</v>
      </c>
      <c r="E266" s="27" t="s">
        <v>2549</v>
      </c>
      <c r="F266" s="45"/>
      <c r="G266" s="45"/>
      <c r="H266" s="45"/>
      <c r="I266" s="250"/>
      <c r="J266" s="250"/>
      <c r="K266" s="251" t="s">
        <v>2550</v>
      </c>
      <c r="L266" s="251"/>
      <c r="M266" s="250"/>
      <c r="N266" s="250"/>
      <c r="O266" s="250" t="s">
        <v>2552</v>
      </c>
      <c r="P266" s="250"/>
      <c r="Q266" s="250" t="s">
        <v>150</v>
      </c>
      <c r="R266" s="250"/>
      <c r="S266" s="250"/>
      <c r="T266" s="250"/>
      <c r="U266" s="250"/>
      <c r="V266" s="250"/>
      <c r="W266" s="250"/>
      <c r="X266" s="250"/>
      <c r="Y266" s="250"/>
      <c r="Z266" s="250"/>
      <c r="AA266" s="250"/>
      <c r="AB266" s="250"/>
      <c r="AC266" s="250"/>
      <c r="AD266" s="250"/>
      <c r="AE266" s="250"/>
      <c r="AF266" s="250"/>
      <c r="AG266" s="250"/>
      <c r="AH266" s="250"/>
      <c r="AI266" s="250"/>
      <c r="AJ266" s="250"/>
      <c r="AK266" s="250"/>
      <c r="AL266" s="250"/>
      <c r="AM266" s="250"/>
      <c r="AN266" s="250"/>
      <c r="AO266" s="90"/>
      <c r="AP266" s="90"/>
      <c r="AQ266" s="90"/>
      <c r="AR266" s="90"/>
      <c r="AS266" s="90"/>
      <c r="AT266" s="90"/>
      <c r="AU266" s="90"/>
      <c r="AV266" s="90"/>
      <c r="AW266" s="90"/>
      <c r="AX266" s="90"/>
    </row>
    <row r="267" ht="15.75" customHeight="1">
      <c r="A267" s="80" t="s">
        <v>2509</v>
      </c>
      <c r="B267" s="228" t="s">
        <v>2510</v>
      </c>
      <c r="C267" s="27" t="s">
        <v>2557</v>
      </c>
      <c r="D267" s="27" t="s">
        <v>2558</v>
      </c>
      <c r="E267" s="27" t="s">
        <v>2559</v>
      </c>
      <c r="F267" s="45"/>
      <c r="G267" s="45"/>
      <c r="H267" s="45"/>
      <c r="I267" s="83"/>
      <c r="J267" s="84"/>
      <c r="K267" s="83"/>
      <c r="L267" s="83"/>
      <c r="M267" s="83"/>
      <c r="N267" s="83"/>
      <c r="O267" s="83"/>
      <c r="P267" s="83"/>
      <c r="Q267" s="83" t="s">
        <v>150</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90"/>
      <c r="AP267" s="90"/>
      <c r="AQ267" s="90"/>
      <c r="AR267" s="90"/>
      <c r="AS267" s="90"/>
      <c r="AT267" s="90"/>
      <c r="AU267" s="90"/>
      <c r="AV267" s="90"/>
      <c r="AW267" s="90"/>
      <c r="AX267" s="90"/>
    </row>
    <row r="268" ht="15.75" customHeight="1">
      <c r="A268" s="80" t="s">
        <v>1306</v>
      </c>
      <c r="B268" s="228" t="s">
        <v>2511</v>
      </c>
      <c r="C268" s="27" t="s">
        <v>2561</v>
      </c>
      <c r="D268" s="27" t="s">
        <v>2562</v>
      </c>
      <c r="E268" s="27" t="s">
        <v>2563</v>
      </c>
      <c r="F268" s="45"/>
      <c r="G268" s="45"/>
      <c r="H268" s="45"/>
      <c r="I268" s="83"/>
      <c r="J268" s="84"/>
      <c r="K268" s="83"/>
      <c r="L268" s="83"/>
      <c r="M268" s="83"/>
      <c r="N268" s="83"/>
      <c r="O268" s="83" t="s">
        <v>2564</v>
      </c>
      <c r="P268" s="83"/>
      <c r="Q268" s="83" t="s">
        <v>150</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90"/>
      <c r="AP268" s="90"/>
      <c r="AQ268" s="90"/>
      <c r="AR268" s="90"/>
      <c r="AS268" s="90"/>
      <c r="AT268" s="90"/>
      <c r="AU268" s="90"/>
      <c r="AV268" s="90"/>
      <c r="AW268" s="90"/>
      <c r="AX268" s="90"/>
    </row>
    <row r="269" ht="15.75" customHeight="1">
      <c r="A269" s="80" t="s">
        <v>1573</v>
      </c>
      <c r="B269" s="228" t="s">
        <v>2515</v>
      </c>
      <c r="C269" s="27" t="s">
        <v>2566</v>
      </c>
      <c r="D269" s="27" t="s">
        <v>2568</v>
      </c>
      <c r="E269" s="27" t="s">
        <v>2570</v>
      </c>
      <c r="F269" s="45"/>
      <c r="G269" s="45"/>
      <c r="H269" s="45"/>
      <c r="I269" s="83"/>
      <c r="J269" s="84"/>
      <c r="K269" s="83"/>
      <c r="L269" s="83"/>
      <c r="M269" s="83"/>
      <c r="N269" s="83"/>
      <c r="O269" s="83" t="s">
        <v>2571</v>
      </c>
      <c r="P269" s="83"/>
      <c r="Q269" s="83" t="s">
        <v>150</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90"/>
      <c r="AP269" s="90"/>
      <c r="AQ269" s="90"/>
      <c r="AR269" s="90"/>
      <c r="AS269" s="90"/>
      <c r="AT269" s="90"/>
      <c r="AU269" s="90"/>
      <c r="AV269" s="90"/>
      <c r="AW269" s="90"/>
      <c r="AX269" s="90"/>
    </row>
    <row r="270" ht="15.75" customHeight="1">
      <c r="A270" s="85" t="s">
        <v>2520</v>
      </c>
      <c r="B270" s="228" t="s">
        <v>2521</v>
      </c>
      <c r="C270" s="27" t="s">
        <v>2574</v>
      </c>
      <c r="D270" s="27" t="s">
        <v>2575</v>
      </c>
      <c r="E270" s="27" t="s">
        <v>2576</v>
      </c>
      <c r="F270" s="45"/>
      <c r="G270" s="45"/>
      <c r="H270" s="45"/>
      <c r="I270" s="83"/>
      <c r="J270" s="84"/>
      <c r="K270" s="83"/>
      <c r="L270" s="83"/>
      <c r="M270" s="83"/>
      <c r="N270" s="83"/>
      <c r="O270" s="83" t="s">
        <v>2578</v>
      </c>
      <c r="P270" s="83"/>
      <c r="Q270" s="83" t="s">
        <v>150</v>
      </c>
      <c r="R270" s="83"/>
      <c r="S270" s="83"/>
      <c r="T270" s="83"/>
      <c r="U270" s="83"/>
      <c r="V270" s="83"/>
      <c r="W270" s="83"/>
      <c r="X270" s="83"/>
      <c r="Y270" s="85" t="s">
        <v>2580</v>
      </c>
      <c r="Z270" s="83"/>
      <c r="AA270" s="83"/>
      <c r="AB270" s="83"/>
      <c r="AC270" s="83"/>
      <c r="AD270" s="83"/>
      <c r="AE270" s="83"/>
      <c r="AF270" s="83"/>
      <c r="AG270" s="83"/>
      <c r="AH270" s="83"/>
      <c r="AI270" s="83"/>
      <c r="AJ270" s="83"/>
      <c r="AK270" s="83"/>
      <c r="AL270" s="83"/>
      <c r="AM270" s="83"/>
      <c r="AN270" s="83"/>
      <c r="AO270" s="90"/>
      <c r="AP270" s="90"/>
      <c r="AQ270" s="90"/>
      <c r="AR270" s="90"/>
      <c r="AS270" s="90"/>
      <c r="AT270" s="90"/>
      <c r="AU270" s="90"/>
      <c r="AV270" s="90"/>
      <c r="AW270" s="90"/>
      <c r="AX270" s="90"/>
    </row>
    <row r="271" ht="15.75" customHeight="1">
      <c r="A271" s="236" t="s">
        <v>252</v>
      </c>
      <c r="B271" s="237" t="s">
        <v>2524</v>
      </c>
      <c r="C271" s="27" t="s">
        <v>2582</v>
      </c>
      <c r="D271" s="27" t="s">
        <v>2583</v>
      </c>
      <c r="E271" s="27" t="s">
        <v>2585</v>
      </c>
      <c r="F271" s="45"/>
      <c r="G271" s="45"/>
      <c r="H271" s="45"/>
      <c r="I271" s="238"/>
      <c r="J271" s="240"/>
      <c r="K271" s="238"/>
      <c r="L271" s="238"/>
      <c r="M271" s="238"/>
      <c r="N271" s="238"/>
      <c r="O271" s="238" t="s">
        <v>2587</v>
      </c>
      <c r="P271" s="238"/>
      <c r="Q271" s="268" t="s">
        <v>150</v>
      </c>
      <c r="R271" s="238"/>
      <c r="S271" s="238"/>
      <c r="T271" s="238"/>
      <c r="U271" s="238"/>
      <c r="V271" s="238"/>
      <c r="W271" s="238"/>
      <c r="X271" s="238"/>
      <c r="Y271" s="238"/>
      <c r="Z271" s="238"/>
      <c r="AA271" s="238"/>
      <c r="AB271" s="238"/>
      <c r="AC271" s="238"/>
      <c r="AD271" s="238"/>
      <c r="AE271" s="238"/>
      <c r="AF271" s="238"/>
      <c r="AG271" s="238"/>
      <c r="AH271" s="238"/>
      <c r="AI271" s="238"/>
      <c r="AJ271" s="238"/>
      <c r="AK271" s="238"/>
      <c r="AL271" s="238"/>
      <c r="AM271" s="238"/>
      <c r="AN271" s="238"/>
      <c r="AO271" s="90"/>
      <c r="AP271" s="90"/>
      <c r="AQ271" s="90"/>
      <c r="AR271" s="90"/>
      <c r="AS271" s="90"/>
      <c r="AT271" s="90"/>
      <c r="AU271" s="90"/>
      <c r="AV271" s="90"/>
      <c r="AW271" s="90"/>
      <c r="AX271" s="90"/>
    </row>
    <row r="272" ht="15.75" customHeight="1">
      <c r="A272" s="80" t="s">
        <v>1624</v>
      </c>
      <c r="B272" s="228" t="s">
        <v>2526</v>
      </c>
      <c r="C272" s="27" t="s">
        <v>2590</v>
      </c>
      <c r="D272" s="27" t="s">
        <v>2591</v>
      </c>
      <c r="E272" s="27" t="s">
        <v>2592</v>
      </c>
      <c r="F272" s="45"/>
      <c r="G272" s="45"/>
      <c r="H272" s="45"/>
      <c r="I272" s="83"/>
      <c r="J272" s="84" t="s">
        <v>2593</v>
      </c>
      <c r="K272" s="83"/>
      <c r="L272" s="83"/>
      <c r="M272" s="83"/>
      <c r="N272" s="83"/>
      <c r="O272" s="85" t="s">
        <v>2595</v>
      </c>
      <c r="P272" s="83"/>
      <c r="Q272" s="85" t="s">
        <v>150</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90"/>
      <c r="AP272" s="90"/>
      <c r="AQ272" s="90"/>
      <c r="AR272" s="90"/>
      <c r="AS272" s="90"/>
      <c r="AT272" s="90"/>
      <c r="AU272" s="90"/>
      <c r="AV272" s="90"/>
      <c r="AW272" s="90"/>
      <c r="AX272" s="90"/>
    </row>
    <row r="273" ht="15.75" customHeight="1">
      <c r="A273" s="236" t="s">
        <v>252</v>
      </c>
      <c r="B273" s="267" t="s">
        <v>2533</v>
      </c>
      <c r="C273" s="27" t="s">
        <v>2598</v>
      </c>
      <c r="D273" s="27" t="s">
        <v>2599</v>
      </c>
      <c r="E273" s="27" t="s">
        <v>2600</v>
      </c>
      <c r="F273" s="45"/>
      <c r="G273" s="45"/>
      <c r="H273" s="45"/>
      <c r="I273" s="238"/>
      <c r="J273" s="240"/>
      <c r="K273" s="238"/>
      <c r="L273" s="238"/>
      <c r="M273" s="238"/>
      <c r="N273" s="238"/>
      <c r="O273" s="268" t="s">
        <v>2601</v>
      </c>
      <c r="P273" s="238"/>
      <c r="Q273" s="268" t="s">
        <v>150</v>
      </c>
      <c r="R273" s="238"/>
      <c r="S273" s="238"/>
      <c r="T273" s="238"/>
      <c r="U273" s="238"/>
      <c r="V273" s="238"/>
      <c r="W273" s="238"/>
      <c r="X273" s="238"/>
      <c r="Y273" s="238"/>
      <c r="Z273" s="238"/>
      <c r="AA273" s="238"/>
      <c r="AB273" s="238"/>
      <c r="AC273" s="238"/>
      <c r="AD273" s="238"/>
      <c r="AE273" s="238"/>
      <c r="AF273" s="238"/>
      <c r="AG273" s="238"/>
      <c r="AH273" s="238"/>
      <c r="AI273" s="238"/>
      <c r="AJ273" s="238"/>
      <c r="AK273" s="238"/>
      <c r="AL273" s="238"/>
      <c r="AM273" s="238"/>
      <c r="AN273" s="238"/>
      <c r="AO273" s="90"/>
      <c r="AP273" s="90"/>
      <c r="AQ273" s="90"/>
      <c r="AR273" s="90"/>
      <c r="AS273" s="90"/>
      <c r="AT273" s="90"/>
      <c r="AU273" s="90"/>
      <c r="AV273" s="90"/>
      <c r="AW273" s="90"/>
      <c r="AX273" s="90"/>
    </row>
    <row r="274" ht="15.75" customHeight="1">
      <c r="A274" s="236" t="s">
        <v>2509</v>
      </c>
      <c r="B274" s="267" t="s">
        <v>2537</v>
      </c>
      <c r="C274" s="27" t="s">
        <v>2604</v>
      </c>
      <c r="D274" s="27" t="s">
        <v>2605</v>
      </c>
      <c r="E274" s="27" t="s">
        <v>2606</v>
      </c>
      <c r="F274" s="45" t="s">
        <v>2607</v>
      </c>
      <c r="G274" s="45" t="s">
        <v>2608</v>
      </c>
      <c r="H274" s="45" t="s">
        <v>2609</v>
      </c>
      <c r="I274" s="238"/>
      <c r="J274" s="240"/>
      <c r="K274" s="238"/>
      <c r="L274" s="238"/>
      <c r="M274" s="238"/>
      <c r="N274" s="238"/>
      <c r="O274" s="268" t="s">
        <v>2564</v>
      </c>
      <c r="P274" s="238"/>
      <c r="Q274" s="268" t="s">
        <v>150</v>
      </c>
      <c r="R274" s="238"/>
      <c r="S274" s="238"/>
      <c r="T274" s="238"/>
      <c r="U274" s="238"/>
      <c r="V274" s="238"/>
      <c r="W274" s="238"/>
      <c r="X274" s="238"/>
      <c r="Y274" s="238"/>
      <c r="Z274" s="238"/>
      <c r="AA274" s="238"/>
      <c r="AB274" s="238"/>
      <c r="AC274" s="238"/>
      <c r="AD274" s="238"/>
      <c r="AE274" s="238"/>
      <c r="AF274" s="238"/>
      <c r="AG274" s="238"/>
      <c r="AH274" s="238"/>
      <c r="AI274" s="238"/>
      <c r="AJ274" s="238"/>
      <c r="AK274" s="238"/>
      <c r="AL274" s="238"/>
      <c r="AM274" s="238"/>
      <c r="AN274" s="238"/>
      <c r="AO274" s="90"/>
      <c r="AP274" s="90"/>
      <c r="AQ274" s="90"/>
      <c r="AR274" s="90"/>
      <c r="AS274" s="90"/>
      <c r="AT274" s="90"/>
      <c r="AU274" s="90"/>
      <c r="AV274" s="90"/>
      <c r="AW274" s="90"/>
      <c r="AX274" s="90"/>
    </row>
    <row r="275" ht="15.75" customHeight="1">
      <c r="A275" s="248" t="s">
        <v>268</v>
      </c>
      <c r="B275" s="249" t="s">
        <v>2543</v>
      </c>
      <c r="C275" s="27" t="s">
        <v>2615</v>
      </c>
      <c r="D275" s="27" t="s">
        <v>2616</v>
      </c>
      <c r="E275" s="27" t="s">
        <v>2618</v>
      </c>
      <c r="F275" s="45" t="s">
        <v>2619</v>
      </c>
      <c r="G275" s="45" t="s">
        <v>2620</v>
      </c>
      <c r="H275" s="45" t="s">
        <v>2621</v>
      </c>
      <c r="I275" s="250"/>
      <c r="J275" s="250"/>
      <c r="K275" s="251" t="s">
        <v>2622</v>
      </c>
      <c r="L275" s="251"/>
      <c r="M275" s="250"/>
      <c r="N275" s="250"/>
      <c r="O275" s="250" t="s">
        <v>2564</v>
      </c>
      <c r="P275" s="250"/>
      <c r="Q275" s="250" t="s">
        <v>150</v>
      </c>
      <c r="R275" s="250"/>
      <c r="S275" s="250"/>
      <c r="T275" s="250"/>
      <c r="U275" s="250"/>
      <c r="V275" s="250"/>
      <c r="W275" s="250"/>
      <c r="X275" s="250"/>
      <c r="Y275" s="250"/>
      <c r="Z275" s="250"/>
      <c r="AA275" s="250"/>
      <c r="AB275" s="250"/>
      <c r="AC275" s="250"/>
      <c r="AD275" s="250"/>
      <c r="AE275" s="250"/>
      <c r="AF275" s="250"/>
      <c r="AG275" s="250"/>
      <c r="AH275" s="250"/>
      <c r="AI275" s="250"/>
      <c r="AJ275" s="250"/>
      <c r="AK275" s="250"/>
      <c r="AL275" s="250"/>
      <c r="AM275" s="250"/>
      <c r="AN275" s="250"/>
      <c r="AO275" s="90"/>
      <c r="AP275" s="90"/>
      <c r="AQ275" s="90"/>
      <c r="AR275" s="90"/>
      <c r="AS275" s="90"/>
      <c r="AT275" s="90"/>
      <c r="AU275" s="90"/>
      <c r="AV275" s="90"/>
      <c r="AW275" s="90"/>
      <c r="AX275" s="90"/>
    </row>
    <row r="276" ht="15.75" customHeight="1">
      <c r="A276" s="248" t="s">
        <v>268</v>
      </c>
      <c r="B276" s="249" t="s">
        <v>2551</v>
      </c>
      <c r="C276" s="27" t="s">
        <v>2632</v>
      </c>
      <c r="D276" s="27" t="s">
        <v>2633</v>
      </c>
      <c r="E276" s="27" t="s">
        <v>2634</v>
      </c>
      <c r="F276" s="45" t="s">
        <v>2619</v>
      </c>
      <c r="G276" s="45" t="s">
        <v>2620</v>
      </c>
      <c r="H276" s="45" t="s">
        <v>2621</v>
      </c>
      <c r="I276" s="250"/>
      <c r="J276" s="250"/>
      <c r="K276" s="251" t="s">
        <v>2622</v>
      </c>
      <c r="L276" s="251"/>
      <c r="M276" s="250"/>
      <c r="N276" s="250"/>
      <c r="O276" s="250" t="s">
        <v>2564</v>
      </c>
      <c r="P276" s="250"/>
      <c r="Q276" s="250" t="s">
        <v>150</v>
      </c>
      <c r="R276" s="250"/>
      <c r="S276" s="250"/>
      <c r="T276" s="250"/>
      <c r="U276" s="250"/>
      <c r="V276" s="250"/>
      <c r="W276" s="250"/>
      <c r="X276" s="250"/>
      <c r="Y276" s="250"/>
      <c r="Z276" s="250"/>
      <c r="AA276" s="250"/>
      <c r="AB276" s="250"/>
      <c r="AC276" s="250"/>
      <c r="AD276" s="250"/>
      <c r="AE276" s="250"/>
      <c r="AF276" s="250"/>
      <c r="AG276" s="250"/>
      <c r="AH276" s="250"/>
      <c r="AI276" s="250"/>
      <c r="AJ276" s="250"/>
      <c r="AK276" s="250"/>
      <c r="AL276" s="250"/>
      <c r="AM276" s="250"/>
      <c r="AN276" s="250"/>
      <c r="AO276" s="90"/>
      <c r="AP276" s="90"/>
      <c r="AQ276" s="90"/>
      <c r="AR276" s="90"/>
      <c r="AS276" s="90"/>
      <c r="AT276" s="90"/>
      <c r="AU276" s="90"/>
      <c r="AV276" s="90"/>
      <c r="AW276" s="90"/>
      <c r="AX276" s="90"/>
    </row>
    <row r="277" ht="15.75" customHeight="1">
      <c r="A277" s="80" t="s">
        <v>1306</v>
      </c>
      <c r="B277" s="228" t="s">
        <v>2556</v>
      </c>
      <c r="C277" s="27" t="s">
        <v>2640</v>
      </c>
      <c r="D277" s="27" t="s">
        <v>2641</v>
      </c>
      <c r="E277" s="27" t="s">
        <v>2642</v>
      </c>
      <c r="F277" s="45"/>
      <c r="G277" s="45"/>
      <c r="H277" s="45"/>
      <c r="I277" s="83"/>
      <c r="J277" s="84"/>
      <c r="K277" s="83"/>
      <c r="L277" s="83"/>
      <c r="M277" s="83"/>
      <c r="N277" s="83"/>
      <c r="O277" s="83" t="s">
        <v>2643</v>
      </c>
      <c r="P277" s="83"/>
      <c r="Q277" s="83" t="s">
        <v>150</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90"/>
      <c r="AP277" s="90"/>
      <c r="AQ277" s="90"/>
      <c r="AR277" s="90"/>
      <c r="AS277" s="90"/>
      <c r="AT277" s="90"/>
      <c r="AU277" s="90"/>
      <c r="AV277" s="90"/>
      <c r="AW277" s="90"/>
      <c r="AX277" s="90"/>
    </row>
    <row r="278" ht="15.75" customHeight="1">
      <c r="A278" s="80" t="s">
        <v>1306</v>
      </c>
      <c r="B278" s="228" t="s">
        <v>2560</v>
      </c>
      <c r="C278" s="27" t="s">
        <v>2646</v>
      </c>
      <c r="D278" s="27" t="s">
        <v>2647</v>
      </c>
      <c r="E278" s="27" t="s">
        <v>2648</v>
      </c>
      <c r="F278" s="45"/>
      <c r="G278" s="45"/>
      <c r="H278" s="45"/>
      <c r="I278" s="83"/>
      <c r="J278" s="84"/>
      <c r="K278" s="83"/>
      <c r="L278" s="83"/>
      <c r="M278" s="83"/>
      <c r="N278" s="83"/>
      <c r="O278" s="83" t="s">
        <v>2564</v>
      </c>
      <c r="P278" s="83"/>
      <c r="Q278" s="83" t="s">
        <v>150</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90"/>
      <c r="AP278" s="90"/>
      <c r="AQ278" s="90"/>
      <c r="AR278" s="90"/>
      <c r="AS278" s="90"/>
      <c r="AT278" s="90"/>
      <c r="AU278" s="90"/>
      <c r="AV278" s="90"/>
      <c r="AW278" s="90"/>
      <c r="AX278" s="90"/>
    </row>
    <row r="279" ht="15.75" customHeight="1">
      <c r="A279" s="248" t="s">
        <v>268</v>
      </c>
      <c r="B279" s="249" t="s">
        <v>2565</v>
      </c>
      <c r="C279" s="27" t="s">
        <v>2652</v>
      </c>
      <c r="D279" s="27" t="s">
        <v>2653</v>
      </c>
      <c r="E279" s="27" t="s">
        <v>2654</v>
      </c>
      <c r="F279" s="45" t="s">
        <v>2619</v>
      </c>
      <c r="G279" s="45" t="s">
        <v>2620</v>
      </c>
      <c r="H279" s="45" t="s">
        <v>2621</v>
      </c>
      <c r="I279" s="250"/>
      <c r="J279" s="250"/>
      <c r="K279" s="251" t="s">
        <v>2550</v>
      </c>
      <c r="L279" s="251"/>
      <c r="M279" s="250"/>
      <c r="N279" s="250"/>
      <c r="O279" s="250" t="s">
        <v>2643</v>
      </c>
      <c r="P279" s="250"/>
      <c r="Q279" s="250" t="s">
        <v>150</v>
      </c>
      <c r="R279" s="250"/>
      <c r="S279" s="250"/>
      <c r="T279" s="250"/>
      <c r="U279" s="250"/>
      <c r="V279" s="250"/>
      <c r="W279" s="250"/>
      <c r="X279" s="250"/>
      <c r="Y279" s="250"/>
      <c r="Z279" s="250"/>
      <c r="AA279" s="250"/>
      <c r="AB279" s="250"/>
      <c r="AC279" s="250"/>
      <c r="AD279" s="250"/>
      <c r="AE279" s="250"/>
      <c r="AF279" s="250"/>
      <c r="AG279" s="250"/>
      <c r="AH279" s="250"/>
      <c r="AI279" s="250"/>
      <c r="AJ279" s="250"/>
      <c r="AK279" s="250"/>
      <c r="AL279" s="250"/>
      <c r="AM279" s="250"/>
      <c r="AN279" s="250"/>
      <c r="AO279" s="90"/>
      <c r="AP279" s="90"/>
      <c r="AQ279" s="90"/>
      <c r="AR279" s="90"/>
      <c r="AS279" s="90"/>
      <c r="AT279" s="90"/>
      <c r="AU279" s="90"/>
      <c r="AV279" s="90"/>
      <c r="AW279" s="90"/>
      <c r="AX279" s="90"/>
    </row>
    <row r="280" ht="15.75" customHeight="1">
      <c r="A280" s="80" t="s">
        <v>2567</v>
      </c>
      <c r="B280" s="228" t="s">
        <v>2569</v>
      </c>
      <c r="C280" s="27" t="s">
        <v>2658</v>
      </c>
      <c r="D280" s="27" t="s">
        <v>2659</v>
      </c>
      <c r="E280" s="27" t="s">
        <v>2660</v>
      </c>
      <c r="F280" s="45"/>
      <c r="G280" s="45"/>
      <c r="H280" s="45"/>
      <c r="I280" s="83"/>
      <c r="J280" s="84"/>
      <c r="K280" s="83"/>
      <c r="L280" s="83"/>
      <c r="M280" s="83"/>
      <c r="N280" s="83"/>
      <c r="O280" s="83" t="s">
        <v>2661</v>
      </c>
      <c r="P280" s="83"/>
      <c r="Q280" s="83" t="s">
        <v>150</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90"/>
      <c r="AP280" s="90"/>
      <c r="AQ280" s="90"/>
      <c r="AR280" s="90"/>
      <c r="AS280" s="90"/>
      <c r="AT280" s="90"/>
      <c r="AU280" s="90"/>
      <c r="AV280" s="90"/>
      <c r="AW280" s="90"/>
      <c r="AX280" s="90"/>
    </row>
    <row r="281" ht="15.75" customHeight="1">
      <c r="A281" s="80" t="s">
        <v>1306</v>
      </c>
      <c r="B281" s="228" t="s">
        <v>2573</v>
      </c>
      <c r="C281" s="27" t="s">
        <v>2665</v>
      </c>
      <c r="D281" s="27" t="s">
        <v>2667</v>
      </c>
      <c r="E281" s="27" t="s">
        <v>2668</v>
      </c>
      <c r="F281" s="45" t="s">
        <v>2670</v>
      </c>
      <c r="G281" s="45"/>
      <c r="H281" s="45"/>
      <c r="I281" s="83"/>
      <c r="J281" s="84"/>
      <c r="K281" s="83"/>
      <c r="L281" s="83"/>
      <c r="M281" s="83"/>
      <c r="N281" s="83"/>
      <c r="O281" s="83"/>
      <c r="P281" s="83"/>
      <c r="Q281" s="83" t="s">
        <v>150</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90"/>
      <c r="AP281" s="90"/>
      <c r="AQ281" s="90"/>
      <c r="AR281" s="90"/>
      <c r="AS281" s="90"/>
      <c r="AT281" s="90"/>
      <c r="AU281" s="90"/>
      <c r="AV281" s="90"/>
      <c r="AW281" s="90"/>
      <c r="AX281" s="90"/>
    </row>
    <row r="282" ht="15.75" customHeight="1">
      <c r="A282" s="218" t="s">
        <v>38</v>
      </c>
      <c r="B282" s="64" t="s">
        <v>2577</v>
      </c>
      <c r="C282" s="27" t="s">
        <v>2675</v>
      </c>
      <c r="D282" s="27" t="s">
        <v>2676</v>
      </c>
      <c r="E282" s="27" t="s">
        <v>2678</v>
      </c>
      <c r="F282" s="45" t="s">
        <v>2679</v>
      </c>
      <c r="G282" s="45" t="s">
        <v>2680</v>
      </c>
      <c r="H282" s="45" t="s">
        <v>2681</v>
      </c>
      <c r="I282" s="220"/>
      <c r="J282" s="220"/>
      <c r="K282" s="220"/>
      <c r="L282" s="220"/>
      <c r="M282" s="220"/>
      <c r="N282" s="220"/>
      <c r="O282" s="220" t="s">
        <v>2683</v>
      </c>
      <c r="P282" s="220"/>
      <c r="Q282" s="220"/>
      <c r="R282" s="220"/>
      <c r="S282" s="220"/>
      <c r="T282" s="220"/>
      <c r="U282" s="220"/>
      <c r="V282" s="220"/>
      <c r="W282" s="220"/>
      <c r="X282" s="220"/>
      <c r="Y282" s="220"/>
      <c r="Z282" s="220"/>
      <c r="AA282" s="220"/>
      <c r="AB282" s="220"/>
      <c r="AC282" s="220"/>
      <c r="AD282" s="220"/>
      <c r="AE282" s="220"/>
      <c r="AF282" s="220"/>
      <c r="AG282" s="220"/>
      <c r="AH282" s="220"/>
      <c r="AI282" s="220"/>
      <c r="AJ282" s="220"/>
      <c r="AK282" s="220"/>
      <c r="AL282" s="220"/>
      <c r="AM282" s="220"/>
      <c r="AN282" s="220"/>
      <c r="AO282" s="90"/>
      <c r="AP282" s="90"/>
      <c r="AQ282" s="90"/>
      <c r="AR282" s="90"/>
      <c r="AS282" s="90"/>
      <c r="AT282" s="90"/>
      <c r="AU282" s="90"/>
      <c r="AV282" s="90"/>
      <c r="AW282" s="90"/>
      <c r="AX282" s="90"/>
    </row>
    <row r="283" ht="15.75" customHeight="1">
      <c r="A283" s="80" t="s">
        <v>1586</v>
      </c>
      <c r="B283" s="228" t="s">
        <v>2581</v>
      </c>
      <c r="C283" s="27" t="s">
        <v>2684</v>
      </c>
      <c r="D283" s="27" t="s">
        <v>2685</v>
      </c>
      <c r="E283" s="27" t="s">
        <v>2686</v>
      </c>
      <c r="F283" s="45" t="s">
        <v>1920</v>
      </c>
      <c r="G283" s="45" t="s">
        <v>1921</v>
      </c>
      <c r="H283" s="45" t="s">
        <v>1922</v>
      </c>
      <c r="I283" s="83"/>
      <c r="J283" s="84"/>
      <c r="K283" s="83"/>
      <c r="L283" s="83"/>
      <c r="M283" s="83"/>
      <c r="N283" s="83"/>
      <c r="O283" s="83" t="s">
        <v>2683</v>
      </c>
      <c r="P283" s="83"/>
      <c r="Q283" s="83" t="s">
        <v>150</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90"/>
      <c r="AP283" s="90"/>
      <c r="AQ283" s="90"/>
      <c r="AR283" s="90"/>
      <c r="AS283" s="90"/>
      <c r="AT283" s="90"/>
      <c r="AU283" s="90"/>
      <c r="AV283" s="90"/>
      <c r="AW283" s="90"/>
      <c r="AX283" s="90"/>
    </row>
    <row r="284" ht="15.75" customHeight="1">
      <c r="A284" s="80" t="s">
        <v>1573</v>
      </c>
      <c r="B284" s="228" t="s">
        <v>2586</v>
      </c>
      <c r="C284" s="27" t="s">
        <v>2692</v>
      </c>
      <c r="D284" s="27" t="s">
        <v>2693</v>
      </c>
      <c r="E284" s="27" t="s">
        <v>2694</v>
      </c>
      <c r="F284" s="45"/>
      <c r="G284" s="45"/>
      <c r="H284" s="45"/>
      <c r="I284" s="83"/>
      <c r="J284" s="84"/>
      <c r="K284" s="83"/>
      <c r="L284" s="83"/>
      <c r="M284" s="83"/>
      <c r="N284" s="83"/>
      <c r="O284" s="83" t="s">
        <v>2696</v>
      </c>
      <c r="P284" s="83"/>
      <c r="Q284" s="83" t="s">
        <v>150</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90"/>
      <c r="AP284" s="90"/>
      <c r="AQ284" s="90"/>
      <c r="AR284" s="90"/>
      <c r="AS284" s="90"/>
      <c r="AT284" s="90"/>
      <c r="AU284" s="90"/>
      <c r="AV284" s="90"/>
      <c r="AW284" s="90"/>
      <c r="AX284" s="90"/>
    </row>
    <row r="285" ht="15.75" customHeight="1">
      <c r="A285" s="80" t="s">
        <v>1624</v>
      </c>
      <c r="B285" s="228" t="s">
        <v>2588</v>
      </c>
      <c r="C285" s="27" t="s">
        <v>2698</v>
      </c>
      <c r="D285" s="27" t="s">
        <v>2699</v>
      </c>
      <c r="E285" s="27" t="s">
        <v>2700</v>
      </c>
      <c r="F285" s="45"/>
      <c r="G285" s="45"/>
      <c r="H285" s="45"/>
      <c r="I285" s="83"/>
      <c r="J285" s="84" t="s">
        <v>2701</v>
      </c>
      <c r="K285" s="83"/>
      <c r="L285" s="83"/>
      <c r="M285" s="83"/>
      <c r="N285" s="83"/>
      <c r="O285" s="85" t="s">
        <v>2702</v>
      </c>
      <c r="P285" s="83"/>
      <c r="Q285" s="83" t="s">
        <v>150</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90"/>
      <c r="AP285" s="90"/>
      <c r="AQ285" s="90"/>
      <c r="AR285" s="90"/>
      <c r="AS285" s="90"/>
      <c r="AT285" s="90"/>
      <c r="AU285" s="90"/>
      <c r="AV285" s="90"/>
      <c r="AW285" s="90"/>
      <c r="AX285" s="90"/>
    </row>
    <row r="286" ht="15.75" customHeight="1">
      <c r="A286" s="80" t="s">
        <v>1306</v>
      </c>
      <c r="B286" s="228" t="s">
        <v>2594</v>
      </c>
      <c r="C286" s="27" t="s">
        <v>2708</v>
      </c>
      <c r="D286" s="27" t="s">
        <v>2709</v>
      </c>
      <c r="E286" s="27" t="s">
        <v>2710</v>
      </c>
      <c r="F286" s="45"/>
      <c r="G286" s="45"/>
      <c r="H286" s="45"/>
      <c r="I286" s="83"/>
      <c r="J286" s="84"/>
      <c r="K286" s="83"/>
      <c r="L286" s="83"/>
      <c r="M286" s="83"/>
      <c r="N286" s="83"/>
      <c r="O286" s="83"/>
      <c r="P286" s="83"/>
      <c r="Q286" s="83" t="s">
        <v>150</v>
      </c>
      <c r="R286" s="83"/>
      <c r="S286" s="83"/>
      <c r="T286" s="83"/>
      <c r="U286" s="83"/>
      <c r="V286" s="83"/>
      <c r="W286" s="83"/>
      <c r="X286" s="83"/>
      <c r="Y286" s="83"/>
      <c r="Z286" s="83"/>
      <c r="AA286" s="83"/>
      <c r="AB286" s="83"/>
      <c r="AC286" s="83"/>
      <c r="AD286" s="90"/>
      <c r="AE286" s="90"/>
      <c r="AF286" s="90"/>
      <c r="AG286" s="90"/>
      <c r="AH286" s="90"/>
      <c r="AI286" s="90"/>
      <c r="AJ286" s="90"/>
      <c r="AK286" s="90"/>
      <c r="AL286" s="90"/>
      <c r="AM286" s="90"/>
      <c r="AN286" s="90"/>
      <c r="AO286" s="90"/>
      <c r="AP286" s="90"/>
      <c r="AQ286" s="90"/>
      <c r="AR286" s="90"/>
      <c r="AS286" s="90"/>
      <c r="AT286" s="90"/>
      <c r="AU286" s="90"/>
      <c r="AV286" s="90"/>
      <c r="AW286" s="90"/>
      <c r="AX286" s="90"/>
    </row>
    <row r="287" ht="15.75" customHeight="1">
      <c r="A287" s="80" t="s">
        <v>1306</v>
      </c>
      <c r="B287" s="228" t="s">
        <v>2597</v>
      </c>
      <c r="C287" s="27" t="s">
        <v>2713</v>
      </c>
      <c r="D287" s="27" t="s">
        <v>2714</v>
      </c>
      <c r="E287" s="27" t="s">
        <v>2716</v>
      </c>
      <c r="F287" s="45"/>
      <c r="G287" s="45"/>
      <c r="H287" s="45"/>
      <c r="I287" s="83"/>
      <c r="J287" s="84"/>
      <c r="K287" s="83"/>
      <c r="L287" s="83"/>
      <c r="M287" s="83"/>
      <c r="N287" s="83"/>
      <c r="O287" s="83"/>
      <c r="P287" s="83"/>
      <c r="Q287" s="83" t="s">
        <v>150</v>
      </c>
      <c r="R287" s="83"/>
      <c r="S287" s="83"/>
      <c r="T287" s="83"/>
      <c r="U287" s="83"/>
      <c r="V287" s="83"/>
      <c r="W287" s="83"/>
      <c r="X287" s="83"/>
      <c r="Y287" s="83"/>
      <c r="Z287" s="83"/>
      <c r="AA287" s="83"/>
      <c r="AB287" s="83"/>
      <c r="AC287" s="83"/>
      <c r="AD287" s="90"/>
      <c r="AE287" s="90"/>
      <c r="AF287" s="90"/>
      <c r="AG287" s="90"/>
      <c r="AH287" s="90"/>
      <c r="AI287" s="90"/>
      <c r="AJ287" s="90"/>
      <c r="AK287" s="90"/>
      <c r="AL287" s="90"/>
      <c r="AM287" s="90"/>
      <c r="AN287" s="90"/>
      <c r="AO287" s="90"/>
      <c r="AP287" s="90"/>
      <c r="AQ287" s="90"/>
      <c r="AR287" s="90"/>
      <c r="AS287" s="90"/>
      <c r="AT287" s="90"/>
      <c r="AU287" s="90"/>
      <c r="AV287" s="90"/>
      <c r="AW287" s="90"/>
      <c r="AX287" s="90"/>
    </row>
    <row r="288" ht="15.75" customHeight="1">
      <c r="A288" s="269" t="s">
        <v>1306</v>
      </c>
      <c r="B288" s="228" t="s">
        <v>2602</v>
      </c>
      <c r="C288" s="27" t="s">
        <v>2722</v>
      </c>
      <c r="D288" s="27" t="s">
        <v>2723</v>
      </c>
      <c r="E288" s="27" t="s">
        <v>2724</v>
      </c>
      <c r="F288" s="45"/>
      <c r="G288" s="45"/>
      <c r="H288" s="45"/>
      <c r="I288" s="83"/>
      <c r="J288" s="84"/>
      <c r="K288" s="83"/>
      <c r="L288" s="83"/>
      <c r="M288" s="83"/>
      <c r="N288" s="83"/>
      <c r="O288" s="83"/>
      <c r="P288" s="83"/>
      <c r="Q288" s="83" t="s">
        <v>150</v>
      </c>
      <c r="R288" s="83"/>
      <c r="S288" s="83"/>
      <c r="T288" s="83"/>
      <c r="U288" s="83"/>
      <c r="V288" s="83"/>
      <c r="W288" s="83"/>
      <c r="X288" s="83"/>
      <c r="Y288" s="83"/>
      <c r="Z288" s="83"/>
      <c r="AA288" s="83"/>
      <c r="AB288" s="83"/>
      <c r="AC288" s="83"/>
      <c r="AD288" s="149"/>
      <c r="AE288" s="149"/>
      <c r="AF288" s="149"/>
      <c r="AG288" s="149"/>
      <c r="AH288" s="149"/>
      <c r="AI288" s="149"/>
      <c r="AJ288" s="149"/>
      <c r="AK288" s="149"/>
      <c r="AL288" s="149"/>
      <c r="AM288" s="149"/>
      <c r="AN288" s="149"/>
      <c r="AO288" s="90"/>
      <c r="AP288" s="90"/>
      <c r="AQ288" s="90"/>
      <c r="AR288" s="90"/>
      <c r="AS288" s="90"/>
      <c r="AT288" s="90"/>
      <c r="AU288" s="90"/>
      <c r="AV288" s="90"/>
      <c r="AW288" s="90"/>
      <c r="AX288" s="90"/>
    </row>
    <row r="289" ht="15.75" customHeight="1">
      <c r="A289" s="144" t="s">
        <v>127</v>
      </c>
      <c r="B289" s="270" t="s">
        <v>2610</v>
      </c>
      <c r="C289" s="147"/>
      <c r="D289" s="226"/>
      <c r="E289" s="226"/>
      <c r="F289" s="149"/>
      <c r="G289" s="149"/>
      <c r="H289" s="149"/>
      <c r="I289" s="149"/>
      <c r="J289" s="150"/>
      <c r="K289" s="149"/>
      <c r="L289" s="149"/>
      <c r="M289" s="150"/>
      <c r="N289" s="150"/>
      <c r="O289" s="150"/>
      <c r="P289" s="149"/>
      <c r="Q289" s="149"/>
      <c r="R289" s="149"/>
      <c r="S289" s="149"/>
      <c r="T289" s="144" t="s">
        <v>129</v>
      </c>
      <c r="U289" s="149"/>
      <c r="V289" s="149"/>
      <c r="W289" s="149"/>
      <c r="X289" s="149"/>
      <c r="Y289" s="149"/>
      <c r="Z289" s="149"/>
      <c r="AA289" s="149"/>
      <c r="AB289" s="149"/>
      <c r="AC289" s="149"/>
      <c r="AD289" s="149"/>
      <c r="AE289" s="149"/>
      <c r="AF289" s="149"/>
      <c r="AG289" s="149"/>
      <c r="AH289" s="149"/>
      <c r="AI289" s="149"/>
      <c r="AJ289" s="149"/>
      <c r="AK289" s="149"/>
      <c r="AL289" s="149"/>
      <c r="AM289" s="149"/>
      <c r="AN289" s="149"/>
      <c r="AO289" s="90"/>
      <c r="AP289" s="90"/>
      <c r="AQ289" s="90"/>
      <c r="AR289" s="90"/>
      <c r="AS289" s="90"/>
      <c r="AT289" s="90"/>
      <c r="AU289" s="90"/>
      <c r="AV289" s="90"/>
      <c r="AW289" s="90"/>
      <c r="AX289" s="90"/>
    </row>
    <row r="290" ht="15.75" customHeight="1">
      <c r="A290" s="144" t="s">
        <v>68</v>
      </c>
      <c r="B290" s="148" t="s">
        <v>2617</v>
      </c>
      <c r="C290" s="147"/>
      <c r="D290" s="226"/>
      <c r="E290" s="226"/>
      <c r="F290" s="149"/>
      <c r="G290" s="149"/>
      <c r="H290" s="149"/>
      <c r="I290" s="149"/>
      <c r="J290" s="150"/>
      <c r="K290" s="149"/>
      <c r="L290" s="149"/>
      <c r="M290" s="150"/>
      <c r="N290" s="150"/>
      <c r="O290" s="150"/>
      <c r="P290" s="149"/>
      <c r="Q290" s="149"/>
      <c r="R290" s="149"/>
      <c r="S290" s="149"/>
      <c r="T290" s="144" t="s">
        <v>2737</v>
      </c>
      <c r="U290" s="149"/>
      <c r="V290" s="149"/>
      <c r="W290" s="149"/>
      <c r="X290" s="149"/>
      <c r="Y290" s="149"/>
      <c r="Z290" s="149"/>
      <c r="AA290" s="149"/>
      <c r="AB290" s="149"/>
      <c r="AC290" s="149"/>
      <c r="AD290" s="149"/>
      <c r="AE290" s="149"/>
      <c r="AF290" s="149"/>
      <c r="AG290" s="149"/>
      <c r="AH290" s="149"/>
      <c r="AI290" s="149"/>
      <c r="AJ290" s="149"/>
      <c r="AK290" s="149"/>
      <c r="AL290" s="149"/>
      <c r="AM290" s="149"/>
      <c r="AN290" s="149"/>
      <c r="AO290" s="90"/>
      <c r="AP290" s="90"/>
      <c r="AQ290" s="90"/>
      <c r="AR290" s="90"/>
      <c r="AS290" s="90"/>
      <c r="AT290" s="90"/>
      <c r="AU290" s="90"/>
      <c r="AV290" s="90"/>
      <c r="AW290" s="90"/>
      <c r="AX290" s="90"/>
    </row>
    <row r="291" ht="15.75" customHeight="1">
      <c r="A291" s="151" t="s">
        <v>133</v>
      </c>
      <c r="B291" s="147" t="s">
        <v>2626</v>
      </c>
      <c r="C291" s="147"/>
      <c r="D291" s="226"/>
      <c r="E291" s="226"/>
      <c r="F291" s="149"/>
      <c r="G291" s="149"/>
      <c r="H291" s="149"/>
      <c r="I291" s="149"/>
      <c r="J291" s="150" t="s">
        <v>1982</v>
      </c>
      <c r="K291" s="149"/>
      <c r="L291" s="149"/>
      <c r="M291" s="150"/>
      <c r="N291" s="150"/>
      <c r="O291" s="150"/>
      <c r="P291" s="149"/>
      <c r="Q291" s="149"/>
      <c r="R291" s="149"/>
      <c r="S291" s="149"/>
      <c r="T291" s="149"/>
      <c r="U291" s="149"/>
      <c r="V291" s="149"/>
      <c r="W291" s="149"/>
      <c r="X291" s="149"/>
      <c r="Y291" s="149"/>
      <c r="Z291" s="149"/>
      <c r="AA291" s="149"/>
      <c r="AB291" s="149"/>
      <c r="AC291" s="149"/>
      <c r="AD291" s="149"/>
      <c r="AE291" s="149"/>
      <c r="AF291" s="149"/>
      <c r="AG291" s="149"/>
      <c r="AH291" s="149"/>
      <c r="AI291" s="149"/>
      <c r="AJ291" s="149"/>
      <c r="AK291" s="149"/>
      <c r="AL291" s="149"/>
      <c r="AM291" s="149"/>
      <c r="AN291" s="149"/>
      <c r="AO291" s="90"/>
      <c r="AP291" s="90"/>
      <c r="AQ291" s="90"/>
      <c r="AR291" s="90"/>
      <c r="AS291" s="90"/>
      <c r="AT291" s="90"/>
      <c r="AU291" s="90"/>
      <c r="AV291" s="90"/>
      <c r="AW291" s="90"/>
      <c r="AX291" s="90"/>
    </row>
    <row r="292" ht="15.75" customHeight="1">
      <c r="A292" s="264" t="s">
        <v>127</v>
      </c>
      <c r="B292" s="265" t="s">
        <v>2631</v>
      </c>
      <c r="C292" s="63"/>
      <c r="D292" s="63"/>
      <c r="E292" s="63"/>
      <c r="F292" s="220"/>
      <c r="G292" s="220"/>
      <c r="H292" s="220"/>
      <c r="I292" s="220"/>
      <c r="J292" s="220"/>
      <c r="K292" s="220"/>
      <c r="L292" s="220"/>
      <c r="M292" s="220"/>
      <c r="N292" s="220"/>
      <c r="O292" s="220"/>
      <c r="P292" s="220"/>
      <c r="Q292" s="220"/>
      <c r="R292" s="220"/>
      <c r="S292" s="220"/>
      <c r="T292" s="144" t="s">
        <v>129</v>
      </c>
      <c r="U292" s="220"/>
      <c r="V292" s="220"/>
      <c r="W292" s="220"/>
      <c r="X292" s="220"/>
      <c r="Y292" s="220"/>
      <c r="Z292" s="220"/>
      <c r="AA292" s="220"/>
      <c r="AB292" s="220"/>
      <c r="AC292" s="220"/>
      <c r="AD292" s="220"/>
      <c r="AE292" s="220"/>
      <c r="AF292" s="220"/>
      <c r="AG292" s="220"/>
      <c r="AH292" s="220"/>
      <c r="AI292" s="220"/>
      <c r="AJ292" s="220"/>
      <c r="AK292" s="220"/>
      <c r="AL292" s="220"/>
      <c r="AM292" s="220"/>
      <c r="AN292" s="220"/>
      <c r="AO292" s="90"/>
      <c r="AP292" s="90"/>
      <c r="AQ292" s="90"/>
      <c r="AR292" s="90"/>
      <c r="AS292" s="90"/>
      <c r="AT292" s="90"/>
      <c r="AU292" s="90"/>
      <c r="AV292" s="90"/>
      <c r="AW292" s="90"/>
      <c r="AX292" s="90"/>
    </row>
    <row r="293" ht="15.75" customHeight="1">
      <c r="A293" s="218" t="s">
        <v>38</v>
      </c>
      <c r="B293" s="64" t="s">
        <v>2638</v>
      </c>
      <c r="C293" s="27" t="s">
        <v>2755</v>
      </c>
      <c r="D293" s="27" t="s">
        <v>2756</v>
      </c>
      <c r="E293" s="27" t="s">
        <v>2757</v>
      </c>
      <c r="F293" s="45"/>
      <c r="G293" s="45"/>
      <c r="H293" s="45"/>
      <c r="I293" s="220"/>
      <c r="J293" s="220" t="s">
        <v>8</v>
      </c>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c r="AH293" s="220"/>
      <c r="AI293" s="220"/>
      <c r="AJ293" s="220"/>
      <c r="AK293" s="220"/>
      <c r="AL293" s="220"/>
      <c r="AM293" s="220"/>
      <c r="AN293" s="220"/>
      <c r="AO293" s="90"/>
      <c r="AP293" s="90"/>
      <c r="AQ293" s="90"/>
      <c r="AR293" s="90"/>
      <c r="AS293" s="90"/>
      <c r="AT293" s="90"/>
      <c r="AU293" s="90"/>
      <c r="AV293" s="90"/>
      <c r="AW293" s="90"/>
      <c r="AX293" s="90"/>
    </row>
    <row r="294">
      <c r="A294" s="271" t="s">
        <v>268</v>
      </c>
      <c r="B294" s="249" t="s">
        <v>2644</v>
      </c>
      <c r="C294" s="27" t="s">
        <v>2767</v>
      </c>
      <c r="D294" s="27" t="s">
        <v>2769</v>
      </c>
      <c r="E294" s="27" t="s">
        <v>2771</v>
      </c>
      <c r="F294" s="45"/>
      <c r="G294" s="45"/>
      <c r="H294" s="45"/>
      <c r="I294" s="271"/>
      <c r="J294" s="271" t="s">
        <v>2000</v>
      </c>
      <c r="K294" s="272" t="s">
        <v>2550</v>
      </c>
      <c r="L294" s="272"/>
      <c r="M294" s="271"/>
      <c r="N294" s="271"/>
      <c r="O294" s="271"/>
      <c r="P294" s="271"/>
      <c r="Q294" s="271" t="s">
        <v>150</v>
      </c>
      <c r="R294" s="271"/>
      <c r="S294" s="271"/>
      <c r="T294" s="271"/>
      <c r="U294" s="271"/>
      <c r="V294" s="271"/>
      <c r="W294" s="271"/>
      <c r="X294" s="271"/>
      <c r="Y294" s="271"/>
      <c r="Z294" s="271"/>
      <c r="AA294" s="271"/>
      <c r="AB294" s="271"/>
      <c r="AC294" s="271"/>
      <c r="AD294" s="271"/>
      <c r="AE294" s="271"/>
      <c r="AF294" s="271"/>
      <c r="AG294" s="271"/>
      <c r="AH294" s="271"/>
      <c r="AI294" s="271"/>
      <c r="AJ294" s="271"/>
      <c r="AK294" s="271"/>
      <c r="AL294" s="271"/>
      <c r="AM294" s="271"/>
      <c r="AN294" s="271"/>
      <c r="AO294" s="158"/>
      <c r="AP294" s="158"/>
      <c r="AQ294" s="158"/>
      <c r="AR294" s="158"/>
      <c r="AS294" s="158"/>
      <c r="AT294" s="158"/>
      <c r="AU294" s="158"/>
      <c r="AV294" s="158"/>
      <c r="AW294" s="158"/>
      <c r="AX294" s="158"/>
    </row>
    <row r="295" ht="15.75" customHeight="1">
      <c r="A295" s="248" t="s">
        <v>268</v>
      </c>
      <c r="B295" s="249" t="s">
        <v>2649</v>
      </c>
      <c r="C295" s="27" t="s">
        <v>2777</v>
      </c>
      <c r="D295" s="27" t="s">
        <v>2779</v>
      </c>
      <c r="E295" s="27" t="s">
        <v>2780</v>
      </c>
      <c r="F295" s="45"/>
      <c r="G295" s="45"/>
      <c r="H295" s="45"/>
      <c r="I295" s="250"/>
      <c r="J295" s="250" t="s">
        <v>2000</v>
      </c>
      <c r="K295" s="251"/>
      <c r="L295" s="251"/>
      <c r="M295" s="250"/>
      <c r="N295" s="250"/>
      <c r="O295" s="250"/>
      <c r="P295" s="250"/>
      <c r="Q295" s="250" t="s">
        <v>150</v>
      </c>
      <c r="R295" s="250"/>
      <c r="S295" s="250"/>
      <c r="T295" s="250"/>
      <c r="U295" s="250"/>
      <c r="V295" s="250"/>
      <c r="W295" s="250"/>
      <c r="X295" s="250"/>
      <c r="Y295" s="250"/>
      <c r="Z295" s="250"/>
      <c r="AA295" s="250"/>
      <c r="AB295" s="250"/>
      <c r="AC295" s="250"/>
      <c r="AD295" s="250"/>
      <c r="AE295" s="250"/>
      <c r="AF295" s="250"/>
      <c r="AG295" s="250"/>
      <c r="AH295" s="250"/>
      <c r="AI295" s="250"/>
      <c r="AJ295" s="250"/>
      <c r="AK295" s="250"/>
      <c r="AL295" s="250"/>
      <c r="AM295" s="250"/>
      <c r="AN295" s="250"/>
      <c r="AO295" s="90"/>
      <c r="AP295" s="90"/>
      <c r="AQ295" s="90"/>
      <c r="AR295" s="90"/>
      <c r="AS295" s="90"/>
      <c r="AT295" s="90"/>
      <c r="AU295" s="90"/>
      <c r="AV295" s="90"/>
      <c r="AW295" s="90"/>
      <c r="AX295" s="90"/>
    </row>
    <row r="296" ht="15.75" customHeight="1">
      <c r="A296" s="248" t="s">
        <v>268</v>
      </c>
      <c r="B296" s="249" t="s">
        <v>2650</v>
      </c>
      <c r="C296" s="27" t="s">
        <v>2788</v>
      </c>
      <c r="D296" s="27" t="s">
        <v>2789</v>
      </c>
      <c r="E296" s="27" t="s">
        <v>2790</v>
      </c>
      <c r="F296" s="45"/>
      <c r="G296" s="45"/>
      <c r="H296" s="45"/>
      <c r="I296" s="250"/>
      <c r="J296" s="250" t="s">
        <v>2000</v>
      </c>
      <c r="K296" s="251" t="s">
        <v>2550</v>
      </c>
      <c r="L296" s="251"/>
      <c r="M296" s="250"/>
      <c r="N296" s="250"/>
      <c r="O296" s="250"/>
      <c r="P296" s="250" t="s">
        <v>150</v>
      </c>
      <c r="Q296" s="250" t="s">
        <v>150</v>
      </c>
      <c r="R296" s="250"/>
      <c r="S296" s="250"/>
      <c r="T296" s="250"/>
      <c r="U296" s="250"/>
      <c r="V296" s="250"/>
      <c r="W296" s="250"/>
      <c r="X296" s="250"/>
      <c r="Y296" s="250"/>
      <c r="Z296" s="250"/>
      <c r="AA296" s="250"/>
      <c r="AB296" s="250"/>
      <c r="AC296" s="250"/>
      <c r="AD296" s="250"/>
      <c r="AE296" s="250"/>
      <c r="AF296" s="250"/>
      <c r="AG296" s="250"/>
      <c r="AH296" s="250"/>
      <c r="AI296" s="250"/>
      <c r="AJ296" s="250"/>
      <c r="AK296" s="250"/>
      <c r="AL296" s="250"/>
      <c r="AM296" s="250"/>
      <c r="AN296" s="250"/>
      <c r="AO296" s="90"/>
      <c r="AP296" s="90"/>
      <c r="AQ296" s="90"/>
      <c r="AR296" s="90"/>
      <c r="AS296" s="90"/>
      <c r="AT296" s="90"/>
      <c r="AU296" s="90"/>
      <c r="AV296" s="90"/>
      <c r="AW296" s="90"/>
      <c r="AX296" s="90"/>
    </row>
    <row r="297" ht="15.75" customHeight="1">
      <c r="A297" s="248" t="s">
        <v>268</v>
      </c>
      <c r="B297" s="249" t="s">
        <v>2655</v>
      </c>
      <c r="C297" s="27" t="s">
        <v>2793</v>
      </c>
      <c r="D297" s="27" t="s">
        <v>2795</v>
      </c>
      <c r="E297" s="27" t="s">
        <v>2797</v>
      </c>
      <c r="F297" s="45"/>
      <c r="G297" s="45"/>
      <c r="H297" s="45"/>
      <c r="I297" s="250"/>
      <c r="J297" s="250" t="s">
        <v>2000</v>
      </c>
      <c r="K297" s="251"/>
      <c r="L297" s="251"/>
      <c r="M297" s="250"/>
      <c r="N297" s="250"/>
      <c r="O297" s="250"/>
      <c r="P297" s="250"/>
      <c r="Q297" s="250"/>
      <c r="R297" s="250"/>
      <c r="S297" s="250"/>
      <c r="T297" s="250"/>
      <c r="U297" s="250"/>
      <c r="V297" s="250"/>
      <c r="W297" s="250"/>
      <c r="X297" s="250"/>
      <c r="Y297" s="250"/>
      <c r="Z297" s="250"/>
      <c r="AA297" s="250"/>
      <c r="AB297" s="250"/>
      <c r="AC297" s="250"/>
      <c r="AD297" s="250"/>
      <c r="AE297" s="250"/>
      <c r="AF297" s="250"/>
      <c r="AG297" s="250"/>
      <c r="AH297" s="250"/>
      <c r="AI297" s="250"/>
      <c r="AJ297" s="250"/>
      <c r="AK297" s="250"/>
      <c r="AL297" s="250"/>
      <c r="AM297" s="250"/>
      <c r="AN297" s="250"/>
      <c r="AO297" s="90"/>
      <c r="AP297" s="90"/>
      <c r="AQ297" s="90"/>
      <c r="AR297" s="90"/>
      <c r="AS297" s="90"/>
      <c r="AT297" s="90"/>
      <c r="AU297" s="90"/>
      <c r="AV297" s="90"/>
      <c r="AW297" s="90"/>
      <c r="AX297" s="90"/>
    </row>
    <row r="298" ht="15.75" customHeight="1">
      <c r="A298" s="248" t="s">
        <v>268</v>
      </c>
      <c r="B298" s="249" t="s">
        <v>2657</v>
      </c>
      <c r="C298" s="27" t="s">
        <v>2802</v>
      </c>
      <c r="D298" s="27" t="s">
        <v>2803</v>
      </c>
      <c r="E298" s="27" t="s">
        <v>2804</v>
      </c>
      <c r="F298" s="45"/>
      <c r="G298" s="45"/>
      <c r="H298" s="45"/>
      <c r="I298" s="250"/>
      <c r="J298" s="250" t="s">
        <v>2000</v>
      </c>
      <c r="K298" s="251" t="s">
        <v>2550</v>
      </c>
      <c r="L298" s="251"/>
      <c r="M298" s="250"/>
      <c r="N298" s="250"/>
      <c r="O298" s="250"/>
      <c r="P298" s="250" t="s">
        <v>150</v>
      </c>
      <c r="Q298" s="250" t="s">
        <v>150</v>
      </c>
      <c r="R298" s="250"/>
      <c r="S298" s="250"/>
      <c r="T298" s="250"/>
      <c r="U298" s="250"/>
      <c r="V298" s="250"/>
      <c r="W298" s="250"/>
      <c r="X298" s="250"/>
      <c r="Y298" s="250"/>
      <c r="Z298" s="250"/>
      <c r="AA298" s="250"/>
      <c r="AB298" s="250"/>
      <c r="AC298" s="250"/>
      <c r="AD298" s="250"/>
      <c r="AE298" s="250"/>
      <c r="AF298" s="250"/>
      <c r="AG298" s="250"/>
      <c r="AH298" s="250"/>
      <c r="AI298" s="250"/>
      <c r="AJ298" s="250"/>
      <c r="AK298" s="250"/>
      <c r="AL298" s="250"/>
      <c r="AM298" s="250"/>
      <c r="AN298" s="250"/>
      <c r="AO298" s="90"/>
      <c r="AP298" s="90"/>
      <c r="AQ298" s="90"/>
      <c r="AR298" s="90"/>
      <c r="AS298" s="90"/>
      <c r="AT298" s="90"/>
      <c r="AU298" s="90"/>
      <c r="AV298" s="90"/>
      <c r="AW298" s="90"/>
      <c r="AX298" s="90"/>
    </row>
    <row r="299" ht="15.75" customHeight="1">
      <c r="A299" s="151" t="s">
        <v>237</v>
      </c>
      <c r="B299" s="226" t="s">
        <v>2626</v>
      </c>
      <c r="C299" s="226"/>
      <c r="D299" s="226"/>
      <c r="E299" s="226"/>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49"/>
      <c r="AC299" s="149"/>
      <c r="AD299" s="149"/>
      <c r="AE299" s="149"/>
      <c r="AF299" s="149"/>
      <c r="AG299" s="149"/>
      <c r="AH299" s="149"/>
      <c r="AI299" s="149"/>
      <c r="AJ299" s="149"/>
      <c r="AK299" s="149"/>
      <c r="AL299" s="149"/>
      <c r="AM299" s="149"/>
      <c r="AN299" s="149"/>
      <c r="AO299" s="90"/>
      <c r="AP299" s="90"/>
      <c r="AQ299" s="90"/>
      <c r="AR299" s="90"/>
      <c r="AS299" s="90"/>
      <c r="AT299" s="90"/>
      <c r="AU299" s="90"/>
      <c r="AV299" s="90"/>
      <c r="AW299" s="90"/>
      <c r="AX299" s="90"/>
    </row>
    <row r="300" ht="15.75" customHeight="1">
      <c r="A300" s="151" t="s">
        <v>133</v>
      </c>
      <c r="B300" s="147" t="s">
        <v>2669</v>
      </c>
      <c r="C300" s="147"/>
      <c r="D300" s="226"/>
      <c r="E300" s="226"/>
      <c r="F300" s="149"/>
      <c r="G300" s="149"/>
      <c r="H300" s="149"/>
      <c r="I300" s="149"/>
      <c r="J300" s="150" t="s">
        <v>1982</v>
      </c>
      <c r="K300" s="149"/>
      <c r="L300" s="149"/>
      <c r="M300" s="150"/>
      <c r="N300" s="150"/>
      <c r="O300" s="150"/>
      <c r="P300" s="149"/>
      <c r="Q300" s="149"/>
      <c r="R300" s="149"/>
      <c r="S300" s="149"/>
      <c r="T300" s="149"/>
      <c r="U300" s="149"/>
      <c r="V300" s="149"/>
      <c r="W300" s="149"/>
      <c r="X300" s="149"/>
      <c r="Y300" s="149"/>
      <c r="Z300" s="149"/>
      <c r="AA300" s="149"/>
      <c r="AB300" s="149"/>
      <c r="AC300" s="149"/>
      <c r="AD300" s="149"/>
      <c r="AE300" s="149"/>
      <c r="AF300" s="149"/>
      <c r="AG300" s="149"/>
      <c r="AH300" s="149"/>
      <c r="AI300" s="149"/>
      <c r="AJ300" s="149"/>
      <c r="AK300" s="149"/>
      <c r="AL300" s="149"/>
      <c r="AM300" s="149"/>
      <c r="AN300" s="149"/>
      <c r="AO300" s="90"/>
      <c r="AP300" s="90"/>
      <c r="AQ300" s="90"/>
      <c r="AR300" s="90"/>
      <c r="AS300" s="90"/>
      <c r="AT300" s="90"/>
      <c r="AU300" s="90"/>
      <c r="AV300" s="90"/>
      <c r="AW300" s="90"/>
      <c r="AX300" s="90"/>
    </row>
    <row r="301" ht="15.75" customHeight="1">
      <c r="A301" s="80" t="s">
        <v>2509</v>
      </c>
      <c r="B301" s="228" t="s">
        <v>2674</v>
      </c>
      <c r="C301" s="27" t="s">
        <v>2831</v>
      </c>
      <c r="D301" s="27" t="s">
        <v>2833</v>
      </c>
      <c r="E301" s="27" t="s">
        <v>2835</v>
      </c>
      <c r="F301" s="45"/>
      <c r="G301" s="45"/>
      <c r="H301" s="45"/>
      <c r="I301" s="83"/>
      <c r="J301" s="84" t="s">
        <v>8</v>
      </c>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90"/>
      <c r="AP301" s="90"/>
      <c r="AQ301" s="90"/>
      <c r="AR301" s="90"/>
      <c r="AS301" s="90"/>
      <c r="AT301" s="90"/>
      <c r="AU301" s="90"/>
      <c r="AV301" s="90"/>
      <c r="AW301" s="90"/>
      <c r="AX301" s="90"/>
    </row>
    <row r="302" ht="15.75" customHeight="1">
      <c r="A302" s="80" t="s">
        <v>2509</v>
      </c>
      <c r="B302" s="228" t="s">
        <v>2682</v>
      </c>
      <c r="C302" s="27" t="s">
        <v>2840</v>
      </c>
      <c r="D302" s="27" t="s">
        <v>2842</v>
      </c>
      <c r="E302" s="27" t="s">
        <v>2843</v>
      </c>
      <c r="F302" s="45"/>
      <c r="G302" s="45"/>
      <c r="H302" s="45"/>
      <c r="I302" s="83"/>
      <c r="J302" s="84" t="s">
        <v>2000</v>
      </c>
      <c r="K302" s="83"/>
      <c r="L302" s="83"/>
      <c r="M302" s="83"/>
      <c r="N302" s="83"/>
      <c r="O302" s="83"/>
      <c r="P302" s="83"/>
      <c r="Q302" s="83" t="s">
        <v>150</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90"/>
      <c r="AP302" s="90"/>
      <c r="AQ302" s="90"/>
      <c r="AR302" s="90"/>
      <c r="AS302" s="90"/>
      <c r="AT302" s="90"/>
      <c r="AU302" s="90"/>
      <c r="AV302" s="90"/>
      <c r="AW302" s="90"/>
      <c r="AX302" s="90"/>
    </row>
    <row r="303" ht="15.75" customHeight="1">
      <c r="A303" s="80" t="s">
        <v>2509</v>
      </c>
      <c r="B303" s="228" t="s">
        <v>2691</v>
      </c>
      <c r="C303" s="27" t="s">
        <v>2846</v>
      </c>
      <c r="D303" s="27" t="s">
        <v>2848</v>
      </c>
      <c r="E303" s="27" t="s">
        <v>2850</v>
      </c>
      <c r="F303" s="45"/>
      <c r="G303" s="45"/>
      <c r="H303" s="45"/>
      <c r="I303" s="83"/>
      <c r="J303" s="84" t="s">
        <v>2000</v>
      </c>
      <c r="K303" s="83"/>
      <c r="L303" s="83"/>
      <c r="M303" s="83"/>
      <c r="N303" s="83"/>
      <c r="O303" s="83"/>
      <c r="P303" s="83"/>
      <c r="Q303" s="83" t="s">
        <v>150</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90"/>
      <c r="AP303" s="90"/>
      <c r="AQ303" s="90"/>
      <c r="AR303" s="90"/>
      <c r="AS303" s="90"/>
      <c r="AT303" s="90"/>
      <c r="AU303" s="90"/>
      <c r="AV303" s="90"/>
      <c r="AW303" s="90"/>
      <c r="AX303" s="90"/>
    </row>
    <row r="304" ht="15.75" customHeight="1">
      <c r="A304" s="80" t="s">
        <v>2509</v>
      </c>
      <c r="B304" s="228" t="s">
        <v>2695</v>
      </c>
      <c r="C304" s="27" t="s">
        <v>2853</v>
      </c>
      <c r="D304" s="27" t="s">
        <v>2854</v>
      </c>
      <c r="E304" s="27" t="s">
        <v>2855</v>
      </c>
      <c r="F304" s="45"/>
      <c r="G304" s="45"/>
      <c r="H304" s="45"/>
      <c r="I304" s="83"/>
      <c r="J304" s="84" t="s">
        <v>2000</v>
      </c>
      <c r="K304" s="83"/>
      <c r="L304" s="83"/>
      <c r="M304" s="83"/>
      <c r="N304" s="83"/>
      <c r="O304" s="83"/>
      <c r="P304" s="83"/>
      <c r="Q304" s="83" t="s">
        <v>150</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90"/>
      <c r="AP304" s="90"/>
      <c r="AQ304" s="90"/>
      <c r="AR304" s="90"/>
      <c r="AS304" s="90"/>
      <c r="AT304" s="90"/>
      <c r="AU304" s="90"/>
      <c r="AV304" s="90"/>
      <c r="AW304" s="90"/>
      <c r="AX304" s="90"/>
    </row>
    <row r="305" ht="15.75" customHeight="1">
      <c r="A305" s="151" t="s">
        <v>237</v>
      </c>
      <c r="B305" s="226" t="s">
        <v>2669</v>
      </c>
      <c r="C305" s="226"/>
      <c r="D305" s="226"/>
      <c r="E305" s="226"/>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49"/>
      <c r="AC305" s="149"/>
      <c r="AD305" s="149"/>
      <c r="AE305" s="149"/>
      <c r="AF305" s="149"/>
      <c r="AG305" s="149"/>
      <c r="AH305" s="149"/>
      <c r="AI305" s="149"/>
      <c r="AJ305" s="149"/>
      <c r="AK305" s="149"/>
      <c r="AL305" s="149"/>
      <c r="AM305" s="149"/>
      <c r="AN305" s="149"/>
      <c r="AO305" s="90"/>
      <c r="AP305" s="90"/>
      <c r="AQ305" s="90"/>
      <c r="AR305" s="90"/>
      <c r="AS305" s="90"/>
      <c r="AT305" s="90"/>
      <c r="AU305" s="90"/>
      <c r="AV305" s="90"/>
      <c r="AW305" s="90"/>
      <c r="AX305" s="90"/>
    </row>
    <row r="306" ht="15.75" customHeight="1">
      <c r="A306" s="218" t="s">
        <v>38</v>
      </c>
      <c r="B306" s="64" t="s">
        <v>2707</v>
      </c>
      <c r="C306" s="27" t="s">
        <v>2861</v>
      </c>
      <c r="D306" s="27" t="s">
        <v>2863</v>
      </c>
      <c r="E306" s="27" t="s">
        <v>2864</v>
      </c>
      <c r="F306" s="45"/>
      <c r="G306" s="45"/>
      <c r="H306" s="45"/>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c r="AH306" s="220"/>
      <c r="AI306" s="220"/>
      <c r="AJ306" s="220"/>
      <c r="AK306" s="220"/>
      <c r="AL306" s="220"/>
      <c r="AM306" s="220"/>
      <c r="AN306" s="220"/>
      <c r="AO306" s="90"/>
      <c r="AP306" s="90"/>
      <c r="AQ306" s="90"/>
      <c r="AR306" s="90"/>
      <c r="AS306" s="90"/>
      <c r="AT306" s="90"/>
      <c r="AU306" s="90"/>
      <c r="AV306" s="90"/>
      <c r="AW306" s="90"/>
      <c r="AX306" s="90"/>
    </row>
    <row r="307" ht="15.75" customHeight="1">
      <c r="A307" s="80" t="s">
        <v>2711</v>
      </c>
      <c r="B307" s="228" t="s">
        <v>2712</v>
      </c>
      <c r="C307" s="27" t="s">
        <v>2867</v>
      </c>
      <c r="D307" s="27" t="s">
        <v>2868</v>
      </c>
      <c r="E307" s="27" t="s">
        <v>2869</v>
      </c>
      <c r="F307" s="45" t="s">
        <v>1920</v>
      </c>
      <c r="G307" s="45" t="s">
        <v>1921</v>
      </c>
      <c r="H307" s="45" t="s">
        <v>1922</v>
      </c>
      <c r="I307" s="83"/>
      <c r="J307" s="84"/>
      <c r="K307" s="83" t="s">
        <v>2873</v>
      </c>
      <c r="L307" s="83"/>
      <c r="M307" s="83"/>
      <c r="N307" s="83"/>
      <c r="O307" s="83"/>
      <c r="P307" s="83"/>
      <c r="Q307" s="83" t="s">
        <v>150</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90"/>
      <c r="AP307" s="90"/>
      <c r="AQ307" s="90"/>
      <c r="AR307" s="90"/>
      <c r="AS307" s="90"/>
      <c r="AT307" s="90"/>
      <c r="AU307" s="90"/>
      <c r="AV307" s="90"/>
      <c r="AW307" s="90"/>
      <c r="AX307" s="90"/>
    </row>
    <row r="308" ht="15.75" customHeight="1">
      <c r="A308" s="80" t="s">
        <v>2711</v>
      </c>
      <c r="B308" s="228" t="s">
        <v>2720</v>
      </c>
      <c r="C308" s="27" t="s">
        <v>2878</v>
      </c>
      <c r="D308" s="27" t="s">
        <v>2879</v>
      </c>
      <c r="E308" s="27" t="s">
        <v>2880</v>
      </c>
      <c r="F308" s="45" t="s">
        <v>1920</v>
      </c>
      <c r="G308" s="45" t="s">
        <v>1921</v>
      </c>
      <c r="H308" s="45" t="s">
        <v>1922</v>
      </c>
      <c r="I308" s="83"/>
      <c r="J308" s="84"/>
      <c r="K308" s="83" t="s">
        <v>2873</v>
      </c>
      <c r="L308" s="83"/>
      <c r="M308" s="83"/>
      <c r="N308" s="83"/>
      <c r="O308" s="83"/>
      <c r="P308" s="83"/>
      <c r="Q308" s="83" t="s">
        <v>150</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90"/>
      <c r="AP308" s="90"/>
      <c r="AQ308" s="90"/>
      <c r="AR308" s="90"/>
      <c r="AS308" s="90"/>
      <c r="AT308" s="90"/>
      <c r="AU308" s="90"/>
      <c r="AV308" s="90"/>
      <c r="AW308" s="90"/>
      <c r="AX308" s="90"/>
    </row>
    <row r="309" ht="15.75" customHeight="1">
      <c r="A309" s="248" t="s">
        <v>268</v>
      </c>
      <c r="B309" s="249" t="s">
        <v>2725</v>
      </c>
      <c r="C309" s="27" t="s">
        <v>2891</v>
      </c>
      <c r="D309" s="27" t="s">
        <v>2892</v>
      </c>
      <c r="E309" s="27" t="s">
        <v>2893</v>
      </c>
      <c r="F309" s="45"/>
      <c r="G309" s="45"/>
      <c r="H309" s="45"/>
      <c r="I309" s="250"/>
      <c r="J309" s="250"/>
      <c r="K309" s="251" t="s">
        <v>2895</v>
      </c>
      <c r="L309" s="251"/>
      <c r="M309" s="250"/>
      <c r="N309" s="250"/>
      <c r="O309" s="250"/>
      <c r="P309" s="250"/>
      <c r="Q309" s="250" t="s">
        <v>150</v>
      </c>
      <c r="R309" s="250"/>
      <c r="S309" s="250"/>
      <c r="T309" s="250"/>
      <c r="U309" s="250"/>
      <c r="V309" s="250"/>
      <c r="W309" s="250"/>
      <c r="X309" s="250"/>
      <c r="Y309" s="250"/>
      <c r="Z309" s="250"/>
      <c r="AA309" s="250"/>
      <c r="AB309" s="250"/>
      <c r="AC309" s="250"/>
      <c r="AD309" s="250"/>
      <c r="AE309" s="250"/>
      <c r="AF309" s="250"/>
      <c r="AG309" s="250"/>
      <c r="AH309" s="250"/>
      <c r="AI309" s="250"/>
      <c r="AJ309" s="250"/>
      <c r="AK309" s="250"/>
      <c r="AL309" s="250"/>
      <c r="AM309" s="250"/>
      <c r="AN309" s="250"/>
      <c r="AO309" s="90"/>
      <c r="AP309" s="90"/>
      <c r="AQ309" s="90"/>
      <c r="AR309" s="90"/>
      <c r="AS309" s="90"/>
      <c r="AT309" s="90"/>
      <c r="AU309" s="90"/>
      <c r="AV309" s="90"/>
      <c r="AW309" s="90"/>
      <c r="AX309" s="90"/>
    </row>
    <row r="310" ht="15.75" customHeight="1">
      <c r="A310" s="80" t="s">
        <v>2742</v>
      </c>
      <c r="B310" s="228" t="s">
        <v>2743</v>
      </c>
      <c r="C310" s="27" t="s">
        <v>2904</v>
      </c>
      <c r="D310" s="27" t="s">
        <v>2905</v>
      </c>
      <c r="E310" s="27" t="s">
        <v>2906</v>
      </c>
      <c r="F310" s="45" t="s">
        <v>1920</v>
      </c>
      <c r="G310" s="45" t="s">
        <v>1921</v>
      </c>
      <c r="H310" s="45" t="s">
        <v>1922</v>
      </c>
      <c r="I310" s="83"/>
      <c r="J310" s="84"/>
      <c r="K310" s="83" t="s">
        <v>2873</v>
      </c>
      <c r="L310" s="83"/>
      <c r="M310" s="83"/>
      <c r="N310" s="83"/>
      <c r="O310" s="83"/>
      <c r="P310" s="83"/>
      <c r="Q310" s="83" t="s">
        <v>150</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90"/>
      <c r="AP310" s="90"/>
      <c r="AQ310" s="90"/>
      <c r="AR310" s="90"/>
      <c r="AS310" s="90"/>
      <c r="AT310" s="90"/>
      <c r="AU310" s="90"/>
      <c r="AV310" s="90"/>
      <c r="AW310" s="90"/>
      <c r="AX310" s="90"/>
    </row>
    <row r="311" ht="15.75" customHeight="1">
      <c r="A311" s="151"/>
      <c r="B311" s="226"/>
      <c r="C311" s="226"/>
      <c r="D311" s="226"/>
      <c r="E311" s="226"/>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c r="AH311" s="149"/>
      <c r="AI311" s="149"/>
      <c r="AJ311" s="149"/>
      <c r="AK311" s="149"/>
      <c r="AL311" s="149"/>
      <c r="AM311" s="149"/>
      <c r="AN311" s="149"/>
      <c r="AO311" s="90"/>
      <c r="AP311" s="90"/>
      <c r="AQ311" s="90"/>
      <c r="AR311" s="90"/>
      <c r="AS311" s="90"/>
      <c r="AT311" s="90"/>
      <c r="AU311" s="90"/>
      <c r="AV311" s="90"/>
      <c r="AW311" s="90"/>
      <c r="AX311" s="90"/>
    </row>
    <row r="312" ht="15.75" customHeight="1">
      <c r="A312" s="80" t="s">
        <v>2748</v>
      </c>
      <c r="B312" s="227" t="s">
        <v>2749</v>
      </c>
      <c r="C312" s="27" t="s">
        <v>2918</v>
      </c>
      <c r="D312" s="27" t="s">
        <v>2919</v>
      </c>
      <c r="E312" s="27" t="s">
        <v>2920</v>
      </c>
      <c r="F312" s="45"/>
      <c r="G312" s="45"/>
      <c r="H312" s="45"/>
      <c r="I312" s="83"/>
      <c r="J312" s="84"/>
      <c r="K312" s="83"/>
      <c r="L312" s="83"/>
      <c r="M312" s="83"/>
      <c r="N312" s="83"/>
      <c r="O312" s="83"/>
      <c r="P312" s="83"/>
      <c r="Q312" s="85" t="s">
        <v>150</v>
      </c>
      <c r="R312" s="83"/>
      <c r="S312" s="83"/>
      <c r="T312" s="83"/>
      <c r="U312" s="83"/>
      <c r="V312" s="83"/>
      <c r="W312" s="83"/>
      <c r="X312" s="83"/>
      <c r="Y312" s="83"/>
      <c r="Z312" s="83"/>
      <c r="AA312" s="83"/>
      <c r="AB312" s="83"/>
      <c r="AC312" s="83"/>
      <c r="AD312" s="220"/>
      <c r="AE312" s="220"/>
      <c r="AF312" s="220"/>
      <c r="AG312" s="220"/>
      <c r="AH312" s="220"/>
      <c r="AI312" s="220"/>
      <c r="AJ312" s="220"/>
      <c r="AK312" s="220"/>
      <c r="AL312" s="220"/>
      <c r="AM312" s="220"/>
      <c r="AN312" s="220"/>
      <c r="AO312" s="90"/>
      <c r="AP312" s="90"/>
      <c r="AQ312" s="90"/>
      <c r="AR312" s="90"/>
      <c r="AS312" s="90"/>
      <c r="AT312" s="90"/>
      <c r="AU312" s="90"/>
      <c r="AV312" s="90"/>
      <c r="AW312" s="90"/>
      <c r="AX312" s="90"/>
    </row>
    <row r="313" ht="15.75" customHeight="1">
      <c r="A313" s="85" t="s">
        <v>2770</v>
      </c>
      <c r="B313" s="227" t="s">
        <v>2772</v>
      </c>
      <c r="C313" s="27" t="s">
        <v>2927</v>
      </c>
      <c r="D313" s="27" t="s">
        <v>2928</v>
      </c>
      <c r="E313" s="27" t="s">
        <v>2929</v>
      </c>
      <c r="F313" s="45"/>
      <c r="G313" s="45"/>
      <c r="H313" s="45"/>
      <c r="I313" s="83"/>
      <c r="J313" s="84"/>
      <c r="K313" s="83"/>
      <c r="L313" s="83"/>
      <c r="M313" s="83"/>
      <c r="N313" s="83"/>
      <c r="O313" s="85" t="s">
        <v>2932</v>
      </c>
      <c r="P313" s="83"/>
      <c r="Q313" s="85" t="s">
        <v>150</v>
      </c>
      <c r="R313" s="83"/>
      <c r="S313" s="83"/>
      <c r="T313" s="83"/>
      <c r="U313" s="83"/>
      <c r="V313" s="83"/>
      <c r="W313" s="83"/>
      <c r="X313" s="83"/>
      <c r="Y313" s="83"/>
      <c r="Z313" s="83"/>
      <c r="AA313" s="83"/>
      <c r="AB313" s="83"/>
      <c r="AC313" s="83"/>
      <c r="AD313" s="220"/>
      <c r="AE313" s="220"/>
      <c r="AF313" s="220"/>
      <c r="AG313" s="220"/>
      <c r="AH313" s="220"/>
      <c r="AI313" s="220"/>
      <c r="AJ313" s="220"/>
      <c r="AK313" s="220"/>
      <c r="AL313" s="220"/>
      <c r="AM313" s="220"/>
      <c r="AN313" s="220"/>
      <c r="AO313" s="90"/>
      <c r="AP313" s="90"/>
      <c r="AQ313" s="90"/>
      <c r="AR313" s="90"/>
      <c r="AS313" s="90"/>
      <c r="AT313" s="90"/>
      <c r="AU313" s="90"/>
      <c r="AV313" s="90"/>
      <c r="AW313" s="90"/>
      <c r="AX313" s="90"/>
    </row>
    <row r="314" ht="15.75" customHeight="1">
      <c r="A314" s="151" t="s">
        <v>237</v>
      </c>
      <c r="B314" s="226" t="s">
        <v>2487</v>
      </c>
      <c r="C314" s="226" t="s">
        <v>2488</v>
      </c>
      <c r="D314" s="226" t="s">
        <v>2489</v>
      </c>
      <c r="E314" s="226" t="s">
        <v>2490</v>
      </c>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c r="AH314" s="149"/>
      <c r="AI314" s="149"/>
      <c r="AJ314" s="149"/>
      <c r="AK314" s="149"/>
      <c r="AL314" s="149"/>
      <c r="AM314" s="149"/>
      <c r="AN314" s="149"/>
      <c r="AO314" s="90"/>
      <c r="AP314" s="90"/>
      <c r="AQ314" s="90"/>
      <c r="AR314" s="90"/>
      <c r="AS314" s="90"/>
      <c r="AT314" s="90"/>
      <c r="AU314" s="90"/>
      <c r="AV314" s="90"/>
      <c r="AW314" s="90"/>
      <c r="AX314" s="90"/>
    </row>
    <row r="315" ht="15.75" customHeight="1">
      <c r="A315" s="102"/>
      <c r="B315" s="103" t="s">
        <v>50</v>
      </c>
      <c r="C315" s="191"/>
      <c r="D315" s="191"/>
      <c r="E315" s="191"/>
      <c r="F315" s="104"/>
      <c r="G315" s="104"/>
      <c r="H315" s="104"/>
      <c r="I315" s="104"/>
      <c r="J315" s="104"/>
      <c r="K315" s="104"/>
      <c r="L315" s="104"/>
      <c r="M315" s="104"/>
      <c r="N315" s="104"/>
      <c r="O315" s="104"/>
      <c r="P315" s="104"/>
      <c r="Q315" s="104"/>
      <c r="R315" s="104"/>
      <c r="S315" s="104"/>
      <c r="T315" s="139"/>
      <c r="U315" s="104"/>
      <c r="V315" s="104"/>
      <c r="W315" s="104"/>
      <c r="X315" s="104"/>
      <c r="Y315" s="104"/>
      <c r="Z315" s="104"/>
      <c r="AA315" s="104"/>
      <c r="AB315" s="104"/>
      <c r="AC315" s="104"/>
      <c r="AD315" s="90"/>
      <c r="AE315" s="90"/>
      <c r="AF315" s="90"/>
      <c r="AG315" s="90"/>
      <c r="AH315" s="90"/>
      <c r="AI315" s="90"/>
      <c r="AJ315" s="90"/>
      <c r="AK315" s="90"/>
      <c r="AL315" s="90"/>
      <c r="AM315" s="90"/>
      <c r="AN315" s="90"/>
      <c r="AO315" s="90"/>
      <c r="AP315" s="90"/>
      <c r="AQ315" s="90"/>
      <c r="AR315" s="90"/>
      <c r="AS315" s="90"/>
      <c r="AT315" s="90"/>
      <c r="AU315" s="90"/>
      <c r="AV315" s="90"/>
      <c r="AW315" s="90"/>
      <c r="AX315" s="90"/>
    </row>
    <row r="316" ht="15.75" customHeight="1">
      <c r="A316" s="80" t="s">
        <v>2784</v>
      </c>
      <c r="B316" s="228" t="s">
        <v>2785</v>
      </c>
      <c r="C316" s="27" t="s">
        <v>2952</v>
      </c>
      <c r="D316" s="27" t="s">
        <v>2953</v>
      </c>
      <c r="E316" s="27" t="s">
        <v>2954</v>
      </c>
      <c r="F316" s="45"/>
      <c r="G316" s="45"/>
      <c r="H316" s="45"/>
      <c r="I316" s="83"/>
      <c r="J316" s="84"/>
      <c r="K316" s="83"/>
      <c r="L316" s="83"/>
      <c r="M316" s="83"/>
      <c r="N316" s="83"/>
      <c r="O316" s="83"/>
      <c r="P316" s="83"/>
      <c r="Q316" s="83" t="s">
        <v>150</v>
      </c>
      <c r="R316" s="83"/>
      <c r="S316" s="83"/>
      <c r="T316" s="83"/>
      <c r="U316" s="83"/>
      <c r="V316" s="83"/>
      <c r="W316" s="83"/>
      <c r="X316" s="83"/>
      <c r="Y316" s="83"/>
      <c r="Z316" s="83"/>
      <c r="AA316" s="83"/>
      <c r="AB316" s="83"/>
      <c r="AC316" s="83"/>
      <c r="AD316" s="250"/>
      <c r="AE316" s="250"/>
      <c r="AF316" s="250"/>
      <c r="AG316" s="250"/>
      <c r="AH316" s="250"/>
      <c r="AI316" s="250"/>
      <c r="AJ316" s="250"/>
      <c r="AK316" s="250"/>
      <c r="AL316" s="250"/>
      <c r="AM316" s="250"/>
      <c r="AN316" s="250"/>
      <c r="AO316" s="90"/>
      <c r="AP316" s="90"/>
      <c r="AQ316" s="90"/>
      <c r="AR316" s="90"/>
      <c r="AS316" s="90"/>
      <c r="AT316" s="90"/>
      <c r="AU316" s="90"/>
      <c r="AV316" s="90"/>
      <c r="AW316" s="90"/>
      <c r="AX316" s="90"/>
    </row>
    <row r="317" ht="15.75" customHeight="1">
      <c r="A317" s="80" t="s">
        <v>2798</v>
      </c>
      <c r="B317" s="228" t="s">
        <v>2799</v>
      </c>
      <c r="C317" s="27" t="s">
        <v>2958</v>
      </c>
      <c r="D317" s="27" t="s">
        <v>2959</v>
      </c>
      <c r="E317" s="27" t="s">
        <v>2960</v>
      </c>
      <c r="F317" s="45"/>
      <c r="G317" s="45"/>
      <c r="H317" s="45"/>
      <c r="I317" s="83"/>
      <c r="J317" s="84"/>
      <c r="K317" s="83"/>
      <c r="L317" s="83"/>
      <c r="M317" s="83"/>
      <c r="N317" s="83"/>
      <c r="O317" s="83" t="s">
        <v>2964</v>
      </c>
      <c r="P317" s="83"/>
      <c r="Q317" s="83" t="s">
        <v>150</v>
      </c>
      <c r="R317" s="83"/>
      <c r="S317" s="83"/>
      <c r="T317" s="83"/>
      <c r="U317" s="83"/>
      <c r="V317" s="83"/>
      <c r="W317" s="83"/>
      <c r="X317" s="83"/>
      <c r="Y317" s="83"/>
      <c r="Z317" s="83"/>
      <c r="AA317" s="83"/>
      <c r="AB317" s="83"/>
      <c r="AC317" s="83"/>
      <c r="AD317" s="250"/>
      <c r="AE317" s="250"/>
      <c r="AF317" s="250"/>
      <c r="AG317" s="250"/>
      <c r="AH317" s="250"/>
      <c r="AI317" s="250"/>
      <c r="AJ317" s="250"/>
      <c r="AK317" s="250"/>
      <c r="AL317" s="250"/>
      <c r="AM317" s="250"/>
      <c r="AN317" s="250"/>
      <c r="AO317" s="90"/>
      <c r="AP317" s="90"/>
      <c r="AQ317" s="90"/>
      <c r="AR317" s="90"/>
      <c r="AS317" s="90"/>
      <c r="AT317" s="90"/>
      <c r="AU317" s="90"/>
      <c r="AV317" s="90"/>
      <c r="AW317" s="90"/>
      <c r="AX317" s="90"/>
    </row>
    <row r="318" ht="15.75" customHeight="1">
      <c r="A318" s="144" t="s">
        <v>127</v>
      </c>
      <c r="B318" s="273" t="s">
        <v>2801</v>
      </c>
      <c r="C318" s="147"/>
      <c r="D318" s="226"/>
      <c r="E318" s="226"/>
      <c r="F318" s="149"/>
      <c r="G318" s="149"/>
      <c r="H318" s="149"/>
      <c r="I318" s="149"/>
      <c r="J318" s="150"/>
      <c r="K318" s="149"/>
      <c r="L318" s="149"/>
      <c r="M318" s="150"/>
      <c r="N318" s="150"/>
      <c r="O318" s="150"/>
      <c r="P318" s="149"/>
      <c r="Q318" s="149"/>
      <c r="R318" s="149"/>
      <c r="S318" s="149"/>
      <c r="T318" s="144" t="s">
        <v>129</v>
      </c>
      <c r="U318" s="149"/>
      <c r="V318" s="149"/>
      <c r="W318" s="149"/>
      <c r="X318" s="149"/>
      <c r="Y318" s="149"/>
      <c r="Z318" s="149"/>
      <c r="AA318" s="149"/>
      <c r="AB318" s="149"/>
      <c r="AC318" s="149"/>
      <c r="AD318" s="149"/>
      <c r="AE318" s="149"/>
      <c r="AF318" s="149"/>
      <c r="AG318" s="149"/>
      <c r="AH318" s="149"/>
      <c r="AI318" s="149"/>
      <c r="AJ318" s="149"/>
      <c r="AK318" s="149"/>
      <c r="AL318" s="149"/>
      <c r="AM318" s="149"/>
      <c r="AN318" s="149"/>
      <c r="AO318" s="90"/>
      <c r="AP318" s="90"/>
      <c r="AQ318" s="90"/>
      <c r="AR318" s="90"/>
      <c r="AS318" s="90"/>
      <c r="AT318" s="90"/>
      <c r="AU318" s="90"/>
      <c r="AV318" s="90"/>
      <c r="AW318" s="90"/>
      <c r="AX318" s="90"/>
    </row>
    <row r="319" ht="15.75" customHeight="1">
      <c r="A319" s="144" t="s">
        <v>68</v>
      </c>
      <c r="B319" s="148" t="s">
        <v>2809</v>
      </c>
      <c r="C319" s="147"/>
      <c r="D319" s="226"/>
      <c r="E319" s="226"/>
      <c r="F319" s="149"/>
      <c r="G319" s="149"/>
      <c r="H319" s="149"/>
      <c r="I319" s="149"/>
      <c r="J319" s="150"/>
      <c r="K319" s="149"/>
      <c r="L319" s="149"/>
      <c r="M319" s="150"/>
      <c r="N319" s="150"/>
      <c r="O319" s="150"/>
      <c r="P319" s="149"/>
      <c r="Q319" s="149"/>
      <c r="R319" s="149"/>
      <c r="S319" s="149"/>
      <c r="T319" s="144" t="s">
        <v>2978</v>
      </c>
      <c r="U319" s="149"/>
      <c r="V319" s="149"/>
      <c r="W319" s="149"/>
      <c r="X319" s="149"/>
      <c r="Y319" s="149"/>
      <c r="Z319" s="149"/>
      <c r="AA319" s="149"/>
      <c r="AB319" s="149"/>
      <c r="AC319" s="149"/>
      <c r="AD319" s="149"/>
      <c r="AE319" s="149"/>
      <c r="AF319" s="149"/>
      <c r="AG319" s="149"/>
      <c r="AH319" s="149"/>
      <c r="AI319" s="149"/>
      <c r="AJ319" s="149"/>
      <c r="AK319" s="149"/>
      <c r="AL319" s="149"/>
      <c r="AM319" s="149"/>
      <c r="AN319" s="149"/>
      <c r="AO319" s="90"/>
      <c r="AP319" s="90"/>
      <c r="AQ319" s="90"/>
      <c r="AR319" s="90"/>
      <c r="AS319" s="90"/>
      <c r="AT319" s="90"/>
      <c r="AU319" s="90"/>
      <c r="AV319" s="90"/>
      <c r="AW319" s="90"/>
      <c r="AX319" s="90"/>
    </row>
    <row r="320" ht="15.75" customHeight="1">
      <c r="A320" s="254"/>
      <c r="B320" s="191"/>
      <c r="C320" s="191"/>
      <c r="D320" s="191"/>
      <c r="E320" s="191"/>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c r="AG320" s="90"/>
      <c r="AH320" s="90"/>
      <c r="AI320" s="90"/>
      <c r="AJ320" s="90"/>
      <c r="AK320" s="90"/>
      <c r="AL320" s="90"/>
      <c r="AM320" s="90"/>
      <c r="AN320" s="90"/>
      <c r="AO320" s="90"/>
      <c r="AP320" s="90"/>
      <c r="AQ320" s="90"/>
      <c r="AR320" s="90"/>
      <c r="AS320" s="90"/>
      <c r="AT320" s="90"/>
      <c r="AU320" s="90"/>
      <c r="AV320" s="90"/>
      <c r="AW320" s="90"/>
      <c r="AX320" s="90"/>
    </row>
    <row r="321" ht="15.75" customHeight="1">
      <c r="A321" s="151" t="s">
        <v>133</v>
      </c>
      <c r="B321" s="147" t="s">
        <v>2824</v>
      </c>
      <c r="C321" s="147" t="s">
        <v>2825</v>
      </c>
      <c r="D321" s="226"/>
      <c r="E321" s="226"/>
      <c r="F321" s="149"/>
      <c r="G321" s="149"/>
      <c r="H321" s="149"/>
      <c r="I321" s="149"/>
      <c r="J321" s="150"/>
      <c r="K321" s="149"/>
      <c r="L321" s="149"/>
      <c r="M321" s="150"/>
      <c r="N321" s="150"/>
      <c r="O321" s="150"/>
      <c r="P321" s="149"/>
      <c r="Q321" s="149"/>
      <c r="R321" s="149"/>
      <c r="S321" s="149"/>
      <c r="T321" s="149"/>
      <c r="U321" s="149"/>
      <c r="V321" s="149"/>
      <c r="W321" s="149"/>
      <c r="X321" s="149"/>
      <c r="Y321" s="149"/>
      <c r="Z321" s="149"/>
      <c r="AA321" s="149"/>
      <c r="AB321" s="149"/>
      <c r="AC321" s="149"/>
      <c r="AD321" s="90"/>
      <c r="AE321" s="90"/>
      <c r="AF321" s="90"/>
      <c r="AG321" s="90"/>
      <c r="AH321" s="90"/>
      <c r="AI321" s="90"/>
      <c r="AJ321" s="90"/>
      <c r="AK321" s="90"/>
      <c r="AL321" s="90"/>
      <c r="AM321" s="90"/>
      <c r="AN321" s="90"/>
      <c r="AO321" s="90"/>
      <c r="AP321" s="90"/>
      <c r="AQ321" s="90"/>
      <c r="AR321" s="90"/>
      <c r="AS321" s="90"/>
      <c r="AT321" s="90"/>
      <c r="AU321" s="90"/>
      <c r="AV321" s="90"/>
      <c r="AW321" s="90"/>
      <c r="AX321" s="90"/>
    </row>
    <row r="322" ht="15.75" customHeight="1">
      <c r="A322" s="144" t="s">
        <v>127</v>
      </c>
      <c r="B322" s="144" t="s">
        <v>2829</v>
      </c>
      <c r="C322" s="147"/>
      <c r="D322" s="226"/>
      <c r="E322" s="226"/>
      <c r="F322" s="149"/>
      <c r="G322" s="149"/>
      <c r="H322" s="149"/>
      <c r="I322" s="149"/>
      <c r="J322" s="150"/>
      <c r="K322" s="149"/>
      <c r="L322" s="149"/>
      <c r="M322" s="150"/>
      <c r="N322" s="150"/>
      <c r="O322" s="150"/>
      <c r="P322" s="149"/>
      <c r="Q322" s="149"/>
      <c r="R322" s="149"/>
      <c r="S322" s="149"/>
      <c r="T322" s="74" t="s">
        <v>129</v>
      </c>
      <c r="U322" s="149"/>
      <c r="V322" s="149"/>
      <c r="W322" s="149"/>
      <c r="X322" s="149"/>
      <c r="Y322" s="149"/>
      <c r="Z322" s="149"/>
      <c r="AA322" s="149"/>
      <c r="AB322" s="149"/>
      <c r="AC322" s="149"/>
      <c r="AD322" s="90"/>
      <c r="AE322" s="90"/>
      <c r="AF322" s="90"/>
      <c r="AG322" s="90"/>
      <c r="AH322" s="90"/>
      <c r="AI322" s="90"/>
      <c r="AJ322" s="90"/>
      <c r="AK322" s="90"/>
      <c r="AL322" s="90"/>
      <c r="AM322" s="90"/>
      <c r="AN322" s="90"/>
      <c r="AO322" s="90"/>
      <c r="AP322" s="90"/>
      <c r="AQ322" s="90"/>
      <c r="AR322" s="90"/>
      <c r="AS322" s="90"/>
      <c r="AT322" s="90"/>
      <c r="AU322" s="90"/>
      <c r="AV322" s="90"/>
      <c r="AW322" s="90"/>
      <c r="AX322" s="90"/>
    </row>
    <row r="323" ht="15.75" customHeight="1">
      <c r="A323" s="218" t="s">
        <v>38</v>
      </c>
      <c r="B323" s="64" t="s">
        <v>2837</v>
      </c>
      <c r="C323" s="27" t="s">
        <v>2990</v>
      </c>
      <c r="D323" s="27" t="s">
        <v>2991</v>
      </c>
      <c r="E323" s="27" t="s">
        <v>2992</v>
      </c>
      <c r="F323" s="45"/>
      <c r="G323" s="45"/>
      <c r="H323" s="45"/>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90"/>
      <c r="AE323" s="90"/>
      <c r="AF323" s="90"/>
      <c r="AG323" s="90"/>
      <c r="AH323" s="90"/>
      <c r="AI323" s="90"/>
      <c r="AJ323" s="90"/>
      <c r="AK323" s="90"/>
      <c r="AL323" s="90"/>
      <c r="AM323" s="90"/>
      <c r="AN323" s="90"/>
      <c r="AO323" s="90"/>
      <c r="AP323" s="90"/>
      <c r="AQ323" s="90"/>
      <c r="AR323" s="90"/>
      <c r="AS323" s="90"/>
      <c r="AT323" s="90"/>
      <c r="AU323" s="90"/>
      <c r="AV323" s="90"/>
      <c r="AW323" s="90"/>
      <c r="AX323" s="90"/>
    </row>
    <row r="324" ht="15.75" customHeight="1">
      <c r="A324" s="80" t="s">
        <v>1988</v>
      </c>
      <c r="B324" s="228" t="s">
        <v>2839</v>
      </c>
      <c r="C324" s="27" t="s">
        <v>2999</v>
      </c>
      <c r="D324" s="27" t="s">
        <v>3000</v>
      </c>
      <c r="E324" s="27" t="s">
        <v>3002</v>
      </c>
      <c r="F324" s="45"/>
      <c r="G324" s="45"/>
      <c r="H324" s="45"/>
      <c r="I324" s="83"/>
      <c r="J324" s="84"/>
      <c r="K324" s="83"/>
      <c r="L324" s="83"/>
      <c r="M324" s="83"/>
      <c r="N324" s="83"/>
      <c r="O324" s="83"/>
      <c r="P324" s="83"/>
      <c r="Q324" s="83" t="s">
        <v>150</v>
      </c>
      <c r="R324" s="83"/>
      <c r="S324" s="83"/>
      <c r="T324" s="83"/>
      <c r="U324" s="83"/>
      <c r="V324" s="83"/>
      <c r="W324" s="83"/>
      <c r="X324" s="83"/>
      <c r="Y324" s="83"/>
      <c r="Z324" s="83"/>
      <c r="AA324" s="83"/>
      <c r="AB324" s="83"/>
      <c r="AC324" s="83"/>
      <c r="AD324" s="90"/>
      <c r="AE324" s="90"/>
      <c r="AF324" s="90"/>
      <c r="AG324" s="90"/>
      <c r="AH324" s="90"/>
      <c r="AI324" s="90"/>
      <c r="AJ324" s="90"/>
      <c r="AK324" s="90"/>
      <c r="AL324" s="90"/>
      <c r="AM324" s="90"/>
      <c r="AN324" s="90"/>
      <c r="AO324" s="90"/>
      <c r="AP324" s="90"/>
      <c r="AQ324" s="90"/>
      <c r="AR324" s="90"/>
      <c r="AS324" s="90"/>
      <c r="AT324" s="90"/>
      <c r="AU324" s="90"/>
      <c r="AV324" s="90"/>
      <c r="AW324" s="90"/>
      <c r="AX324" s="90"/>
    </row>
    <row r="325" ht="15.75" customHeight="1">
      <c r="A325" s="218" t="s">
        <v>38</v>
      </c>
      <c r="B325" s="64" t="s">
        <v>2844</v>
      </c>
      <c r="C325" s="27" t="s">
        <v>3009</v>
      </c>
      <c r="D325" s="27" t="s">
        <v>3010</v>
      </c>
      <c r="E325" s="27" t="s">
        <v>3011</v>
      </c>
      <c r="F325" s="45"/>
      <c r="G325" s="45"/>
      <c r="H325" s="45"/>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90"/>
      <c r="AE325" s="90"/>
      <c r="AF325" s="90"/>
      <c r="AG325" s="90"/>
      <c r="AH325" s="90"/>
      <c r="AI325" s="90"/>
      <c r="AJ325" s="90"/>
      <c r="AK325" s="90"/>
      <c r="AL325" s="90"/>
      <c r="AM325" s="90"/>
      <c r="AN325" s="90"/>
      <c r="AO325" s="90"/>
      <c r="AP325" s="90"/>
      <c r="AQ325" s="90"/>
      <c r="AR325" s="90"/>
      <c r="AS325" s="90"/>
      <c r="AT325" s="90"/>
      <c r="AU325" s="90"/>
      <c r="AV325" s="90"/>
      <c r="AW325" s="90"/>
      <c r="AX325" s="90"/>
    </row>
    <row r="326" ht="15.75" customHeight="1">
      <c r="A326" s="80" t="s">
        <v>2847</v>
      </c>
      <c r="B326" s="228" t="s">
        <v>2849</v>
      </c>
      <c r="C326" s="27" t="s">
        <v>3027</v>
      </c>
      <c r="D326" s="27" t="s">
        <v>3028</v>
      </c>
      <c r="E326" s="27" t="s">
        <v>3029</v>
      </c>
      <c r="F326" s="45"/>
      <c r="G326" s="45"/>
      <c r="H326" s="45"/>
      <c r="I326" s="83"/>
      <c r="J326" s="84"/>
      <c r="K326" s="83"/>
      <c r="L326" s="83"/>
      <c r="M326" s="83"/>
      <c r="N326" s="83"/>
      <c r="O326" s="83"/>
      <c r="P326" s="83"/>
      <c r="Q326" s="83" t="s">
        <v>150</v>
      </c>
      <c r="R326" s="83"/>
      <c r="S326" s="83"/>
      <c r="T326" s="83"/>
      <c r="U326" s="83"/>
      <c r="V326" s="83"/>
      <c r="W326" s="83"/>
      <c r="X326" s="83"/>
      <c r="Y326" s="83"/>
      <c r="Z326" s="83"/>
      <c r="AA326" s="83"/>
      <c r="AB326" s="83"/>
      <c r="AC326" s="83"/>
      <c r="AD326" s="90"/>
      <c r="AE326" s="90"/>
      <c r="AF326" s="90"/>
      <c r="AG326" s="90"/>
      <c r="AH326" s="90"/>
      <c r="AI326" s="90"/>
      <c r="AJ326" s="90"/>
      <c r="AK326" s="90"/>
      <c r="AL326" s="90"/>
      <c r="AM326" s="90"/>
      <c r="AN326" s="90"/>
      <c r="AO326" s="90"/>
      <c r="AP326" s="90"/>
      <c r="AQ326" s="90"/>
      <c r="AR326" s="90"/>
      <c r="AS326" s="90"/>
      <c r="AT326" s="90"/>
      <c r="AU326" s="90"/>
      <c r="AV326" s="90"/>
      <c r="AW326" s="90"/>
      <c r="AX326" s="90"/>
    </row>
    <row r="327" ht="15.75" customHeight="1">
      <c r="A327" s="80" t="s">
        <v>2847</v>
      </c>
      <c r="B327" s="228" t="s">
        <v>2852</v>
      </c>
      <c r="C327" s="27" t="s">
        <v>3042</v>
      </c>
      <c r="D327" s="27" t="s">
        <v>3044</v>
      </c>
      <c r="E327" s="27" t="s">
        <v>3046</v>
      </c>
      <c r="F327" s="45"/>
      <c r="G327" s="45"/>
      <c r="H327" s="45"/>
      <c r="I327" s="83"/>
      <c r="J327" s="84"/>
      <c r="K327" s="83"/>
      <c r="L327" s="83"/>
      <c r="M327" s="83"/>
      <c r="N327" s="83"/>
      <c r="O327" s="83"/>
      <c r="P327" s="83"/>
      <c r="Q327" s="83" t="s">
        <v>150</v>
      </c>
      <c r="R327" s="83"/>
      <c r="S327" s="83"/>
      <c r="T327" s="83"/>
      <c r="U327" s="83"/>
      <c r="V327" s="83"/>
      <c r="W327" s="83"/>
      <c r="X327" s="83"/>
      <c r="Y327" s="83"/>
      <c r="Z327" s="83"/>
      <c r="AA327" s="83"/>
      <c r="AB327" s="83"/>
      <c r="AC327" s="83"/>
      <c r="AD327" s="90"/>
      <c r="AE327" s="90"/>
      <c r="AF327" s="90"/>
      <c r="AG327" s="90"/>
      <c r="AH327" s="90"/>
      <c r="AI327" s="90"/>
      <c r="AJ327" s="90"/>
      <c r="AK327" s="90"/>
      <c r="AL327" s="90"/>
      <c r="AM327" s="90"/>
      <c r="AN327" s="90"/>
      <c r="AO327" s="90"/>
      <c r="AP327" s="90"/>
      <c r="AQ327" s="90"/>
      <c r="AR327" s="90"/>
      <c r="AS327" s="90"/>
      <c r="AT327" s="90"/>
      <c r="AU327" s="90"/>
      <c r="AV327" s="90"/>
      <c r="AW327" s="90"/>
      <c r="AX327" s="90"/>
    </row>
    <row r="328" ht="15.75" customHeight="1">
      <c r="A328" s="80" t="s">
        <v>2847</v>
      </c>
      <c r="B328" s="228" t="s">
        <v>2857</v>
      </c>
      <c r="C328" s="27" t="s">
        <v>3059</v>
      </c>
      <c r="D328" s="27" t="s">
        <v>3060</v>
      </c>
      <c r="E328" s="27" t="s">
        <v>3061</v>
      </c>
      <c r="F328" s="45"/>
      <c r="G328" s="45"/>
      <c r="H328" s="45"/>
      <c r="I328" s="83"/>
      <c r="J328" s="84"/>
      <c r="K328" s="83"/>
      <c r="L328" s="83"/>
      <c r="M328" s="83"/>
      <c r="N328" s="83"/>
      <c r="O328" s="83"/>
      <c r="P328" s="83"/>
      <c r="Q328" s="83" t="s">
        <v>150</v>
      </c>
      <c r="R328" s="83"/>
      <c r="S328" s="83"/>
      <c r="T328" s="83"/>
      <c r="U328" s="83"/>
      <c r="V328" s="83"/>
      <c r="W328" s="83"/>
      <c r="X328" s="83"/>
      <c r="Y328" s="83"/>
      <c r="Z328" s="83"/>
      <c r="AA328" s="83"/>
      <c r="AB328" s="83"/>
      <c r="AC328" s="83"/>
      <c r="AD328" s="90"/>
      <c r="AE328" s="90"/>
      <c r="AF328" s="90"/>
      <c r="AG328" s="90"/>
      <c r="AH328" s="90"/>
      <c r="AI328" s="90"/>
      <c r="AJ328" s="90"/>
      <c r="AK328" s="90"/>
      <c r="AL328" s="90"/>
      <c r="AM328" s="90"/>
      <c r="AN328" s="90"/>
      <c r="AO328" s="90"/>
      <c r="AP328" s="90"/>
      <c r="AQ328" s="90"/>
      <c r="AR328" s="90"/>
      <c r="AS328" s="90"/>
      <c r="AT328" s="90"/>
      <c r="AU328" s="90"/>
      <c r="AV328" s="90"/>
      <c r="AW328" s="90"/>
      <c r="AX328" s="90"/>
    </row>
    <row r="329" ht="15.75" customHeight="1">
      <c r="A329" s="80" t="s">
        <v>2847</v>
      </c>
      <c r="B329" s="228" t="s">
        <v>2858</v>
      </c>
      <c r="C329" s="27" t="s">
        <v>3072</v>
      </c>
      <c r="D329" s="27" t="s">
        <v>3073</v>
      </c>
      <c r="E329" s="27" t="s">
        <v>3074</v>
      </c>
      <c r="F329" s="45"/>
      <c r="G329" s="45"/>
      <c r="H329" s="45"/>
      <c r="I329" s="83"/>
      <c r="J329" s="84"/>
      <c r="K329" s="83"/>
      <c r="L329" s="83"/>
      <c r="M329" s="83"/>
      <c r="N329" s="83"/>
      <c r="O329" s="83"/>
      <c r="P329" s="83"/>
      <c r="Q329" s="83" t="s">
        <v>150</v>
      </c>
      <c r="R329" s="83"/>
      <c r="S329" s="83"/>
      <c r="T329" s="83"/>
      <c r="U329" s="83"/>
      <c r="V329" s="83"/>
      <c r="W329" s="83"/>
      <c r="X329" s="83"/>
      <c r="Y329" s="83"/>
      <c r="Z329" s="83"/>
      <c r="AA329" s="83"/>
      <c r="AB329" s="83"/>
      <c r="AC329" s="83"/>
      <c r="AD329" s="90"/>
      <c r="AE329" s="90"/>
      <c r="AF329" s="90"/>
      <c r="AG329" s="90"/>
      <c r="AH329" s="90"/>
      <c r="AI329" s="90"/>
      <c r="AJ329" s="90"/>
      <c r="AK329" s="90"/>
      <c r="AL329" s="90"/>
      <c r="AM329" s="90"/>
      <c r="AN329" s="90"/>
      <c r="AO329" s="90"/>
      <c r="AP329" s="90"/>
      <c r="AQ329" s="90"/>
      <c r="AR329" s="90"/>
      <c r="AS329" s="90"/>
      <c r="AT329" s="90"/>
      <c r="AU329" s="90"/>
      <c r="AV329" s="90"/>
      <c r="AW329" s="90"/>
      <c r="AX329" s="90"/>
    </row>
    <row r="330" ht="15.75" customHeight="1">
      <c r="A330" s="80" t="s">
        <v>2847</v>
      </c>
      <c r="B330" s="228" t="s">
        <v>2860</v>
      </c>
      <c r="C330" s="27" t="s">
        <v>3087</v>
      </c>
      <c r="D330" s="27" t="s">
        <v>3088</v>
      </c>
      <c r="E330" s="27" t="s">
        <v>3090</v>
      </c>
      <c r="F330" s="45"/>
      <c r="G330" s="45"/>
      <c r="H330" s="45"/>
      <c r="I330" s="83"/>
      <c r="J330" s="84"/>
      <c r="K330" s="83"/>
      <c r="L330" s="83"/>
      <c r="M330" s="83"/>
      <c r="N330" s="83"/>
      <c r="O330" s="83"/>
      <c r="P330" s="83"/>
      <c r="Q330" s="83" t="s">
        <v>150</v>
      </c>
      <c r="R330" s="83"/>
      <c r="S330" s="83"/>
      <c r="T330" s="83"/>
      <c r="U330" s="83"/>
      <c r="V330" s="83"/>
      <c r="W330" s="83"/>
      <c r="X330" s="83"/>
      <c r="Y330" s="83"/>
      <c r="Z330" s="83"/>
      <c r="AA330" s="83"/>
      <c r="AB330" s="83"/>
      <c r="AC330" s="83"/>
      <c r="AD330" s="90"/>
      <c r="AE330" s="90"/>
      <c r="AF330" s="90"/>
      <c r="AG330" s="90"/>
      <c r="AH330" s="90"/>
      <c r="AI330" s="90"/>
      <c r="AJ330" s="90"/>
      <c r="AK330" s="90"/>
      <c r="AL330" s="90"/>
      <c r="AM330" s="90"/>
      <c r="AN330" s="90"/>
      <c r="AO330" s="90"/>
      <c r="AP330" s="90"/>
      <c r="AQ330" s="90"/>
      <c r="AR330" s="90"/>
      <c r="AS330" s="90"/>
      <c r="AT330" s="90"/>
      <c r="AU330" s="90"/>
      <c r="AV330" s="90"/>
      <c r="AW330" s="90"/>
      <c r="AX330" s="90"/>
    </row>
    <row r="331" ht="15.75" customHeight="1">
      <c r="A331" s="80" t="s">
        <v>2847</v>
      </c>
      <c r="B331" s="228" t="s">
        <v>2865</v>
      </c>
      <c r="C331" s="27" t="s">
        <v>3105</v>
      </c>
      <c r="D331" s="27" t="s">
        <v>3107</v>
      </c>
      <c r="E331" s="27" t="s">
        <v>3109</v>
      </c>
      <c r="F331" s="45"/>
      <c r="G331" s="45"/>
      <c r="H331" s="45"/>
      <c r="I331" s="83"/>
      <c r="J331" s="84"/>
      <c r="K331" s="83"/>
      <c r="L331" s="83"/>
      <c r="M331" s="83"/>
      <c r="N331" s="83"/>
      <c r="O331" s="83"/>
      <c r="P331" s="83"/>
      <c r="Q331" s="83" t="s">
        <v>150</v>
      </c>
      <c r="R331" s="83"/>
      <c r="S331" s="83"/>
      <c r="T331" s="83"/>
      <c r="U331" s="83"/>
      <c r="V331" s="83"/>
      <c r="W331" s="83"/>
      <c r="X331" s="83"/>
      <c r="Y331" s="83"/>
      <c r="Z331" s="83"/>
      <c r="AA331" s="83"/>
      <c r="AB331" s="83"/>
      <c r="AC331" s="83"/>
      <c r="AD331" s="90"/>
      <c r="AE331" s="90"/>
      <c r="AF331" s="90"/>
      <c r="AG331" s="90"/>
      <c r="AH331" s="90"/>
      <c r="AI331" s="90"/>
      <c r="AJ331" s="90"/>
      <c r="AK331" s="90"/>
      <c r="AL331" s="90"/>
      <c r="AM331" s="90"/>
      <c r="AN331" s="90"/>
      <c r="AO331" s="90"/>
      <c r="AP331" s="90"/>
      <c r="AQ331" s="90"/>
      <c r="AR331" s="90"/>
      <c r="AS331" s="90"/>
      <c r="AT331" s="90"/>
      <c r="AU331" s="90"/>
      <c r="AV331" s="90"/>
      <c r="AW331" s="90"/>
      <c r="AX331" s="90"/>
    </row>
    <row r="332" ht="15.75" customHeight="1">
      <c r="A332" s="80" t="s">
        <v>2847</v>
      </c>
      <c r="B332" s="228" t="s">
        <v>2877</v>
      </c>
      <c r="C332" s="27" t="s">
        <v>3115</v>
      </c>
      <c r="D332" s="27" t="s">
        <v>3116</v>
      </c>
      <c r="E332" s="27" t="s">
        <v>3117</v>
      </c>
      <c r="F332" s="45"/>
      <c r="G332" s="45"/>
      <c r="H332" s="45"/>
      <c r="I332" s="83"/>
      <c r="J332" s="84"/>
      <c r="K332" s="83"/>
      <c r="L332" s="83"/>
      <c r="M332" s="83"/>
      <c r="N332" s="83"/>
      <c r="O332" s="83"/>
      <c r="P332" s="83"/>
      <c r="Q332" s="83" t="s">
        <v>150</v>
      </c>
      <c r="R332" s="83"/>
      <c r="S332" s="83"/>
      <c r="T332" s="83"/>
      <c r="U332" s="83"/>
      <c r="V332" s="83"/>
      <c r="W332" s="83"/>
      <c r="X332" s="83"/>
      <c r="Y332" s="83"/>
      <c r="Z332" s="83"/>
      <c r="AA332" s="83"/>
      <c r="AB332" s="83"/>
      <c r="AC332" s="83"/>
      <c r="AD332" s="90"/>
      <c r="AE332" s="90"/>
      <c r="AF332" s="90"/>
      <c r="AG332" s="90"/>
      <c r="AH332" s="90"/>
      <c r="AI332" s="90"/>
      <c r="AJ332" s="90"/>
      <c r="AK332" s="90"/>
      <c r="AL332" s="90"/>
      <c r="AM332" s="90"/>
      <c r="AN332" s="90"/>
      <c r="AO332" s="90"/>
      <c r="AP332" s="90"/>
      <c r="AQ332" s="90"/>
      <c r="AR332" s="90"/>
      <c r="AS332" s="90"/>
      <c r="AT332" s="90"/>
      <c r="AU332" s="90"/>
      <c r="AV332" s="90"/>
      <c r="AW332" s="90"/>
      <c r="AX332" s="90"/>
    </row>
    <row r="333" ht="15.75" customHeight="1">
      <c r="A333" s="151" t="s">
        <v>237</v>
      </c>
      <c r="B333" s="226" t="s">
        <v>2824</v>
      </c>
      <c r="C333" s="226" t="s">
        <v>2825</v>
      </c>
      <c r="D333" s="226"/>
      <c r="E333" s="226"/>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49"/>
      <c r="AC333" s="149"/>
      <c r="AD333" s="90"/>
      <c r="AE333" s="90"/>
      <c r="AF333" s="90"/>
      <c r="AG333" s="90"/>
      <c r="AH333" s="90"/>
      <c r="AI333" s="90"/>
      <c r="AJ333" s="90"/>
      <c r="AK333" s="90"/>
      <c r="AL333" s="90"/>
      <c r="AM333" s="90"/>
      <c r="AN333" s="90"/>
      <c r="AO333" s="90"/>
      <c r="AP333" s="90"/>
      <c r="AQ333" s="90"/>
      <c r="AR333" s="90"/>
      <c r="AS333" s="90"/>
      <c r="AT333" s="90"/>
      <c r="AU333" s="90"/>
      <c r="AV333" s="90"/>
      <c r="AW333" s="90"/>
      <c r="AX333" s="90"/>
    </row>
    <row r="334" ht="15.75" customHeight="1">
      <c r="A334" s="254"/>
      <c r="B334" s="191"/>
      <c r="C334" s="191" t="s">
        <v>50</v>
      </c>
      <c r="D334" s="191" t="s">
        <v>50</v>
      </c>
      <c r="E334" s="191" t="s">
        <v>50</v>
      </c>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c r="AG334" s="90"/>
      <c r="AH334" s="90"/>
      <c r="AI334" s="90"/>
      <c r="AJ334" s="90"/>
      <c r="AK334" s="90"/>
      <c r="AL334" s="90"/>
      <c r="AM334" s="90"/>
      <c r="AN334" s="90"/>
      <c r="AO334" s="90"/>
      <c r="AP334" s="90"/>
      <c r="AQ334" s="90"/>
      <c r="AR334" s="90"/>
      <c r="AS334" s="90"/>
      <c r="AT334" s="90"/>
      <c r="AU334" s="90"/>
      <c r="AV334" s="90"/>
      <c r="AW334" s="90"/>
      <c r="AX334" s="90"/>
    </row>
    <row r="335" ht="15.75" customHeight="1">
      <c r="A335" s="151" t="s">
        <v>133</v>
      </c>
      <c r="B335" s="147" t="s">
        <v>2946</v>
      </c>
      <c r="C335" s="147" t="s">
        <v>2947</v>
      </c>
      <c r="D335" s="226"/>
      <c r="E335" s="226"/>
      <c r="F335" s="149"/>
      <c r="G335" s="149"/>
      <c r="H335" s="149"/>
      <c r="I335" s="149"/>
      <c r="J335" s="150"/>
      <c r="K335" s="149"/>
      <c r="L335" s="149"/>
      <c r="M335" s="150"/>
      <c r="N335" s="150"/>
      <c r="O335" s="150"/>
      <c r="P335" s="149"/>
      <c r="Q335" s="149"/>
      <c r="R335" s="149"/>
      <c r="S335" s="149"/>
      <c r="T335" s="149"/>
      <c r="U335" s="149"/>
      <c r="V335" s="149"/>
      <c r="W335" s="149"/>
      <c r="X335" s="149"/>
      <c r="Y335" s="149"/>
      <c r="Z335" s="149"/>
      <c r="AA335" s="149"/>
      <c r="AB335" s="149"/>
      <c r="AC335" s="149"/>
      <c r="AD335" s="90"/>
      <c r="AE335" s="90"/>
      <c r="AF335" s="90"/>
      <c r="AG335" s="90"/>
      <c r="AH335" s="90"/>
      <c r="AI335" s="90"/>
      <c r="AJ335" s="90"/>
      <c r="AK335" s="90"/>
      <c r="AL335" s="90"/>
      <c r="AM335" s="90"/>
      <c r="AN335" s="90"/>
      <c r="AO335" s="90"/>
      <c r="AP335" s="90"/>
      <c r="AQ335" s="90"/>
      <c r="AR335" s="90"/>
      <c r="AS335" s="90"/>
      <c r="AT335" s="90"/>
      <c r="AU335" s="90"/>
      <c r="AV335" s="90"/>
      <c r="AW335" s="90"/>
      <c r="AX335" s="90"/>
    </row>
    <row r="336" ht="15.75" customHeight="1">
      <c r="A336" s="266" t="s">
        <v>38</v>
      </c>
      <c r="B336" s="64" t="s">
        <v>2951</v>
      </c>
      <c r="C336" s="27" t="s">
        <v>3127</v>
      </c>
      <c r="D336" s="27" t="s">
        <v>3128</v>
      </c>
      <c r="E336" s="27" t="s">
        <v>3129</v>
      </c>
      <c r="F336" s="45"/>
      <c r="G336" s="45"/>
      <c r="H336" s="45"/>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90"/>
      <c r="AE336" s="90"/>
      <c r="AF336" s="90"/>
      <c r="AG336" s="90"/>
      <c r="AH336" s="90"/>
      <c r="AI336" s="90"/>
      <c r="AJ336" s="90"/>
      <c r="AK336" s="90"/>
      <c r="AL336" s="90"/>
      <c r="AM336" s="90"/>
      <c r="AN336" s="90"/>
      <c r="AO336" s="90"/>
      <c r="AP336" s="90"/>
      <c r="AQ336" s="90"/>
      <c r="AR336" s="90"/>
      <c r="AS336" s="90"/>
      <c r="AT336" s="90"/>
      <c r="AU336" s="90"/>
      <c r="AV336" s="90"/>
      <c r="AW336" s="90"/>
      <c r="AX336" s="90"/>
    </row>
    <row r="337" ht="15.75" customHeight="1">
      <c r="A337" s="269" t="s">
        <v>1988</v>
      </c>
      <c r="B337" s="228" t="s">
        <v>2976</v>
      </c>
      <c r="C337" s="27" t="s">
        <v>3132</v>
      </c>
      <c r="D337" s="27" t="s">
        <v>3133</v>
      </c>
      <c r="E337" s="27" t="s">
        <v>3134</v>
      </c>
      <c r="F337" s="45"/>
      <c r="G337" s="45"/>
      <c r="H337" s="45"/>
      <c r="I337" s="83"/>
      <c r="J337" s="84"/>
      <c r="K337" s="83"/>
      <c r="L337" s="83"/>
      <c r="M337" s="83"/>
      <c r="N337" s="83"/>
      <c r="O337" s="83"/>
      <c r="P337" s="83"/>
      <c r="Q337" s="83" t="s">
        <v>150</v>
      </c>
      <c r="R337" s="83"/>
      <c r="S337" s="83"/>
      <c r="T337" s="83"/>
      <c r="U337" s="83"/>
      <c r="V337" s="83"/>
      <c r="W337" s="83"/>
      <c r="X337" s="83"/>
      <c r="Y337" s="83"/>
      <c r="Z337" s="83"/>
      <c r="AA337" s="83"/>
      <c r="AB337" s="83"/>
      <c r="AC337" s="83"/>
      <c r="AD337" s="90"/>
      <c r="AE337" s="90"/>
      <c r="AF337" s="90"/>
      <c r="AG337" s="90"/>
      <c r="AH337" s="90"/>
      <c r="AI337" s="90"/>
      <c r="AJ337" s="90"/>
      <c r="AK337" s="90"/>
      <c r="AL337" s="90"/>
      <c r="AM337" s="90"/>
      <c r="AN337" s="90"/>
      <c r="AO337" s="90"/>
      <c r="AP337" s="90"/>
      <c r="AQ337" s="90"/>
      <c r="AR337" s="90"/>
      <c r="AS337" s="90"/>
      <c r="AT337" s="90"/>
      <c r="AU337" s="90"/>
      <c r="AV337" s="90"/>
      <c r="AW337" s="90"/>
      <c r="AX337" s="90"/>
    </row>
    <row r="338" ht="15.75" customHeight="1">
      <c r="A338" s="269" t="s">
        <v>1988</v>
      </c>
      <c r="B338" s="228" t="s">
        <v>2977</v>
      </c>
      <c r="C338" s="27" t="s">
        <v>3141</v>
      </c>
      <c r="D338" s="27" t="s">
        <v>3142</v>
      </c>
      <c r="E338" s="27" t="s">
        <v>3143</v>
      </c>
      <c r="F338" s="45"/>
      <c r="G338" s="45"/>
      <c r="H338" s="45"/>
      <c r="I338" s="83"/>
      <c r="J338" s="84"/>
      <c r="K338" s="83"/>
      <c r="L338" s="83"/>
      <c r="M338" s="83"/>
      <c r="N338" s="83"/>
      <c r="O338" s="83"/>
      <c r="P338" s="83"/>
      <c r="Q338" s="83" t="s">
        <v>150</v>
      </c>
      <c r="R338" s="83"/>
      <c r="S338" s="83"/>
      <c r="T338" s="83"/>
      <c r="U338" s="83"/>
      <c r="V338" s="83"/>
      <c r="W338" s="83"/>
      <c r="X338" s="83"/>
      <c r="Y338" s="83"/>
      <c r="Z338" s="83"/>
      <c r="AA338" s="83"/>
      <c r="AB338" s="83"/>
      <c r="AC338" s="83"/>
      <c r="AD338" s="90"/>
      <c r="AE338" s="90"/>
      <c r="AF338" s="90"/>
      <c r="AG338" s="90"/>
      <c r="AH338" s="90"/>
      <c r="AI338" s="90"/>
      <c r="AJ338" s="90"/>
      <c r="AK338" s="90"/>
      <c r="AL338" s="90"/>
      <c r="AM338" s="90"/>
      <c r="AN338" s="90"/>
      <c r="AO338" s="90"/>
      <c r="AP338" s="90"/>
      <c r="AQ338" s="90"/>
      <c r="AR338" s="90"/>
      <c r="AS338" s="90"/>
      <c r="AT338" s="90"/>
      <c r="AU338" s="90"/>
      <c r="AV338" s="90"/>
      <c r="AW338" s="90"/>
      <c r="AX338" s="90"/>
    </row>
    <row r="339" ht="15.75" customHeight="1">
      <c r="A339" s="269" t="s">
        <v>1988</v>
      </c>
      <c r="B339" s="228" t="s">
        <v>2984</v>
      </c>
      <c r="C339" s="27" t="s">
        <v>3149</v>
      </c>
      <c r="D339" s="27" t="s">
        <v>3150</v>
      </c>
      <c r="E339" s="27" t="s">
        <v>3151</v>
      </c>
      <c r="F339" s="45"/>
      <c r="G339" s="45"/>
      <c r="H339" s="45"/>
      <c r="I339" s="83"/>
      <c r="J339" s="84"/>
      <c r="K339" s="83"/>
      <c r="L339" s="83"/>
      <c r="M339" s="83"/>
      <c r="N339" s="83"/>
      <c r="O339" s="83"/>
      <c r="P339" s="83"/>
      <c r="Q339" s="83" t="s">
        <v>150</v>
      </c>
      <c r="R339" s="83"/>
      <c r="S339" s="83"/>
      <c r="T339" s="83"/>
      <c r="U339" s="83"/>
      <c r="V339" s="83"/>
      <c r="W339" s="83"/>
      <c r="X339" s="83"/>
      <c r="Y339" s="83"/>
      <c r="Z339" s="83"/>
      <c r="AA339" s="83"/>
      <c r="AB339" s="83"/>
      <c r="AC339" s="83"/>
      <c r="AD339" s="90"/>
      <c r="AE339" s="90"/>
      <c r="AF339" s="90"/>
      <c r="AG339" s="90"/>
      <c r="AH339" s="90"/>
      <c r="AI339" s="90"/>
      <c r="AJ339" s="90"/>
      <c r="AK339" s="90"/>
      <c r="AL339" s="90"/>
      <c r="AM339" s="90"/>
      <c r="AN339" s="90"/>
      <c r="AO339" s="90"/>
      <c r="AP339" s="90"/>
      <c r="AQ339" s="90"/>
      <c r="AR339" s="90"/>
      <c r="AS339" s="90"/>
      <c r="AT339" s="90"/>
      <c r="AU339" s="90"/>
      <c r="AV339" s="90"/>
      <c r="AW339" s="90"/>
      <c r="AX339" s="90"/>
    </row>
    <row r="340" ht="15.75" customHeight="1">
      <c r="A340" s="269" t="s">
        <v>1988</v>
      </c>
      <c r="B340" s="228" t="s">
        <v>2985</v>
      </c>
      <c r="C340" s="27" t="s">
        <v>3160</v>
      </c>
      <c r="D340" s="27" t="s">
        <v>3161</v>
      </c>
      <c r="E340" s="27" t="s">
        <v>3162</v>
      </c>
      <c r="F340" s="45"/>
      <c r="G340" s="45"/>
      <c r="H340" s="45"/>
      <c r="I340" s="83"/>
      <c r="J340" s="84"/>
      <c r="K340" s="83"/>
      <c r="L340" s="83"/>
      <c r="M340" s="83"/>
      <c r="N340" s="83"/>
      <c r="O340" s="83"/>
      <c r="P340" s="83"/>
      <c r="Q340" s="83" t="s">
        <v>150</v>
      </c>
      <c r="R340" s="83"/>
      <c r="S340" s="83"/>
      <c r="T340" s="83"/>
      <c r="U340" s="83"/>
      <c r="V340" s="83"/>
      <c r="W340" s="83"/>
      <c r="X340" s="83"/>
      <c r="Y340" s="83"/>
      <c r="Z340" s="83"/>
      <c r="AA340" s="83"/>
      <c r="AB340" s="83"/>
      <c r="AC340" s="83"/>
      <c r="AD340" s="90"/>
      <c r="AE340" s="90"/>
      <c r="AF340" s="90"/>
      <c r="AG340" s="90"/>
      <c r="AH340" s="90"/>
      <c r="AI340" s="90"/>
      <c r="AJ340" s="90"/>
      <c r="AK340" s="90"/>
      <c r="AL340" s="90"/>
      <c r="AM340" s="90"/>
      <c r="AN340" s="90"/>
      <c r="AO340" s="90"/>
      <c r="AP340" s="90"/>
      <c r="AQ340" s="90"/>
      <c r="AR340" s="90"/>
      <c r="AS340" s="90"/>
      <c r="AT340" s="90"/>
      <c r="AU340" s="90"/>
      <c r="AV340" s="90"/>
      <c r="AW340" s="90"/>
      <c r="AX340" s="90"/>
    </row>
    <row r="341" ht="15.75" customHeight="1">
      <c r="A341" s="269" t="s">
        <v>1988</v>
      </c>
      <c r="B341" s="228" t="s">
        <v>2986</v>
      </c>
      <c r="C341" s="27" t="s">
        <v>3174</v>
      </c>
      <c r="D341" s="27" t="s">
        <v>3175</v>
      </c>
      <c r="E341" s="27" t="s">
        <v>3176</v>
      </c>
      <c r="F341" s="45"/>
      <c r="G341" s="45"/>
      <c r="H341" s="45"/>
      <c r="I341" s="83"/>
      <c r="J341" s="84"/>
      <c r="K341" s="83"/>
      <c r="L341" s="83"/>
      <c r="M341" s="83"/>
      <c r="N341" s="83"/>
      <c r="O341" s="83"/>
      <c r="P341" s="83"/>
      <c r="Q341" s="83" t="s">
        <v>150</v>
      </c>
      <c r="R341" s="83"/>
      <c r="S341" s="83"/>
      <c r="T341" s="83"/>
      <c r="U341" s="83"/>
      <c r="V341" s="83"/>
      <c r="W341" s="83"/>
      <c r="X341" s="83"/>
      <c r="Y341" s="83"/>
      <c r="Z341" s="83"/>
      <c r="AA341" s="83"/>
      <c r="AB341" s="83"/>
      <c r="AC341" s="83"/>
      <c r="AD341" s="90"/>
      <c r="AE341" s="90"/>
      <c r="AF341" s="90"/>
      <c r="AG341" s="90"/>
      <c r="AH341" s="90"/>
      <c r="AI341" s="90"/>
      <c r="AJ341" s="90"/>
      <c r="AK341" s="90"/>
      <c r="AL341" s="90"/>
      <c r="AM341" s="90"/>
      <c r="AN341" s="90"/>
      <c r="AO341" s="90"/>
      <c r="AP341" s="90"/>
      <c r="AQ341" s="90"/>
      <c r="AR341" s="90"/>
      <c r="AS341" s="90"/>
      <c r="AT341" s="90"/>
      <c r="AU341" s="90"/>
      <c r="AV341" s="90"/>
      <c r="AW341" s="90"/>
      <c r="AX341" s="90"/>
    </row>
    <row r="342" ht="15.75" customHeight="1">
      <c r="A342" s="269" t="s">
        <v>1306</v>
      </c>
      <c r="B342" s="228" t="s">
        <v>3008</v>
      </c>
      <c r="C342" s="27" t="s">
        <v>3184</v>
      </c>
      <c r="D342" s="27" t="s">
        <v>3185</v>
      </c>
      <c r="E342" s="27" t="s">
        <v>3186</v>
      </c>
      <c r="F342" s="45"/>
      <c r="G342" s="45"/>
      <c r="H342" s="45"/>
      <c r="I342" s="83"/>
      <c r="J342" s="84"/>
      <c r="K342" s="83"/>
      <c r="L342" s="83"/>
      <c r="M342" s="83"/>
      <c r="N342" s="83"/>
      <c r="O342" s="83"/>
      <c r="P342" s="83"/>
      <c r="Q342" s="83" t="s">
        <v>150</v>
      </c>
      <c r="R342" s="83"/>
      <c r="S342" s="83"/>
      <c r="T342" s="83"/>
      <c r="U342" s="83"/>
      <c r="V342" s="83"/>
      <c r="W342" s="83"/>
      <c r="X342" s="83"/>
      <c r="Y342" s="83"/>
      <c r="Z342" s="83"/>
      <c r="AA342" s="83"/>
      <c r="AB342" s="83"/>
      <c r="AC342" s="83"/>
      <c r="AD342" s="90"/>
      <c r="AE342" s="90"/>
      <c r="AF342" s="90"/>
      <c r="AG342" s="90"/>
      <c r="AH342" s="90"/>
      <c r="AI342" s="90"/>
      <c r="AJ342" s="90"/>
      <c r="AK342" s="90"/>
      <c r="AL342" s="90"/>
      <c r="AM342" s="90"/>
      <c r="AN342" s="90"/>
      <c r="AO342" s="90"/>
      <c r="AP342" s="90"/>
      <c r="AQ342" s="90"/>
      <c r="AR342" s="90"/>
      <c r="AS342" s="90"/>
      <c r="AT342" s="90"/>
      <c r="AU342" s="90"/>
      <c r="AV342" s="90"/>
      <c r="AW342" s="90"/>
      <c r="AX342" s="90"/>
    </row>
    <row r="343" ht="15.75" customHeight="1">
      <c r="A343" s="269" t="s">
        <v>1306</v>
      </c>
      <c r="B343" s="228" t="s">
        <v>3071</v>
      </c>
      <c r="C343" s="27" t="s">
        <v>3193</v>
      </c>
      <c r="D343" s="27" t="s">
        <v>3195</v>
      </c>
      <c r="E343" s="27" t="s">
        <v>3197</v>
      </c>
      <c r="F343" s="45"/>
      <c r="G343" s="45"/>
      <c r="H343" s="45"/>
      <c r="I343" s="83"/>
      <c r="J343" s="84"/>
      <c r="K343" s="83"/>
      <c r="L343" s="83"/>
      <c r="M343" s="83"/>
      <c r="N343" s="83"/>
      <c r="O343" s="83" t="s">
        <v>3198</v>
      </c>
      <c r="P343" s="83"/>
      <c r="Q343" s="83" t="s">
        <v>150</v>
      </c>
      <c r="R343" s="83"/>
      <c r="S343" s="83"/>
      <c r="T343" s="83"/>
      <c r="U343" s="83"/>
      <c r="V343" s="83"/>
      <c r="W343" s="83"/>
      <c r="X343" s="83"/>
      <c r="Y343" s="83"/>
      <c r="Z343" s="83"/>
      <c r="AA343" s="83"/>
      <c r="AB343" s="83"/>
      <c r="AC343" s="83"/>
      <c r="AD343" s="90"/>
      <c r="AE343" s="90"/>
      <c r="AF343" s="90"/>
      <c r="AG343" s="90"/>
      <c r="AH343" s="90"/>
      <c r="AI343" s="90"/>
      <c r="AJ343" s="90"/>
      <c r="AK343" s="90"/>
      <c r="AL343" s="90"/>
      <c r="AM343" s="90"/>
      <c r="AN343" s="90"/>
      <c r="AO343" s="90"/>
      <c r="AP343" s="90"/>
      <c r="AQ343" s="90"/>
      <c r="AR343" s="90"/>
      <c r="AS343" s="90"/>
      <c r="AT343" s="90"/>
      <c r="AU343" s="90"/>
      <c r="AV343" s="90"/>
      <c r="AW343" s="90"/>
      <c r="AX343" s="90"/>
    </row>
    <row r="344" ht="15.75" customHeight="1">
      <c r="A344" s="144" t="s">
        <v>127</v>
      </c>
      <c r="B344" s="144" t="s">
        <v>3076</v>
      </c>
      <c r="C344" s="147"/>
      <c r="D344" s="226"/>
      <c r="E344" s="226"/>
      <c r="F344" s="149"/>
      <c r="G344" s="149"/>
      <c r="H344" s="149"/>
      <c r="I344" s="149"/>
      <c r="J344" s="150"/>
      <c r="K344" s="149"/>
      <c r="L344" s="149"/>
      <c r="M344" s="150"/>
      <c r="N344" s="150"/>
      <c r="O344" s="150"/>
      <c r="P344" s="149"/>
      <c r="Q344" s="149"/>
      <c r="R344" s="149"/>
      <c r="S344" s="149"/>
      <c r="T344" s="74" t="s">
        <v>129</v>
      </c>
      <c r="U344" s="149"/>
      <c r="V344" s="149"/>
      <c r="W344" s="149"/>
      <c r="X344" s="149"/>
      <c r="Y344" s="149"/>
      <c r="Z344" s="149"/>
      <c r="AA344" s="149"/>
      <c r="AB344" s="149"/>
      <c r="AC344" s="149"/>
      <c r="AD344" s="90"/>
      <c r="AE344" s="90"/>
      <c r="AF344" s="90"/>
      <c r="AG344" s="90"/>
      <c r="AH344" s="90"/>
      <c r="AI344" s="90"/>
      <c r="AJ344" s="90"/>
      <c r="AK344" s="90"/>
      <c r="AL344" s="90"/>
      <c r="AM344" s="90"/>
      <c r="AN344" s="90"/>
      <c r="AO344" s="90"/>
      <c r="AP344" s="90"/>
      <c r="AQ344" s="90"/>
      <c r="AR344" s="90"/>
      <c r="AS344" s="90"/>
      <c r="AT344" s="90"/>
      <c r="AU344" s="90"/>
      <c r="AV344" s="90"/>
      <c r="AW344" s="90"/>
      <c r="AX344" s="90"/>
    </row>
    <row r="345" ht="15.75" customHeight="1">
      <c r="A345" s="144" t="s">
        <v>68</v>
      </c>
      <c r="B345" s="252" t="s">
        <v>3083</v>
      </c>
      <c r="C345" s="226"/>
      <c r="D345" s="226"/>
      <c r="E345" s="226"/>
      <c r="F345" s="149"/>
      <c r="G345" s="149"/>
      <c r="H345" s="149"/>
      <c r="I345" s="149"/>
      <c r="J345" s="149"/>
      <c r="K345" s="149"/>
      <c r="L345" s="149"/>
      <c r="M345" s="149"/>
      <c r="N345" s="149"/>
      <c r="O345" s="149"/>
      <c r="P345" s="149"/>
      <c r="Q345" s="149"/>
      <c r="R345" s="149"/>
      <c r="S345" s="149"/>
      <c r="T345" s="144" t="s">
        <v>3217</v>
      </c>
      <c r="U345" s="149"/>
      <c r="V345" s="149"/>
      <c r="W345" s="149"/>
      <c r="X345" s="149"/>
      <c r="Y345" s="149"/>
      <c r="Z345" s="149"/>
      <c r="AA345" s="149"/>
      <c r="AB345" s="149"/>
      <c r="AC345" s="149"/>
      <c r="AD345" s="90"/>
      <c r="AE345" s="90"/>
      <c r="AF345" s="90"/>
      <c r="AG345" s="90"/>
      <c r="AH345" s="90"/>
      <c r="AI345" s="90"/>
      <c r="AJ345" s="90"/>
      <c r="AK345" s="90"/>
      <c r="AL345" s="90"/>
      <c r="AM345" s="90"/>
      <c r="AN345" s="90"/>
      <c r="AO345" s="90"/>
      <c r="AP345" s="90"/>
      <c r="AQ345" s="90"/>
      <c r="AR345" s="90"/>
      <c r="AS345" s="90"/>
      <c r="AT345" s="90"/>
      <c r="AU345" s="90"/>
      <c r="AV345" s="90"/>
      <c r="AW345" s="90"/>
      <c r="AX345" s="90"/>
    </row>
    <row r="346" ht="15.75" customHeight="1">
      <c r="A346" s="151" t="s">
        <v>237</v>
      </c>
      <c r="B346" s="226" t="s">
        <v>2946</v>
      </c>
      <c r="C346" s="226" t="s">
        <v>2947</v>
      </c>
      <c r="D346" s="226"/>
      <c r="E346" s="226"/>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49"/>
      <c r="AC346" s="149"/>
      <c r="AD346" s="90"/>
      <c r="AE346" s="90"/>
      <c r="AF346" s="90"/>
      <c r="AG346" s="90"/>
      <c r="AH346" s="90"/>
      <c r="AI346" s="90"/>
      <c r="AJ346" s="90"/>
      <c r="AK346" s="90"/>
      <c r="AL346" s="90"/>
      <c r="AM346" s="90"/>
      <c r="AN346" s="90"/>
      <c r="AO346" s="90"/>
      <c r="AP346" s="90"/>
      <c r="AQ346" s="90"/>
      <c r="AR346" s="90"/>
      <c r="AS346" s="90"/>
      <c r="AT346" s="90"/>
      <c r="AU346" s="90"/>
      <c r="AV346" s="90"/>
      <c r="AW346" s="90"/>
      <c r="AX346" s="90"/>
    </row>
    <row r="347" ht="15.75" customHeight="1">
      <c r="A347" s="254"/>
      <c r="B347" s="191"/>
      <c r="C347" s="191" t="s">
        <v>50</v>
      </c>
      <c r="D347" s="191" t="s">
        <v>50</v>
      </c>
      <c r="E347" s="191" t="s">
        <v>50</v>
      </c>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c r="AG347" s="90"/>
      <c r="AH347" s="90"/>
      <c r="AI347" s="90"/>
      <c r="AJ347" s="90"/>
      <c r="AK347" s="90"/>
      <c r="AL347" s="90"/>
      <c r="AM347" s="90"/>
      <c r="AN347" s="90"/>
      <c r="AO347" s="90"/>
      <c r="AP347" s="90"/>
      <c r="AQ347" s="90"/>
      <c r="AR347" s="90"/>
      <c r="AS347" s="90"/>
      <c r="AT347" s="90"/>
      <c r="AU347" s="90"/>
      <c r="AV347" s="90"/>
      <c r="AW347" s="90"/>
      <c r="AX347" s="90"/>
    </row>
    <row r="348" ht="15.75" customHeight="1">
      <c r="A348" s="151" t="s">
        <v>133</v>
      </c>
      <c r="B348" s="147" t="s">
        <v>3099</v>
      </c>
      <c r="C348" s="147" t="s">
        <v>3100</v>
      </c>
      <c r="D348" s="226"/>
      <c r="E348" s="226"/>
      <c r="F348" s="149"/>
      <c r="G348" s="149"/>
      <c r="H348" s="149"/>
      <c r="I348" s="149"/>
      <c r="J348" s="150"/>
      <c r="K348" s="149"/>
      <c r="L348" s="149"/>
      <c r="M348" s="150"/>
      <c r="N348" s="150"/>
      <c r="O348" s="150"/>
      <c r="P348" s="149"/>
      <c r="Q348" s="149"/>
      <c r="R348" s="149"/>
      <c r="S348" s="149"/>
      <c r="T348" s="149"/>
      <c r="U348" s="149"/>
      <c r="V348" s="149"/>
      <c r="W348" s="149"/>
      <c r="X348" s="149"/>
      <c r="Y348" s="149"/>
      <c r="Z348" s="149"/>
      <c r="AA348" s="149"/>
      <c r="AB348" s="149"/>
      <c r="AC348" s="149"/>
      <c r="AD348" s="90"/>
      <c r="AE348" s="90"/>
      <c r="AF348" s="90"/>
      <c r="AG348" s="90"/>
      <c r="AH348" s="90"/>
      <c r="AI348" s="90"/>
      <c r="AJ348" s="90"/>
      <c r="AK348" s="90"/>
      <c r="AL348" s="90"/>
      <c r="AM348" s="90"/>
      <c r="AN348" s="90"/>
      <c r="AO348" s="90"/>
      <c r="AP348" s="90"/>
      <c r="AQ348" s="90"/>
      <c r="AR348" s="90"/>
      <c r="AS348" s="90"/>
      <c r="AT348" s="90"/>
      <c r="AU348" s="90"/>
      <c r="AV348" s="90"/>
      <c r="AW348" s="90"/>
      <c r="AX348" s="90"/>
    </row>
    <row r="349" ht="15.75" customHeight="1">
      <c r="A349" s="144" t="s">
        <v>127</v>
      </c>
      <c r="B349" s="275" t="s">
        <v>3108</v>
      </c>
      <c r="C349" s="147"/>
      <c r="D349" s="226"/>
      <c r="E349" s="226"/>
      <c r="F349" s="149"/>
      <c r="G349" s="149"/>
      <c r="H349" s="149"/>
      <c r="I349" s="149"/>
      <c r="J349" s="150"/>
      <c r="K349" s="149"/>
      <c r="L349" s="149"/>
      <c r="M349" s="150"/>
      <c r="N349" s="150"/>
      <c r="O349" s="150"/>
      <c r="P349" s="149"/>
      <c r="Q349" s="149"/>
      <c r="R349" s="149"/>
      <c r="S349" s="149"/>
      <c r="T349" s="74" t="s">
        <v>129</v>
      </c>
      <c r="U349" s="149"/>
      <c r="V349" s="149"/>
      <c r="W349" s="149"/>
      <c r="X349" s="149"/>
      <c r="Y349" s="149"/>
      <c r="Z349" s="149"/>
      <c r="AA349" s="149"/>
      <c r="AB349" s="149"/>
      <c r="AC349" s="149"/>
      <c r="AD349" s="90"/>
      <c r="AE349" s="90"/>
      <c r="AF349" s="90"/>
      <c r="AG349" s="90"/>
      <c r="AH349" s="90"/>
      <c r="AI349" s="90"/>
      <c r="AJ349" s="90"/>
      <c r="AK349" s="90"/>
      <c r="AL349" s="90"/>
      <c r="AM349" s="90"/>
      <c r="AN349" s="90"/>
      <c r="AO349" s="90"/>
      <c r="AP349" s="90"/>
      <c r="AQ349" s="90"/>
      <c r="AR349" s="90"/>
      <c r="AS349" s="90"/>
      <c r="AT349" s="90"/>
      <c r="AU349" s="90"/>
      <c r="AV349" s="90"/>
      <c r="AW349" s="90"/>
      <c r="AX349" s="90"/>
    </row>
    <row r="350" ht="15.75" customHeight="1">
      <c r="A350" s="218" t="s">
        <v>38</v>
      </c>
      <c r="B350" s="64" t="s">
        <v>3114</v>
      </c>
      <c r="C350" s="27" t="s">
        <v>3247</v>
      </c>
      <c r="D350" s="27" t="s">
        <v>3248</v>
      </c>
      <c r="E350" s="27" t="s">
        <v>3249</v>
      </c>
      <c r="F350" s="45"/>
      <c r="G350" s="45"/>
      <c r="H350" s="45"/>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90"/>
      <c r="AE350" s="90"/>
      <c r="AF350" s="90"/>
      <c r="AG350" s="90"/>
      <c r="AH350" s="90"/>
      <c r="AI350" s="90"/>
      <c r="AJ350" s="90"/>
      <c r="AK350" s="90"/>
      <c r="AL350" s="90"/>
      <c r="AM350" s="90"/>
      <c r="AN350" s="90"/>
      <c r="AO350" s="90"/>
      <c r="AP350" s="90"/>
      <c r="AQ350" s="90"/>
      <c r="AR350" s="90"/>
      <c r="AS350" s="90"/>
      <c r="AT350" s="90"/>
      <c r="AU350" s="90"/>
      <c r="AV350" s="90"/>
      <c r="AW350" s="90"/>
      <c r="AX350" s="90"/>
    </row>
    <row r="351" ht="15.75" customHeight="1">
      <c r="A351" s="218" t="s">
        <v>38</v>
      </c>
      <c r="B351" s="64" t="s">
        <v>3121</v>
      </c>
      <c r="C351" s="27" t="s">
        <v>3259</v>
      </c>
      <c r="D351" s="27" t="s">
        <v>3260</v>
      </c>
      <c r="E351" s="27" t="s">
        <v>3261</v>
      </c>
      <c r="F351" s="45"/>
      <c r="G351" s="45"/>
      <c r="H351" s="45"/>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90"/>
      <c r="AE351" s="90"/>
      <c r="AF351" s="90"/>
      <c r="AG351" s="90"/>
      <c r="AH351" s="90"/>
      <c r="AI351" s="90"/>
      <c r="AJ351" s="90"/>
      <c r="AK351" s="90"/>
      <c r="AL351" s="90"/>
      <c r="AM351" s="90"/>
      <c r="AN351" s="90"/>
      <c r="AO351" s="90"/>
      <c r="AP351" s="90"/>
      <c r="AQ351" s="90"/>
      <c r="AR351" s="90"/>
      <c r="AS351" s="90"/>
      <c r="AT351" s="90"/>
      <c r="AU351" s="90"/>
      <c r="AV351" s="90"/>
      <c r="AW351" s="90"/>
      <c r="AX351" s="90"/>
    </row>
    <row r="352" ht="15.75" customHeight="1">
      <c r="A352" s="248" t="s">
        <v>268</v>
      </c>
      <c r="B352" s="249" t="s">
        <v>3122</v>
      </c>
      <c r="C352" s="27" t="s">
        <v>3271</v>
      </c>
      <c r="D352" s="27" t="s">
        <v>3272</v>
      </c>
      <c r="E352" s="27" t="s">
        <v>3273</v>
      </c>
      <c r="F352" s="45" t="s">
        <v>3274</v>
      </c>
      <c r="G352" s="45" t="s">
        <v>3275</v>
      </c>
      <c r="H352" s="45" t="s">
        <v>3276</v>
      </c>
      <c r="I352" s="250"/>
      <c r="J352" s="250"/>
      <c r="K352" s="251" t="s">
        <v>2260</v>
      </c>
      <c r="L352" s="251"/>
      <c r="M352" s="250"/>
      <c r="N352" s="250"/>
      <c r="O352" s="250"/>
      <c r="P352" s="250"/>
      <c r="Q352" s="250" t="s">
        <v>150</v>
      </c>
      <c r="R352" s="250"/>
      <c r="S352" s="250"/>
      <c r="T352" s="250"/>
      <c r="U352" s="250"/>
      <c r="V352" s="250"/>
      <c r="W352" s="250"/>
      <c r="X352" s="250"/>
      <c r="Y352" s="250"/>
      <c r="Z352" s="250"/>
      <c r="AA352" s="250"/>
      <c r="AB352" s="250"/>
      <c r="AC352" s="250"/>
      <c r="AD352" s="90"/>
      <c r="AE352" s="90"/>
      <c r="AF352" s="90"/>
      <c r="AG352" s="90"/>
      <c r="AH352" s="90"/>
      <c r="AI352" s="90"/>
      <c r="AJ352" s="90"/>
      <c r="AK352" s="90"/>
      <c r="AL352" s="90"/>
      <c r="AM352" s="90"/>
      <c r="AN352" s="90"/>
      <c r="AO352" s="90"/>
      <c r="AP352" s="90"/>
      <c r="AQ352" s="90"/>
      <c r="AR352" s="90"/>
      <c r="AS352" s="90"/>
      <c r="AT352" s="90"/>
      <c r="AU352" s="90"/>
      <c r="AV352" s="90"/>
      <c r="AW352" s="90"/>
      <c r="AX352" s="90"/>
    </row>
    <row r="353" ht="15.75" customHeight="1">
      <c r="A353" s="248" t="s">
        <v>268</v>
      </c>
      <c r="B353" s="249" t="s">
        <v>3123</v>
      </c>
      <c r="C353" s="27" t="s">
        <v>3284</v>
      </c>
      <c r="D353" s="27" t="s">
        <v>3285</v>
      </c>
      <c r="E353" s="27" t="s">
        <v>3286</v>
      </c>
      <c r="F353" s="45" t="s">
        <v>3274</v>
      </c>
      <c r="G353" s="45" t="s">
        <v>3275</v>
      </c>
      <c r="H353" s="45" t="s">
        <v>3276</v>
      </c>
      <c r="I353" s="250"/>
      <c r="J353" s="250"/>
      <c r="K353" s="251" t="s">
        <v>2260</v>
      </c>
      <c r="L353" s="251"/>
      <c r="M353" s="250"/>
      <c r="N353" s="250"/>
      <c r="O353" s="250"/>
      <c r="P353" s="250"/>
      <c r="Q353" s="250" t="s">
        <v>150</v>
      </c>
      <c r="R353" s="250"/>
      <c r="S353" s="250"/>
      <c r="T353" s="250"/>
      <c r="U353" s="250"/>
      <c r="V353" s="250"/>
      <c r="W353" s="250"/>
      <c r="X353" s="250"/>
      <c r="Y353" s="250"/>
      <c r="Z353" s="250"/>
      <c r="AA353" s="250"/>
      <c r="AB353" s="250"/>
      <c r="AC353" s="250"/>
      <c r="AD353" s="90"/>
      <c r="AE353" s="90"/>
      <c r="AF353" s="90"/>
      <c r="AG353" s="90"/>
      <c r="AH353" s="90"/>
      <c r="AI353" s="90"/>
      <c r="AJ353" s="90"/>
      <c r="AK353" s="90"/>
      <c r="AL353" s="90"/>
      <c r="AM353" s="90"/>
      <c r="AN353" s="90"/>
      <c r="AO353" s="90"/>
      <c r="AP353" s="90"/>
      <c r="AQ353" s="90"/>
      <c r="AR353" s="90"/>
      <c r="AS353" s="90"/>
      <c r="AT353" s="90"/>
      <c r="AU353" s="90"/>
      <c r="AV353" s="90"/>
      <c r="AW353" s="90"/>
      <c r="AX353" s="90"/>
    </row>
    <row r="354" ht="15.75" customHeight="1">
      <c r="A354" s="248" t="s">
        <v>268</v>
      </c>
      <c r="B354" s="249" t="s">
        <v>3124</v>
      </c>
      <c r="C354" s="27" t="s">
        <v>3295</v>
      </c>
      <c r="D354" s="27" t="s">
        <v>3296</v>
      </c>
      <c r="E354" s="27" t="s">
        <v>3297</v>
      </c>
      <c r="F354" s="45" t="s">
        <v>3274</v>
      </c>
      <c r="G354" s="45" t="s">
        <v>3275</v>
      </c>
      <c r="H354" s="45" t="s">
        <v>3276</v>
      </c>
      <c r="I354" s="250"/>
      <c r="J354" s="250"/>
      <c r="K354" s="251" t="s">
        <v>2260</v>
      </c>
      <c r="L354" s="251"/>
      <c r="M354" s="250"/>
      <c r="N354" s="250"/>
      <c r="O354" s="250"/>
      <c r="P354" s="250"/>
      <c r="Q354" s="250" t="s">
        <v>150</v>
      </c>
      <c r="R354" s="250"/>
      <c r="S354" s="250"/>
      <c r="T354" s="250"/>
      <c r="U354" s="250"/>
      <c r="V354" s="250"/>
      <c r="W354" s="250"/>
      <c r="X354" s="250"/>
      <c r="Y354" s="250"/>
      <c r="Z354" s="250"/>
      <c r="AA354" s="250"/>
      <c r="AB354" s="250"/>
      <c r="AC354" s="250"/>
      <c r="AD354" s="90"/>
      <c r="AE354" s="90"/>
      <c r="AF354" s="90"/>
      <c r="AG354" s="90"/>
      <c r="AH354" s="90"/>
      <c r="AI354" s="90"/>
      <c r="AJ354" s="90"/>
      <c r="AK354" s="90"/>
      <c r="AL354" s="90"/>
      <c r="AM354" s="90"/>
      <c r="AN354" s="90"/>
      <c r="AO354" s="90"/>
      <c r="AP354" s="90"/>
      <c r="AQ354" s="90"/>
      <c r="AR354" s="90"/>
      <c r="AS354" s="90"/>
      <c r="AT354" s="90"/>
      <c r="AU354" s="90"/>
      <c r="AV354" s="90"/>
      <c r="AW354" s="90"/>
      <c r="AX354" s="90"/>
    </row>
    <row r="355" ht="15.75" customHeight="1">
      <c r="A355" s="248" t="s">
        <v>268</v>
      </c>
      <c r="B355" s="249" t="s">
        <v>3125</v>
      </c>
      <c r="C355" s="27" t="s">
        <v>3308</v>
      </c>
      <c r="D355" s="27" t="s">
        <v>3311</v>
      </c>
      <c r="E355" s="27" t="s">
        <v>3312</v>
      </c>
      <c r="F355" s="45" t="s">
        <v>3274</v>
      </c>
      <c r="G355" s="45" t="s">
        <v>3275</v>
      </c>
      <c r="H355" s="45" t="s">
        <v>3276</v>
      </c>
      <c r="I355" s="250"/>
      <c r="J355" s="250"/>
      <c r="K355" s="251" t="s">
        <v>2260</v>
      </c>
      <c r="L355" s="251"/>
      <c r="M355" s="250"/>
      <c r="N355" s="250"/>
      <c r="O355" s="250"/>
      <c r="P355" s="250"/>
      <c r="Q355" s="250" t="s">
        <v>150</v>
      </c>
      <c r="R355" s="250"/>
      <c r="S355" s="250"/>
      <c r="T355" s="250"/>
      <c r="U355" s="250"/>
      <c r="V355" s="250"/>
      <c r="W355" s="250"/>
      <c r="X355" s="250"/>
      <c r="Y355" s="250"/>
      <c r="Z355" s="250"/>
      <c r="AA355" s="250"/>
      <c r="AB355" s="250"/>
      <c r="AC355" s="250"/>
      <c r="AD355" s="90"/>
      <c r="AE355" s="90"/>
      <c r="AF355" s="90"/>
      <c r="AG355" s="90"/>
      <c r="AH355" s="90"/>
      <c r="AI355" s="90"/>
      <c r="AJ355" s="90"/>
      <c r="AK355" s="90"/>
      <c r="AL355" s="90"/>
      <c r="AM355" s="90"/>
      <c r="AN355" s="90"/>
      <c r="AO355" s="90"/>
      <c r="AP355" s="90"/>
      <c r="AQ355" s="90"/>
      <c r="AR355" s="90"/>
      <c r="AS355" s="90"/>
      <c r="AT355" s="90"/>
      <c r="AU355" s="90"/>
      <c r="AV355" s="90"/>
      <c r="AW355" s="90"/>
      <c r="AX355" s="90"/>
    </row>
    <row r="356" ht="15.75" customHeight="1">
      <c r="A356" s="80" t="s">
        <v>1306</v>
      </c>
      <c r="B356" s="228" t="s">
        <v>3130</v>
      </c>
      <c r="C356" s="27" t="s">
        <v>3322</v>
      </c>
      <c r="D356" s="27" t="s">
        <v>3323</v>
      </c>
      <c r="E356" s="27" t="s">
        <v>3324</v>
      </c>
      <c r="F356" s="45"/>
      <c r="G356" s="45"/>
      <c r="H356" s="45"/>
      <c r="I356" s="83"/>
      <c r="J356" s="84"/>
      <c r="K356" s="83"/>
      <c r="L356" s="83"/>
      <c r="M356" s="83"/>
      <c r="N356" s="83"/>
      <c r="O356" s="83"/>
      <c r="P356" s="83"/>
      <c r="Q356" s="83" t="s">
        <v>150</v>
      </c>
      <c r="R356" s="83"/>
      <c r="S356" s="83"/>
      <c r="T356" s="83"/>
      <c r="U356" s="83"/>
      <c r="V356" s="83"/>
      <c r="W356" s="83"/>
      <c r="X356" s="83"/>
      <c r="Y356" s="83"/>
      <c r="Z356" s="83"/>
      <c r="AA356" s="83"/>
      <c r="AB356" s="83"/>
      <c r="AC356" s="83"/>
      <c r="AD356" s="90"/>
      <c r="AE356" s="90"/>
      <c r="AF356" s="90"/>
      <c r="AG356" s="90"/>
      <c r="AH356" s="90"/>
      <c r="AI356" s="90"/>
      <c r="AJ356" s="90"/>
      <c r="AK356" s="90"/>
      <c r="AL356" s="90"/>
      <c r="AM356" s="90"/>
      <c r="AN356" s="90"/>
      <c r="AO356" s="90"/>
      <c r="AP356" s="90"/>
      <c r="AQ356" s="90"/>
      <c r="AR356" s="90"/>
      <c r="AS356" s="90"/>
      <c r="AT356" s="90"/>
      <c r="AU356" s="90"/>
      <c r="AV356" s="90"/>
      <c r="AW356" s="90"/>
      <c r="AX356" s="90"/>
    </row>
    <row r="357" ht="15.75" customHeight="1">
      <c r="A357" s="80" t="s">
        <v>1306</v>
      </c>
      <c r="B357" s="228" t="s">
        <v>3131</v>
      </c>
      <c r="C357" s="27" t="s">
        <v>3336</v>
      </c>
      <c r="D357" s="27" t="s">
        <v>3337</v>
      </c>
      <c r="E357" s="27" t="s">
        <v>3338</v>
      </c>
      <c r="F357" s="45"/>
      <c r="G357" s="45"/>
      <c r="H357" s="45"/>
      <c r="I357" s="83"/>
      <c r="J357" s="84"/>
      <c r="K357" s="83"/>
      <c r="L357" s="83"/>
      <c r="M357" s="83"/>
      <c r="N357" s="83"/>
      <c r="O357" s="83"/>
      <c r="P357" s="83"/>
      <c r="Q357" s="83" t="s">
        <v>150</v>
      </c>
      <c r="R357" s="83"/>
      <c r="S357" s="83"/>
      <c r="T357" s="83"/>
      <c r="U357" s="83"/>
      <c r="V357" s="83"/>
      <c r="W357" s="83"/>
      <c r="X357" s="83"/>
      <c r="Y357" s="83"/>
      <c r="Z357" s="83"/>
      <c r="AA357" s="83"/>
      <c r="AB357" s="83"/>
      <c r="AC357" s="83"/>
      <c r="AD357" s="90"/>
      <c r="AE357" s="90"/>
      <c r="AF357" s="90"/>
      <c r="AG357" s="90"/>
      <c r="AH357" s="90"/>
      <c r="AI357" s="90"/>
      <c r="AJ357" s="90"/>
      <c r="AK357" s="90"/>
      <c r="AL357" s="90"/>
      <c r="AM357" s="90"/>
      <c r="AN357" s="90"/>
      <c r="AO357" s="90"/>
      <c r="AP357" s="90"/>
      <c r="AQ357" s="90"/>
      <c r="AR357" s="90"/>
      <c r="AS357" s="90"/>
      <c r="AT357" s="90"/>
      <c r="AU357" s="90"/>
      <c r="AV357" s="90"/>
      <c r="AW357" s="90"/>
      <c r="AX357" s="90"/>
    </row>
    <row r="358" ht="15.75" customHeight="1">
      <c r="A358" s="80" t="s">
        <v>1306</v>
      </c>
      <c r="B358" s="228" t="s">
        <v>3144</v>
      </c>
      <c r="C358" s="27" t="s">
        <v>3345</v>
      </c>
      <c r="D358" s="27" t="s">
        <v>3346</v>
      </c>
      <c r="E358" s="27" t="s">
        <v>3348</v>
      </c>
      <c r="F358" s="45"/>
      <c r="G358" s="45"/>
      <c r="H358" s="45"/>
      <c r="I358" s="83"/>
      <c r="J358" s="84"/>
      <c r="K358" s="83"/>
      <c r="L358" s="83"/>
      <c r="M358" s="83"/>
      <c r="N358" s="83"/>
      <c r="O358" s="83"/>
      <c r="P358" s="83"/>
      <c r="Q358" s="83" t="s">
        <v>150</v>
      </c>
      <c r="R358" s="83"/>
      <c r="S358" s="83"/>
      <c r="T358" s="83"/>
      <c r="U358" s="83"/>
      <c r="V358" s="83"/>
      <c r="W358" s="83"/>
      <c r="X358" s="83"/>
      <c r="Y358" s="83"/>
      <c r="Z358" s="83"/>
      <c r="AA358" s="83"/>
      <c r="AB358" s="83"/>
      <c r="AC358" s="83"/>
      <c r="AD358" s="90"/>
      <c r="AE358" s="90"/>
      <c r="AF358" s="90"/>
      <c r="AG358" s="90"/>
      <c r="AH358" s="90"/>
      <c r="AI358" s="90"/>
      <c r="AJ358" s="90"/>
      <c r="AK358" s="90"/>
      <c r="AL358" s="90"/>
      <c r="AM358" s="90"/>
      <c r="AN358" s="90"/>
      <c r="AO358" s="90"/>
      <c r="AP358" s="90"/>
      <c r="AQ358" s="90"/>
      <c r="AR358" s="90"/>
      <c r="AS358" s="90"/>
      <c r="AT358" s="90"/>
      <c r="AU358" s="90"/>
      <c r="AV358" s="90"/>
      <c r="AW358" s="90"/>
      <c r="AX358" s="90"/>
    </row>
    <row r="359" ht="15.75" customHeight="1">
      <c r="A359" s="80" t="s">
        <v>1306</v>
      </c>
      <c r="B359" s="228" t="s">
        <v>3148</v>
      </c>
      <c r="C359" s="27" t="s">
        <v>3363</v>
      </c>
      <c r="D359" s="27" t="s">
        <v>3365</v>
      </c>
      <c r="E359" s="27" t="s">
        <v>3366</v>
      </c>
      <c r="F359" s="45"/>
      <c r="G359" s="45"/>
      <c r="H359" s="45"/>
      <c r="I359" s="83"/>
      <c r="J359" s="84"/>
      <c r="K359" s="83"/>
      <c r="L359" s="83"/>
      <c r="M359" s="83"/>
      <c r="N359" s="83"/>
      <c r="O359" s="83"/>
      <c r="P359" s="83"/>
      <c r="Q359" s="83" t="s">
        <v>150</v>
      </c>
      <c r="R359" s="83"/>
      <c r="S359" s="83"/>
      <c r="T359" s="83"/>
      <c r="U359" s="83"/>
      <c r="V359" s="83"/>
      <c r="W359" s="83"/>
      <c r="X359" s="83"/>
      <c r="Y359" s="83"/>
      <c r="Z359" s="83"/>
      <c r="AA359" s="83"/>
      <c r="AB359" s="83"/>
      <c r="AC359" s="83"/>
      <c r="AD359" s="90"/>
      <c r="AE359" s="90"/>
      <c r="AF359" s="90"/>
      <c r="AG359" s="90"/>
      <c r="AH359" s="90"/>
      <c r="AI359" s="90"/>
      <c r="AJ359" s="90"/>
      <c r="AK359" s="90"/>
      <c r="AL359" s="90"/>
      <c r="AM359" s="90"/>
      <c r="AN359" s="90"/>
      <c r="AO359" s="90"/>
      <c r="AP359" s="90"/>
      <c r="AQ359" s="90"/>
      <c r="AR359" s="90"/>
      <c r="AS359" s="90"/>
      <c r="AT359" s="90"/>
      <c r="AU359" s="90"/>
      <c r="AV359" s="90"/>
      <c r="AW359" s="90"/>
      <c r="AX359" s="90"/>
    </row>
    <row r="360" ht="15.75" customHeight="1">
      <c r="A360" s="80" t="s">
        <v>3155</v>
      </c>
      <c r="B360" s="228" t="s">
        <v>3156</v>
      </c>
      <c r="C360" s="27" t="s">
        <v>3371</v>
      </c>
      <c r="D360" s="27" t="s">
        <v>3372</v>
      </c>
      <c r="E360" s="27" t="s">
        <v>3373</v>
      </c>
      <c r="F360" s="45"/>
      <c r="G360" s="45"/>
      <c r="H360" s="45"/>
      <c r="I360" s="83"/>
      <c r="J360" s="84"/>
      <c r="K360" s="83"/>
      <c r="L360" s="83"/>
      <c r="M360" s="83"/>
      <c r="N360" s="83"/>
      <c r="O360" s="83"/>
      <c r="P360" s="83"/>
      <c r="Q360" s="83" t="s">
        <v>150</v>
      </c>
      <c r="R360" s="83"/>
      <c r="S360" s="83"/>
      <c r="T360" s="83"/>
      <c r="U360" s="83"/>
      <c r="V360" s="83"/>
      <c r="W360" s="83"/>
      <c r="X360" s="83"/>
      <c r="Y360" s="83"/>
      <c r="Z360" s="83"/>
      <c r="AA360" s="83"/>
      <c r="AB360" s="83"/>
      <c r="AC360" s="83"/>
      <c r="AD360" s="90"/>
      <c r="AE360" s="90"/>
      <c r="AF360" s="90"/>
      <c r="AG360" s="90"/>
      <c r="AH360" s="90"/>
      <c r="AI360" s="90"/>
      <c r="AJ360" s="90"/>
      <c r="AK360" s="90"/>
      <c r="AL360" s="90"/>
      <c r="AM360" s="90"/>
      <c r="AN360" s="90"/>
      <c r="AO360" s="90"/>
      <c r="AP360" s="90"/>
      <c r="AQ360" s="90"/>
      <c r="AR360" s="90"/>
      <c r="AS360" s="90"/>
      <c r="AT360" s="90"/>
      <c r="AU360" s="90"/>
      <c r="AV360" s="90"/>
      <c r="AW360" s="90"/>
      <c r="AX360" s="90"/>
    </row>
    <row r="361" ht="15.75" customHeight="1">
      <c r="A361" s="80" t="s">
        <v>3166</v>
      </c>
      <c r="B361" s="228" t="s">
        <v>3167</v>
      </c>
      <c r="C361" s="27" t="s">
        <v>3379</v>
      </c>
      <c r="D361" s="27" t="s">
        <v>3380</v>
      </c>
      <c r="E361" s="27" t="s">
        <v>3381</v>
      </c>
      <c r="F361" s="45" t="s">
        <v>3382</v>
      </c>
      <c r="G361" s="45" t="s">
        <v>3383</v>
      </c>
      <c r="H361" s="45" t="s">
        <v>3384</v>
      </c>
      <c r="I361" s="83"/>
      <c r="J361" s="84"/>
      <c r="K361" s="83"/>
      <c r="L361" s="83"/>
      <c r="M361" s="83"/>
      <c r="N361" s="83"/>
      <c r="O361" s="83"/>
      <c r="P361" s="83"/>
      <c r="Q361" s="83" t="s">
        <v>150</v>
      </c>
      <c r="R361" s="83"/>
      <c r="S361" s="83"/>
      <c r="T361" s="83"/>
      <c r="U361" s="83"/>
      <c r="V361" s="83"/>
      <c r="W361" s="83"/>
      <c r="X361" s="83"/>
      <c r="Y361" s="83"/>
      <c r="Z361" s="83"/>
      <c r="AA361" s="83"/>
      <c r="AB361" s="83"/>
      <c r="AC361" s="83"/>
      <c r="AD361" s="90"/>
      <c r="AE361" s="90"/>
      <c r="AF361" s="90"/>
      <c r="AG361" s="90"/>
      <c r="AH361" s="90"/>
      <c r="AI361" s="90"/>
      <c r="AJ361" s="90"/>
      <c r="AK361" s="90"/>
      <c r="AL361" s="90"/>
      <c r="AM361" s="90"/>
      <c r="AN361" s="90"/>
      <c r="AO361" s="90"/>
      <c r="AP361" s="90"/>
      <c r="AQ361" s="90"/>
      <c r="AR361" s="90"/>
      <c r="AS361" s="90"/>
      <c r="AT361" s="90"/>
      <c r="AU361" s="90"/>
      <c r="AV361" s="90"/>
      <c r="AW361" s="90"/>
      <c r="AX361" s="90"/>
    </row>
    <row r="362" ht="15.75" customHeight="1">
      <c r="A362" s="80" t="s">
        <v>3166</v>
      </c>
      <c r="B362" s="228" t="s">
        <v>3177</v>
      </c>
      <c r="C362" s="27" t="s">
        <v>3393</v>
      </c>
      <c r="D362" s="27" t="s">
        <v>3394</v>
      </c>
      <c r="E362" s="27" t="s">
        <v>3395</v>
      </c>
      <c r="F362" s="45" t="s">
        <v>3382</v>
      </c>
      <c r="G362" s="45" t="s">
        <v>3383</v>
      </c>
      <c r="H362" s="45" t="s">
        <v>3384</v>
      </c>
      <c r="I362" s="83"/>
      <c r="J362" s="84"/>
      <c r="K362" s="83"/>
      <c r="L362" s="83"/>
      <c r="M362" s="83"/>
      <c r="N362" s="83"/>
      <c r="O362" s="83"/>
      <c r="P362" s="83"/>
      <c r="Q362" s="83" t="s">
        <v>150</v>
      </c>
      <c r="R362" s="83"/>
      <c r="S362" s="83"/>
      <c r="T362" s="83"/>
      <c r="U362" s="83"/>
      <c r="V362" s="83"/>
      <c r="W362" s="83"/>
      <c r="X362" s="83"/>
      <c r="Y362" s="83"/>
      <c r="Z362" s="83"/>
      <c r="AA362" s="83"/>
      <c r="AB362" s="83"/>
      <c r="AC362" s="83"/>
      <c r="AD362" s="90"/>
      <c r="AE362" s="90"/>
      <c r="AF362" s="90"/>
      <c r="AG362" s="90"/>
      <c r="AH362" s="90"/>
      <c r="AI362" s="90"/>
      <c r="AJ362" s="90"/>
      <c r="AK362" s="90"/>
      <c r="AL362" s="90"/>
      <c r="AM362" s="90"/>
      <c r="AN362" s="90"/>
      <c r="AO362" s="90"/>
      <c r="AP362" s="90"/>
      <c r="AQ362" s="90"/>
      <c r="AR362" s="90"/>
      <c r="AS362" s="90"/>
      <c r="AT362" s="90"/>
      <c r="AU362" s="90"/>
      <c r="AV362" s="90"/>
      <c r="AW362" s="90"/>
      <c r="AX362" s="90"/>
    </row>
    <row r="363" ht="15.75" customHeight="1">
      <c r="A363" s="144" t="s">
        <v>127</v>
      </c>
      <c r="B363" s="144" t="s">
        <v>3187</v>
      </c>
      <c r="C363" s="147"/>
      <c r="D363" s="226"/>
      <c r="E363" s="226"/>
      <c r="F363" s="149"/>
      <c r="G363" s="149"/>
      <c r="H363" s="149"/>
      <c r="I363" s="149"/>
      <c r="J363" s="150"/>
      <c r="K363" s="149"/>
      <c r="L363" s="149"/>
      <c r="M363" s="150"/>
      <c r="N363" s="150"/>
      <c r="O363" s="150"/>
      <c r="P363" s="149"/>
      <c r="Q363" s="149"/>
      <c r="R363" s="149"/>
      <c r="S363" s="149"/>
      <c r="T363" s="74" t="s">
        <v>129</v>
      </c>
      <c r="U363" s="149"/>
      <c r="V363" s="149"/>
      <c r="W363" s="149"/>
      <c r="X363" s="149"/>
      <c r="Y363" s="149"/>
      <c r="Z363" s="149"/>
      <c r="AA363" s="149"/>
      <c r="AB363" s="149"/>
      <c r="AC363" s="149"/>
      <c r="AD363" s="90"/>
      <c r="AE363" s="90"/>
      <c r="AF363" s="90"/>
      <c r="AG363" s="90"/>
      <c r="AH363" s="90"/>
      <c r="AI363" s="90"/>
      <c r="AJ363" s="90"/>
      <c r="AK363" s="90"/>
      <c r="AL363" s="90"/>
      <c r="AM363" s="90"/>
      <c r="AN363" s="90"/>
      <c r="AO363" s="90"/>
      <c r="AP363" s="90"/>
      <c r="AQ363" s="90"/>
      <c r="AR363" s="90"/>
      <c r="AS363" s="90"/>
      <c r="AT363" s="90"/>
      <c r="AU363" s="90"/>
      <c r="AV363" s="90"/>
      <c r="AW363" s="90"/>
      <c r="AX363" s="90"/>
    </row>
    <row r="364" ht="15.75" customHeight="1">
      <c r="A364" s="168" t="s">
        <v>68</v>
      </c>
      <c r="B364" s="252" t="s">
        <v>3191</v>
      </c>
      <c r="C364" s="226"/>
      <c r="D364" s="226"/>
      <c r="E364" s="226"/>
      <c r="F364" s="149"/>
      <c r="G364" s="149"/>
      <c r="H364" s="149"/>
      <c r="I364" s="149"/>
      <c r="J364" s="149"/>
      <c r="K364" s="149"/>
      <c r="L364" s="149"/>
      <c r="M364" s="149"/>
      <c r="N364" s="149"/>
      <c r="O364" s="149"/>
      <c r="P364" s="149"/>
      <c r="Q364" s="149"/>
      <c r="R364" s="149"/>
      <c r="S364" s="149"/>
      <c r="T364" s="169" t="s">
        <v>3428</v>
      </c>
      <c r="U364" s="149"/>
      <c r="V364" s="149"/>
      <c r="W364" s="149"/>
      <c r="X364" s="149"/>
      <c r="Y364" s="149"/>
      <c r="Z364" s="149"/>
      <c r="AA364" s="149"/>
      <c r="AB364" s="149"/>
      <c r="AC364" s="149"/>
      <c r="AD364" s="90"/>
      <c r="AE364" s="90"/>
      <c r="AF364" s="90"/>
      <c r="AG364" s="90"/>
      <c r="AH364" s="90"/>
      <c r="AI364" s="90"/>
      <c r="AJ364" s="90"/>
      <c r="AK364" s="90"/>
      <c r="AL364" s="90"/>
      <c r="AM364" s="90"/>
      <c r="AN364" s="90"/>
      <c r="AO364" s="90"/>
      <c r="AP364" s="90"/>
      <c r="AQ364" s="90"/>
      <c r="AR364" s="90"/>
      <c r="AS364" s="90"/>
      <c r="AT364" s="90"/>
      <c r="AU364" s="90"/>
      <c r="AV364" s="90"/>
      <c r="AW364" s="90"/>
      <c r="AX364" s="90"/>
    </row>
    <row r="365" ht="15.75" customHeight="1">
      <c r="A365" s="151" t="s">
        <v>237</v>
      </c>
      <c r="B365" s="226" t="s">
        <v>3099</v>
      </c>
      <c r="C365" s="226" t="s">
        <v>3100</v>
      </c>
      <c r="D365" s="226"/>
      <c r="E365" s="226"/>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49"/>
      <c r="AC365" s="149"/>
      <c r="AD365" s="90"/>
      <c r="AE365" s="90"/>
      <c r="AF365" s="90"/>
      <c r="AG365" s="90"/>
      <c r="AH365" s="90"/>
      <c r="AI365" s="90"/>
      <c r="AJ365" s="90"/>
      <c r="AK365" s="90"/>
      <c r="AL365" s="90"/>
      <c r="AM365" s="90"/>
      <c r="AN365" s="90"/>
      <c r="AO365" s="90"/>
      <c r="AP365" s="90"/>
      <c r="AQ365" s="90"/>
      <c r="AR365" s="90"/>
      <c r="AS365" s="90"/>
      <c r="AT365" s="90"/>
      <c r="AU365" s="90"/>
      <c r="AV365" s="90"/>
      <c r="AW365" s="90"/>
      <c r="AX365" s="90"/>
    </row>
    <row r="366" ht="15.75" customHeight="1">
      <c r="A366" s="151" t="s">
        <v>237</v>
      </c>
      <c r="B366" s="226" t="s">
        <v>1539</v>
      </c>
      <c r="C366" s="226" t="s">
        <v>1540</v>
      </c>
      <c r="D366" s="226"/>
      <c r="E366" s="226"/>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49"/>
      <c r="AC366" s="149"/>
      <c r="AD366" s="90"/>
      <c r="AE366" s="90"/>
      <c r="AF366" s="90"/>
      <c r="AG366" s="90"/>
      <c r="AH366" s="90"/>
      <c r="AI366" s="90"/>
      <c r="AJ366" s="90"/>
      <c r="AK366" s="90"/>
      <c r="AL366" s="90"/>
      <c r="AM366" s="90"/>
      <c r="AN366" s="90"/>
      <c r="AO366" s="90"/>
      <c r="AP366" s="90"/>
      <c r="AQ366" s="90"/>
      <c r="AR366" s="90"/>
      <c r="AS366" s="90"/>
      <c r="AT366" s="90"/>
      <c r="AU366" s="90"/>
      <c r="AV366" s="90"/>
      <c r="AW366" s="90"/>
      <c r="AX366" s="90"/>
    </row>
    <row r="367" ht="15.75" customHeight="1">
      <c r="A367" s="70" t="s">
        <v>127</v>
      </c>
      <c r="B367" s="188" t="s">
        <v>3205</v>
      </c>
      <c r="C367" s="72"/>
      <c r="D367" s="72"/>
      <c r="E367" s="72"/>
      <c r="F367" s="73"/>
      <c r="G367" s="73"/>
      <c r="H367" s="73"/>
      <c r="I367" s="73"/>
      <c r="J367" s="73"/>
      <c r="K367" s="73"/>
      <c r="L367" s="73"/>
      <c r="M367" s="73"/>
      <c r="N367" s="73"/>
      <c r="O367" s="73"/>
      <c r="P367" s="73"/>
      <c r="Q367" s="73"/>
      <c r="R367" s="73"/>
      <c r="S367" s="73"/>
      <c r="T367" s="74" t="s">
        <v>129</v>
      </c>
      <c r="U367" s="73"/>
      <c r="V367" s="73"/>
      <c r="W367" s="73"/>
      <c r="X367" s="73"/>
      <c r="Y367" s="73"/>
      <c r="Z367" s="73"/>
      <c r="AA367" s="73"/>
      <c r="AB367" s="73"/>
      <c r="AC367" s="73"/>
      <c r="AD367" s="75"/>
      <c r="AE367" s="75"/>
      <c r="AF367" s="75"/>
      <c r="AG367" s="75"/>
      <c r="AH367" s="75"/>
      <c r="AI367" s="75"/>
      <c r="AJ367" s="75"/>
      <c r="AK367" s="75"/>
      <c r="AL367" s="75"/>
      <c r="AM367" s="75"/>
      <c r="AN367" s="75"/>
      <c r="AO367" s="75"/>
      <c r="AP367" s="75"/>
      <c r="AQ367" s="75"/>
      <c r="AR367" s="75"/>
      <c r="AS367" s="75"/>
      <c r="AT367" s="75"/>
      <c r="AU367" s="75"/>
      <c r="AV367" s="75"/>
      <c r="AW367" s="75"/>
      <c r="AX367" s="75"/>
    </row>
    <row r="368" ht="15.75" customHeight="1">
      <c r="A368" s="168" t="s">
        <v>68</v>
      </c>
      <c r="B368" s="169" t="s">
        <v>3209</v>
      </c>
      <c r="C368" s="72"/>
      <c r="D368" s="104"/>
      <c r="E368" s="104"/>
      <c r="F368" s="73"/>
      <c r="G368" s="73"/>
      <c r="H368" s="73"/>
      <c r="I368" s="73"/>
      <c r="J368" s="73"/>
      <c r="K368" s="73"/>
      <c r="L368" s="73"/>
      <c r="M368" s="73"/>
      <c r="N368" s="73"/>
      <c r="O368" s="223"/>
      <c r="P368" s="73"/>
      <c r="Q368" s="73"/>
      <c r="R368" s="73"/>
      <c r="S368" s="73"/>
      <c r="T368" s="169" t="s">
        <v>3471</v>
      </c>
      <c r="U368" s="73"/>
      <c r="V368" s="73"/>
      <c r="W368" s="73"/>
      <c r="X368" s="73"/>
      <c r="Y368" s="73"/>
      <c r="Z368" s="73"/>
      <c r="AA368" s="73"/>
      <c r="AB368" s="73"/>
      <c r="AC368" s="73"/>
      <c r="AD368" s="75"/>
      <c r="AE368" s="75"/>
      <c r="AF368" s="75"/>
      <c r="AG368" s="75"/>
      <c r="AH368" s="75"/>
      <c r="AI368" s="75"/>
      <c r="AJ368" s="75"/>
      <c r="AK368" s="75"/>
      <c r="AL368" s="75"/>
      <c r="AM368" s="75"/>
      <c r="AN368" s="75"/>
      <c r="AO368" s="75"/>
      <c r="AP368" s="75"/>
      <c r="AQ368" s="75"/>
      <c r="AR368" s="75"/>
      <c r="AS368" s="75"/>
      <c r="AT368" s="75"/>
      <c r="AU368" s="75"/>
      <c r="AV368" s="75"/>
      <c r="AW368" s="75"/>
      <c r="AX368" s="75"/>
    </row>
    <row r="369" ht="15.75" customHeight="1">
      <c r="A369" s="254"/>
      <c r="B369" s="191"/>
      <c r="C369" s="191"/>
      <c r="D369" s="191"/>
      <c r="E369" s="191"/>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c r="AG369" s="90"/>
      <c r="AH369" s="90"/>
      <c r="AI369" s="90"/>
      <c r="AJ369" s="90"/>
      <c r="AK369" s="90"/>
      <c r="AL369" s="90"/>
      <c r="AM369" s="90"/>
      <c r="AN369" s="90"/>
      <c r="AO369" s="90"/>
      <c r="AP369" s="90"/>
      <c r="AQ369" s="90"/>
      <c r="AR369" s="90"/>
      <c r="AS369" s="90"/>
      <c r="AT369" s="90"/>
      <c r="AU369" s="90"/>
      <c r="AV369" s="90"/>
      <c r="AW369" s="90"/>
      <c r="AX369" s="90"/>
    </row>
    <row r="370" ht="15.75" customHeight="1">
      <c r="A370" s="168" t="s">
        <v>127</v>
      </c>
      <c r="B370" s="71" t="s">
        <v>3216</v>
      </c>
      <c r="C370" s="72"/>
      <c r="D370" s="72"/>
      <c r="E370" s="72"/>
      <c r="F370" s="73"/>
      <c r="G370" s="73"/>
      <c r="H370" s="73"/>
      <c r="I370" s="73"/>
      <c r="J370" s="73"/>
      <c r="K370" s="73"/>
      <c r="L370" s="73"/>
      <c r="M370" s="73"/>
      <c r="N370" s="73"/>
      <c r="O370" s="73"/>
      <c r="P370" s="73"/>
      <c r="Q370" s="73"/>
      <c r="R370" s="73"/>
      <c r="S370" s="73"/>
      <c r="T370" s="74" t="s">
        <v>129</v>
      </c>
      <c r="U370" s="73"/>
      <c r="V370" s="73"/>
      <c r="W370" s="73"/>
      <c r="X370" s="73"/>
      <c r="Y370" s="73"/>
      <c r="Z370" s="73"/>
      <c r="AA370" s="73"/>
      <c r="AB370" s="73"/>
      <c r="AC370" s="73"/>
      <c r="AD370" s="75"/>
      <c r="AE370" s="75"/>
      <c r="AF370" s="75"/>
      <c r="AG370" s="75"/>
      <c r="AH370" s="75"/>
      <c r="AI370" s="75"/>
      <c r="AJ370" s="75"/>
      <c r="AK370" s="75"/>
      <c r="AL370" s="75"/>
      <c r="AM370" s="75"/>
      <c r="AN370" s="75"/>
      <c r="AO370" s="75"/>
      <c r="AP370" s="75"/>
      <c r="AQ370" s="75"/>
      <c r="AR370" s="75"/>
      <c r="AS370" s="75"/>
      <c r="AT370" s="75"/>
      <c r="AU370" s="75"/>
      <c r="AV370" s="75"/>
      <c r="AW370" s="75"/>
      <c r="AX370" s="75"/>
    </row>
    <row r="371" ht="15.75" customHeight="1">
      <c r="A371" s="151" t="s">
        <v>133</v>
      </c>
      <c r="B371" s="147" t="s">
        <v>3228</v>
      </c>
      <c r="C371" s="147" t="s">
        <v>3229</v>
      </c>
      <c r="D371" s="226"/>
      <c r="E371" s="226"/>
      <c r="F371" s="149"/>
      <c r="G371" s="149"/>
      <c r="H371" s="149"/>
      <c r="I371" s="149"/>
      <c r="J371" s="150"/>
      <c r="K371" s="149"/>
      <c r="L371" s="149"/>
      <c r="M371" s="150"/>
      <c r="N371" s="150"/>
      <c r="O371" s="146" t="s">
        <v>3494</v>
      </c>
      <c r="P371" s="149"/>
      <c r="Q371" s="149"/>
      <c r="R371" s="149"/>
      <c r="S371" s="149"/>
      <c r="T371" s="149"/>
      <c r="U371" s="149"/>
      <c r="V371" s="149"/>
      <c r="W371" s="149"/>
      <c r="X371" s="149"/>
      <c r="Y371" s="149"/>
      <c r="Z371" s="149"/>
      <c r="AA371" s="149"/>
      <c r="AB371" s="149"/>
      <c r="AC371" s="149"/>
      <c r="AD371" s="90"/>
      <c r="AE371" s="90"/>
      <c r="AF371" s="90"/>
      <c r="AG371" s="90"/>
      <c r="AH371" s="90"/>
      <c r="AI371" s="90"/>
      <c r="AJ371" s="90"/>
      <c r="AK371" s="90"/>
      <c r="AL371" s="90"/>
      <c r="AM371" s="90"/>
      <c r="AN371" s="90"/>
      <c r="AO371" s="90"/>
      <c r="AP371" s="90"/>
      <c r="AQ371" s="90"/>
      <c r="AR371" s="90"/>
      <c r="AS371" s="90"/>
      <c r="AT371" s="90"/>
      <c r="AU371" s="90"/>
      <c r="AV371" s="90"/>
      <c r="AW371" s="90"/>
      <c r="AX371" s="90"/>
    </row>
    <row r="372" ht="15.75" customHeight="1">
      <c r="A372" s="278" t="s">
        <v>38</v>
      </c>
      <c r="B372" s="279" t="s">
        <v>3233</v>
      </c>
      <c r="C372" s="27" t="s">
        <v>3503</v>
      </c>
      <c r="D372" s="27" t="s">
        <v>3505</v>
      </c>
      <c r="E372" s="27" t="s">
        <v>3506</v>
      </c>
      <c r="F372" s="45"/>
      <c r="G372" s="45"/>
      <c r="H372" s="45"/>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75"/>
      <c r="AE372" s="75"/>
      <c r="AF372" s="75"/>
      <c r="AG372" s="75"/>
      <c r="AH372" s="75"/>
      <c r="AI372" s="75"/>
      <c r="AJ372" s="75"/>
      <c r="AK372" s="75"/>
      <c r="AL372" s="75"/>
      <c r="AM372" s="75"/>
      <c r="AN372" s="75"/>
      <c r="AO372" s="75"/>
      <c r="AP372" s="75"/>
      <c r="AQ372" s="75"/>
      <c r="AR372" s="75"/>
      <c r="AS372" s="75"/>
      <c r="AT372" s="75"/>
      <c r="AU372" s="75"/>
      <c r="AV372" s="75"/>
      <c r="AW372" s="75"/>
      <c r="AX372" s="75"/>
    </row>
    <row r="373" ht="15.75" customHeight="1">
      <c r="A373" s="168" t="s">
        <v>127</v>
      </c>
      <c r="B373" s="71" t="s">
        <v>3236</v>
      </c>
      <c r="C373" s="72"/>
      <c r="D373" s="72"/>
      <c r="E373" s="72"/>
      <c r="F373" s="73"/>
      <c r="G373" s="73"/>
      <c r="H373" s="73"/>
      <c r="I373" s="73"/>
      <c r="J373" s="73"/>
      <c r="K373" s="73"/>
      <c r="L373" s="73"/>
      <c r="M373" s="73"/>
      <c r="N373" s="73"/>
      <c r="O373" s="73"/>
      <c r="P373" s="73"/>
      <c r="Q373" s="73"/>
      <c r="R373" s="73"/>
      <c r="S373" s="73"/>
      <c r="T373" s="74" t="s">
        <v>129</v>
      </c>
      <c r="U373" s="73"/>
      <c r="V373" s="73"/>
      <c r="W373" s="73"/>
      <c r="X373" s="73"/>
      <c r="Y373" s="73"/>
      <c r="Z373" s="73"/>
      <c r="AA373" s="73"/>
      <c r="AB373" s="73"/>
      <c r="AC373" s="73"/>
      <c r="AD373" s="75"/>
      <c r="AE373" s="75"/>
      <c r="AF373" s="75"/>
      <c r="AG373" s="75"/>
      <c r="AH373" s="75"/>
      <c r="AI373" s="75"/>
      <c r="AJ373" s="75"/>
      <c r="AK373" s="75"/>
      <c r="AL373" s="75"/>
      <c r="AM373" s="75"/>
      <c r="AN373" s="75"/>
      <c r="AO373" s="75"/>
      <c r="AP373" s="75"/>
      <c r="AQ373" s="75"/>
      <c r="AR373" s="75"/>
      <c r="AS373" s="75"/>
      <c r="AT373" s="75"/>
      <c r="AU373" s="75"/>
      <c r="AV373" s="75"/>
      <c r="AW373" s="75"/>
      <c r="AX373" s="75"/>
    </row>
    <row r="374" ht="15.75" customHeight="1">
      <c r="A374" s="278" t="s">
        <v>38</v>
      </c>
      <c r="B374" s="279" t="s">
        <v>3240</v>
      </c>
      <c r="C374" s="27" t="s">
        <v>3521</v>
      </c>
      <c r="D374" s="27" t="s">
        <v>3522</v>
      </c>
      <c r="E374" s="27" t="s">
        <v>3523</v>
      </c>
      <c r="F374" s="45"/>
      <c r="G374" s="45"/>
      <c r="H374" s="45"/>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75"/>
      <c r="AE374" s="75"/>
      <c r="AF374" s="75"/>
      <c r="AG374" s="75"/>
      <c r="AH374" s="75"/>
      <c r="AI374" s="75"/>
      <c r="AJ374" s="75"/>
      <c r="AK374" s="75"/>
      <c r="AL374" s="75"/>
      <c r="AM374" s="75"/>
      <c r="AN374" s="75"/>
      <c r="AO374" s="75"/>
      <c r="AP374" s="75"/>
      <c r="AQ374" s="75"/>
      <c r="AR374" s="75"/>
      <c r="AS374" s="75"/>
      <c r="AT374" s="75"/>
      <c r="AU374" s="75"/>
      <c r="AV374" s="75"/>
      <c r="AW374" s="75"/>
      <c r="AX374" s="75"/>
    </row>
    <row r="375" ht="15.75" customHeight="1">
      <c r="A375" s="280" t="s">
        <v>2509</v>
      </c>
      <c r="B375" s="281" t="s">
        <v>3280</v>
      </c>
      <c r="C375" s="27" t="s">
        <v>3533</v>
      </c>
      <c r="D375" s="27" t="s">
        <v>3535</v>
      </c>
      <c r="E375" s="27" t="s">
        <v>3537</v>
      </c>
      <c r="F375" s="45"/>
      <c r="G375" s="45"/>
      <c r="H375" s="45"/>
      <c r="I375" s="286"/>
      <c r="J375" s="287"/>
      <c r="K375" s="286"/>
      <c r="L375" s="286"/>
      <c r="M375" s="286"/>
      <c r="N375" s="286"/>
      <c r="O375" s="288"/>
      <c r="P375" s="286"/>
      <c r="Q375" s="290" t="s">
        <v>150</v>
      </c>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75"/>
      <c r="AP375" s="75"/>
      <c r="AQ375" s="75"/>
      <c r="AR375" s="75"/>
      <c r="AS375" s="75"/>
      <c r="AT375" s="75"/>
      <c r="AU375" s="75"/>
      <c r="AV375" s="75"/>
      <c r="AW375" s="75"/>
      <c r="AX375" s="75"/>
    </row>
    <row r="376" ht="15.75" customHeight="1">
      <c r="A376" s="280" t="s">
        <v>1306</v>
      </c>
      <c r="B376" s="281" t="s">
        <v>3287</v>
      </c>
      <c r="C376" s="27" t="s">
        <v>3554</v>
      </c>
      <c r="D376" s="27" t="s">
        <v>3555</v>
      </c>
      <c r="E376" s="27" t="s">
        <v>3556</v>
      </c>
      <c r="F376" s="45"/>
      <c r="G376" s="45"/>
      <c r="H376" s="45"/>
      <c r="I376" s="286"/>
      <c r="J376" s="287"/>
      <c r="K376" s="286"/>
      <c r="L376" s="286"/>
      <c r="M376" s="286"/>
      <c r="N376" s="286"/>
      <c r="O376" s="280" t="s">
        <v>3557</v>
      </c>
      <c r="P376" s="286"/>
      <c r="Q376" s="290" t="s">
        <v>150</v>
      </c>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75"/>
      <c r="AP376" s="75"/>
      <c r="AQ376" s="75"/>
      <c r="AR376" s="75"/>
      <c r="AS376" s="75"/>
      <c r="AT376" s="75"/>
      <c r="AU376" s="75"/>
      <c r="AV376" s="75"/>
      <c r="AW376" s="75"/>
      <c r="AX376" s="75"/>
    </row>
    <row r="377" ht="15.75" customHeight="1">
      <c r="A377" s="280" t="s">
        <v>1573</v>
      </c>
      <c r="B377" s="281" t="s">
        <v>3291</v>
      </c>
      <c r="C377" s="27" t="s">
        <v>3562</v>
      </c>
      <c r="D377" s="27" t="s">
        <v>3563</v>
      </c>
      <c r="E377" s="27" t="s">
        <v>3564</v>
      </c>
      <c r="F377" s="45"/>
      <c r="G377" s="45"/>
      <c r="H377" s="45"/>
      <c r="I377" s="286"/>
      <c r="J377" s="287"/>
      <c r="K377" s="286"/>
      <c r="L377" s="286"/>
      <c r="M377" s="286"/>
      <c r="N377" s="286"/>
      <c r="O377" s="280" t="s">
        <v>3568</v>
      </c>
      <c r="P377" s="286"/>
      <c r="Q377" s="290" t="s">
        <v>150</v>
      </c>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75"/>
      <c r="AP377" s="75"/>
      <c r="AQ377" s="75"/>
      <c r="AR377" s="75"/>
      <c r="AS377" s="75"/>
      <c r="AT377" s="75"/>
      <c r="AU377" s="75"/>
      <c r="AV377" s="75"/>
      <c r="AW377" s="75"/>
      <c r="AX377" s="75"/>
    </row>
    <row r="378" ht="15.75" customHeight="1">
      <c r="A378" s="280" t="s">
        <v>2520</v>
      </c>
      <c r="B378" s="281" t="s">
        <v>3298</v>
      </c>
      <c r="C378" s="27" t="s">
        <v>3576</v>
      </c>
      <c r="D378" s="27" t="s">
        <v>3578</v>
      </c>
      <c r="E378" s="27" t="s">
        <v>3580</v>
      </c>
      <c r="F378" s="45"/>
      <c r="G378" s="45"/>
      <c r="H378" s="45"/>
      <c r="I378" s="286"/>
      <c r="J378" s="287"/>
      <c r="K378" s="286"/>
      <c r="L378" s="286"/>
      <c r="M378" s="286"/>
      <c r="N378" s="286"/>
      <c r="O378" s="280" t="s">
        <v>3583</v>
      </c>
      <c r="P378" s="286"/>
      <c r="Q378" s="290" t="s">
        <v>150</v>
      </c>
      <c r="R378" s="286"/>
      <c r="S378" s="286"/>
      <c r="T378" s="286"/>
      <c r="U378" s="286"/>
      <c r="V378" s="286"/>
      <c r="W378" s="286"/>
      <c r="X378" s="286"/>
      <c r="Y378" s="290" t="s">
        <v>2580</v>
      </c>
      <c r="Z378" s="286"/>
      <c r="AA378" s="286"/>
      <c r="AB378" s="286"/>
      <c r="AC378" s="286"/>
      <c r="AD378" s="286"/>
      <c r="AE378" s="286"/>
      <c r="AF378" s="286"/>
      <c r="AG378" s="286"/>
      <c r="AH378" s="286"/>
      <c r="AI378" s="286"/>
      <c r="AJ378" s="286"/>
      <c r="AK378" s="286"/>
      <c r="AL378" s="286"/>
      <c r="AM378" s="286"/>
      <c r="AN378" s="286"/>
      <c r="AO378" s="75"/>
      <c r="AP378" s="75"/>
      <c r="AQ378" s="75"/>
      <c r="AR378" s="75"/>
      <c r="AS378" s="75"/>
      <c r="AT378" s="75"/>
      <c r="AU378" s="75"/>
      <c r="AV378" s="75"/>
      <c r="AW378" s="75"/>
      <c r="AX378" s="75"/>
    </row>
    <row r="379" ht="15.75" customHeight="1">
      <c r="A379" s="282" t="s">
        <v>252</v>
      </c>
      <c r="B379" s="283" t="s">
        <v>3306</v>
      </c>
      <c r="C379" s="27" t="s">
        <v>3593</v>
      </c>
      <c r="D379" s="27" t="s">
        <v>3594</v>
      </c>
      <c r="E379" s="27" t="s">
        <v>3595</v>
      </c>
      <c r="F379" s="45"/>
      <c r="G379" s="45"/>
      <c r="H379" s="45"/>
      <c r="I379" s="293"/>
      <c r="J379" s="294"/>
      <c r="K379" s="293"/>
      <c r="L379" s="293"/>
      <c r="M379" s="293"/>
      <c r="N379" s="293"/>
      <c r="O379" s="282" t="s">
        <v>3599</v>
      </c>
      <c r="P379" s="293"/>
      <c r="Q379" s="296" t="s">
        <v>150</v>
      </c>
      <c r="R379" s="293"/>
      <c r="S379" s="293"/>
      <c r="T379" s="293"/>
      <c r="U379" s="293"/>
      <c r="V379" s="293"/>
      <c r="W379" s="293"/>
      <c r="X379" s="293"/>
      <c r="Y379" s="293"/>
      <c r="Z379" s="293"/>
      <c r="AA379" s="293"/>
      <c r="AB379" s="293"/>
      <c r="AC379" s="293"/>
      <c r="AD379" s="293"/>
      <c r="AE379" s="293"/>
      <c r="AF379" s="293"/>
      <c r="AG379" s="293"/>
      <c r="AH379" s="293"/>
      <c r="AI379" s="293"/>
      <c r="AJ379" s="293"/>
      <c r="AK379" s="293"/>
      <c r="AL379" s="293"/>
      <c r="AM379" s="293"/>
      <c r="AN379" s="293"/>
      <c r="AO379" s="75"/>
      <c r="AP379" s="75"/>
      <c r="AQ379" s="75"/>
      <c r="AR379" s="75"/>
      <c r="AS379" s="75"/>
      <c r="AT379" s="75"/>
      <c r="AU379" s="75"/>
      <c r="AV379" s="75"/>
      <c r="AW379" s="75"/>
      <c r="AX379" s="75"/>
    </row>
    <row r="380" ht="15.75" customHeight="1">
      <c r="A380" s="280" t="s">
        <v>1624</v>
      </c>
      <c r="B380" s="281" t="s">
        <v>3328</v>
      </c>
      <c r="C380" s="27" t="s">
        <v>3604</v>
      </c>
      <c r="D380" s="27" t="s">
        <v>3605</v>
      </c>
      <c r="E380" s="27" t="s">
        <v>3606</v>
      </c>
      <c r="F380" s="45"/>
      <c r="G380" s="45"/>
      <c r="H380" s="45"/>
      <c r="I380" s="286"/>
      <c r="J380" s="297" t="s">
        <v>3607</v>
      </c>
      <c r="K380" s="286"/>
      <c r="L380" s="286"/>
      <c r="M380" s="286"/>
      <c r="N380" s="286"/>
      <c r="O380" s="280" t="s">
        <v>3611</v>
      </c>
      <c r="P380" s="286"/>
      <c r="Q380" s="290" t="s">
        <v>150</v>
      </c>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75"/>
      <c r="AP380" s="75"/>
      <c r="AQ380" s="75"/>
      <c r="AR380" s="75"/>
      <c r="AS380" s="75"/>
      <c r="AT380" s="75"/>
      <c r="AU380" s="75"/>
      <c r="AV380" s="75"/>
      <c r="AW380" s="75"/>
      <c r="AX380" s="75"/>
    </row>
    <row r="381" ht="15.75" customHeight="1">
      <c r="A381" s="282" t="s">
        <v>252</v>
      </c>
      <c r="B381" s="283" t="s">
        <v>3335</v>
      </c>
      <c r="C381" s="27" t="s">
        <v>3616</v>
      </c>
      <c r="D381" s="27" t="s">
        <v>3617</v>
      </c>
      <c r="E381" s="27" t="s">
        <v>3618</v>
      </c>
      <c r="F381" s="45"/>
      <c r="G381" s="45"/>
      <c r="H381" s="45"/>
      <c r="I381" s="293"/>
      <c r="J381" s="294"/>
      <c r="K381" s="293"/>
      <c r="L381" s="293"/>
      <c r="M381" s="293"/>
      <c r="N381" s="293"/>
      <c r="O381" s="282" t="s">
        <v>3620</v>
      </c>
      <c r="P381" s="293"/>
      <c r="Q381" s="296" t="s">
        <v>150</v>
      </c>
      <c r="R381" s="293"/>
      <c r="S381" s="293"/>
      <c r="T381" s="293"/>
      <c r="U381" s="293"/>
      <c r="V381" s="293"/>
      <c r="W381" s="293"/>
      <c r="X381" s="293"/>
      <c r="Y381" s="293"/>
      <c r="Z381" s="293"/>
      <c r="AA381" s="293"/>
      <c r="AB381" s="293"/>
      <c r="AC381" s="293"/>
      <c r="AD381" s="293"/>
      <c r="AE381" s="293"/>
      <c r="AF381" s="293"/>
      <c r="AG381" s="293"/>
      <c r="AH381" s="293"/>
      <c r="AI381" s="293"/>
      <c r="AJ381" s="293"/>
      <c r="AK381" s="293"/>
      <c r="AL381" s="293"/>
      <c r="AM381" s="293"/>
      <c r="AN381" s="293"/>
      <c r="AO381" s="75"/>
      <c r="AP381" s="75"/>
      <c r="AQ381" s="75"/>
      <c r="AR381" s="75"/>
      <c r="AS381" s="75"/>
      <c r="AT381" s="75"/>
      <c r="AU381" s="75"/>
      <c r="AV381" s="75"/>
      <c r="AW381" s="75"/>
      <c r="AX381" s="75"/>
    </row>
    <row r="382" ht="15.75" customHeight="1">
      <c r="A382" s="280" t="s">
        <v>2509</v>
      </c>
      <c r="B382" s="281" t="s">
        <v>3339</v>
      </c>
      <c r="C382" s="27" t="s">
        <v>3625</v>
      </c>
      <c r="D382" s="27" t="s">
        <v>3626</v>
      </c>
      <c r="E382" s="27" t="s">
        <v>3627</v>
      </c>
      <c r="F382" s="45" t="s">
        <v>2607</v>
      </c>
      <c r="G382" s="45"/>
      <c r="H382" s="45"/>
      <c r="I382" s="286"/>
      <c r="J382" s="287"/>
      <c r="K382" s="286"/>
      <c r="L382" s="286"/>
      <c r="M382" s="286"/>
      <c r="N382" s="286"/>
      <c r="O382" s="280" t="s">
        <v>3557</v>
      </c>
      <c r="P382" s="286"/>
      <c r="Q382" s="290" t="s">
        <v>150</v>
      </c>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75"/>
      <c r="AP382" s="75"/>
      <c r="AQ382" s="75"/>
      <c r="AR382" s="75"/>
      <c r="AS382" s="75"/>
      <c r="AT382" s="75"/>
      <c r="AU382" s="75"/>
      <c r="AV382" s="75"/>
      <c r="AW382" s="75"/>
      <c r="AX382" s="75"/>
    </row>
    <row r="383" ht="15.75" customHeight="1">
      <c r="A383" s="280" t="s">
        <v>2509</v>
      </c>
      <c r="B383" s="281" t="s">
        <v>3364</v>
      </c>
      <c r="C383" s="27" t="s">
        <v>3632</v>
      </c>
      <c r="D383" s="27" t="s">
        <v>3633</v>
      </c>
      <c r="E383" s="27" t="s">
        <v>3634</v>
      </c>
      <c r="F383" s="45"/>
      <c r="G383" s="45"/>
      <c r="H383" s="45"/>
      <c r="I383" s="286"/>
      <c r="J383" s="287"/>
      <c r="K383" s="286"/>
      <c r="L383" s="286"/>
      <c r="M383" s="301"/>
      <c r="N383" s="301"/>
      <c r="O383" s="288"/>
      <c r="P383" s="286"/>
      <c r="Q383" s="290" t="s">
        <v>150</v>
      </c>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75"/>
      <c r="AP383" s="75"/>
      <c r="AQ383" s="75"/>
      <c r="AR383" s="75"/>
      <c r="AS383" s="75"/>
      <c r="AT383" s="75"/>
      <c r="AU383" s="75"/>
      <c r="AV383" s="75"/>
      <c r="AW383" s="75"/>
      <c r="AX383" s="75"/>
    </row>
    <row r="384" ht="15.75" customHeight="1">
      <c r="A384" s="280" t="s">
        <v>1306</v>
      </c>
      <c r="B384" s="281" t="s">
        <v>3367</v>
      </c>
      <c r="C384" s="27" t="s">
        <v>3642</v>
      </c>
      <c r="D384" s="27" t="s">
        <v>3643</v>
      </c>
      <c r="E384" s="27" t="s">
        <v>3644</v>
      </c>
      <c r="F384" s="45"/>
      <c r="G384" s="45"/>
      <c r="H384" s="45"/>
      <c r="I384" s="286"/>
      <c r="J384" s="287"/>
      <c r="K384" s="286"/>
      <c r="L384" s="286"/>
      <c r="M384" s="301"/>
      <c r="N384" s="301"/>
      <c r="O384" s="280" t="s">
        <v>3645</v>
      </c>
      <c r="P384" s="286"/>
      <c r="Q384" s="290" t="s">
        <v>150</v>
      </c>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75"/>
      <c r="AP384" s="75"/>
      <c r="AQ384" s="75"/>
      <c r="AR384" s="75"/>
      <c r="AS384" s="75"/>
      <c r="AT384" s="75"/>
      <c r="AU384" s="75"/>
      <c r="AV384" s="75"/>
      <c r="AW384" s="75"/>
      <c r="AX384" s="75"/>
    </row>
    <row r="385" ht="15.75" customHeight="1">
      <c r="A385" s="280" t="s">
        <v>1573</v>
      </c>
      <c r="B385" s="281" t="s">
        <v>3374</v>
      </c>
      <c r="C385" s="27" t="s">
        <v>3651</v>
      </c>
      <c r="D385" s="27" t="s">
        <v>3652</v>
      </c>
      <c r="E385" s="27" t="s">
        <v>3653</v>
      </c>
      <c r="F385" s="45"/>
      <c r="G385" s="45"/>
      <c r="H385" s="45"/>
      <c r="I385" s="286"/>
      <c r="J385" s="287"/>
      <c r="K385" s="286"/>
      <c r="L385" s="286"/>
      <c r="M385" s="286"/>
      <c r="N385" s="286"/>
      <c r="O385" s="280" t="s">
        <v>3654</v>
      </c>
      <c r="P385" s="286"/>
      <c r="Q385" s="290" t="s">
        <v>150</v>
      </c>
      <c r="R385" s="286"/>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75"/>
      <c r="AP385" s="75"/>
      <c r="AQ385" s="75"/>
      <c r="AR385" s="75"/>
      <c r="AS385" s="75"/>
      <c r="AT385" s="75"/>
      <c r="AU385" s="75"/>
      <c r="AV385" s="75"/>
      <c r="AW385" s="75"/>
      <c r="AX385" s="75"/>
    </row>
    <row r="386" ht="15.75" customHeight="1">
      <c r="A386" s="280" t="s">
        <v>2520</v>
      </c>
      <c r="B386" s="281" t="s">
        <v>3375</v>
      </c>
      <c r="C386" s="27" t="s">
        <v>3656</v>
      </c>
      <c r="D386" s="27" t="s">
        <v>3657</v>
      </c>
      <c r="E386" s="27" t="s">
        <v>3658</v>
      </c>
      <c r="F386" s="45"/>
      <c r="G386" s="45"/>
      <c r="H386" s="45"/>
      <c r="I386" s="286"/>
      <c r="J386" s="287"/>
      <c r="K386" s="286"/>
      <c r="L386" s="286"/>
      <c r="M386" s="286"/>
      <c r="N386" s="286"/>
      <c r="O386" s="280" t="s">
        <v>3659</v>
      </c>
      <c r="P386" s="286"/>
      <c r="Q386" s="290" t="s">
        <v>150</v>
      </c>
      <c r="R386" s="286"/>
      <c r="S386" s="286"/>
      <c r="T386" s="286"/>
      <c r="U386" s="286"/>
      <c r="V386" s="286"/>
      <c r="W386" s="286"/>
      <c r="X386" s="286"/>
      <c r="Y386" s="290" t="s">
        <v>2580</v>
      </c>
      <c r="Z386" s="286"/>
      <c r="AA386" s="286"/>
      <c r="AB386" s="286"/>
      <c r="AC386" s="286"/>
      <c r="AD386" s="286"/>
      <c r="AE386" s="286"/>
      <c r="AF386" s="286"/>
      <c r="AG386" s="286"/>
      <c r="AH386" s="286"/>
      <c r="AI386" s="286"/>
      <c r="AJ386" s="286"/>
      <c r="AK386" s="286"/>
      <c r="AL386" s="286"/>
      <c r="AM386" s="286"/>
      <c r="AN386" s="286"/>
      <c r="AO386" s="75"/>
      <c r="AP386" s="75"/>
      <c r="AQ386" s="75"/>
      <c r="AR386" s="75"/>
      <c r="AS386" s="75"/>
      <c r="AT386" s="75"/>
      <c r="AU386" s="75"/>
      <c r="AV386" s="75"/>
      <c r="AW386" s="75"/>
      <c r="AX386" s="75"/>
    </row>
    <row r="387" ht="15.75" customHeight="1">
      <c r="A387" s="282" t="s">
        <v>252</v>
      </c>
      <c r="B387" s="283" t="s">
        <v>3385</v>
      </c>
      <c r="C387" s="27" t="s">
        <v>3664</v>
      </c>
      <c r="D387" s="27" t="s">
        <v>3665</v>
      </c>
      <c r="E387" s="27" t="s">
        <v>3666</v>
      </c>
      <c r="F387" s="45"/>
      <c r="G387" s="45"/>
      <c r="H387" s="45"/>
      <c r="I387" s="293"/>
      <c r="J387" s="294"/>
      <c r="K387" s="293"/>
      <c r="L387" s="293"/>
      <c r="M387" s="293"/>
      <c r="N387" s="293"/>
      <c r="O387" s="282" t="s">
        <v>3667</v>
      </c>
      <c r="P387" s="293"/>
      <c r="Q387" s="296" t="s">
        <v>150</v>
      </c>
      <c r="R387" s="293"/>
      <c r="S387" s="293"/>
      <c r="T387" s="293"/>
      <c r="U387" s="293"/>
      <c r="V387" s="293"/>
      <c r="W387" s="293"/>
      <c r="X387" s="293"/>
      <c r="Y387" s="293"/>
      <c r="Z387" s="293"/>
      <c r="AA387" s="293"/>
      <c r="AB387" s="293"/>
      <c r="AC387" s="293"/>
      <c r="AD387" s="293"/>
      <c r="AE387" s="293"/>
      <c r="AF387" s="293"/>
      <c r="AG387" s="293"/>
      <c r="AH387" s="293"/>
      <c r="AI387" s="293"/>
      <c r="AJ387" s="293"/>
      <c r="AK387" s="293"/>
      <c r="AL387" s="293"/>
      <c r="AM387" s="293"/>
      <c r="AN387" s="293"/>
      <c r="AO387" s="75"/>
      <c r="AP387" s="75"/>
      <c r="AQ387" s="75"/>
      <c r="AR387" s="75"/>
      <c r="AS387" s="75"/>
      <c r="AT387" s="75"/>
      <c r="AU387" s="75"/>
      <c r="AV387" s="75"/>
      <c r="AW387" s="75"/>
      <c r="AX387" s="75"/>
    </row>
    <row r="388" ht="15.75" customHeight="1">
      <c r="A388" s="280" t="s">
        <v>1624</v>
      </c>
      <c r="B388" s="281" t="s">
        <v>3389</v>
      </c>
      <c r="C388" s="27" t="s">
        <v>3672</v>
      </c>
      <c r="D388" s="27" t="s">
        <v>3674</v>
      </c>
      <c r="E388" s="27" t="s">
        <v>3675</v>
      </c>
      <c r="F388" s="45"/>
      <c r="G388" s="45"/>
      <c r="H388" s="45"/>
      <c r="I388" s="286"/>
      <c r="J388" s="297" t="s">
        <v>3678</v>
      </c>
      <c r="K388" s="286"/>
      <c r="L388" s="286"/>
      <c r="M388" s="286"/>
      <c r="N388" s="286"/>
      <c r="O388" s="290" t="s">
        <v>3679</v>
      </c>
      <c r="P388" s="286"/>
      <c r="Q388" s="290" t="s">
        <v>150</v>
      </c>
      <c r="R388" s="286"/>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75"/>
      <c r="AP388" s="75"/>
      <c r="AQ388" s="75"/>
      <c r="AR388" s="75"/>
      <c r="AS388" s="75"/>
      <c r="AT388" s="75"/>
      <c r="AU388" s="75"/>
      <c r="AV388" s="75"/>
      <c r="AW388" s="75"/>
      <c r="AX388" s="75"/>
    </row>
    <row r="389" ht="15.75" customHeight="1">
      <c r="A389" s="282" t="s">
        <v>252</v>
      </c>
      <c r="B389" s="283" t="s">
        <v>3397</v>
      </c>
      <c r="C389" s="27" t="s">
        <v>3684</v>
      </c>
      <c r="D389" s="27" t="s">
        <v>3685</v>
      </c>
      <c r="E389" s="27" t="s">
        <v>3686</v>
      </c>
      <c r="F389" s="45"/>
      <c r="G389" s="45"/>
      <c r="H389" s="45"/>
      <c r="I389" s="293"/>
      <c r="J389" s="294"/>
      <c r="K389" s="293"/>
      <c r="L389" s="293"/>
      <c r="M389" s="293"/>
      <c r="N389" s="293"/>
      <c r="O389" s="296" t="s">
        <v>3687</v>
      </c>
      <c r="P389" s="293"/>
      <c r="Q389" s="296" t="s">
        <v>150</v>
      </c>
      <c r="R389" s="293"/>
      <c r="S389" s="293"/>
      <c r="T389" s="293"/>
      <c r="U389" s="293"/>
      <c r="V389" s="293"/>
      <c r="W389" s="293"/>
      <c r="X389" s="293"/>
      <c r="Y389" s="293"/>
      <c r="Z389" s="293"/>
      <c r="AA389" s="293"/>
      <c r="AB389" s="293"/>
      <c r="AC389" s="293"/>
      <c r="AD389" s="73"/>
      <c r="AE389" s="73"/>
      <c r="AF389" s="73"/>
      <c r="AG389" s="73"/>
      <c r="AH389" s="73"/>
      <c r="AI389" s="73"/>
      <c r="AJ389" s="73"/>
      <c r="AK389" s="73"/>
      <c r="AL389" s="73"/>
      <c r="AM389" s="73"/>
      <c r="AN389" s="73"/>
      <c r="AO389" s="75"/>
      <c r="AP389" s="75"/>
      <c r="AQ389" s="75"/>
      <c r="AR389" s="75"/>
      <c r="AS389" s="75"/>
      <c r="AT389" s="75"/>
      <c r="AU389" s="75"/>
      <c r="AV389" s="75"/>
      <c r="AW389" s="75"/>
      <c r="AX389" s="75"/>
    </row>
    <row r="390" ht="15.75" customHeight="1">
      <c r="A390" s="280" t="s">
        <v>2509</v>
      </c>
      <c r="B390" s="281" t="s">
        <v>3463</v>
      </c>
      <c r="C390" s="27" t="s">
        <v>3694</v>
      </c>
      <c r="D390" s="27" t="s">
        <v>3695</v>
      </c>
      <c r="E390" s="27" t="s">
        <v>3696</v>
      </c>
      <c r="F390" s="45" t="s">
        <v>3697</v>
      </c>
      <c r="G390" s="45"/>
      <c r="H390" s="45"/>
      <c r="I390" s="286"/>
      <c r="J390" s="287"/>
      <c r="K390" s="286"/>
      <c r="L390" s="286"/>
      <c r="M390" s="286"/>
      <c r="N390" s="286"/>
      <c r="O390" s="290" t="s">
        <v>3645</v>
      </c>
      <c r="P390" s="286"/>
      <c r="Q390" s="290" t="s">
        <v>150</v>
      </c>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75"/>
      <c r="AP390" s="75"/>
      <c r="AQ390" s="75"/>
      <c r="AR390" s="75"/>
      <c r="AS390" s="75"/>
      <c r="AT390" s="75"/>
      <c r="AU390" s="75"/>
      <c r="AV390" s="75"/>
      <c r="AW390" s="75"/>
      <c r="AX390" s="75"/>
    </row>
    <row r="391" ht="15.75" customHeight="1">
      <c r="A391" s="168" t="s">
        <v>127</v>
      </c>
      <c r="B391" s="71" t="s">
        <v>3470</v>
      </c>
      <c r="C391" s="72"/>
      <c r="D391" s="72"/>
      <c r="E391" s="72"/>
      <c r="F391" s="73"/>
      <c r="G391" s="73"/>
      <c r="H391" s="73"/>
      <c r="I391" s="73"/>
      <c r="J391" s="73"/>
      <c r="K391" s="73"/>
      <c r="L391" s="73"/>
      <c r="M391" s="73"/>
      <c r="N391" s="73"/>
      <c r="O391" s="73"/>
      <c r="P391" s="73"/>
      <c r="Q391" s="73"/>
      <c r="R391" s="73"/>
      <c r="S391" s="73"/>
      <c r="T391" s="74" t="s">
        <v>129</v>
      </c>
      <c r="U391" s="73"/>
      <c r="V391" s="73"/>
      <c r="W391" s="73"/>
      <c r="X391" s="73"/>
      <c r="Y391" s="73"/>
      <c r="Z391" s="73"/>
      <c r="AA391" s="73"/>
      <c r="AB391" s="73"/>
      <c r="AC391" s="73"/>
      <c r="AD391" s="75"/>
      <c r="AE391" s="75"/>
      <c r="AF391" s="75"/>
      <c r="AG391" s="75"/>
      <c r="AH391" s="75"/>
      <c r="AI391" s="75"/>
      <c r="AJ391" s="75"/>
      <c r="AK391" s="75"/>
      <c r="AL391" s="75"/>
      <c r="AM391" s="75"/>
      <c r="AN391" s="75"/>
      <c r="AO391" s="75"/>
      <c r="AP391" s="75"/>
      <c r="AQ391" s="75"/>
      <c r="AR391" s="75"/>
      <c r="AS391" s="75"/>
      <c r="AT391" s="75"/>
      <c r="AU391" s="75"/>
      <c r="AV391" s="75"/>
      <c r="AW391" s="75"/>
      <c r="AX391" s="75"/>
    </row>
    <row r="392" ht="15.75" customHeight="1">
      <c r="A392" s="168" t="s">
        <v>68</v>
      </c>
      <c r="B392" s="71" t="s">
        <v>3478</v>
      </c>
      <c r="C392" s="72"/>
      <c r="D392" s="72"/>
      <c r="E392" s="72"/>
      <c r="F392" s="73"/>
      <c r="G392" s="73"/>
      <c r="H392" s="73"/>
      <c r="I392" s="73"/>
      <c r="J392" s="73"/>
      <c r="K392" s="73"/>
      <c r="L392" s="73"/>
      <c r="M392" s="73"/>
      <c r="N392" s="73"/>
      <c r="O392" s="73"/>
      <c r="P392" s="73"/>
      <c r="Q392" s="73"/>
      <c r="R392" s="73"/>
      <c r="S392" s="73"/>
      <c r="T392" s="74" t="s">
        <v>3717</v>
      </c>
      <c r="U392" s="73"/>
      <c r="V392" s="73"/>
      <c r="W392" s="73"/>
      <c r="X392" s="73"/>
      <c r="Y392" s="73"/>
      <c r="Z392" s="73"/>
      <c r="AA392" s="73"/>
      <c r="AB392" s="73"/>
      <c r="AC392" s="73"/>
      <c r="AD392" s="75"/>
      <c r="AE392" s="75"/>
      <c r="AF392" s="75"/>
      <c r="AG392" s="75"/>
      <c r="AH392" s="75"/>
      <c r="AI392" s="75"/>
      <c r="AJ392" s="75"/>
      <c r="AK392" s="75"/>
      <c r="AL392" s="75"/>
      <c r="AM392" s="75"/>
      <c r="AN392" s="75"/>
      <c r="AO392" s="75"/>
      <c r="AP392" s="75"/>
      <c r="AQ392" s="75"/>
      <c r="AR392" s="75"/>
      <c r="AS392" s="75"/>
      <c r="AT392" s="75"/>
      <c r="AU392" s="75"/>
      <c r="AV392" s="75"/>
      <c r="AW392" s="75"/>
      <c r="AX392" s="75"/>
    </row>
    <row r="393" ht="15.75" customHeight="1">
      <c r="A393" s="168" t="s">
        <v>127</v>
      </c>
      <c r="B393" s="71" t="s">
        <v>3482</v>
      </c>
      <c r="C393" s="72"/>
      <c r="D393" s="72"/>
      <c r="E393" s="72"/>
      <c r="F393" s="73"/>
      <c r="G393" s="73"/>
      <c r="H393" s="73"/>
      <c r="I393" s="73"/>
      <c r="J393" s="73"/>
      <c r="K393" s="73"/>
      <c r="L393" s="73"/>
      <c r="M393" s="73"/>
      <c r="N393" s="73"/>
      <c r="O393" s="73"/>
      <c r="P393" s="73"/>
      <c r="Q393" s="73"/>
      <c r="R393" s="73"/>
      <c r="S393" s="73"/>
      <c r="T393" s="74" t="s">
        <v>129</v>
      </c>
      <c r="U393" s="73"/>
      <c r="V393" s="73"/>
      <c r="W393" s="73"/>
      <c r="X393" s="73"/>
      <c r="Y393" s="73"/>
      <c r="Z393" s="73"/>
      <c r="AA393" s="73"/>
      <c r="AB393" s="73"/>
      <c r="AC393" s="73"/>
      <c r="AD393" s="75"/>
      <c r="AE393" s="75"/>
      <c r="AF393" s="75"/>
      <c r="AG393" s="75"/>
      <c r="AH393" s="75"/>
      <c r="AI393" s="75"/>
      <c r="AJ393" s="75"/>
      <c r="AK393" s="75"/>
      <c r="AL393" s="75"/>
      <c r="AM393" s="75"/>
      <c r="AN393" s="75"/>
      <c r="AO393" s="75"/>
      <c r="AP393" s="75"/>
      <c r="AQ393" s="75"/>
      <c r="AR393" s="75"/>
      <c r="AS393" s="75"/>
      <c r="AT393" s="75"/>
      <c r="AU393" s="75"/>
      <c r="AV393" s="75"/>
      <c r="AW393" s="75"/>
      <c r="AX393" s="75"/>
    </row>
    <row r="394" ht="15.75" customHeight="1">
      <c r="A394" s="278" t="s">
        <v>38</v>
      </c>
      <c r="B394" s="279" t="s">
        <v>3488</v>
      </c>
      <c r="C394" s="27" t="s">
        <v>3737</v>
      </c>
      <c r="D394" s="27" t="s">
        <v>3738</v>
      </c>
      <c r="E394" s="27" t="s">
        <v>3739</v>
      </c>
      <c r="F394" s="45"/>
      <c r="G394" s="45"/>
      <c r="H394" s="45"/>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75"/>
      <c r="AE394" s="75"/>
      <c r="AF394" s="75"/>
      <c r="AG394" s="75"/>
      <c r="AH394" s="75"/>
      <c r="AI394" s="75"/>
      <c r="AJ394" s="75"/>
      <c r="AK394" s="75"/>
      <c r="AL394" s="75"/>
      <c r="AM394" s="75"/>
      <c r="AN394" s="75"/>
      <c r="AO394" s="75"/>
      <c r="AP394" s="75"/>
      <c r="AQ394" s="75"/>
      <c r="AR394" s="75"/>
      <c r="AS394" s="75"/>
      <c r="AT394" s="75"/>
      <c r="AU394" s="75"/>
      <c r="AV394" s="75"/>
      <c r="AW394" s="75"/>
      <c r="AX394" s="75"/>
    </row>
    <row r="395" ht="15.75" customHeight="1">
      <c r="A395" s="280" t="s">
        <v>3502</v>
      </c>
      <c r="B395" s="281" t="s">
        <v>3504</v>
      </c>
      <c r="C395" s="27" t="s">
        <v>3754</v>
      </c>
      <c r="D395" s="27" t="s">
        <v>3755</v>
      </c>
      <c r="E395" s="27" t="s">
        <v>3756</v>
      </c>
      <c r="F395" s="45"/>
      <c r="G395" s="45"/>
      <c r="H395" s="45"/>
      <c r="I395" s="286"/>
      <c r="J395" s="287"/>
      <c r="K395" s="290" t="s">
        <v>3757</v>
      </c>
      <c r="L395" s="286"/>
      <c r="M395" s="286"/>
      <c r="N395" s="286"/>
      <c r="O395" s="286"/>
      <c r="P395" s="286"/>
      <c r="Q395" s="290" t="s">
        <v>150</v>
      </c>
      <c r="R395" s="286"/>
      <c r="S395" s="286"/>
      <c r="T395" s="286"/>
      <c r="U395" s="286"/>
      <c r="V395" s="286"/>
      <c r="W395" s="286"/>
      <c r="X395" s="286"/>
      <c r="Y395" s="286"/>
      <c r="Z395" s="286"/>
      <c r="AA395" s="286"/>
      <c r="AB395" s="286"/>
      <c r="AC395" s="286"/>
      <c r="AD395" s="75"/>
      <c r="AE395" s="75"/>
      <c r="AF395" s="75"/>
      <c r="AG395" s="75"/>
      <c r="AH395" s="75"/>
      <c r="AI395" s="75"/>
      <c r="AJ395" s="75"/>
      <c r="AK395" s="75"/>
      <c r="AL395" s="75"/>
      <c r="AM395" s="75"/>
      <c r="AN395" s="75"/>
      <c r="AO395" s="75"/>
      <c r="AP395" s="75"/>
      <c r="AQ395" s="75"/>
      <c r="AR395" s="75"/>
      <c r="AS395" s="75"/>
      <c r="AT395" s="75"/>
      <c r="AU395" s="75"/>
      <c r="AV395" s="75"/>
      <c r="AW395" s="75"/>
      <c r="AX395" s="75"/>
    </row>
    <row r="396" ht="15.75" customHeight="1">
      <c r="A396" s="282" t="s">
        <v>252</v>
      </c>
      <c r="B396" s="283" t="s">
        <v>3507</v>
      </c>
      <c r="C396" s="27" t="s">
        <v>3763</v>
      </c>
      <c r="D396" s="27" t="s">
        <v>3764</v>
      </c>
      <c r="E396" s="27" t="s">
        <v>3765</v>
      </c>
      <c r="F396" s="45"/>
      <c r="G396" s="45"/>
      <c r="H396" s="45"/>
      <c r="I396" s="293"/>
      <c r="J396" s="294"/>
      <c r="K396" s="293"/>
      <c r="L396" s="293"/>
      <c r="M396" s="293"/>
      <c r="N396" s="293"/>
      <c r="O396" s="296" t="s">
        <v>3766</v>
      </c>
      <c r="P396" s="293"/>
      <c r="Q396" s="296" t="s">
        <v>150</v>
      </c>
      <c r="R396" s="293"/>
      <c r="S396" s="293"/>
      <c r="T396" s="293"/>
      <c r="U396" s="293"/>
      <c r="V396" s="293"/>
      <c r="W396" s="293"/>
      <c r="X396" s="293"/>
      <c r="Y396" s="293"/>
      <c r="Z396" s="293"/>
      <c r="AA396" s="293"/>
      <c r="AB396" s="293"/>
      <c r="AC396" s="293"/>
      <c r="AD396" s="75"/>
      <c r="AE396" s="75"/>
      <c r="AF396" s="75"/>
      <c r="AG396" s="75"/>
      <c r="AH396" s="75"/>
      <c r="AI396" s="75"/>
      <c r="AJ396" s="75"/>
      <c r="AK396" s="75"/>
      <c r="AL396" s="75"/>
      <c r="AM396" s="75"/>
      <c r="AN396" s="75"/>
      <c r="AO396" s="75"/>
      <c r="AP396" s="75"/>
      <c r="AQ396" s="75"/>
      <c r="AR396" s="75"/>
      <c r="AS396" s="75"/>
      <c r="AT396" s="75"/>
      <c r="AU396" s="75"/>
      <c r="AV396" s="75"/>
      <c r="AW396" s="75"/>
      <c r="AX396" s="75"/>
    </row>
    <row r="397" ht="15.75" customHeight="1">
      <c r="A397" s="285" t="s">
        <v>426</v>
      </c>
      <c r="B397" s="171" t="s">
        <v>3531</v>
      </c>
      <c r="C397" s="172" t="s">
        <v>3532</v>
      </c>
      <c r="D397" s="172" t="s">
        <v>3534</v>
      </c>
      <c r="E397" s="172" t="s">
        <v>3538</v>
      </c>
      <c r="F397" s="304"/>
      <c r="G397" s="304"/>
      <c r="H397" s="304"/>
      <c r="I397" s="304"/>
      <c r="J397" s="304"/>
      <c r="K397" s="304"/>
      <c r="L397" s="304"/>
      <c r="M397" s="305"/>
      <c r="N397" s="305"/>
      <c r="O397" s="176" t="s">
        <v>3770</v>
      </c>
      <c r="P397" s="304"/>
      <c r="Q397" s="304"/>
      <c r="R397" s="304"/>
      <c r="S397" s="304"/>
      <c r="T397" s="304"/>
      <c r="U397" s="176" t="s">
        <v>3772</v>
      </c>
      <c r="V397" s="304"/>
      <c r="W397" s="304"/>
      <c r="X397" s="304"/>
      <c r="Y397" s="304"/>
      <c r="Z397" s="304"/>
      <c r="AA397" s="304"/>
      <c r="AB397" s="304"/>
      <c r="AC397" s="304"/>
      <c r="AD397" s="75"/>
      <c r="AE397" s="75"/>
      <c r="AF397" s="75"/>
      <c r="AG397" s="75"/>
      <c r="AH397" s="75"/>
      <c r="AI397" s="75"/>
      <c r="AJ397" s="75"/>
      <c r="AK397" s="75"/>
      <c r="AL397" s="75"/>
      <c r="AM397" s="75"/>
      <c r="AN397" s="75"/>
      <c r="AO397" s="75"/>
      <c r="AP397" s="75"/>
      <c r="AQ397" s="75"/>
      <c r="AR397" s="75"/>
      <c r="AS397" s="75"/>
      <c r="AT397" s="75"/>
      <c r="AU397" s="75"/>
      <c r="AV397" s="75"/>
      <c r="AW397" s="75"/>
      <c r="AX397" s="75"/>
    </row>
    <row r="398" ht="15.75" customHeight="1">
      <c r="A398" s="168" t="s">
        <v>68</v>
      </c>
      <c r="B398" s="71" t="s">
        <v>3543</v>
      </c>
      <c r="C398" s="72" t="s">
        <v>3544</v>
      </c>
      <c r="D398" s="72" t="s">
        <v>3545</v>
      </c>
      <c r="E398" s="72" t="s">
        <v>3546</v>
      </c>
      <c r="F398" s="73"/>
      <c r="G398" s="73"/>
      <c r="H398" s="73"/>
      <c r="I398" s="73"/>
      <c r="J398" s="73"/>
      <c r="K398" s="73"/>
      <c r="L398" s="73"/>
      <c r="M398" s="73"/>
      <c r="N398" s="73"/>
      <c r="O398" s="73"/>
      <c r="P398" s="73"/>
      <c r="Q398" s="73"/>
      <c r="R398" s="73"/>
      <c r="S398" s="73"/>
      <c r="T398" s="74" t="s">
        <v>3780</v>
      </c>
      <c r="U398" s="73"/>
      <c r="V398" s="73"/>
      <c r="W398" s="73"/>
      <c r="X398" s="73"/>
      <c r="Y398" s="73"/>
      <c r="Z398" s="73"/>
      <c r="AA398" s="73"/>
      <c r="AB398" s="73"/>
      <c r="AC398" s="73"/>
      <c r="AD398" s="75"/>
      <c r="AE398" s="75"/>
      <c r="AF398" s="75"/>
      <c r="AG398" s="75"/>
      <c r="AH398" s="75"/>
      <c r="AI398" s="75"/>
      <c r="AJ398" s="75"/>
      <c r="AK398" s="75"/>
      <c r="AL398" s="75"/>
      <c r="AM398" s="75"/>
      <c r="AN398" s="75"/>
      <c r="AO398" s="75"/>
      <c r="AP398" s="75"/>
      <c r="AQ398" s="75"/>
      <c r="AR398" s="75"/>
      <c r="AS398" s="75"/>
      <c r="AT398" s="75"/>
      <c r="AU398" s="75"/>
      <c r="AV398" s="75"/>
      <c r="AW398" s="75"/>
      <c r="AX398" s="75"/>
    </row>
    <row r="399" ht="15.75" customHeight="1">
      <c r="A399" s="291" t="s">
        <v>268</v>
      </c>
      <c r="B399" s="292" t="s">
        <v>3553</v>
      </c>
      <c r="C399" s="27" t="s">
        <v>3785</v>
      </c>
      <c r="D399" s="27" t="s">
        <v>3786</v>
      </c>
      <c r="E399" s="27" t="s">
        <v>3787</v>
      </c>
      <c r="F399" s="45"/>
      <c r="G399" s="45"/>
      <c r="H399" s="45"/>
      <c r="I399" s="306"/>
      <c r="J399" s="306"/>
      <c r="K399" s="307" t="s">
        <v>1760</v>
      </c>
      <c r="L399" s="308"/>
      <c r="M399" s="306"/>
      <c r="N399" s="306"/>
      <c r="O399" s="306"/>
      <c r="P399" s="306"/>
      <c r="Q399" s="309" t="s">
        <v>150</v>
      </c>
      <c r="R399" s="306"/>
      <c r="S399" s="306"/>
      <c r="T399" s="306"/>
      <c r="U399" s="306"/>
      <c r="V399" s="306"/>
      <c r="W399" s="306"/>
      <c r="X399" s="306"/>
      <c r="Y399" s="306"/>
      <c r="Z399" s="306"/>
      <c r="AA399" s="306"/>
      <c r="AB399" s="306"/>
      <c r="AC399" s="306"/>
      <c r="AD399" s="75"/>
      <c r="AE399" s="75"/>
      <c r="AF399" s="75"/>
      <c r="AG399" s="75"/>
      <c r="AH399" s="75"/>
      <c r="AI399" s="75"/>
      <c r="AJ399" s="75"/>
      <c r="AK399" s="75"/>
      <c r="AL399" s="75"/>
      <c r="AM399" s="75"/>
      <c r="AN399" s="75"/>
      <c r="AO399" s="75"/>
      <c r="AP399" s="75"/>
      <c r="AQ399" s="75"/>
      <c r="AR399" s="75"/>
      <c r="AS399" s="75"/>
      <c r="AT399" s="75"/>
      <c r="AU399" s="75"/>
      <c r="AV399" s="75"/>
      <c r="AW399" s="75"/>
      <c r="AX399" s="75"/>
    </row>
    <row r="400" ht="15.75" customHeight="1">
      <c r="A400" s="280" t="s">
        <v>2509</v>
      </c>
      <c r="B400" s="281" t="s">
        <v>3561</v>
      </c>
      <c r="C400" s="27" t="s">
        <v>3789</v>
      </c>
      <c r="D400" s="27" t="s">
        <v>3790</v>
      </c>
      <c r="E400" s="27" t="s">
        <v>3791</v>
      </c>
      <c r="F400" s="45"/>
      <c r="G400" s="45"/>
      <c r="H400" s="45"/>
      <c r="I400" s="286"/>
      <c r="J400" s="287"/>
      <c r="K400" s="286"/>
      <c r="L400" s="286"/>
      <c r="M400" s="286"/>
      <c r="N400" s="286"/>
      <c r="O400" s="286"/>
      <c r="P400" s="286"/>
      <c r="Q400" s="290" t="s">
        <v>150</v>
      </c>
      <c r="R400" s="286"/>
      <c r="S400" s="286"/>
      <c r="T400" s="286"/>
      <c r="U400" s="286"/>
      <c r="V400" s="286"/>
      <c r="W400" s="286"/>
      <c r="X400" s="286"/>
      <c r="Y400" s="286"/>
      <c r="Z400" s="286"/>
      <c r="AA400" s="286"/>
      <c r="AB400" s="286"/>
      <c r="AC400" s="286"/>
      <c r="AD400" s="75"/>
      <c r="AE400" s="75"/>
      <c r="AF400" s="75"/>
      <c r="AG400" s="75"/>
      <c r="AH400" s="75"/>
      <c r="AI400" s="75"/>
      <c r="AJ400" s="75"/>
      <c r="AK400" s="75"/>
      <c r="AL400" s="75"/>
      <c r="AM400" s="75"/>
      <c r="AN400" s="75"/>
      <c r="AO400" s="75"/>
      <c r="AP400" s="75"/>
      <c r="AQ400" s="75"/>
      <c r="AR400" s="75"/>
      <c r="AS400" s="75"/>
      <c r="AT400" s="75"/>
      <c r="AU400" s="75"/>
      <c r="AV400" s="75"/>
      <c r="AW400" s="75"/>
      <c r="AX400" s="75"/>
    </row>
    <row r="401" ht="15.75" customHeight="1">
      <c r="A401" s="285" t="s">
        <v>468</v>
      </c>
      <c r="B401" s="185" t="s">
        <v>3531</v>
      </c>
      <c r="C401" s="186" t="s">
        <v>3532</v>
      </c>
      <c r="D401" s="186" t="s">
        <v>3534</v>
      </c>
      <c r="E401" s="186" t="s">
        <v>3538</v>
      </c>
      <c r="F401" s="304"/>
      <c r="G401" s="304"/>
      <c r="H401" s="304"/>
      <c r="I401" s="304"/>
      <c r="J401" s="304"/>
      <c r="K401" s="304"/>
      <c r="L401" s="304"/>
      <c r="M401" s="304"/>
      <c r="N401" s="304"/>
      <c r="O401" s="304"/>
      <c r="P401" s="304"/>
      <c r="Q401" s="304"/>
      <c r="R401" s="304"/>
      <c r="S401" s="304"/>
      <c r="T401" s="304"/>
      <c r="U401" s="304"/>
      <c r="V401" s="304"/>
      <c r="W401" s="304"/>
      <c r="X401" s="304"/>
      <c r="Y401" s="304"/>
      <c r="Z401" s="304"/>
      <c r="AA401" s="304"/>
      <c r="AB401" s="304"/>
      <c r="AC401" s="304"/>
      <c r="AD401" s="75"/>
      <c r="AE401" s="75"/>
      <c r="AF401" s="75"/>
      <c r="AG401" s="75"/>
      <c r="AH401" s="75"/>
      <c r="AI401" s="75"/>
      <c r="AJ401" s="75"/>
      <c r="AK401" s="75"/>
      <c r="AL401" s="75"/>
      <c r="AM401" s="75"/>
      <c r="AN401" s="75"/>
      <c r="AO401" s="75"/>
      <c r="AP401" s="75"/>
      <c r="AQ401" s="75"/>
      <c r="AR401" s="75"/>
      <c r="AS401" s="75"/>
      <c r="AT401" s="75"/>
      <c r="AU401" s="75"/>
      <c r="AV401" s="75"/>
      <c r="AW401" s="75"/>
      <c r="AX401" s="75"/>
    </row>
    <row r="402" ht="15.75" customHeight="1">
      <c r="A402" s="168" t="s">
        <v>127</v>
      </c>
      <c r="B402" s="71" t="s">
        <v>3572</v>
      </c>
      <c r="C402" s="72"/>
      <c r="D402" s="72"/>
      <c r="E402" s="72"/>
      <c r="F402" s="73"/>
      <c r="G402" s="73"/>
      <c r="H402" s="73"/>
      <c r="I402" s="73"/>
      <c r="J402" s="73"/>
      <c r="K402" s="73"/>
      <c r="L402" s="73"/>
      <c r="M402" s="73"/>
      <c r="N402" s="73"/>
      <c r="O402" s="73"/>
      <c r="P402" s="73"/>
      <c r="Q402" s="73"/>
      <c r="R402" s="73"/>
      <c r="S402" s="73"/>
      <c r="T402" s="74" t="s">
        <v>129</v>
      </c>
      <c r="U402" s="73"/>
      <c r="V402" s="73"/>
      <c r="W402" s="73"/>
      <c r="X402" s="73"/>
      <c r="Y402" s="73"/>
      <c r="Z402" s="73"/>
      <c r="AA402" s="73"/>
      <c r="AB402" s="73"/>
      <c r="AC402" s="73"/>
      <c r="AD402" s="75"/>
      <c r="AE402" s="75"/>
      <c r="AF402" s="75"/>
      <c r="AG402" s="75"/>
      <c r="AH402" s="75"/>
      <c r="AI402" s="75"/>
      <c r="AJ402" s="75"/>
      <c r="AK402" s="75"/>
      <c r="AL402" s="75"/>
      <c r="AM402" s="75"/>
      <c r="AN402" s="75"/>
      <c r="AO402" s="75"/>
      <c r="AP402" s="75"/>
      <c r="AQ402" s="75"/>
      <c r="AR402" s="75"/>
      <c r="AS402" s="75"/>
      <c r="AT402" s="75"/>
      <c r="AU402" s="75"/>
      <c r="AV402" s="75"/>
      <c r="AW402" s="75"/>
      <c r="AX402" s="75"/>
    </row>
    <row r="403" ht="15.75" customHeight="1">
      <c r="A403" s="168" t="s">
        <v>68</v>
      </c>
      <c r="B403" s="71" t="s">
        <v>3582</v>
      </c>
      <c r="C403" s="72"/>
      <c r="D403" s="72"/>
      <c r="E403" s="72"/>
      <c r="F403" s="73"/>
      <c r="G403" s="73"/>
      <c r="H403" s="73"/>
      <c r="I403" s="73"/>
      <c r="J403" s="73"/>
      <c r="K403" s="73"/>
      <c r="L403" s="73"/>
      <c r="M403" s="73"/>
      <c r="N403" s="73"/>
      <c r="O403" s="73"/>
      <c r="P403" s="73"/>
      <c r="Q403" s="73"/>
      <c r="R403" s="73"/>
      <c r="S403" s="73"/>
      <c r="T403" s="74" t="s">
        <v>3804</v>
      </c>
      <c r="U403" s="73"/>
      <c r="V403" s="73"/>
      <c r="W403" s="73"/>
      <c r="X403" s="73"/>
      <c r="Y403" s="73"/>
      <c r="Z403" s="73"/>
      <c r="AA403" s="73"/>
      <c r="AB403" s="73"/>
      <c r="AC403" s="73"/>
      <c r="AD403" s="75"/>
      <c r="AE403" s="75"/>
      <c r="AF403" s="75"/>
      <c r="AG403" s="75"/>
      <c r="AH403" s="75"/>
      <c r="AI403" s="75"/>
      <c r="AJ403" s="75"/>
      <c r="AK403" s="75"/>
      <c r="AL403" s="75"/>
      <c r="AM403" s="75"/>
      <c r="AN403" s="75"/>
      <c r="AO403" s="75"/>
      <c r="AP403" s="75"/>
      <c r="AQ403" s="75"/>
      <c r="AR403" s="75"/>
      <c r="AS403" s="75"/>
      <c r="AT403" s="75"/>
      <c r="AU403" s="75"/>
      <c r="AV403" s="75"/>
      <c r="AW403" s="75"/>
      <c r="AX403" s="75"/>
    </row>
    <row r="404" ht="15.75" customHeight="1">
      <c r="A404" s="223"/>
      <c r="B404" s="295"/>
      <c r="C404" s="72"/>
      <c r="D404" s="72"/>
      <c r="E404" s="72"/>
      <c r="F404" s="73"/>
      <c r="G404" s="73"/>
      <c r="H404" s="73"/>
      <c r="I404" s="73"/>
      <c r="J404" s="73"/>
      <c r="K404" s="73"/>
      <c r="L404" s="73"/>
      <c r="M404" s="73"/>
      <c r="N404" s="73"/>
      <c r="O404" s="73"/>
      <c r="P404" s="73"/>
      <c r="Q404" s="73"/>
      <c r="R404" s="73"/>
      <c r="S404" s="73"/>
      <c r="T404" s="311"/>
      <c r="U404" s="73"/>
      <c r="V404" s="73"/>
      <c r="W404" s="73"/>
      <c r="X404" s="73"/>
      <c r="Y404" s="73"/>
      <c r="Z404" s="73"/>
      <c r="AA404" s="73"/>
      <c r="AB404" s="73"/>
      <c r="AC404" s="73"/>
      <c r="AD404" s="75"/>
      <c r="AE404" s="75"/>
      <c r="AF404" s="75"/>
      <c r="AG404" s="75"/>
      <c r="AH404" s="75"/>
      <c r="AI404" s="75"/>
      <c r="AJ404" s="75"/>
      <c r="AK404" s="75"/>
      <c r="AL404" s="75"/>
      <c r="AM404" s="75"/>
      <c r="AN404" s="75"/>
      <c r="AO404" s="75"/>
      <c r="AP404" s="75"/>
      <c r="AQ404" s="75"/>
      <c r="AR404" s="75"/>
      <c r="AS404" s="75"/>
      <c r="AT404" s="75"/>
      <c r="AU404" s="75"/>
      <c r="AV404" s="75"/>
      <c r="AW404" s="75"/>
      <c r="AX404" s="75"/>
    </row>
    <row r="405" ht="15.75" customHeight="1">
      <c r="A405" s="168" t="s">
        <v>127</v>
      </c>
      <c r="B405" s="71" t="s">
        <v>3603</v>
      </c>
      <c r="C405" s="72"/>
      <c r="D405" s="72"/>
      <c r="E405" s="72"/>
      <c r="F405" s="73"/>
      <c r="G405" s="73"/>
      <c r="H405" s="73"/>
      <c r="I405" s="73"/>
      <c r="J405" s="73"/>
      <c r="K405" s="73"/>
      <c r="L405" s="73"/>
      <c r="M405" s="73"/>
      <c r="N405" s="73"/>
      <c r="O405" s="73"/>
      <c r="P405" s="73"/>
      <c r="Q405" s="73"/>
      <c r="R405" s="73"/>
      <c r="S405" s="73"/>
      <c r="T405" s="74" t="s">
        <v>129</v>
      </c>
      <c r="U405" s="73"/>
      <c r="V405" s="73"/>
      <c r="W405" s="73"/>
      <c r="X405" s="73"/>
      <c r="Y405" s="73"/>
      <c r="Z405" s="73"/>
      <c r="AA405" s="73"/>
      <c r="AB405" s="73"/>
      <c r="AC405" s="73"/>
      <c r="AD405" s="75"/>
      <c r="AE405" s="75"/>
      <c r="AF405" s="75"/>
      <c r="AG405" s="75"/>
      <c r="AH405" s="75"/>
      <c r="AI405" s="75"/>
      <c r="AJ405" s="75"/>
      <c r="AK405" s="75"/>
      <c r="AL405" s="75"/>
      <c r="AM405" s="75"/>
      <c r="AN405" s="75"/>
      <c r="AO405" s="75"/>
      <c r="AP405" s="75"/>
      <c r="AQ405" s="75"/>
      <c r="AR405" s="75"/>
      <c r="AS405" s="75"/>
      <c r="AT405" s="75"/>
      <c r="AU405" s="75"/>
      <c r="AV405" s="75"/>
      <c r="AW405" s="75"/>
      <c r="AX405" s="75"/>
    </row>
    <row r="406" ht="15.75" customHeight="1">
      <c r="A406" s="298" t="s">
        <v>133</v>
      </c>
      <c r="B406" s="299" t="s">
        <v>3612</v>
      </c>
      <c r="C406" s="147"/>
      <c r="D406" s="147"/>
      <c r="E406" s="147"/>
      <c r="F406" s="312"/>
      <c r="G406" s="312"/>
      <c r="H406" s="312"/>
      <c r="I406" s="312"/>
      <c r="J406" s="313"/>
      <c r="K406" s="312"/>
      <c r="L406" s="312"/>
      <c r="M406" s="313"/>
      <c r="N406" s="313"/>
      <c r="O406" s="314" t="s">
        <v>3825</v>
      </c>
      <c r="P406" s="312"/>
      <c r="Q406" s="312"/>
      <c r="R406" s="312"/>
      <c r="S406" s="312"/>
      <c r="T406" s="312"/>
      <c r="U406" s="312"/>
      <c r="V406" s="312"/>
      <c r="W406" s="312"/>
      <c r="X406" s="312"/>
      <c r="Y406" s="312"/>
      <c r="Z406" s="312"/>
      <c r="AA406" s="312"/>
      <c r="AB406" s="312"/>
      <c r="AC406" s="312"/>
      <c r="AD406" s="284"/>
      <c r="AE406" s="284"/>
      <c r="AF406" s="284"/>
      <c r="AG406" s="284"/>
      <c r="AH406" s="284"/>
      <c r="AI406" s="284"/>
      <c r="AJ406" s="284"/>
      <c r="AK406" s="284"/>
      <c r="AL406" s="284"/>
      <c r="AM406" s="284"/>
      <c r="AN406" s="284"/>
      <c r="AO406" s="75"/>
      <c r="AP406" s="75"/>
      <c r="AQ406" s="75"/>
      <c r="AR406" s="75"/>
      <c r="AS406" s="75"/>
      <c r="AT406" s="75"/>
      <c r="AU406" s="75"/>
      <c r="AV406" s="75"/>
      <c r="AW406" s="75"/>
      <c r="AX406" s="75"/>
    </row>
    <row r="407" ht="15.75" customHeight="1">
      <c r="A407" s="278" t="s">
        <v>38</v>
      </c>
      <c r="B407" s="279" t="s">
        <v>3631</v>
      </c>
      <c r="C407" s="27" t="s">
        <v>3831</v>
      </c>
      <c r="D407" s="27" t="s">
        <v>3832</v>
      </c>
      <c r="E407" s="27" t="s">
        <v>3834</v>
      </c>
      <c r="F407" s="45"/>
      <c r="G407" s="45"/>
      <c r="H407" s="45"/>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75"/>
      <c r="AP407" s="75"/>
      <c r="AQ407" s="75"/>
      <c r="AR407" s="75"/>
      <c r="AS407" s="75"/>
      <c r="AT407" s="75"/>
      <c r="AU407" s="75"/>
      <c r="AV407" s="75"/>
      <c r="AW407" s="75"/>
      <c r="AX407" s="75"/>
    </row>
    <row r="408" ht="15.75" customHeight="1">
      <c r="A408" s="280" t="s">
        <v>1843</v>
      </c>
      <c r="B408" s="281" t="s">
        <v>3635</v>
      </c>
      <c r="C408" s="27" t="s">
        <v>3836</v>
      </c>
      <c r="D408" s="27" t="s">
        <v>3837</v>
      </c>
      <c r="E408" s="27" t="s">
        <v>3838</v>
      </c>
      <c r="F408" s="45"/>
      <c r="G408" s="45"/>
      <c r="H408" s="45"/>
      <c r="I408" s="286"/>
      <c r="J408" s="287"/>
      <c r="K408" s="286"/>
      <c r="L408" s="286"/>
      <c r="M408" s="286"/>
      <c r="N408" s="286"/>
      <c r="O408" s="286"/>
      <c r="P408" s="286"/>
      <c r="Q408" s="290" t="s">
        <v>150</v>
      </c>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75"/>
      <c r="AP408" s="75"/>
      <c r="AQ408" s="75"/>
      <c r="AR408" s="75"/>
      <c r="AS408" s="75"/>
      <c r="AT408" s="75"/>
      <c r="AU408" s="75"/>
      <c r="AV408" s="75"/>
      <c r="AW408" s="75"/>
      <c r="AX408" s="75"/>
    </row>
    <row r="409" ht="15.75" customHeight="1">
      <c r="A409" s="280" t="s">
        <v>1306</v>
      </c>
      <c r="B409" s="281" t="s">
        <v>3638</v>
      </c>
      <c r="C409" s="27" t="s">
        <v>3846</v>
      </c>
      <c r="D409" s="27" t="s">
        <v>3847</v>
      </c>
      <c r="E409" s="27" t="s">
        <v>3849</v>
      </c>
      <c r="F409" s="45"/>
      <c r="G409" s="45"/>
      <c r="H409" s="45"/>
      <c r="I409" s="286"/>
      <c r="J409" s="287"/>
      <c r="K409" s="286"/>
      <c r="L409" s="286"/>
      <c r="M409" s="286"/>
      <c r="N409" s="286"/>
      <c r="O409" s="286"/>
      <c r="P409" s="286"/>
      <c r="Q409" s="290" t="s">
        <v>150</v>
      </c>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75"/>
      <c r="AP409" s="75"/>
      <c r="AQ409" s="75"/>
      <c r="AR409" s="75"/>
      <c r="AS409" s="75"/>
      <c r="AT409" s="75"/>
      <c r="AU409" s="75"/>
      <c r="AV409" s="75"/>
      <c r="AW409" s="75"/>
      <c r="AX409" s="75"/>
    </row>
    <row r="410" ht="15.75" customHeight="1">
      <c r="A410" s="280" t="s">
        <v>3649</v>
      </c>
      <c r="B410" s="281" t="s">
        <v>3650</v>
      </c>
      <c r="C410" s="27" t="s">
        <v>3863</v>
      </c>
      <c r="D410" s="27" t="s">
        <v>3864</v>
      </c>
      <c r="E410" s="27" t="s">
        <v>3865</v>
      </c>
      <c r="F410" s="45"/>
      <c r="G410" s="45"/>
      <c r="H410" s="45"/>
      <c r="I410" s="286"/>
      <c r="J410" s="287"/>
      <c r="K410" s="286"/>
      <c r="L410" s="286"/>
      <c r="M410" s="286"/>
      <c r="N410" s="286"/>
      <c r="O410" s="290" t="s">
        <v>3869</v>
      </c>
      <c r="P410" s="286"/>
      <c r="Q410" s="290" t="s">
        <v>150</v>
      </c>
      <c r="R410" s="286"/>
      <c r="S410" s="286"/>
      <c r="T410" s="286"/>
      <c r="U410" s="286"/>
      <c r="V410" s="286"/>
      <c r="W410" s="286"/>
      <c r="X410" s="286"/>
      <c r="Y410" s="286"/>
      <c r="Z410" s="286"/>
      <c r="AA410" s="286"/>
      <c r="AB410" s="286"/>
      <c r="AC410" s="286"/>
      <c r="AD410" s="284"/>
      <c r="AE410" s="284"/>
      <c r="AF410" s="284"/>
      <c r="AG410" s="284"/>
      <c r="AH410" s="284"/>
      <c r="AI410" s="284"/>
      <c r="AJ410" s="284"/>
      <c r="AK410" s="284"/>
      <c r="AL410" s="284"/>
      <c r="AM410" s="284"/>
      <c r="AN410" s="284"/>
      <c r="AO410" s="75"/>
      <c r="AP410" s="75"/>
      <c r="AQ410" s="75"/>
      <c r="AR410" s="75"/>
      <c r="AS410" s="75"/>
      <c r="AT410" s="75"/>
      <c r="AU410" s="75"/>
      <c r="AV410" s="75"/>
      <c r="AW410" s="75"/>
      <c r="AX410" s="75"/>
    </row>
    <row r="411" ht="15.75" customHeight="1">
      <c r="A411" s="282" t="s">
        <v>252</v>
      </c>
      <c r="B411" s="283" t="s">
        <v>3655</v>
      </c>
      <c r="C411" s="27" t="s">
        <v>3871</v>
      </c>
      <c r="D411" s="27" t="s">
        <v>3872</v>
      </c>
      <c r="E411" s="27" t="s">
        <v>3873</v>
      </c>
      <c r="F411" s="45"/>
      <c r="G411" s="45"/>
      <c r="H411" s="45"/>
      <c r="I411" s="293"/>
      <c r="J411" s="294"/>
      <c r="K411" s="293"/>
      <c r="L411" s="293"/>
      <c r="M411" s="293"/>
      <c r="N411" s="293"/>
      <c r="O411" s="296" t="s">
        <v>3874</v>
      </c>
      <c r="P411" s="293"/>
      <c r="Q411" s="296" t="s">
        <v>150</v>
      </c>
      <c r="R411" s="293"/>
      <c r="S411" s="293"/>
      <c r="T411" s="293"/>
      <c r="U411" s="293"/>
      <c r="V411" s="293"/>
      <c r="W411" s="293"/>
      <c r="X411" s="293"/>
      <c r="Y411" s="293"/>
      <c r="Z411" s="293"/>
      <c r="AA411" s="293"/>
      <c r="AB411" s="293"/>
      <c r="AC411" s="293"/>
      <c r="AD411" s="284"/>
      <c r="AE411" s="284"/>
      <c r="AF411" s="284"/>
      <c r="AG411" s="284"/>
      <c r="AH411" s="284"/>
      <c r="AI411" s="284"/>
      <c r="AJ411" s="284"/>
      <c r="AK411" s="284"/>
      <c r="AL411" s="284"/>
      <c r="AM411" s="284"/>
      <c r="AN411" s="284"/>
      <c r="AO411" s="75"/>
      <c r="AP411" s="75"/>
      <c r="AQ411" s="75"/>
      <c r="AR411" s="75"/>
      <c r="AS411" s="75"/>
      <c r="AT411" s="75"/>
      <c r="AU411" s="75"/>
      <c r="AV411" s="75"/>
      <c r="AW411" s="75"/>
      <c r="AX411" s="75"/>
    </row>
    <row r="412" ht="15.75" customHeight="1">
      <c r="A412" s="280" t="s">
        <v>1306</v>
      </c>
      <c r="B412" s="281" t="s">
        <v>3660</v>
      </c>
      <c r="C412" s="27" t="s">
        <v>3879</v>
      </c>
      <c r="D412" s="27" t="s">
        <v>3881</v>
      </c>
      <c r="E412" s="27" t="s">
        <v>3882</v>
      </c>
      <c r="F412" s="45"/>
      <c r="G412" s="45"/>
      <c r="H412" s="45"/>
      <c r="I412" s="286"/>
      <c r="J412" s="287"/>
      <c r="K412" s="286"/>
      <c r="L412" s="286"/>
      <c r="M412" s="286"/>
      <c r="N412" s="286"/>
      <c r="O412" s="286"/>
      <c r="P412" s="286"/>
      <c r="Q412" s="290" t="s">
        <v>150</v>
      </c>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75"/>
      <c r="AP412" s="75"/>
      <c r="AQ412" s="75"/>
      <c r="AR412" s="75"/>
      <c r="AS412" s="75"/>
      <c r="AT412" s="75"/>
      <c r="AU412" s="75"/>
      <c r="AV412" s="75"/>
      <c r="AW412" s="75"/>
      <c r="AX412" s="75"/>
    </row>
    <row r="413" ht="15.75" customHeight="1">
      <c r="A413" s="280" t="s">
        <v>3649</v>
      </c>
      <c r="B413" s="281" t="s">
        <v>3671</v>
      </c>
      <c r="C413" s="27" t="s">
        <v>3888</v>
      </c>
      <c r="D413" s="27" t="s">
        <v>3890</v>
      </c>
      <c r="E413" s="27" t="s">
        <v>3891</v>
      </c>
      <c r="F413" s="45" t="s">
        <v>1920</v>
      </c>
      <c r="G413" s="45" t="s">
        <v>1921</v>
      </c>
      <c r="H413" s="45" t="s">
        <v>1922</v>
      </c>
      <c r="I413" s="286"/>
      <c r="J413" s="287"/>
      <c r="K413" s="286"/>
      <c r="L413" s="286"/>
      <c r="M413" s="286"/>
      <c r="N413" s="286"/>
      <c r="O413" s="290" t="s">
        <v>3892</v>
      </c>
      <c r="P413" s="286"/>
      <c r="Q413" s="290" t="s">
        <v>150</v>
      </c>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75"/>
      <c r="AP413" s="75"/>
      <c r="AQ413" s="75"/>
      <c r="AR413" s="75"/>
      <c r="AS413" s="75"/>
      <c r="AT413" s="75"/>
      <c r="AU413" s="75"/>
      <c r="AV413" s="75"/>
      <c r="AW413" s="75"/>
      <c r="AX413" s="75"/>
    </row>
    <row r="414" ht="15.75" customHeight="1">
      <c r="A414" s="282" t="s">
        <v>252</v>
      </c>
      <c r="B414" s="283" t="s">
        <v>3680</v>
      </c>
      <c r="C414" s="27" t="s">
        <v>3900</v>
      </c>
      <c r="D414" s="27" t="s">
        <v>3901</v>
      </c>
      <c r="E414" s="27" t="s">
        <v>3902</v>
      </c>
      <c r="F414" s="45"/>
      <c r="G414" s="45"/>
      <c r="H414" s="45"/>
      <c r="I414" s="293"/>
      <c r="J414" s="294"/>
      <c r="K414" s="293"/>
      <c r="L414" s="293"/>
      <c r="M414" s="293"/>
      <c r="N414" s="293"/>
      <c r="O414" s="296" t="s">
        <v>3903</v>
      </c>
      <c r="P414" s="293"/>
      <c r="Q414" s="296" t="s">
        <v>150</v>
      </c>
      <c r="R414" s="293"/>
      <c r="S414" s="293"/>
      <c r="T414" s="293"/>
      <c r="U414" s="293"/>
      <c r="V414" s="293"/>
      <c r="W414" s="293"/>
      <c r="X414" s="293"/>
      <c r="Y414" s="293"/>
      <c r="Z414" s="293"/>
      <c r="AA414" s="293"/>
      <c r="AB414" s="293"/>
      <c r="AC414" s="293"/>
      <c r="AD414" s="293"/>
      <c r="AE414" s="293"/>
      <c r="AF414" s="293"/>
      <c r="AG414" s="293"/>
      <c r="AH414" s="293"/>
      <c r="AI414" s="293"/>
      <c r="AJ414" s="293"/>
      <c r="AK414" s="293"/>
      <c r="AL414" s="293"/>
      <c r="AM414" s="293"/>
      <c r="AN414" s="293"/>
      <c r="AO414" s="75"/>
      <c r="AP414" s="75"/>
      <c r="AQ414" s="75"/>
      <c r="AR414" s="75"/>
      <c r="AS414" s="75"/>
      <c r="AT414" s="75"/>
      <c r="AU414" s="75"/>
      <c r="AV414" s="75"/>
      <c r="AW414" s="75"/>
      <c r="AX414" s="75"/>
    </row>
    <row r="415" ht="15.75" customHeight="1">
      <c r="A415" s="280" t="s">
        <v>1306</v>
      </c>
      <c r="B415" s="281" t="s">
        <v>3704</v>
      </c>
      <c r="C415" s="27" t="s">
        <v>3913</v>
      </c>
      <c r="D415" s="27" t="s">
        <v>3914</v>
      </c>
      <c r="E415" s="27" t="s">
        <v>3915</v>
      </c>
      <c r="F415" s="45"/>
      <c r="G415" s="45"/>
      <c r="H415" s="45"/>
      <c r="I415" s="286"/>
      <c r="J415" s="287"/>
      <c r="K415" s="286"/>
      <c r="L415" s="286"/>
      <c r="M415" s="286"/>
      <c r="N415" s="286"/>
      <c r="O415" s="290" t="s">
        <v>3892</v>
      </c>
      <c r="P415" s="286"/>
      <c r="Q415" s="290" t="s">
        <v>150</v>
      </c>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75"/>
      <c r="AP415" s="75"/>
      <c r="AQ415" s="75"/>
      <c r="AR415" s="75"/>
      <c r="AS415" s="75"/>
      <c r="AT415" s="75"/>
      <c r="AU415" s="75"/>
      <c r="AV415" s="75"/>
      <c r="AW415" s="75"/>
      <c r="AX415" s="75"/>
    </row>
    <row r="416" ht="15.75" customHeight="1">
      <c r="A416" s="278" t="s">
        <v>38</v>
      </c>
      <c r="B416" s="279" t="s">
        <v>3708</v>
      </c>
      <c r="C416" s="27" t="s">
        <v>3926</v>
      </c>
      <c r="D416" s="27" t="s">
        <v>3928</v>
      </c>
      <c r="E416" s="27" t="s">
        <v>3930</v>
      </c>
      <c r="F416" s="45"/>
      <c r="G416" s="45"/>
      <c r="H416" s="45"/>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75"/>
      <c r="AP416" s="75"/>
      <c r="AQ416" s="75"/>
      <c r="AR416" s="75"/>
      <c r="AS416" s="75"/>
      <c r="AT416" s="75"/>
      <c r="AU416" s="75"/>
      <c r="AV416" s="75"/>
      <c r="AW416" s="75"/>
      <c r="AX416" s="75"/>
    </row>
    <row r="417" ht="15.75" customHeight="1">
      <c r="A417" s="291" t="s">
        <v>268</v>
      </c>
      <c r="B417" s="292" t="s">
        <v>3712</v>
      </c>
      <c r="C417" s="27" t="s">
        <v>3938</v>
      </c>
      <c r="D417" s="27" t="s">
        <v>3940</v>
      </c>
      <c r="E417" s="27" t="s">
        <v>3941</v>
      </c>
      <c r="F417" s="45"/>
      <c r="G417" s="45"/>
      <c r="H417" s="45"/>
      <c r="I417" s="306"/>
      <c r="J417" s="306"/>
      <c r="K417" s="307" t="s">
        <v>1975</v>
      </c>
      <c r="L417" s="308"/>
      <c r="M417" s="306"/>
      <c r="N417" s="306"/>
      <c r="O417" s="306"/>
      <c r="P417" s="306"/>
      <c r="Q417" s="309" t="s">
        <v>150</v>
      </c>
      <c r="R417" s="306"/>
      <c r="S417" s="306"/>
      <c r="T417" s="306"/>
      <c r="U417" s="306"/>
      <c r="V417" s="306"/>
      <c r="W417" s="306"/>
      <c r="X417" s="306"/>
      <c r="Y417" s="306"/>
      <c r="Z417" s="306"/>
      <c r="AA417" s="306"/>
      <c r="AB417" s="306"/>
      <c r="AC417" s="306"/>
      <c r="AD417" s="306"/>
      <c r="AE417" s="306"/>
      <c r="AF417" s="306"/>
      <c r="AG417" s="306"/>
      <c r="AH417" s="306"/>
      <c r="AI417" s="306"/>
      <c r="AJ417" s="306"/>
      <c r="AK417" s="306"/>
      <c r="AL417" s="306"/>
      <c r="AM417" s="306"/>
      <c r="AN417" s="306"/>
      <c r="AO417" s="75"/>
      <c r="AP417" s="75"/>
      <c r="AQ417" s="75"/>
      <c r="AR417" s="75"/>
      <c r="AS417" s="75"/>
      <c r="AT417" s="75"/>
      <c r="AU417" s="75"/>
      <c r="AV417" s="75"/>
      <c r="AW417" s="75"/>
      <c r="AX417" s="75"/>
    </row>
    <row r="418" ht="15.75" customHeight="1">
      <c r="A418" s="302"/>
      <c r="B418" s="300"/>
      <c r="C418" s="147"/>
      <c r="D418" s="226"/>
      <c r="E418" s="226"/>
      <c r="F418" s="312"/>
      <c r="G418" s="312"/>
      <c r="H418" s="312"/>
      <c r="I418" s="313"/>
      <c r="J418" s="313"/>
      <c r="K418" s="312"/>
      <c r="L418" s="313"/>
      <c r="M418" s="313"/>
      <c r="N418" s="313"/>
      <c r="O418" s="313"/>
      <c r="P418" s="312"/>
      <c r="Q418" s="312"/>
      <c r="R418" s="312"/>
      <c r="S418" s="312"/>
      <c r="T418" s="312"/>
      <c r="U418" s="312"/>
      <c r="V418" s="312"/>
      <c r="W418" s="312"/>
      <c r="X418" s="312"/>
      <c r="Y418" s="312"/>
      <c r="Z418" s="312"/>
      <c r="AA418" s="312"/>
      <c r="AB418" s="312"/>
      <c r="AC418" s="312"/>
      <c r="AD418" s="75"/>
      <c r="AE418" s="75"/>
      <c r="AF418" s="75"/>
      <c r="AG418" s="75"/>
      <c r="AH418" s="75"/>
      <c r="AI418" s="75"/>
      <c r="AJ418" s="75"/>
      <c r="AK418" s="75"/>
      <c r="AL418" s="75"/>
      <c r="AM418" s="75"/>
      <c r="AN418" s="75"/>
      <c r="AO418" s="75"/>
      <c r="AP418" s="75"/>
      <c r="AQ418" s="75"/>
      <c r="AR418" s="75"/>
      <c r="AS418" s="75"/>
      <c r="AT418" s="75"/>
      <c r="AU418" s="75"/>
      <c r="AV418" s="75"/>
      <c r="AW418" s="75"/>
      <c r="AX418" s="75"/>
    </row>
    <row r="419" ht="15.75" customHeight="1">
      <c r="A419" s="298" t="s">
        <v>133</v>
      </c>
      <c r="B419" s="299" t="s">
        <v>3724</v>
      </c>
      <c r="C419" s="147"/>
      <c r="D419" s="147"/>
      <c r="E419" s="147"/>
      <c r="F419" s="312"/>
      <c r="G419" s="312"/>
      <c r="H419" s="312"/>
      <c r="I419" s="312"/>
      <c r="J419" s="314" t="s">
        <v>1982</v>
      </c>
      <c r="K419" s="146"/>
      <c r="L419" s="312"/>
      <c r="M419" s="313"/>
      <c r="N419" s="313"/>
      <c r="O419" s="313"/>
      <c r="P419" s="312"/>
      <c r="Q419" s="312"/>
      <c r="R419" s="312"/>
      <c r="S419" s="312"/>
      <c r="T419" s="312"/>
      <c r="U419" s="312"/>
      <c r="V419" s="312"/>
      <c r="W419" s="312"/>
      <c r="X419" s="312"/>
      <c r="Y419" s="312"/>
      <c r="Z419" s="312"/>
      <c r="AA419" s="312"/>
      <c r="AB419" s="312"/>
      <c r="AC419" s="312"/>
      <c r="AD419" s="75"/>
      <c r="AE419" s="75"/>
      <c r="AF419" s="75"/>
      <c r="AG419" s="75"/>
      <c r="AH419" s="75"/>
      <c r="AI419" s="75"/>
      <c r="AJ419" s="75"/>
      <c r="AK419" s="75"/>
      <c r="AL419" s="75"/>
      <c r="AM419" s="75"/>
      <c r="AN419" s="75"/>
      <c r="AO419" s="75"/>
      <c r="AP419" s="75"/>
      <c r="AQ419" s="75"/>
      <c r="AR419" s="75"/>
      <c r="AS419" s="75"/>
      <c r="AT419" s="75"/>
      <c r="AU419" s="75"/>
      <c r="AV419" s="75"/>
      <c r="AW419" s="75"/>
      <c r="AX419" s="75"/>
    </row>
    <row r="420" ht="15.75" customHeight="1">
      <c r="A420" s="280" t="s">
        <v>1988</v>
      </c>
      <c r="B420" s="281" t="s">
        <v>3748</v>
      </c>
      <c r="C420" s="27" t="s">
        <v>3958</v>
      </c>
      <c r="D420" s="27" t="s">
        <v>3959</v>
      </c>
      <c r="E420" s="27" t="s">
        <v>3960</v>
      </c>
      <c r="F420" s="45"/>
      <c r="G420" s="45"/>
      <c r="H420" s="45"/>
      <c r="I420" s="286"/>
      <c r="J420" s="297" t="s">
        <v>8</v>
      </c>
      <c r="K420" s="286"/>
      <c r="L420" s="286"/>
      <c r="M420" s="286"/>
      <c r="N420" s="286"/>
      <c r="O420" s="286"/>
      <c r="P420" s="286"/>
      <c r="Q420" s="286"/>
      <c r="R420" s="286"/>
      <c r="S420" s="286"/>
      <c r="T420" s="286"/>
      <c r="U420" s="286"/>
      <c r="V420" s="286"/>
      <c r="W420" s="286"/>
      <c r="X420" s="286"/>
      <c r="Y420" s="286"/>
      <c r="Z420" s="286"/>
      <c r="AA420" s="286"/>
      <c r="AB420" s="286"/>
      <c r="AC420" s="286"/>
      <c r="AD420" s="75"/>
      <c r="AE420" s="75"/>
      <c r="AF420" s="75"/>
      <c r="AG420" s="75"/>
      <c r="AH420" s="75"/>
      <c r="AI420" s="75"/>
      <c r="AJ420" s="75"/>
      <c r="AK420" s="75"/>
      <c r="AL420" s="75"/>
      <c r="AM420" s="75"/>
      <c r="AN420" s="75"/>
      <c r="AO420" s="75"/>
      <c r="AP420" s="75"/>
      <c r="AQ420" s="75"/>
      <c r="AR420" s="75"/>
      <c r="AS420" s="75"/>
      <c r="AT420" s="75"/>
      <c r="AU420" s="75"/>
      <c r="AV420" s="75"/>
      <c r="AW420" s="75"/>
      <c r="AX420" s="75"/>
    </row>
    <row r="421" ht="15.75" customHeight="1">
      <c r="A421" s="280" t="s">
        <v>1988</v>
      </c>
      <c r="B421" s="281" t="s">
        <v>3758</v>
      </c>
      <c r="C421" s="27" t="s">
        <v>3966</v>
      </c>
      <c r="D421" s="27" t="s">
        <v>3969</v>
      </c>
      <c r="E421" s="27" t="s">
        <v>3970</v>
      </c>
      <c r="F421" s="45"/>
      <c r="G421" s="45"/>
      <c r="H421" s="45"/>
      <c r="I421" s="286"/>
      <c r="J421" s="297" t="s">
        <v>2000</v>
      </c>
      <c r="K421" s="286"/>
      <c r="L421" s="286"/>
      <c r="M421" s="286"/>
      <c r="N421" s="286"/>
      <c r="O421" s="286"/>
      <c r="P421" s="286"/>
      <c r="Q421" s="290" t="s">
        <v>150</v>
      </c>
      <c r="R421" s="286"/>
      <c r="S421" s="286"/>
      <c r="T421" s="286"/>
      <c r="U421" s="286"/>
      <c r="V421" s="286"/>
      <c r="W421" s="286"/>
      <c r="X421" s="286"/>
      <c r="Y421" s="286"/>
      <c r="Z421" s="286"/>
      <c r="AA421" s="286"/>
      <c r="AB421" s="286"/>
      <c r="AC421" s="286"/>
      <c r="AD421" s="75"/>
      <c r="AE421" s="75"/>
      <c r="AF421" s="75"/>
      <c r="AG421" s="75"/>
      <c r="AH421" s="75"/>
      <c r="AI421" s="75"/>
      <c r="AJ421" s="75"/>
      <c r="AK421" s="75"/>
      <c r="AL421" s="75"/>
      <c r="AM421" s="75"/>
      <c r="AN421" s="75"/>
      <c r="AO421" s="75"/>
      <c r="AP421" s="75"/>
      <c r="AQ421" s="75"/>
      <c r="AR421" s="75"/>
      <c r="AS421" s="75"/>
      <c r="AT421" s="75"/>
      <c r="AU421" s="75"/>
      <c r="AV421" s="75"/>
      <c r="AW421" s="75"/>
      <c r="AX421" s="75"/>
    </row>
    <row r="422" ht="15.75" customHeight="1">
      <c r="A422" s="280" t="s">
        <v>1988</v>
      </c>
      <c r="B422" s="281" t="s">
        <v>3762</v>
      </c>
      <c r="C422" s="27" t="s">
        <v>3978</v>
      </c>
      <c r="D422" s="27" t="s">
        <v>3979</v>
      </c>
      <c r="E422" s="27" t="s">
        <v>3981</v>
      </c>
      <c r="F422" s="45"/>
      <c r="G422" s="45"/>
      <c r="H422" s="45"/>
      <c r="I422" s="286"/>
      <c r="J422" s="297" t="s">
        <v>2000</v>
      </c>
      <c r="K422" s="286"/>
      <c r="L422" s="286"/>
      <c r="M422" s="286"/>
      <c r="N422" s="286"/>
      <c r="O422" s="286"/>
      <c r="P422" s="286"/>
      <c r="Q422" s="290" t="s">
        <v>150</v>
      </c>
      <c r="R422" s="286"/>
      <c r="S422" s="286"/>
      <c r="T422" s="286"/>
      <c r="U422" s="286"/>
      <c r="V422" s="286"/>
      <c r="W422" s="286"/>
      <c r="X422" s="286"/>
      <c r="Y422" s="286"/>
      <c r="Z422" s="286"/>
      <c r="AA422" s="286"/>
      <c r="AB422" s="286"/>
      <c r="AC422" s="286"/>
      <c r="AD422" s="75"/>
      <c r="AE422" s="75"/>
      <c r="AF422" s="75"/>
      <c r="AG422" s="75"/>
      <c r="AH422" s="75"/>
      <c r="AI422" s="75"/>
      <c r="AJ422" s="75"/>
      <c r="AK422" s="75"/>
      <c r="AL422" s="75"/>
      <c r="AM422" s="75"/>
      <c r="AN422" s="75"/>
      <c r="AO422" s="75"/>
      <c r="AP422" s="75"/>
      <c r="AQ422" s="75"/>
      <c r="AR422" s="75"/>
      <c r="AS422" s="75"/>
      <c r="AT422" s="75"/>
      <c r="AU422" s="75"/>
      <c r="AV422" s="75"/>
      <c r="AW422" s="75"/>
      <c r="AX422" s="75"/>
    </row>
    <row r="423" ht="15.75" customHeight="1">
      <c r="A423" s="280" t="s">
        <v>1988</v>
      </c>
      <c r="B423" s="281" t="s">
        <v>3767</v>
      </c>
      <c r="C423" s="27" t="s">
        <v>3991</v>
      </c>
      <c r="D423" s="27" t="s">
        <v>3991</v>
      </c>
      <c r="E423" s="27" t="s">
        <v>3992</v>
      </c>
      <c r="F423" s="45"/>
      <c r="G423" s="45"/>
      <c r="H423" s="45"/>
      <c r="I423" s="286"/>
      <c r="J423" s="297" t="s">
        <v>2000</v>
      </c>
      <c r="K423" s="286"/>
      <c r="L423" s="286"/>
      <c r="M423" s="286"/>
      <c r="N423" s="286"/>
      <c r="O423" s="286"/>
      <c r="P423" s="286"/>
      <c r="Q423" s="290" t="s">
        <v>150</v>
      </c>
      <c r="R423" s="286"/>
      <c r="S423" s="286"/>
      <c r="T423" s="286"/>
      <c r="U423" s="286"/>
      <c r="V423" s="286"/>
      <c r="W423" s="286"/>
      <c r="X423" s="286"/>
      <c r="Y423" s="286"/>
      <c r="Z423" s="286"/>
      <c r="AA423" s="286"/>
      <c r="AB423" s="286"/>
      <c r="AC423" s="286"/>
      <c r="AD423" s="75"/>
      <c r="AE423" s="75"/>
      <c r="AF423" s="75"/>
      <c r="AG423" s="75"/>
      <c r="AH423" s="75"/>
      <c r="AI423" s="75"/>
      <c r="AJ423" s="75"/>
      <c r="AK423" s="75"/>
      <c r="AL423" s="75"/>
      <c r="AM423" s="75"/>
      <c r="AN423" s="75"/>
      <c r="AO423" s="75"/>
      <c r="AP423" s="75"/>
      <c r="AQ423" s="75"/>
      <c r="AR423" s="75"/>
      <c r="AS423" s="75"/>
      <c r="AT423" s="75"/>
      <c r="AU423" s="75"/>
      <c r="AV423" s="75"/>
      <c r="AW423" s="75"/>
      <c r="AX423" s="75"/>
    </row>
    <row r="424" ht="15.75" customHeight="1">
      <c r="A424" s="280" t="s">
        <v>1988</v>
      </c>
      <c r="B424" s="281" t="s">
        <v>3776</v>
      </c>
      <c r="C424" s="27" t="s">
        <v>4003</v>
      </c>
      <c r="D424" s="27" t="s">
        <v>4004</v>
      </c>
      <c r="E424" s="27" t="s">
        <v>4006</v>
      </c>
      <c r="F424" s="45"/>
      <c r="G424" s="45"/>
      <c r="H424" s="45"/>
      <c r="I424" s="286"/>
      <c r="J424" s="297" t="s">
        <v>2000</v>
      </c>
      <c r="K424" s="286"/>
      <c r="L424" s="286"/>
      <c r="M424" s="286"/>
      <c r="N424" s="286"/>
      <c r="O424" s="286"/>
      <c r="P424" s="286"/>
      <c r="Q424" s="290" t="s">
        <v>150</v>
      </c>
      <c r="R424" s="286"/>
      <c r="S424" s="286"/>
      <c r="T424" s="286"/>
      <c r="U424" s="286"/>
      <c r="V424" s="286"/>
      <c r="W424" s="286"/>
      <c r="X424" s="286"/>
      <c r="Y424" s="286"/>
      <c r="Z424" s="286"/>
      <c r="AA424" s="286"/>
      <c r="AB424" s="286"/>
      <c r="AC424" s="286"/>
      <c r="AD424" s="75"/>
      <c r="AE424" s="75"/>
      <c r="AF424" s="75"/>
      <c r="AG424" s="75"/>
      <c r="AH424" s="75"/>
      <c r="AI424" s="75"/>
      <c r="AJ424" s="75"/>
      <c r="AK424" s="75"/>
      <c r="AL424" s="75"/>
      <c r="AM424" s="75"/>
      <c r="AN424" s="75"/>
      <c r="AO424" s="75"/>
      <c r="AP424" s="75"/>
      <c r="AQ424" s="75"/>
      <c r="AR424" s="75"/>
      <c r="AS424" s="75"/>
      <c r="AT424" s="75"/>
      <c r="AU424" s="75"/>
      <c r="AV424" s="75"/>
      <c r="AW424" s="75"/>
      <c r="AX424" s="75"/>
    </row>
    <row r="425" ht="15.75" customHeight="1">
      <c r="A425" s="280" t="s">
        <v>1988</v>
      </c>
      <c r="B425" s="281" t="s">
        <v>3781</v>
      </c>
      <c r="C425" s="27" t="s">
        <v>4011</v>
      </c>
      <c r="D425" s="27" t="s">
        <v>4012</v>
      </c>
      <c r="E425" s="27" t="s">
        <v>4013</v>
      </c>
      <c r="F425" s="45"/>
      <c r="G425" s="45"/>
      <c r="H425" s="45"/>
      <c r="I425" s="286"/>
      <c r="J425" s="297" t="s">
        <v>2000</v>
      </c>
      <c r="K425" s="286"/>
      <c r="L425" s="286"/>
      <c r="M425" s="286"/>
      <c r="N425" s="286"/>
      <c r="O425" s="286"/>
      <c r="P425" s="286"/>
      <c r="Q425" s="290" t="s">
        <v>150</v>
      </c>
      <c r="R425" s="286"/>
      <c r="S425" s="286"/>
      <c r="T425" s="286"/>
      <c r="U425" s="286"/>
      <c r="V425" s="286"/>
      <c r="W425" s="286"/>
      <c r="X425" s="286"/>
      <c r="Y425" s="286"/>
      <c r="Z425" s="286"/>
      <c r="AA425" s="286"/>
      <c r="AB425" s="286"/>
      <c r="AC425" s="286"/>
      <c r="AD425" s="75"/>
      <c r="AE425" s="75"/>
      <c r="AF425" s="75"/>
      <c r="AG425" s="75"/>
      <c r="AH425" s="75"/>
      <c r="AI425" s="75"/>
      <c r="AJ425" s="75"/>
      <c r="AK425" s="75"/>
      <c r="AL425" s="75"/>
      <c r="AM425" s="75"/>
      <c r="AN425" s="75"/>
      <c r="AO425" s="75"/>
      <c r="AP425" s="75"/>
      <c r="AQ425" s="75"/>
      <c r="AR425" s="75"/>
      <c r="AS425" s="75"/>
      <c r="AT425" s="75"/>
      <c r="AU425" s="75"/>
      <c r="AV425" s="75"/>
      <c r="AW425" s="75"/>
      <c r="AX425" s="75"/>
    </row>
    <row r="426" ht="15.75" customHeight="1">
      <c r="A426" s="280" t="s">
        <v>1988</v>
      </c>
      <c r="B426" s="281" t="s">
        <v>3788</v>
      </c>
      <c r="C426" s="27" t="s">
        <v>4022</v>
      </c>
      <c r="D426" s="27" t="s">
        <v>4023</v>
      </c>
      <c r="E426" s="27" t="s">
        <v>4024</v>
      </c>
      <c r="F426" s="45"/>
      <c r="G426" s="45"/>
      <c r="H426" s="45"/>
      <c r="I426" s="286"/>
      <c r="J426" s="297" t="s">
        <v>2000</v>
      </c>
      <c r="K426" s="286"/>
      <c r="L426" s="286"/>
      <c r="M426" s="286"/>
      <c r="N426" s="286"/>
      <c r="O426" s="286"/>
      <c r="P426" s="286"/>
      <c r="Q426" s="290" t="s">
        <v>150</v>
      </c>
      <c r="R426" s="286"/>
      <c r="S426" s="286"/>
      <c r="T426" s="286"/>
      <c r="U426" s="286"/>
      <c r="V426" s="286"/>
      <c r="W426" s="286"/>
      <c r="X426" s="286"/>
      <c r="Y426" s="286"/>
      <c r="Z426" s="286"/>
      <c r="AA426" s="286"/>
      <c r="AB426" s="286"/>
      <c r="AC426" s="286"/>
      <c r="AD426" s="75"/>
      <c r="AE426" s="75"/>
      <c r="AF426" s="75"/>
      <c r="AG426" s="75"/>
      <c r="AH426" s="75"/>
      <c r="AI426" s="75"/>
      <c r="AJ426" s="75"/>
      <c r="AK426" s="75"/>
      <c r="AL426" s="75"/>
      <c r="AM426" s="75"/>
      <c r="AN426" s="75"/>
      <c r="AO426" s="75"/>
      <c r="AP426" s="75"/>
      <c r="AQ426" s="75"/>
      <c r="AR426" s="75"/>
      <c r="AS426" s="75"/>
      <c r="AT426" s="75"/>
      <c r="AU426" s="75"/>
      <c r="AV426" s="75"/>
      <c r="AW426" s="75"/>
      <c r="AX426" s="75"/>
    </row>
    <row r="427" ht="15.75" customHeight="1">
      <c r="A427" s="280" t="s">
        <v>1988</v>
      </c>
      <c r="B427" s="281" t="s">
        <v>3792</v>
      </c>
      <c r="C427" s="27" t="s">
        <v>4028</v>
      </c>
      <c r="D427" s="27" t="s">
        <v>4029</v>
      </c>
      <c r="E427" s="27" t="s">
        <v>4030</v>
      </c>
      <c r="F427" s="45"/>
      <c r="G427" s="45"/>
      <c r="H427" s="45"/>
      <c r="I427" s="286"/>
      <c r="J427" s="297" t="s">
        <v>2000</v>
      </c>
      <c r="K427" s="286"/>
      <c r="L427" s="286"/>
      <c r="M427" s="286"/>
      <c r="N427" s="286"/>
      <c r="O427" s="286"/>
      <c r="P427" s="286"/>
      <c r="Q427" s="290" t="s">
        <v>150</v>
      </c>
      <c r="R427" s="286"/>
      <c r="S427" s="286"/>
      <c r="T427" s="286"/>
      <c r="U427" s="286"/>
      <c r="V427" s="286"/>
      <c r="W427" s="286"/>
      <c r="X427" s="286"/>
      <c r="Y427" s="286"/>
      <c r="Z427" s="286"/>
      <c r="AA427" s="286"/>
      <c r="AB427" s="286"/>
      <c r="AC427" s="286"/>
      <c r="AD427" s="75"/>
      <c r="AE427" s="75"/>
      <c r="AF427" s="75"/>
      <c r="AG427" s="75"/>
      <c r="AH427" s="75"/>
      <c r="AI427" s="75"/>
      <c r="AJ427" s="75"/>
      <c r="AK427" s="75"/>
      <c r="AL427" s="75"/>
      <c r="AM427" s="75"/>
      <c r="AN427" s="75"/>
      <c r="AO427" s="75"/>
      <c r="AP427" s="75"/>
      <c r="AQ427" s="75"/>
      <c r="AR427" s="75"/>
      <c r="AS427" s="75"/>
      <c r="AT427" s="75"/>
      <c r="AU427" s="75"/>
      <c r="AV427" s="75"/>
      <c r="AW427" s="75"/>
      <c r="AX427" s="75"/>
    </row>
    <row r="428" ht="15.75" customHeight="1">
      <c r="A428" s="298" t="s">
        <v>237</v>
      </c>
      <c r="B428" s="310" t="s">
        <v>3724</v>
      </c>
      <c r="C428" s="226"/>
      <c r="D428" s="226"/>
      <c r="E428" s="226"/>
      <c r="F428" s="312"/>
      <c r="G428" s="312"/>
      <c r="H428" s="312"/>
      <c r="I428" s="312"/>
      <c r="J428" s="312"/>
      <c r="K428" s="312"/>
      <c r="L428" s="312"/>
      <c r="M428" s="312"/>
      <c r="N428" s="312"/>
      <c r="O428" s="312"/>
      <c r="P428" s="312"/>
      <c r="Q428" s="312"/>
      <c r="R428" s="312"/>
      <c r="S428" s="312"/>
      <c r="T428" s="312"/>
      <c r="U428" s="312"/>
      <c r="V428" s="312"/>
      <c r="W428" s="312"/>
      <c r="X428" s="312"/>
      <c r="Y428" s="312"/>
      <c r="Z428" s="312"/>
      <c r="AA428" s="312"/>
      <c r="AB428" s="312"/>
      <c r="AC428" s="312"/>
      <c r="AD428" s="75"/>
      <c r="AE428" s="75"/>
      <c r="AF428" s="75"/>
      <c r="AG428" s="75"/>
      <c r="AH428" s="75"/>
      <c r="AI428" s="75"/>
      <c r="AJ428" s="75"/>
      <c r="AK428" s="75"/>
      <c r="AL428" s="75"/>
      <c r="AM428" s="75"/>
      <c r="AN428" s="75"/>
      <c r="AO428" s="75"/>
      <c r="AP428" s="75"/>
      <c r="AQ428" s="75"/>
      <c r="AR428" s="75"/>
      <c r="AS428" s="75"/>
      <c r="AT428" s="75"/>
      <c r="AU428" s="75"/>
      <c r="AV428" s="75"/>
      <c r="AW428" s="75"/>
      <c r="AX428" s="75"/>
    </row>
    <row r="429" ht="15.75" customHeight="1">
      <c r="A429" s="298" t="s">
        <v>133</v>
      </c>
      <c r="B429" s="299" t="s">
        <v>3799</v>
      </c>
      <c r="C429" s="147"/>
      <c r="D429" s="147"/>
      <c r="E429" s="147"/>
      <c r="F429" s="312"/>
      <c r="G429" s="312"/>
      <c r="H429" s="312"/>
      <c r="I429" s="312"/>
      <c r="J429" s="314" t="s">
        <v>1982</v>
      </c>
      <c r="K429" s="312"/>
      <c r="L429" s="312"/>
      <c r="M429" s="313"/>
      <c r="N429" s="313"/>
      <c r="O429" s="313"/>
      <c r="P429" s="312"/>
      <c r="Q429" s="312"/>
      <c r="R429" s="312"/>
      <c r="S429" s="312"/>
      <c r="T429" s="312"/>
      <c r="U429" s="312"/>
      <c r="V429" s="312"/>
      <c r="W429" s="312"/>
      <c r="X429" s="312"/>
      <c r="Y429" s="312"/>
      <c r="Z429" s="312"/>
      <c r="AA429" s="312"/>
      <c r="AB429" s="312"/>
      <c r="AC429" s="312"/>
      <c r="AD429" s="75"/>
      <c r="AE429" s="75"/>
      <c r="AF429" s="75"/>
      <c r="AG429" s="75"/>
      <c r="AH429" s="75"/>
      <c r="AI429" s="75"/>
      <c r="AJ429" s="75"/>
      <c r="AK429" s="75"/>
      <c r="AL429" s="75"/>
      <c r="AM429" s="75"/>
      <c r="AN429" s="75"/>
      <c r="AO429" s="75"/>
      <c r="AP429" s="75"/>
      <c r="AQ429" s="75"/>
      <c r="AR429" s="75"/>
      <c r="AS429" s="75"/>
      <c r="AT429" s="75"/>
      <c r="AU429" s="75"/>
      <c r="AV429" s="75"/>
      <c r="AW429" s="75"/>
      <c r="AX429" s="75"/>
    </row>
    <row r="430" ht="15.75" customHeight="1">
      <c r="A430" s="280" t="s">
        <v>2073</v>
      </c>
      <c r="B430" s="281" t="s">
        <v>3803</v>
      </c>
      <c r="C430" s="27" t="s">
        <v>4050</v>
      </c>
      <c r="D430" s="27" t="s">
        <v>4051</v>
      </c>
      <c r="E430" s="27" t="s">
        <v>4053</v>
      </c>
      <c r="F430" s="45"/>
      <c r="G430" s="45"/>
      <c r="H430" s="45"/>
      <c r="I430" s="286"/>
      <c r="J430" s="297" t="s">
        <v>8</v>
      </c>
      <c r="K430" s="286"/>
      <c r="L430" s="286"/>
      <c r="M430" s="286"/>
      <c r="N430" s="286"/>
      <c r="O430" s="286"/>
      <c r="P430" s="286"/>
      <c r="Q430" s="286"/>
      <c r="R430" s="286"/>
      <c r="S430" s="286"/>
      <c r="T430" s="286"/>
      <c r="U430" s="286"/>
      <c r="V430" s="286"/>
      <c r="W430" s="286"/>
      <c r="X430" s="286"/>
      <c r="Y430" s="286"/>
      <c r="Z430" s="286"/>
      <c r="AA430" s="286"/>
      <c r="AB430" s="286"/>
      <c r="AC430" s="286"/>
      <c r="AD430" s="75"/>
      <c r="AE430" s="75"/>
      <c r="AF430" s="75"/>
      <c r="AG430" s="75"/>
      <c r="AH430" s="75"/>
      <c r="AI430" s="75"/>
      <c r="AJ430" s="75"/>
      <c r="AK430" s="75"/>
      <c r="AL430" s="75"/>
      <c r="AM430" s="75"/>
      <c r="AN430" s="75"/>
      <c r="AO430" s="75"/>
      <c r="AP430" s="75"/>
      <c r="AQ430" s="75"/>
      <c r="AR430" s="75"/>
      <c r="AS430" s="75"/>
      <c r="AT430" s="75"/>
      <c r="AU430" s="75"/>
      <c r="AV430" s="75"/>
      <c r="AW430" s="75"/>
      <c r="AX430" s="75"/>
    </row>
    <row r="431" ht="15.75" customHeight="1">
      <c r="A431" s="280" t="s">
        <v>2073</v>
      </c>
      <c r="B431" s="281" t="s">
        <v>3805</v>
      </c>
      <c r="C431" s="27" t="s">
        <v>4058</v>
      </c>
      <c r="D431" s="27" t="s">
        <v>4059</v>
      </c>
      <c r="E431" s="27" t="s">
        <v>4060</v>
      </c>
      <c r="F431" s="45"/>
      <c r="G431" s="45"/>
      <c r="H431" s="45"/>
      <c r="I431" s="286"/>
      <c r="J431" s="297" t="s">
        <v>2000</v>
      </c>
      <c r="K431" s="286"/>
      <c r="L431" s="286"/>
      <c r="M431" s="286"/>
      <c r="N431" s="286"/>
      <c r="O431" s="286"/>
      <c r="P431" s="286"/>
      <c r="Q431" s="290" t="s">
        <v>150</v>
      </c>
      <c r="R431" s="286"/>
      <c r="S431" s="286"/>
      <c r="T431" s="286"/>
      <c r="U431" s="286"/>
      <c r="V431" s="286"/>
      <c r="W431" s="286"/>
      <c r="X431" s="286"/>
      <c r="Y431" s="286"/>
      <c r="Z431" s="286"/>
      <c r="AA431" s="286"/>
      <c r="AB431" s="286"/>
      <c r="AC431" s="286"/>
      <c r="AD431" s="75"/>
      <c r="AE431" s="75"/>
      <c r="AF431" s="75"/>
      <c r="AG431" s="75"/>
      <c r="AH431" s="75"/>
      <c r="AI431" s="75"/>
      <c r="AJ431" s="75"/>
      <c r="AK431" s="75"/>
      <c r="AL431" s="75"/>
      <c r="AM431" s="75"/>
      <c r="AN431" s="75"/>
      <c r="AO431" s="75"/>
      <c r="AP431" s="75"/>
      <c r="AQ431" s="75"/>
      <c r="AR431" s="75"/>
      <c r="AS431" s="75"/>
      <c r="AT431" s="75"/>
      <c r="AU431" s="75"/>
      <c r="AV431" s="75"/>
      <c r="AW431" s="75"/>
      <c r="AX431" s="75"/>
    </row>
    <row r="432" ht="15.75" customHeight="1">
      <c r="A432" s="280" t="s">
        <v>2073</v>
      </c>
      <c r="B432" s="281" t="s">
        <v>3835</v>
      </c>
      <c r="C432" s="27" t="s">
        <v>4065</v>
      </c>
      <c r="D432" s="27" t="s">
        <v>4066</v>
      </c>
      <c r="E432" s="27" t="s">
        <v>4067</v>
      </c>
      <c r="F432" s="45"/>
      <c r="G432" s="45"/>
      <c r="H432" s="45"/>
      <c r="I432" s="286"/>
      <c r="J432" s="297" t="s">
        <v>2000</v>
      </c>
      <c r="K432" s="286"/>
      <c r="L432" s="286"/>
      <c r="M432" s="286"/>
      <c r="N432" s="286"/>
      <c r="O432" s="286"/>
      <c r="P432" s="286"/>
      <c r="Q432" s="290" t="s">
        <v>150</v>
      </c>
      <c r="R432" s="286"/>
      <c r="S432" s="286"/>
      <c r="T432" s="286"/>
      <c r="U432" s="286"/>
      <c r="V432" s="286"/>
      <c r="W432" s="286"/>
      <c r="X432" s="286"/>
      <c r="Y432" s="286"/>
      <c r="Z432" s="286"/>
      <c r="AA432" s="286"/>
      <c r="AB432" s="286"/>
      <c r="AC432" s="286"/>
      <c r="AD432" s="75"/>
      <c r="AE432" s="75"/>
      <c r="AF432" s="75"/>
      <c r="AG432" s="75"/>
      <c r="AH432" s="75"/>
      <c r="AI432" s="75"/>
      <c r="AJ432" s="75"/>
      <c r="AK432" s="75"/>
      <c r="AL432" s="75"/>
      <c r="AM432" s="75"/>
      <c r="AN432" s="75"/>
      <c r="AO432" s="75"/>
      <c r="AP432" s="75"/>
      <c r="AQ432" s="75"/>
      <c r="AR432" s="75"/>
      <c r="AS432" s="75"/>
      <c r="AT432" s="75"/>
      <c r="AU432" s="75"/>
      <c r="AV432" s="75"/>
      <c r="AW432" s="75"/>
      <c r="AX432" s="75"/>
    </row>
    <row r="433" ht="15.75" customHeight="1">
      <c r="A433" s="298" t="s">
        <v>237</v>
      </c>
      <c r="B433" s="310" t="s">
        <v>3799</v>
      </c>
      <c r="C433" s="226"/>
      <c r="D433" s="226"/>
      <c r="E433" s="226"/>
      <c r="F433" s="312"/>
      <c r="G433" s="312"/>
      <c r="H433" s="312"/>
      <c r="I433" s="312"/>
      <c r="J433" s="312"/>
      <c r="K433" s="312"/>
      <c r="L433" s="312"/>
      <c r="M433" s="312"/>
      <c r="N433" s="312"/>
      <c r="O433" s="312"/>
      <c r="P433" s="312"/>
      <c r="Q433" s="312"/>
      <c r="R433" s="312"/>
      <c r="S433" s="312"/>
      <c r="T433" s="312"/>
      <c r="U433" s="312"/>
      <c r="V433" s="312"/>
      <c r="W433" s="312"/>
      <c r="X433" s="312"/>
      <c r="Y433" s="312"/>
      <c r="Z433" s="312"/>
      <c r="AA433" s="312"/>
      <c r="AB433" s="312"/>
      <c r="AC433" s="312"/>
      <c r="AD433" s="75"/>
      <c r="AE433" s="75"/>
      <c r="AF433" s="75"/>
      <c r="AG433" s="75"/>
      <c r="AH433" s="75"/>
      <c r="AI433" s="75"/>
      <c r="AJ433" s="75"/>
      <c r="AK433" s="75"/>
      <c r="AL433" s="75"/>
      <c r="AM433" s="75"/>
      <c r="AN433" s="75"/>
      <c r="AO433" s="75"/>
      <c r="AP433" s="75"/>
      <c r="AQ433" s="75"/>
      <c r="AR433" s="75"/>
      <c r="AS433" s="75"/>
      <c r="AT433" s="75"/>
      <c r="AU433" s="75"/>
      <c r="AV433" s="75"/>
      <c r="AW433" s="75"/>
      <c r="AX433" s="75"/>
    </row>
    <row r="434" ht="15.75" customHeight="1">
      <c r="A434" s="291" t="s">
        <v>268</v>
      </c>
      <c r="B434" s="292" t="s">
        <v>3866</v>
      </c>
      <c r="C434" s="27" t="s">
        <v>4089</v>
      </c>
      <c r="D434" s="27" t="s">
        <v>4090</v>
      </c>
      <c r="E434" s="27" t="s">
        <v>4091</v>
      </c>
      <c r="F434" s="45" t="s">
        <v>4092</v>
      </c>
      <c r="G434" s="45" t="s">
        <v>4093</v>
      </c>
      <c r="H434" s="45" t="s">
        <v>2258</v>
      </c>
      <c r="I434" s="306"/>
      <c r="J434" s="306"/>
      <c r="K434" s="307" t="s">
        <v>2260</v>
      </c>
      <c r="L434" s="308"/>
      <c r="M434" s="306"/>
      <c r="N434" s="306"/>
      <c r="O434" s="306"/>
      <c r="P434" s="306"/>
      <c r="Q434" s="309" t="s">
        <v>150</v>
      </c>
      <c r="R434" s="306"/>
      <c r="S434" s="306"/>
      <c r="T434" s="306"/>
      <c r="U434" s="306"/>
      <c r="V434" s="306"/>
      <c r="W434" s="306"/>
      <c r="X434" s="306"/>
      <c r="Y434" s="306"/>
      <c r="Z434" s="306"/>
      <c r="AA434" s="306"/>
      <c r="AB434" s="306"/>
      <c r="AC434" s="306"/>
      <c r="AD434" s="75"/>
      <c r="AE434" s="75"/>
      <c r="AF434" s="75"/>
      <c r="AG434" s="75"/>
      <c r="AH434" s="75"/>
      <c r="AI434" s="75"/>
      <c r="AJ434" s="75"/>
      <c r="AK434" s="75"/>
      <c r="AL434" s="75"/>
      <c r="AM434" s="75"/>
      <c r="AN434" s="75"/>
      <c r="AO434" s="75"/>
      <c r="AP434" s="75"/>
      <c r="AQ434" s="75"/>
      <c r="AR434" s="75"/>
      <c r="AS434" s="75"/>
      <c r="AT434" s="75"/>
      <c r="AU434" s="75"/>
      <c r="AV434" s="75"/>
      <c r="AW434" s="75"/>
      <c r="AX434" s="75"/>
    </row>
    <row r="435" ht="15.75" customHeight="1">
      <c r="A435" s="302"/>
      <c r="B435" s="300"/>
      <c r="C435" s="147"/>
      <c r="D435" s="226"/>
      <c r="E435" s="226"/>
      <c r="F435" s="312"/>
      <c r="G435" s="312"/>
      <c r="H435" s="312"/>
      <c r="I435" s="313"/>
      <c r="J435" s="313"/>
      <c r="K435" s="312"/>
      <c r="L435" s="313"/>
      <c r="M435" s="313"/>
      <c r="N435" s="313"/>
      <c r="O435" s="313"/>
      <c r="P435" s="312"/>
      <c r="Q435" s="312"/>
      <c r="R435" s="312"/>
      <c r="S435" s="312"/>
      <c r="T435" s="312"/>
      <c r="U435" s="312"/>
      <c r="V435" s="312"/>
      <c r="W435" s="312"/>
      <c r="X435" s="312"/>
      <c r="Y435" s="312"/>
      <c r="Z435" s="312"/>
      <c r="AA435" s="312"/>
      <c r="AB435" s="312"/>
      <c r="AC435" s="312"/>
      <c r="AD435" s="75"/>
      <c r="AE435" s="75"/>
      <c r="AF435" s="75"/>
      <c r="AG435" s="75"/>
      <c r="AH435" s="75"/>
      <c r="AI435" s="75"/>
      <c r="AJ435" s="75"/>
      <c r="AK435" s="75"/>
      <c r="AL435" s="75"/>
      <c r="AM435" s="75"/>
      <c r="AN435" s="75"/>
      <c r="AO435" s="75"/>
      <c r="AP435" s="75"/>
      <c r="AQ435" s="75"/>
      <c r="AR435" s="75"/>
      <c r="AS435" s="75"/>
      <c r="AT435" s="75"/>
      <c r="AU435" s="75"/>
      <c r="AV435" s="75"/>
      <c r="AW435" s="75"/>
      <c r="AX435" s="75"/>
    </row>
    <row r="436" ht="15.75" customHeight="1">
      <c r="A436" s="298" t="s">
        <v>133</v>
      </c>
      <c r="B436" s="299" t="s">
        <v>3878</v>
      </c>
      <c r="C436" s="147" t="s">
        <v>3880</v>
      </c>
      <c r="D436" s="147"/>
      <c r="E436" s="147"/>
      <c r="F436" s="312"/>
      <c r="G436" s="312"/>
      <c r="H436" s="312"/>
      <c r="I436" s="312"/>
      <c r="J436" s="314" t="s">
        <v>1982</v>
      </c>
      <c r="K436" s="312"/>
      <c r="L436" s="312"/>
      <c r="M436" s="313"/>
      <c r="N436" s="313"/>
      <c r="O436" s="313"/>
      <c r="P436" s="312"/>
      <c r="Q436" s="312"/>
      <c r="R436" s="312"/>
      <c r="S436" s="312"/>
      <c r="T436" s="312"/>
      <c r="U436" s="312"/>
      <c r="V436" s="312"/>
      <c r="W436" s="312"/>
      <c r="X436" s="312"/>
      <c r="Y436" s="312"/>
      <c r="Z436" s="312"/>
      <c r="AA436" s="312"/>
      <c r="AB436" s="312"/>
      <c r="AC436" s="312"/>
      <c r="AD436" s="312"/>
      <c r="AE436" s="312"/>
      <c r="AF436" s="312"/>
      <c r="AG436" s="312"/>
      <c r="AH436" s="312"/>
      <c r="AI436" s="312"/>
      <c r="AJ436" s="312"/>
      <c r="AK436" s="312"/>
      <c r="AL436" s="312"/>
      <c r="AM436" s="312"/>
      <c r="AN436" s="312"/>
      <c r="AO436" s="75"/>
      <c r="AP436" s="75"/>
      <c r="AQ436" s="75"/>
      <c r="AR436" s="75"/>
      <c r="AS436" s="75"/>
      <c r="AT436" s="75"/>
      <c r="AU436" s="75"/>
      <c r="AV436" s="75"/>
      <c r="AW436" s="75"/>
      <c r="AX436" s="75"/>
    </row>
    <row r="437" ht="15.75" customHeight="1">
      <c r="A437" s="278" t="s">
        <v>38</v>
      </c>
      <c r="B437" s="279" t="s">
        <v>3925</v>
      </c>
      <c r="C437" s="27" t="s">
        <v>4115</v>
      </c>
      <c r="D437" s="27" t="s">
        <v>4116</v>
      </c>
      <c r="E437" s="27" t="s">
        <v>4117</v>
      </c>
      <c r="F437" s="45"/>
      <c r="G437" s="45"/>
      <c r="H437" s="45"/>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6"/>
      <c r="AE437" s="286"/>
      <c r="AF437" s="286"/>
      <c r="AG437" s="286"/>
      <c r="AH437" s="286"/>
      <c r="AI437" s="286"/>
      <c r="AJ437" s="286"/>
      <c r="AK437" s="286"/>
      <c r="AL437" s="286"/>
      <c r="AM437" s="286"/>
      <c r="AN437" s="286"/>
      <c r="AO437" s="75"/>
      <c r="AP437" s="75"/>
      <c r="AQ437" s="75"/>
      <c r="AR437" s="75"/>
      <c r="AS437" s="75"/>
      <c r="AT437" s="75"/>
      <c r="AU437" s="75"/>
      <c r="AV437" s="75"/>
      <c r="AW437" s="75"/>
      <c r="AX437" s="75"/>
    </row>
    <row r="438" ht="15.75" customHeight="1">
      <c r="A438" s="280" t="s">
        <v>2122</v>
      </c>
      <c r="B438" s="281" t="s">
        <v>3932</v>
      </c>
      <c r="C438" s="27" t="s">
        <v>4130</v>
      </c>
      <c r="D438" s="27" t="s">
        <v>4131</v>
      </c>
      <c r="E438" s="27" t="s">
        <v>4132</v>
      </c>
      <c r="F438" s="45"/>
      <c r="G438" s="45"/>
      <c r="H438" s="45"/>
      <c r="I438" s="286"/>
      <c r="J438" s="297" t="s">
        <v>8</v>
      </c>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75"/>
      <c r="AP438" s="75"/>
      <c r="AQ438" s="75"/>
      <c r="AR438" s="75"/>
      <c r="AS438" s="75"/>
      <c r="AT438" s="75"/>
      <c r="AU438" s="75"/>
      <c r="AV438" s="75"/>
      <c r="AW438" s="75"/>
      <c r="AX438" s="75"/>
    </row>
    <row r="439" ht="15.75" customHeight="1">
      <c r="A439" s="280" t="s">
        <v>2122</v>
      </c>
      <c r="B439" s="281" t="s">
        <v>3942</v>
      </c>
      <c r="C439" s="27" t="s">
        <v>4146</v>
      </c>
      <c r="D439" s="27" t="s">
        <v>4147</v>
      </c>
      <c r="E439" s="27" t="s">
        <v>4148</v>
      </c>
      <c r="F439" s="45"/>
      <c r="G439" s="45"/>
      <c r="H439" s="45"/>
      <c r="I439" s="286"/>
      <c r="J439" s="297" t="s">
        <v>2000</v>
      </c>
      <c r="K439" s="286"/>
      <c r="L439" s="286"/>
      <c r="M439" s="286"/>
      <c r="N439" s="286"/>
      <c r="O439" s="286"/>
      <c r="P439" s="286"/>
      <c r="Q439" s="290" t="s">
        <v>150</v>
      </c>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75"/>
      <c r="AP439" s="75"/>
      <c r="AQ439" s="75"/>
      <c r="AR439" s="75"/>
      <c r="AS439" s="75"/>
      <c r="AT439" s="75"/>
      <c r="AU439" s="75"/>
      <c r="AV439" s="75"/>
      <c r="AW439" s="75"/>
      <c r="AX439" s="75"/>
    </row>
    <row r="440" ht="15.75" customHeight="1">
      <c r="A440" s="280" t="s">
        <v>2122</v>
      </c>
      <c r="B440" s="281" t="s">
        <v>3946</v>
      </c>
      <c r="C440" s="27" t="s">
        <v>4155</v>
      </c>
      <c r="D440" s="27" t="s">
        <v>4157</v>
      </c>
      <c r="E440" s="27" t="s">
        <v>4159</v>
      </c>
      <c r="F440" s="45"/>
      <c r="G440" s="45"/>
      <c r="H440" s="45"/>
      <c r="I440" s="286"/>
      <c r="J440" s="297" t="s">
        <v>2000</v>
      </c>
      <c r="K440" s="286"/>
      <c r="L440" s="286"/>
      <c r="M440" s="286"/>
      <c r="N440" s="286"/>
      <c r="O440" s="286"/>
      <c r="P440" s="286"/>
      <c r="Q440" s="290" t="s">
        <v>150</v>
      </c>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75"/>
      <c r="AP440" s="75"/>
      <c r="AQ440" s="75"/>
      <c r="AR440" s="75"/>
      <c r="AS440" s="75"/>
      <c r="AT440" s="75"/>
      <c r="AU440" s="75"/>
      <c r="AV440" s="75"/>
      <c r="AW440" s="75"/>
      <c r="AX440" s="75"/>
    </row>
    <row r="441" ht="15.75" customHeight="1">
      <c r="A441" s="280" t="s">
        <v>2122</v>
      </c>
      <c r="B441" s="281" t="s">
        <v>3950</v>
      </c>
      <c r="C441" s="27" t="s">
        <v>4166</v>
      </c>
      <c r="D441" s="27" t="s">
        <v>4167</v>
      </c>
      <c r="E441" s="27" t="s">
        <v>4168</v>
      </c>
      <c r="F441" s="45"/>
      <c r="G441" s="45"/>
      <c r="H441" s="45"/>
      <c r="I441" s="286"/>
      <c r="J441" s="297" t="s">
        <v>2000</v>
      </c>
      <c r="K441" s="286"/>
      <c r="L441" s="286"/>
      <c r="M441" s="286"/>
      <c r="N441" s="286"/>
      <c r="O441" s="286"/>
      <c r="P441" s="286"/>
      <c r="Q441" s="290" t="s">
        <v>150</v>
      </c>
      <c r="R441" s="286"/>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75"/>
      <c r="AP441" s="75"/>
      <c r="AQ441" s="75"/>
      <c r="AR441" s="75"/>
      <c r="AS441" s="75"/>
      <c r="AT441" s="75"/>
      <c r="AU441" s="75"/>
      <c r="AV441" s="75"/>
      <c r="AW441" s="75"/>
      <c r="AX441" s="75"/>
    </row>
    <row r="442" ht="15.75" customHeight="1">
      <c r="A442" s="280" t="s">
        <v>2122</v>
      </c>
      <c r="B442" s="281" t="s">
        <v>3973</v>
      </c>
      <c r="C442" s="27" t="s">
        <v>4182</v>
      </c>
      <c r="D442" s="27" t="s">
        <v>4184</v>
      </c>
      <c r="E442" s="27" t="s">
        <v>4185</v>
      </c>
      <c r="F442" s="45"/>
      <c r="G442" s="45"/>
      <c r="H442" s="45"/>
      <c r="I442" s="286"/>
      <c r="J442" s="297" t="s">
        <v>2000</v>
      </c>
      <c r="K442" s="286"/>
      <c r="L442" s="286"/>
      <c r="M442" s="286"/>
      <c r="N442" s="286"/>
      <c r="O442" s="286"/>
      <c r="P442" s="286"/>
      <c r="Q442" s="290" t="s">
        <v>150</v>
      </c>
      <c r="R442" s="286"/>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75"/>
      <c r="AP442" s="75"/>
      <c r="AQ442" s="75"/>
      <c r="AR442" s="75"/>
      <c r="AS442" s="75"/>
      <c r="AT442" s="75"/>
      <c r="AU442" s="75"/>
      <c r="AV442" s="75"/>
      <c r="AW442" s="75"/>
      <c r="AX442" s="75"/>
    </row>
    <row r="443" ht="15.75" customHeight="1">
      <c r="A443" s="280" t="s">
        <v>2122</v>
      </c>
      <c r="B443" s="281" t="s">
        <v>3977</v>
      </c>
      <c r="C443" s="27" t="s">
        <v>4191</v>
      </c>
      <c r="D443" s="27" t="s">
        <v>4192</v>
      </c>
      <c r="E443" s="27" t="s">
        <v>4193</v>
      </c>
      <c r="F443" s="45"/>
      <c r="G443" s="45"/>
      <c r="H443" s="45"/>
      <c r="I443" s="286"/>
      <c r="J443" s="297" t="s">
        <v>2000</v>
      </c>
      <c r="K443" s="286"/>
      <c r="L443" s="286"/>
      <c r="M443" s="286"/>
      <c r="N443" s="286"/>
      <c r="O443" s="286"/>
      <c r="P443" s="286"/>
      <c r="Q443" s="290" t="s">
        <v>150</v>
      </c>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75"/>
      <c r="AP443" s="75"/>
      <c r="AQ443" s="75"/>
      <c r="AR443" s="75"/>
      <c r="AS443" s="75"/>
      <c r="AT443" s="75"/>
      <c r="AU443" s="75"/>
      <c r="AV443" s="75"/>
      <c r="AW443" s="75"/>
      <c r="AX443" s="75"/>
    </row>
    <row r="444" ht="15.75" customHeight="1">
      <c r="A444" s="280" t="s">
        <v>2122</v>
      </c>
      <c r="B444" s="281" t="s">
        <v>3987</v>
      </c>
      <c r="C444" s="27" t="s">
        <v>4203</v>
      </c>
      <c r="D444" s="27" t="s">
        <v>4204</v>
      </c>
      <c r="E444" s="27" t="s">
        <v>4205</v>
      </c>
      <c r="F444" s="45"/>
      <c r="G444" s="45"/>
      <c r="H444" s="45"/>
      <c r="I444" s="286"/>
      <c r="J444" s="297" t="s">
        <v>2000</v>
      </c>
      <c r="K444" s="286"/>
      <c r="L444" s="286"/>
      <c r="M444" s="286"/>
      <c r="N444" s="286"/>
      <c r="O444" s="286"/>
      <c r="P444" s="286"/>
      <c r="Q444" s="290" t="s">
        <v>150</v>
      </c>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75"/>
      <c r="AP444" s="75"/>
      <c r="AQ444" s="75"/>
      <c r="AR444" s="75"/>
      <c r="AS444" s="75"/>
      <c r="AT444" s="75"/>
      <c r="AU444" s="75"/>
      <c r="AV444" s="75"/>
      <c r="AW444" s="75"/>
      <c r="AX444" s="75"/>
    </row>
    <row r="445" ht="15.75" customHeight="1">
      <c r="A445" s="280" t="s">
        <v>2122</v>
      </c>
      <c r="B445" s="281" t="s">
        <v>3996</v>
      </c>
      <c r="C445" s="27" t="s">
        <v>4217</v>
      </c>
      <c r="D445" s="27" t="s">
        <v>4219</v>
      </c>
      <c r="E445" s="27" t="s">
        <v>4220</v>
      </c>
      <c r="F445" s="45"/>
      <c r="G445" s="45"/>
      <c r="H445" s="45"/>
      <c r="I445" s="286"/>
      <c r="J445" s="297" t="s">
        <v>2000</v>
      </c>
      <c r="K445" s="286"/>
      <c r="L445" s="286"/>
      <c r="M445" s="286"/>
      <c r="N445" s="286"/>
      <c r="O445" s="286"/>
      <c r="P445" s="286"/>
      <c r="Q445" s="290" t="s">
        <v>150</v>
      </c>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75"/>
      <c r="AP445" s="75"/>
      <c r="AQ445" s="75"/>
      <c r="AR445" s="75"/>
      <c r="AS445" s="75"/>
      <c r="AT445" s="75"/>
      <c r="AU445" s="75"/>
      <c r="AV445" s="75"/>
      <c r="AW445" s="75"/>
      <c r="AX445" s="75"/>
    </row>
    <row r="446" ht="15.75" customHeight="1">
      <c r="A446" s="280" t="s">
        <v>2122</v>
      </c>
      <c r="B446" s="281" t="s">
        <v>4005</v>
      </c>
      <c r="C446" s="27" t="s">
        <v>4228</v>
      </c>
      <c r="D446" s="27" t="s">
        <v>4229</v>
      </c>
      <c r="E446" s="27" t="s">
        <v>4230</v>
      </c>
      <c r="F446" s="45"/>
      <c r="G446" s="45"/>
      <c r="H446" s="45"/>
      <c r="I446" s="286"/>
      <c r="J446" s="297" t="s">
        <v>2000</v>
      </c>
      <c r="K446" s="286"/>
      <c r="L446" s="286"/>
      <c r="M446" s="286"/>
      <c r="N446" s="286"/>
      <c r="O446" s="286"/>
      <c r="P446" s="286"/>
      <c r="Q446" s="290" t="s">
        <v>150</v>
      </c>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75"/>
      <c r="AP446" s="75"/>
      <c r="AQ446" s="75"/>
      <c r="AR446" s="75"/>
      <c r="AS446" s="75"/>
      <c r="AT446" s="75"/>
      <c r="AU446" s="75"/>
      <c r="AV446" s="75"/>
      <c r="AW446" s="75"/>
      <c r="AX446" s="75"/>
    </row>
    <row r="447" ht="15.75" customHeight="1">
      <c r="A447" s="280" t="s">
        <v>2122</v>
      </c>
      <c r="B447" s="281" t="s">
        <v>4010</v>
      </c>
      <c r="C447" s="27" t="s">
        <v>4239</v>
      </c>
      <c r="D447" s="27" t="s">
        <v>4240</v>
      </c>
      <c r="E447" s="27" t="s">
        <v>4241</v>
      </c>
      <c r="F447" s="45"/>
      <c r="G447" s="45"/>
      <c r="H447" s="45"/>
      <c r="I447" s="286"/>
      <c r="J447" s="297" t="s">
        <v>2000</v>
      </c>
      <c r="K447" s="286"/>
      <c r="L447" s="286"/>
      <c r="M447" s="286"/>
      <c r="N447" s="286"/>
      <c r="O447" s="286"/>
      <c r="P447" s="286"/>
      <c r="Q447" s="290" t="s">
        <v>150</v>
      </c>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75"/>
      <c r="AP447" s="75"/>
      <c r="AQ447" s="75"/>
      <c r="AR447" s="75"/>
      <c r="AS447" s="75"/>
      <c r="AT447" s="75"/>
      <c r="AU447" s="75"/>
      <c r="AV447" s="75"/>
      <c r="AW447" s="75"/>
      <c r="AX447" s="75"/>
    </row>
    <row r="448" ht="15.75" customHeight="1">
      <c r="A448" s="280" t="s">
        <v>2122</v>
      </c>
      <c r="B448" s="281" t="s">
        <v>4016</v>
      </c>
      <c r="C448" s="27" t="s">
        <v>4249</v>
      </c>
      <c r="D448" s="27" t="s">
        <v>4250</v>
      </c>
      <c r="E448" s="27" t="s">
        <v>4251</v>
      </c>
      <c r="F448" s="45"/>
      <c r="G448" s="45"/>
      <c r="H448" s="45"/>
      <c r="I448" s="286"/>
      <c r="J448" s="297" t="s">
        <v>2000</v>
      </c>
      <c r="K448" s="286"/>
      <c r="L448" s="286"/>
      <c r="M448" s="286"/>
      <c r="N448" s="286"/>
      <c r="O448" s="286"/>
      <c r="P448" s="286"/>
      <c r="Q448" s="290" t="s">
        <v>150</v>
      </c>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75"/>
      <c r="AP448" s="75"/>
      <c r="AQ448" s="75"/>
      <c r="AR448" s="75"/>
      <c r="AS448" s="75"/>
      <c r="AT448" s="75"/>
      <c r="AU448" s="75"/>
      <c r="AV448" s="75"/>
      <c r="AW448" s="75"/>
      <c r="AX448" s="75"/>
    </row>
    <row r="449" ht="15.75" customHeight="1">
      <c r="A449" s="298" t="s">
        <v>237</v>
      </c>
      <c r="B449" s="310" t="s">
        <v>3878</v>
      </c>
      <c r="C449" s="226" t="s">
        <v>3880</v>
      </c>
      <c r="D449" s="226"/>
      <c r="E449" s="226"/>
      <c r="F449" s="312"/>
      <c r="G449" s="312"/>
      <c r="H449" s="312"/>
      <c r="I449" s="312"/>
      <c r="J449" s="317" t="s">
        <v>1982</v>
      </c>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312"/>
      <c r="AH449" s="312"/>
      <c r="AI449" s="312"/>
      <c r="AJ449" s="312"/>
      <c r="AK449" s="312"/>
      <c r="AL449" s="312"/>
      <c r="AM449" s="312"/>
      <c r="AN449" s="312"/>
      <c r="AO449" s="75"/>
      <c r="AP449" s="75"/>
      <c r="AQ449" s="75"/>
      <c r="AR449" s="75"/>
      <c r="AS449" s="75"/>
      <c r="AT449" s="75"/>
      <c r="AU449" s="75"/>
      <c r="AV449" s="75"/>
      <c r="AW449" s="75"/>
      <c r="AX449" s="75"/>
    </row>
    <row r="450" ht="15.75" customHeight="1">
      <c r="A450" s="302"/>
      <c r="B450" s="300"/>
      <c r="C450" s="147"/>
      <c r="D450" s="226"/>
      <c r="E450" s="226"/>
      <c r="F450" s="312"/>
      <c r="G450" s="312"/>
      <c r="H450" s="312"/>
      <c r="I450" s="313"/>
      <c r="J450" s="313"/>
      <c r="K450" s="312"/>
      <c r="L450" s="313"/>
      <c r="M450" s="313"/>
      <c r="N450" s="313"/>
      <c r="O450" s="313"/>
      <c r="P450" s="312"/>
      <c r="Q450" s="312"/>
      <c r="R450" s="312"/>
      <c r="S450" s="312"/>
      <c r="T450" s="312"/>
      <c r="U450" s="312"/>
      <c r="V450" s="312"/>
      <c r="W450" s="312"/>
      <c r="X450" s="312"/>
      <c r="Y450" s="312"/>
      <c r="Z450" s="312"/>
      <c r="AA450" s="312"/>
      <c r="AB450" s="312"/>
      <c r="AC450" s="312"/>
      <c r="AD450" s="75"/>
      <c r="AE450" s="75"/>
      <c r="AF450" s="75"/>
      <c r="AG450" s="75"/>
      <c r="AH450" s="75"/>
      <c r="AI450" s="75"/>
      <c r="AJ450" s="75"/>
      <c r="AK450" s="75"/>
      <c r="AL450" s="75"/>
      <c r="AM450" s="75"/>
      <c r="AN450" s="75"/>
      <c r="AO450" s="75"/>
      <c r="AP450" s="75"/>
      <c r="AQ450" s="75"/>
      <c r="AR450" s="75"/>
      <c r="AS450" s="75"/>
      <c r="AT450" s="75"/>
      <c r="AU450" s="75"/>
      <c r="AV450" s="75"/>
      <c r="AW450" s="75"/>
      <c r="AX450" s="75"/>
    </row>
    <row r="451" ht="15.75" customHeight="1">
      <c r="A451" s="278" t="s">
        <v>38</v>
      </c>
      <c r="B451" s="279" t="s">
        <v>4040</v>
      </c>
      <c r="C451" s="27" t="s">
        <v>4278</v>
      </c>
      <c r="D451" s="27" t="s">
        <v>4279</v>
      </c>
      <c r="E451" s="27" t="s">
        <v>4280</v>
      </c>
      <c r="F451" s="45"/>
      <c r="G451" s="45"/>
      <c r="H451" s="45"/>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75"/>
      <c r="AP451" s="75"/>
      <c r="AQ451" s="75"/>
      <c r="AR451" s="75"/>
      <c r="AS451" s="75"/>
      <c r="AT451" s="75"/>
      <c r="AU451" s="75"/>
      <c r="AV451" s="75"/>
      <c r="AW451" s="75"/>
      <c r="AX451" s="75"/>
    </row>
    <row r="452" ht="15.75" customHeight="1">
      <c r="A452" s="280" t="s">
        <v>1988</v>
      </c>
      <c r="B452" s="281" t="s">
        <v>4044</v>
      </c>
      <c r="C452" s="27" t="s">
        <v>4292</v>
      </c>
      <c r="D452" s="27" t="s">
        <v>4294</v>
      </c>
      <c r="E452" s="27" t="s">
        <v>4295</v>
      </c>
      <c r="F452" s="45"/>
      <c r="G452" s="45"/>
      <c r="H452" s="45"/>
      <c r="I452" s="286"/>
      <c r="J452" s="287"/>
      <c r="K452" s="286"/>
      <c r="L452" s="286"/>
      <c r="M452" s="286"/>
      <c r="N452" s="286"/>
      <c r="O452" s="286"/>
      <c r="P452" s="286"/>
      <c r="Q452" s="290" t="s">
        <v>150</v>
      </c>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75"/>
      <c r="AP452" s="75"/>
      <c r="AQ452" s="75"/>
      <c r="AR452" s="75"/>
      <c r="AS452" s="75"/>
      <c r="AT452" s="75"/>
      <c r="AU452" s="75"/>
      <c r="AV452" s="75"/>
      <c r="AW452" s="75"/>
      <c r="AX452" s="75"/>
    </row>
    <row r="453" ht="15.75" customHeight="1">
      <c r="A453" s="280" t="s">
        <v>1988</v>
      </c>
      <c r="B453" s="281" t="s">
        <v>4048</v>
      </c>
      <c r="C453" s="27" t="s">
        <v>4307</v>
      </c>
      <c r="D453" s="27" t="s">
        <v>4309</v>
      </c>
      <c r="E453" s="27" t="s">
        <v>4310</v>
      </c>
      <c r="F453" s="45"/>
      <c r="G453" s="45"/>
      <c r="H453" s="45"/>
      <c r="I453" s="286"/>
      <c r="J453" s="287"/>
      <c r="K453" s="286"/>
      <c r="L453" s="286"/>
      <c r="M453" s="286"/>
      <c r="N453" s="286"/>
      <c r="O453" s="286"/>
      <c r="P453" s="286"/>
      <c r="Q453" s="290" t="s">
        <v>150</v>
      </c>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75"/>
      <c r="AP453" s="75"/>
      <c r="AQ453" s="75"/>
      <c r="AR453" s="75"/>
      <c r="AS453" s="75"/>
      <c r="AT453" s="75"/>
      <c r="AU453" s="75"/>
      <c r="AV453" s="75"/>
      <c r="AW453" s="75"/>
      <c r="AX453" s="75"/>
    </row>
    <row r="454" ht="15.75" customHeight="1">
      <c r="A454" s="315"/>
      <c r="B454" s="316"/>
      <c r="C454" s="318"/>
      <c r="D454" s="318"/>
      <c r="E454" s="318"/>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c r="AB454" s="319"/>
      <c r="AC454" s="319"/>
      <c r="AD454" s="319"/>
      <c r="AE454" s="319"/>
      <c r="AF454" s="319"/>
      <c r="AG454" s="319"/>
      <c r="AH454" s="319"/>
      <c r="AI454" s="319"/>
      <c r="AJ454" s="319"/>
      <c r="AK454" s="319"/>
      <c r="AL454" s="319"/>
      <c r="AM454" s="319"/>
      <c r="AN454" s="319"/>
      <c r="AO454" s="319"/>
      <c r="AP454" s="319"/>
      <c r="AQ454" s="319"/>
      <c r="AR454" s="319"/>
      <c r="AS454" s="319"/>
      <c r="AT454" s="319"/>
      <c r="AU454" s="319"/>
      <c r="AV454" s="319"/>
      <c r="AW454" s="319"/>
      <c r="AX454" s="319"/>
    </row>
    <row r="455" ht="15.75" customHeight="1">
      <c r="A455" s="298" t="s">
        <v>133</v>
      </c>
      <c r="B455" s="299" t="s">
        <v>4064</v>
      </c>
      <c r="C455" s="147"/>
      <c r="D455" s="147"/>
      <c r="E455" s="147"/>
      <c r="F455" s="312"/>
      <c r="G455" s="312"/>
      <c r="H455" s="312"/>
      <c r="I455" s="312"/>
      <c r="J455" s="314" t="s">
        <v>1982</v>
      </c>
      <c r="K455" s="312"/>
      <c r="L455" s="312"/>
      <c r="M455" s="313"/>
      <c r="N455" s="313"/>
      <c r="O455" s="313"/>
      <c r="P455" s="312"/>
      <c r="Q455" s="312"/>
      <c r="R455" s="312"/>
      <c r="S455" s="312"/>
      <c r="T455" s="312"/>
      <c r="U455" s="312"/>
      <c r="V455" s="312"/>
      <c r="W455" s="312"/>
      <c r="X455" s="312"/>
      <c r="Y455" s="312"/>
      <c r="Z455" s="312"/>
      <c r="AA455" s="312"/>
      <c r="AB455" s="312"/>
      <c r="AC455" s="312"/>
      <c r="AD455" s="284"/>
      <c r="AE455" s="284"/>
      <c r="AF455" s="284"/>
      <c r="AG455" s="284"/>
      <c r="AH455" s="284"/>
      <c r="AI455" s="284"/>
      <c r="AJ455" s="284"/>
      <c r="AK455" s="284"/>
      <c r="AL455" s="284"/>
      <c r="AM455" s="284"/>
      <c r="AN455" s="284"/>
      <c r="AO455" s="75"/>
      <c r="AP455" s="75"/>
      <c r="AQ455" s="75"/>
      <c r="AR455" s="75"/>
      <c r="AS455" s="75"/>
      <c r="AT455" s="75"/>
      <c r="AU455" s="75"/>
      <c r="AV455" s="75"/>
      <c r="AW455" s="75"/>
      <c r="AX455" s="75"/>
    </row>
    <row r="456" ht="15.75" customHeight="1">
      <c r="A456" s="280" t="s">
        <v>1306</v>
      </c>
      <c r="B456" s="281" t="s">
        <v>4075</v>
      </c>
      <c r="C456" s="27" t="s">
        <v>4341</v>
      </c>
      <c r="D456" s="27" t="s">
        <v>4342</v>
      </c>
      <c r="E456" s="27" t="s">
        <v>4344</v>
      </c>
      <c r="F456" s="45"/>
      <c r="G456" s="45"/>
      <c r="H456" s="45"/>
      <c r="I456" s="286"/>
      <c r="J456" s="297" t="s">
        <v>8</v>
      </c>
      <c r="K456" s="286"/>
      <c r="L456" s="286"/>
      <c r="M456" s="286"/>
      <c r="N456" s="286"/>
      <c r="O456" s="286"/>
      <c r="P456" s="286"/>
      <c r="Q456" s="286"/>
      <c r="R456" s="286"/>
      <c r="S456" s="286"/>
      <c r="T456" s="286"/>
      <c r="U456" s="286"/>
      <c r="V456" s="286"/>
      <c r="W456" s="286"/>
      <c r="X456" s="286"/>
      <c r="Y456" s="286"/>
      <c r="Z456" s="286"/>
      <c r="AA456" s="286"/>
      <c r="AB456" s="286"/>
      <c r="AC456" s="286"/>
      <c r="AD456" s="284"/>
      <c r="AE456" s="284"/>
      <c r="AF456" s="284"/>
      <c r="AG456" s="284"/>
      <c r="AH456" s="284"/>
      <c r="AI456" s="284"/>
      <c r="AJ456" s="284"/>
      <c r="AK456" s="284"/>
      <c r="AL456" s="284"/>
      <c r="AM456" s="284"/>
      <c r="AN456" s="284"/>
      <c r="AO456" s="75"/>
      <c r="AP456" s="75"/>
      <c r="AQ456" s="75"/>
      <c r="AR456" s="75"/>
      <c r="AS456" s="75"/>
      <c r="AT456" s="75"/>
      <c r="AU456" s="75"/>
      <c r="AV456" s="75"/>
      <c r="AW456" s="75"/>
      <c r="AX456" s="75"/>
    </row>
    <row r="457" ht="15.75" customHeight="1">
      <c r="A457" s="280" t="s">
        <v>1306</v>
      </c>
      <c r="B457" s="281" t="s">
        <v>4082</v>
      </c>
      <c r="C457" s="27" t="s">
        <v>4358</v>
      </c>
      <c r="D457" s="27" t="s">
        <v>4361</v>
      </c>
      <c r="E457" s="27" t="s">
        <v>4363</v>
      </c>
      <c r="F457" s="45"/>
      <c r="G457" s="45"/>
      <c r="H457" s="45"/>
      <c r="I457" s="286"/>
      <c r="J457" s="297" t="s">
        <v>2000</v>
      </c>
      <c r="K457" s="286"/>
      <c r="L457" s="286"/>
      <c r="M457" s="286"/>
      <c r="N457" s="286"/>
      <c r="O457" s="286"/>
      <c r="P457" s="286"/>
      <c r="Q457" s="290" t="s">
        <v>150</v>
      </c>
      <c r="R457" s="286"/>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75"/>
      <c r="AP457" s="75"/>
      <c r="AQ457" s="75"/>
      <c r="AR457" s="75"/>
      <c r="AS457" s="75"/>
      <c r="AT457" s="75"/>
      <c r="AU457" s="75"/>
      <c r="AV457" s="75"/>
      <c r="AW457" s="75"/>
      <c r="AX457" s="75"/>
    </row>
    <row r="458" ht="15.75" customHeight="1">
      <c r="A458" s="280" t="s">
        <v>1306</v>
      </c>
      <c r="B458" s="281" t="s">
        <v>4094</v>
      </c>
      <c r="C458" s="27" t="s">
        <v>4370</v>
      </c>
      <c r="D458" s="27" t="s">
        <v>4372</v>
      </c>
      <c r="E458" s="27" t="s">
        <v>4374</v>
      </c>
      <c r="F458" s="45"/>
      <c r="G458" s="45"/>
      <c r="H458" s="45"/>
      <c r="I458" s="286"/>
      <c r="J458" s="297" t="s">
        <v>2000</v>
      </c>
      <c r="K458" s="286"/>
      <c r="L458" s="286"/>
      <c r="M458" s="286"/>
      <c r="N458" s="286"/>
      <c r="O458" s="286"/>
      <c r="P458" s="286"/>
      <c r="Q458" s="290" t="s">
        <v>150</v>
      </c>
      <c r="R458" s="286"/>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75"/>
      <c r="AP458" s="75"/>
      <c r="AQ458" s="75"/>
      <c r="AR458" s="75"/>
      <c r="AS458" s="75"/>
      <c r="AT458" s="75"/>
      <c r="AU458" s="75"/>
      <c r="AV458" s="75"/>
      <c r="AW458" s="75"/>
      <c r="AX458" s="75"/>
    </row>
    <row r="459" ht="15.75" customHeight="1">
      <c r="A459" s="280" t="s">
        <v>1306</v>
      </c>
      <c r="B459" s="281" t="s">
        <v>4103</v>
      </c>
      <c r="C459" s="27" t="s">
        <v>4385</v>
      </c>
      <c r="D459" s="27" t="s">
        <v>4387</v>
      </c>
      <c r="E459" s="27" t="s">
        <v>4388</v>
      </c>
      <c r="F459" s="45"/>
      <c r="G459" s="45"/>
      <c r="H459" s="45"/>
      <c r="I459" s="286"/>
      <c r="J459" s="297" t="s">
        <v>2000</v>
      </c>
      <c r="K459" s="286"/>
      <c r="L459" s="286"/>
      <c r="M459" s="286"/>
      <c r="N459" s="286"/>
      <c r="O459" s="286"/>
      <c r="P459" s="286"/>
      <c r="Q459" s="290" t="s">
        <v>150</v>
      </c>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75"/>
      <c r="AP459" s="75"/>
      <c r="AQ459" s="75"/>
      <c r="AR459" s="75"/>
      <c r="AS459" s="75"/>
      <c r="AT459" s="75"/>
      <c r="AU459" s="75"/>
      <c r="AV459" s="75"/>
      <c r="AW459" s="75"/>
      <c r="AX459" s="75"/>
    </row>
    <row r="460" ht="15.75" customHeight="1">
      <c r="A460" s="280" t="s">
        <v>1306</v>
      </c>
      <c r="B460" s="281" t="s">
        <v>4107</v>
      </c>
      <c r="C460" s="27" t="s">
        <v>4407</v>
      </c>
      <c r="D460" s="27" t="s">
        <v>4409</v>
      </c>
      <c r="E460" s="27" t="s">
        <v>4410</v>
      </c>
      <c r="F460" s="45"/>
      <c r="G460" s="45"/>
      <c r="H460" s="45"/>
      <c r="I460" s="286"/>
      <c r="J460" s="297" t="s">
        <v>2000</v>
      </c>
      <c r="K460" s="286"/>
      <c r="L460" s="286"/>
      <c r="M460" s="286"/>
      <c r="N460" s="286"/>
      <c r="O460" s="286"/>
      <c r="P460" s="286"/>
      <c r="Q460" s="290" t="s">
        <v>150</v>
      </c>
      <c r="R460" s="286"/>
      <c r="S460" s="286"/>
      <c r="T460" s="286"/>
      <c r="U460" s="286"/>
      <c r="V460" s="286"/>
      <c r="W460" s="286"/>
      <c r="X460" s="286"/>
      <c r="Y460" s="286"/>
      <c r="Z460" s="286"/>
      <c r="AA460" s="286"/>
      <c r="AB460" s="286"/>
      <c r="AC460" s="286"/>
      <c r="AD460" s="286"/>
      <c r="AE460" s="286"/>
      <c r="AF460" s="286"/>
      <c r="AG460" s="286"/>
      <c r="AH460" s="286"/>
      <c r="AI460" s="286"/>
      <c r="AJ460" s="286"/>
      <c r="AK460" s="286"/>
      <c r="AL460" s="286"/>
      <c r="AM460" s="286"/>
      <c r="AN460" s="286"/>
      <c r="AO460" s="75"/>
      <c r="AP460" s="75"/>
      <c r="AQ460" s="75"/>
      <c r="AR460" s="75"/>
      <c r="AS460" s="75"/>
      <c r="AT460" s="75"/>
      <c r="AU460" s="75"/>
      <c r="AV460" s="75"/>
      <c r="AW460" s="75"/>
      <c r="AX460" s="75"/>
    </row>
    <row r="461" ht="15.75" customHeight="1">
      <c r="A461" s="298" t="s">
        <v>237</v>
      </c>
      <c r="B461" s="310" t="s">
        <v>4064</v>
      </c>
      <c r="C461" s="226"/>
      <c r="D461" s="226"/>
      <c r="E461" s="226"/>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293"/>
      <c r="AE461" s="293"/>
      <c r="AF461" s="293"/>
      <c r="AG461" s="293"/>
      <c r="AH461" s="293"/>
      <c r="AI461" s="293"/>
      <c r="AJ461" s="293"/>
      <c r="AK461" s="293"/>
      <c r="AL461" s="293"/>
      <c r="AM461" s="293"/>
      <c r="AN461" s="293"/>
      <c r="AO461" s="75"/>
      <c r="AP461" s="75"/>
      <c r="AQ461" s="75"/>
      <c r="AR461" s="75"/>
      <c r="AS461" s="75"/>
      <c r="AT461" s="75"/>
      <c r="AU461" s="75"/>
      <c r="AV461" s="75"/>
      <c r="AW461" s="75"/>
      <c r="AX461" s="75"/>
    </row>
    <row r="462" ht="15.75" customHeight="1">
      <c r="A462" s="298" t="s">
        <v>133</v>
      </c>
      <c r="B462" s="299" t="s">
        <v>4142</v>
      </c>
      <c r="C462" s="147"/>
      <c r="D462" s="147"/>
      <c r="E462" s="147"/>
      <c r="F462" s="312"/>
      <c r="G462" s="312"/>
      <c r="H462" s="312"/>
      <c r="I462" s="312"/>
      <c r="J462" s="314" t="s">
        <v>1982</v>
      </c>
      <c r="K462" s="312"/>
      <c r="L462" s="312"/>
      <c r="M462" s="313"/>
      <c r="N462" s="313"/>
      <c r="O462" s="314" t="s">
        <v>4423</v>
      </c>
      <c r="P462" s="312"/>
      <c r="Q462" s="312"/>
      <c r="R462" s="312"/>
      <c r="S462" s="312"/>
      <c r="T462" s="312"/>
      <c r="U462" s="312"/>
      <c r="V462" s="312"/>
      <c r="W462" s="312"/>
      <c r="X462" s="312"/>
      <c r="Y462" s="312"/>
      <c r="Z462" s="312"/>
      <c r="AA462" s="312"/>
      <c r="AB462" s="312"/>
      <c r="AC462" s="312"/>
      <c r="AD462" s="312"/>
      <c r="AE462" s="312"/>
      <c r="AF462" s="312"/>
      <c r="AG462" s="312"/>
      <c r="AH462" s="312"/>
      <c r="AI462" s="312"/>
      <c r="AJ462" s="312"/>
      <c r="AK462" s="312"/>
      <c r="AL462" s="312"/>
      <c r="AM462" s="312"/>
      <c r="AN462" s="312"/>
      <c r="AO462" s="75"/>
      <c r="AP462" s="75"/>
      <c r="AQ462" s="75"/>
      <c r="AR462" s="75"/>
      <c r="AS462" s="75"/>
      <c r="AT462" s="75"/>
      <c r="AU462" s="75"/>
      <c r="AV462" s="75"/>
      <c r="AW462" s="75"/>
      <c r="AX462" s="75"/>
    </row>
    <row r="463" ht="15.75" customHeight="1">
      <c r="A463" s="278" t="s">
        <v>38</v>
      </c>
      <c r="B463" s="279" t="s">
        <v>4163</v>
      </c>
      <c r="C463" s="27" t="s">
        <v>4428</v>
      </c>
      <c r="D463" s="27" t="s">
        <v>4430</v>
      </c>
      <c r="E463" s="27" t="s">
        <v>4431</v>
      </c>
      <c r="F463" s="45"/>
      <c r="G463" s="45"/>
      <c r="H463" s="45"/>
      <c r="I463" s="284"/>
      <c r="J463" s="323" t="s">
        <v>8</v>
      </c>
      <c r="K463" s="284"/>
      <c r="L463" s="284"/>
      <c r="M463" s="284"/>
      <c r="N463" s="284"/>
      <c r="O463" s="284"/>
      <c r="P463" s="284"/>
      <c r="Q463" s="284"/>
      <c r="R463" s="284"/>
      <c r="S463" s="284"/>
      <c r="T463" s="284"/>
      <c r="U463" s="284"/>
      <c r="V463" s="284"/>
      <c r="W463" s="284"/>
      <c r="X463" s="284"/>
      <c r="Y463" s="284"/>
      <c r="Z463" s="284"/>
      <c r="AA463" s="284"/>
      <c r="AB463" s="284"/>
      <c r="AC463" s="284"/>
      <c r="AD463" s="293"/>
      <c r="AE463" s="293"/>
      <c r="AF463" s="293"/>
      <c r="AG463" s="293"/>
      <c r="AH463" s="293"/>
      <c r="AI463" s="293"/>
      <c r="AJ463" s="293"/>
      <c r="AK463" s="293"/>
      <c r="AL463" s="293"/>
      <c r="AM463" s="293"/>
      <c r="AN463" s="293"/>
      <c r="AO463" s="75"/>
      <c r="AP463" s="75"/>
      <c r="AQ463" s="75"/>
      <c r="AR463" s="75"/>
      <c r="AS463" s="75"/>
      <c r="AT463" s="75"/>
      <c r="AU463" s="75"/>
      <c r="AV463" s="75"/>
      <c r="AW463" s="75"/>
      <c r="AX463" s="75"/>
    </row>
    <row r="464" ht="15.75" customHeight="1">
      <c r="A464" s="282" t="s">
        <v>252</v>
      </c>
      <c r="B464" s="283" t="s">
        <v>4169</v>
      </c>
      <c r="C464" s="27" t="s">
        <v>4438</v>
      </c>
      <c r="D464" s="27" t="s">
        <v>4440</v>
      </c>
      <c r="E464" s="27" t="s">
        <v>4442</v>
      </c>
      <c r="F464" s="45" t="s">
        <v>2429</v>
      </c>
      <c r="G464" s="45" t="s">
        <v>2430</v>
      </c>
      <c r="H464" s="45" t="s">
        <v>2431</v>
      </c>
      <c r="I464" s="293"/>
      <c r="J464" s="324" t="s">
        <v>2000</v>
      </c>
      <c r="K464" s="293"/>
      <c r="L464" s="293"/>
      <c r="M464" s="293"/>
      <c r="N464" s="293"/>
      <c r="O464" s="296" t="s">
        <v>4446</v>
      </c>
      <c r="P464" s="293"/>
      <c r="Q464" s="296" t="s">
        <v>150</v>
      </c>
      <c r="R464" s="293"/>
      <c r="S464" s="293"/>
      <c r="T464" s="293"/>
      <c r="U464" s="293"/>
      <c r="V464" s="293"/>
      <c r="W464" s="293"/>
      <c r="X464" s="293"/>
      <c r="Y464" s="293"/>
      <c r="Z464" s="293"/>
      <c r="AA464" s="293"/>
      <c r="AB464" s="293"/>
      <c r="AC464" s="293"/>
      <c r="AD464" s="293"/>
      <c r="AE464" s="293"/>
      <c r="AF464" s="293"/>
      <c r="AG464" s="293"/>
      <c r="AH464" s="293"/>
      <c r="AI464" s="293"/>
      <c r="AJ464" s="293"/>
      <c r="AK464" s="293"/>
      <c r="AL464" s="293"/>
      <c r="AM464" s="293"/>
      <c r="AN464" s="293"/>
      <c r="AO464" s="75"/>
      <c r="AP464" s="75"/>
      <c r="AQ464" s="75"/>
      <c r="AR464" s="75"/>
      <c r="AS464" s="75"/>
      <c r="AT464" s="75"/>
      <c r="AU464" s="75"/>
      <c r="AV464" s="75"/>
      <c r="AW464" s="75"/>
      <c r="AX464" s="75"/>
    </row>
    <row r="465" ht="15.75" customHeight="1">
      <c r="A465" s="282" t="s">
        <v>252</v>
      </c>
      <c r="B465" s="283" t="s">
        <v>4179</v>
      </c>
      <c r="C465" s="27" t="s">
        <v>4454</v>
      </c>
      <c r="D465" s="27" t="s">
        <v>4455</v>
      </c>
      <c r="E465" s="27" t="s">
        <v>4457</v>
      </c>
      <c r="F465" s="45" t="s">
        <v>2429</v>
      </c>
      <c r="G465" s="45" t="s">
        <v>2430</v>
      </c>
      <c r="H465" s="45" t="s">
        <v>2431</v>
      </c>
      <c r="I465" s="293"/>
      <c r="J465" s="324" t="s">
        <v>2000</v>
      </c>
      <c r="K465" s="293"/>
      <c r="L465" s="293"/>
      <c r="M465" s="293"/>
      <c r="N465" s="293"/>
      <c r="O465" s="296" t="s">
        <v>4460</v>
      </c>
      <c r="P465" s="293"/>
      <c r="Q465" s="296" t="s">
        <v>150</v>
      </c>
      <c r="R465" s="293"/>
      <c r="S465" s="293"/>
      <c r="T465" s="293"/>
      <c r="U465" s="293"/>
      <c r="V465" s="293"/>
      <c r="W465" s="293"/>
      <c r="X465" s="293"/>
      <c r="Y465" s="293"/>
      <c r="Z465" s="293"/>
      <c r="AA465" s="293"/>
      <c r="AB465" s="293"/>
      <c r="AC465" s="293"/>
      <c r="AD465" s="293"/>
      <c r="AE465" s="293"/>
      <c r="AF465" s="293"/>
      <c r="AG465" s="293"/>
      <c r="AH465" s="293"/>
      <c r="AI465" s="293"/>
      <c r="AJ465" s="293"/>
      <c r="AK465" s="293"/>
      <c r="AL465" s="293"/>
      <c r="AM465" s="293"/>
      <c r="AN465" s="293"/>
      <c r="AO465" s="75"/>
      <c r="AP465" s="75"/>
      <c r="AQ465" s="75"/>
      <c r="AR465" s="75"/>
      <c r="AS465" s="75"/>
      <c r="AT465" s="75"/>
      <c r="AU465" s="75"/>
      <c r="AV465" s="75"/>
      <c r="AW465" s="75"/>
      <c r="AX465" s="75"/>
    </row>
    <row r="466" ht="15.75" customHeight="1">
      <c r="A466" s="282" t="s">
        <v>252</v>
      </c>
      <c r="B466" s="283" t="s">
        <v>4186</v>
      </c>
      <c r="C466" s="27" t="s">
        <v>4470</v>
      </c>
      <c r="D466" s="27" t="s">
        <v>4471</v>
      </c>
      <c r="E466" s="27" t="s">
        <v>4472</v>
      </c>
      <c r="F466" s="45" t="s">
        <v>2429</v>
      </c>
      <c r="G466" s="45" t="s">
        <v>2430</v>
      </c>
      <c r="H466" s="45" t="s">
        <v>2431</v>
      </c>
      <c r="I466" s="293"/>
      <c r="J466" s="324" t="s">
        <v>2000</v>
      </c>
      <c r="K466" s="293"/>
      <c r="L466" s="293"/>
      <c r="M466" s="293"/>
      <c r="N466" s="293"/>
      <c r="O466" s="296" t="s">
        <v>4474</v>
      </c>
      <c r="P466" s="293"/>
      <c r="Q466" s="296" t="s">
        <v>150</v>
      </c>
      <c r="R466" s="293"/>
      <c r="S466" s="293"/>
      <c r="T466" s="293"/>
      <c r="U466" s="293"/>
      <c r="V466" s="293"/>
      <c r="W466" s="293"/>
      <c r="X466" s="293"/>
      <c r="Y466" s="293"/>
      <c r="Z466" s="293"/>
      <c r="AA466" s="293"/>
      <c r="AB466" s="293"/>
      <c r="AC466" s="293"/>
      <c r="AD466" s="293"/>
      <c r="AE466" s="293"/>
      <c r="AF466" s="293"/>
      <c r="AG466" s="293"/>
      <c r="AH466" s="293"/>
      <c r="AI466" s="293"/>
      <c r="AJ466" s="293"/>
      <c r="AK466" s="293"/>
      <c r="AL466" s="293"/>
      <c r="AM466" s="293"/>
      <c r="AN466" s="293"/>
      <c r="AO466" s="75"/>
      <c r="AP466" s="75"/>
      <c r="AQ466" s="75"/>
      <c r="AR466" s="75"/>
      <c r="AS466" s="75"/>
      <c r="AT466" s="75"/>
      <c r="AU466" s="75"/>
      <c r="AV466" s="75"/>
      <c r="AW466" s="75"/>
      <c r="AX466" s="75"/>
    </row>
    <row r="467" ht="15.75" customHeight="1">
      <c r="A467" s="282" t="s">
        <v>252</v>
      </c>
      <c r="B467" s="283" t="s">
        <v>4215</v>
      </c>
      <c r="C467" s="27" t="s">
        <v>4482</v>
      </c>
      <c r="D467" s="27" t="s">
        <v>4483</v>
      </c>
      <c r="E467" s="27" t="s">
        <v>4484</v>
      </c>
      <c r="F467" s="45" t="s">
        <v>2429</v>
      </c>
      <c r="G467" s="45" t="s">
        <v>2430</v>
      </c>
      <c r="H467" s="45" t="s">
        <v>2431</v>
      </c>
      <c r="I467" s="293"/>
      <c r="J467" s="324" t="s">
        <v>2000</v>
      </c>
      <c r="K467" s="293"/>
      <c r="L467" s="293"/>
      <c r="M467" s="293"/>
      <c r="N467" s="293"/>
      <c r="O467" s="296" t="s">
        <v>4485</v>
      </c>
      <c r="P467" s="293"/>
      <c r="Q467" s="296" t="s">
        <v>150</v>
      </c>
      <c r="R467" s="293"/>
      <c r="S467" s="293"/>
      <c r="T467" s="293"/>
      <c r="U467" s="293"/>
      <c r="V467" s="293"/>
      <c r="W467" s="293"/>
      <c r="X467" s="293"/>
      <c r="Y467" s="293"/>
      <c r="Z467" s="293"/>
      <c r="AA467" s="293"/>
      <c r="AB467" s="293"/>
      <c r="AC467" s="293"/>
      <c r="AD467" s="293"/>
      <c r="AE467" s="293"/>
      <c r="AF467" s="293"/>
      <c r="AG467" s="293"/>
      <c r="AH467" s="293"/>
      <c r="AI467" s="293"/>
      <c r="AJ467" s="293"/>
      <c r="AK467" s="293"/>
      <c r="AL467" s="293"/>
      <c r="AM467" s="293"/>
      <c r="AN467" s="293"/>
      <c r="AO467" s="75"/>
      <c r="AP467" s="75"/>
      <c r="AQ467" s="75"/>
      <c r="AR467" s="75"/>
      <c r="AS467" s="75"/>
      <c r="AT467" s="75"/>
      <c r="AU467" s="75"/>
      <c r="AV467" s="75"/>
      <c r="AW467" s="75"/>
      <c r="AX467" s="75"/>
    </row>
    <row r="468" ht="15.75" customHeight="1">
      <c r="A468" s="298" t="s">
        <v>237</v>
      </c>
      <c r="B468" s="310" t="s">
        <v>4142</v>
      </c>
      <c r="C468" s="226"/>
      <c r="D468" s="226"/>
      <c r="E468" s="226"/>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312"/>
      <c r="AH468" s="312"/>
      <c r="AI468" s="312"/>
      <c r="AJ468" s="312"/>
      <c r="AK468" s="312"/>
      <c r="AL468" s="312"/>
      <c r="AM468" s="312"/>
      <c r="AN468" s="312"/>
      <c r="AO468" s="75"/>
      <c r="AP468" s="75"/>
      <c r="AQ468" s="75"/>
      <c r="AR468" s="75"/>
      <c r="AS468" s="75"/>
      <c r="AT468" s="75"/>
      <c r="AU468" s="75"/>
      <c r="AV468" s="75"/>
      <c r="AW468" s="75"/>
      <c r="AX468" s="75"/>
    </row>
    <row r="469" ht="15.75" customHeight="1">
      <c r="A469" s="302"/>
      <c r="B469" s="300"/>
      <c r="C469" s="147"/>
      <c r="D469" s="226"/>
      <c r="E469" s="226"/>
      <c r="F469" s="312"/>
      <c r="G469" s="312"/>
      <c r="H469" s="312"/>
      <c r="I469" s="313"/>
      <c r="J469" s="313"/>
      <c r="K469" s="312"/>
      <c r="L469" s="313"/>
      <c r="M469" s="313"/>
      <c r="N469" s="313"/>
      <c r="O469" s="313"/>
      <c r="P469" s="312"/>
      <c r="Q469" s="312"/>
      <c r="R469" s="312"/>
      <c r="S469" s="312"/>
      <c r="T469" s="312"/>
      <c r="U469" s="312"/>
      <c r="V469" s="312"/>
      <c r="W469" s="312"/>
      <c r="X469" s="312"/>
      <c r="Y469" s="312"/>
      <c r="Z469" s="312"/>
      <c r="AA469" s="312"/>
      <c r="AB469" s="312"/>
      <c r="AC469" s="312"/>
      <c r="AD469" s="75"/>
      <c r="AE469" s="75"/>
      <c r="AF469" s="75"/>
      <c r="AG469" s="75"/>
      <c r="AH469" s="75"/>
      <c r="AI469" s="75"/>
      <c r="AJ469" s="75"/>
      <c r="AK469" s="75"/>
      <c r="AL469" s="75"/>
      <c r="AM469" s="75"/>
      <c r="AN469" s="75"/>
      <c r="AO469" s="75"/>
      <c r="AP469" s="75"/>
      <c r="AQ469" s="75"/>
      <c r="AR469" s="75"/>
      <c r="AS469" s="75"/>
      <c r="AT469" s="75"/>
      <c r="AU469" s="75"/>
      <c r="AV469" s="75"/>
      <c r="AW469" s="75"/>
      <c r="AX469" s="75"/>
    </row>
    <row r="470" ht="15.75" customHeight="1">
      <c r="A470" s="278" t="s">
        <v>38</v>
      </c>
      <c r="B470" s="279" t="s">
        <v>4234</v>
      </c>
      <c r="C470" s="27" t="s">
        <v>4528</v>
      </c>
      <c r="D470" s="27" t="s">
        <v>4529</v>
      </c>
      <c r="E470" s="27" t="s">
        <v>4530</v>
      </c>
      <c r="F470" s="45"/>
      <c r="G470" s="45"/>
      <c r="H470" s="45"/>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75"/>
      <c r="AP470" s="75"/>
      <c r="AQ470" s="75"/>
      <c r="AR470" s="75"/>
      <c r="AS470" s="75"/>
      <c r="AT470" s="75"/>
      <c r="AU470" s="75"/>
      <c r="AV470" s="75"/>
      <c r="AW470" s="75"/>
      <c r="AX470" s="75"/>
    </row>
    <row r="471" ht="15.75" customHeight="1">
      <c r="A471" s="280" t="s">
        <v>2509</v>
      </c>
      <c r="B471" s="281" t="s">
        <v>4242</v>
      </c>
      <c r="C471" s="27" t="s">
        <v>4542</v>
      </c>
      <c r="D471" s="27" t="s">
        <v>4543</v>
      </c>
      <c r="E471" s="27" t="s">
        <v>4544</v>
      </c>
      <c r="F471" s="45"/>
      <c r="G471" s="45"/>
      <c r="H471" s="45"/>
      <c r="I471" s="286"/>
      <c r="J471" s="287"/>
      <c r="K471" s="286"/>
      <c r="L471" s="286"/>
      <c r="M471" s="286"/>
      <c r="N471" s="286"/>
      <c r="O471" s="286"/>
      <c r="P471" s="286"/>
      <c r="Q471" s="290" t="s">
        <v>150</v>
      </c>
      <c r="R471" s="286"/>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75"/>
      <c r="AP471" s="75"/>
      <c r="AQ471" s="75"/>
      <c r="AR471" s="75"/>
      <c r="AS471" s="75"/>
      <c r="AT471" s="75"/>
      <c r="AU471" s="75"/>
      <c r="AV471" s="75"/>
      <c r="AW471" s="75"/>
      <c r="AX471" s="75"/>
    </row>
    <row r="472" ht="15.75" customHeight="1">
      <c r="A472" s="291" t="s">
        <v>268</v>
      </c>
      <c r="B472" s="292" t="s">
        <v>4252</v>
      </c>
      <c r="C472" s="27" t="s">
        <v>2025</v>
      </c>
      <c r="D472" s="27" t="s">
        <v>2026</v>
      </c>
      <c r="E472" s="27" t="s">
        <v>4553</v>
      </c>
      <c r="F472" s="45"/>
      <c r="G472" s="45"/>
      <c r="H472" s="45"/>
      <c r="I472" s="306"/>
      <c r="J472" s="306"/>
      <c r="K472" s="307" t="s">
        <v>4558</v>
      </c>
      <c r="L472" s="308"/>
      <c r="M472" s="306"/>
      <c r="N472" s="306"/>
      <c r="O472" s="309" t="s">
        <v>4559</v>
      </c>
      <c r="P472" s="306"/>
      <c r="Q472" s="309" t="s">
        <v>150</v>
      </c>
      <c r="R472" s="306"/>
      <c r="S472" s="306"/>
      <c r="T472" s="306"/>
      <c r="U472" s="306"/>
      <c r="V472" s="306"/>
      <c r="W472" s="306"/>
      <c r="X472" s="306"/>
      <c r="Y472" s="306"/>
      <c r="Z472" s="306"/>
      <c r="AA472" s="306"/>
      <c r="AB472" s="306"/>
      <c r="AC472" s="306"/>
      <c r="AD472" s="306"/>
      <c r="AE472" s="306"/>
      <c r="AF472" s="306"/>
      <c r="AG472" s="306"/>
      <c r="AH472" s="306"/>
      <c r="AI472" s="306"/>
      <c r="AJ472" s="306"/>
      <c r="AK472" s="306"/>
      <c r="AL472" s="306"/>
      <c r="AM472" s="306"/>
      <c r="AN472" s="306"/>
      <c r="AO472" s="75"/>
      <c r="AP472" s="75"/>
      <c r="AQ472" s="75"/>
      <c r="AR472" s="75"/>
      <c r="AS472" s="75"/>
      <c r="AT472" s="75"/>
      <c r="AU472" s="75"/>
      <c r="AV472" s="75"/>
      <c r="AW472" s="75"/>
      <c r="AX472" s="75"/>
    </row>
    <row r="473" ht="15.75" customHeight="1">
      <c r="A473" s="280" t="s">
        <v>2509</v>
      </c>
      <c r="B473" s="281" t="s">
        <v>4270</v>
      </c>
      <c r="C473" s="27" t="s">
        <v>4573</v>
      </c>
      <c r="D473" s="27" t="s">
        <v>4574</v>
      </c>
      <c r="E473" s="27" t="s">
        <v>4575</v>
      </c>
      <c r="F473" s="45"/>
      <c r="G473" s="45"/>
      <c r="H473" s="45"/>
      <c r="I473" s="286"/>
      <c r="J473" s="287"/>
      <c r="K473" s="286"/>
      <c r="L473" s="286"/>
      <c r="M473" s="286"/>
      <c r="N473" s="286"/>
      <c r="O473" s="286"/>
      <c r="P473" s="286"/>
      <c r="Q473" s="290" t="s">
        <v>150</v>
      </c>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75"/>
      <c r="AP473" s="75"/>
      <c r="AQ473" s="75"/>
      <c r="AR473" s="75"/>
      <c r="AS473" s="75"/>
      <c r="AT473" s="75"/>
      <c r="AU473" s="75"/>
      <c r="AV473" s="75"/>
      <c r="AW473" s="75"/>
      <c r="AX473" s="75"/>
    </row>
    <row r="474" ht="15.75" customHeight="1">
      <c r="A474" s="291" t="s">
        <v>268</v>
      </c>
      <c r="B474" s="292" t="s">
        <v>4281</v>
      </c>
      <c r="C474" s="27" t="s">
        <v>4581</v>
      </c>
      <c r="D474" s="27" t="s">
        <v>4582</v>
      </c>
      <c r="E474" s="27" t="s">
        <v>4583</v>
      </c>
      <c r="F474" s="45"/>
      <c r="G474" s="45"/>
      <c r="H474" s="45"/>
      <c r="I474" s="306"/>
      <c r="J474" s="306"/>
      <c r="K474" s="307" t="s">
        <v>4558</v>
      </c>
      <c r="L474" s="308"/>
      <c r="M474" s="306"/>
      <c r="N474" s="306"/>
      <c r="O474" s="309" t="s">
        <v>4586</v>
      </c>
      <c r="P474" s="306"/>
      <c r="Q474" s="309" t="s">
        <v>150</v>
      </c>
      <c r="R474" s="306"/>
      <c r="S474" s="306"/>
      <c r="T474" s="306"/>
      <c r="U474" s="306"/>
      <c r="V474" s="306"/>
      <c r="W474" s="306"/>
      <c r="X474" s="306"/>
      <c r="Y474" s="306"/>
      <c r="Z474" s="306"/>
      <c r="AA474" s="306"/>
      <c r="AB474" s="306"/>
      <c r="AC474" s="306"/>
      <c r="AD474" s="306"/>
      <c r="AE474" s="306"/>
      <c r="AF474" s="306"/>
      <c r="AG474" s="306"/>
      <c r="AH474" s="306"/>
      <c r="AI474" s="306"/>
      <c r="AJ474" s="306"/>
      <c r="AK474" s="306"/>
      <c r="AL474" s="306"/>
      <c r="AM474" s="306"/>
      <c r="AN474" s="306"/>
      <c r="AO474" s="75"/>
      <c r="AP474" s="75"/>
      <c r="AQ474" s="75"/>
      <c r="AR474" s="75"/>
      <c r="AS474" s="75"/>
      <c r="AT474" s="75"/>
      <c r="AU474" s="75"/>
      <c r="AV474" s="75"/>
      <c r="AW474" s="75"/>
      <c r="AX474" s="75"/>
    </row>
    <row r="475" ht="15.75" customHeight="1">
      <c r="A475" s="291" t="s">
        <v>268</v>
      </c>
      <c r="B475" s="292" t="s">
        <v>4288</v>
      </c>
      <c r="C475" s="27" t="s">
        <v>4592</v>
      </c>
      <c r="D475" s="27" t="s">
        <v>4593</v>
      </c>
      <c r="E475" s="27" t="s">
        <v>4594</v>
      </c>
      <c r="F475" s="45"/>
      <c r="G475" s="45"/>
      <c r="H475" s="45"/>
      <c r="I475" s="306"/>
      <c r="J475" s="306"/>
      <c r="K475" s="307" t="s">
        <v>4558</v>
      </c>
      <c r="L475" s="308"/>
      <c r="M475" s="306"/>
      <c r="N475" s="306"/>
      <c r="O475" s="306"/>
      <c r="P475" s="306"/>
      <c r="Q475" s="309" t="s">
        <v>150</v>
      </c>
      <c r="R475" s="306"/>
      <c r="S475" s="306"/>
      <c r="T475" s="306"/>
      <c r="U475" s="306"/>
      <c r="V475" s="306"/>
      <c r="W475" s="306"/>
      <c r="X475" s="306"/>
      <c r="Y475" s="306"/>
      <c r="Z475" s="306"/>
      <c r="AA475" s="306"/>
      <c r="AB475" s="306"/>
      <c r="AC475" s="306"/>
      <c r="AD475" s="306"/>
      <c r="AE475" s="306"/>
      <c r="AF475" s="306"/>
      <c r="AG475" s="306"/>
      <c r="AH475" s="306"/>
      <c r="AI475" s="306"/>
      <c r="AJ475" s="306"/>
      <c r="AK475" s="306"/>
      <c r="AL475" s="306"/>
      <c r="AM475" s="306"/>
      <c r="AN475" s="306"/>
      <c r="AO475" s="75"/>
      <c r="AP475" s="75"/>
      <c r="AQ475" s="75"/>
      <c r="AR475" s="75"/>
      <c r="AS475" s="75"/>
      <c r="AT475" s="75"/>
      <c r="AU475" s="75"/>
      <c r="AV475" s="75"/>
      <c r="AW475" s="75"/>
      <c r="AX475" s="75"/>
    </row>
    <row r="476" ht="15.75" customHeight="1">
      <c r="A476" s="280" t="s">
        <v>2509</v>
      </c>
      <c r="B476" s="281" t="s">
        <v>4297</v>
      </c>
      <c r="C476" s="27" t="s">
        <v>4604</v>
      </c>
      <c r="D476" s="27" t="s">
        <v>4606</v>
      </c>
      <c r="E476" s="27" t="s">
        <v>4609</v>
      </c>
      <c r="F476" s="45"/>
      <c r="G476" s="45"/>
      <c r="H476" s="45"/>
      <c r="I476" s="286"/>
      <c r="J476" s="287"/>
      <c r="K476" s="286"/>
      <c r="L476" s="286"/>
      <c r="M476" s="286"/>
      <c r="N476" s="286"/>
      <c r="O476" s="286"/>
      <c r="P476" s="286"/>
      <c r="Q476" s="290" t="s">
        <v>150</v>
      </c>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75"/>
      <c r="AP476" s="75"/>
      <c r="AQ476" s="75"/>
      <c r="AR476" s="75"/>
      <c r="AS476" s="75"/>
      <c r="AT476" s="75"/>
      <c r="AU476" s="75"/>
      <c r="AV476" s="75"/>
      <c r="AW476" s="75"/>
      <c r="AX476" s="75"/>
    </row>
    <row r="477" ht="15.75" customHeight="1">
      <c r="A477" s="291" t="s">
        <v>268</v>
      </c>
      <c r="B477" s="292" t="s">
        <v>4302</v>
      </c>
      <c r="C477" s="27" t="s">
        <v>4615</v>
      </c>
      <c r="D477" s="27" t="s">
        <v>4616</v>
      </c>
      <c r="E477" s="27" t="s">
        <v>4618</v>
      </c>
      <c r="F477" s="45"/>
      <c r="G477" s="45"/>
      <c r="H477" s="45"/>
      <c r="I477" s="306"/>
      <c r="J477" s="306"/>
      <c r="K477" s="307" t="s">
        <v>4558</v>
      </c>
      <c r="L477" s="308"/>
      <c r="M477" s="306"/>
      <c r="N477" s="306"/>
      <c r="O477" s="309" t="s">
        <v>4623</v>
      </c>
      <c r="P477" s="306"/>
      <c r="Q477" s="309" t="s">
        <v>150</v>
      </c>
      <c r="R477" s="306"/>
      <c r="S477" s="306"/>
      <c r="T477" s="306"/>
      <c r="U477" s="306"/>
      <c r="V477" s="306"/>
      <c r="W477" s="306"/>
      <c r="X477" s="306"/>
      <c r="Y477" s="306"/>
      <c r="Z477" s="306"/>
      <c r="AA477" s="306"/>
      <c r="AB477" s="306"/>
      <c r="AC477" s="306"/>
      <c r="AD477" s="306"/>
      <c r="AE477" s="306"/>
      <c r="AF477" s="306"/>
      <c r="AG477" s="306"/>
      <c r="AH477" s="306"/>
      <c r="AI477" s="306"/>
      <c r="AJ477" s="306"/>
      <c r="AK477" s="306"/>
      <c r="AL477" s="306"/>
      <c r="AM477" s="306"/>
      <c r="AN477" s="306"/>
      <c r="AO477" s="75"/>
      <c r="AP477" s="75"/>
      <c r="AQ477" s="75"/>
      <c r="AR477" s="75"/>
      <c r="AS477" s="75"/>
      <c r="AT477" s="75"/>
      <c r="AU477" s="75"/>
      <c r="AV477" s="75"/>
      <c r="AW477" s="75"/>
      <c r="AX477" s="75"/>
    </row>
    <row r="478" ht="15.75" customHeight="1">
      <c r="A478" s="280" t="s">
        <v>2509</v>
      </c>
      <c r="B478" s="281" t="s">
        <v>4312</v>
      </c>
      <c r="C478" s="27" t="s">
        <v>4629</v>
      </c>
      <c r="D478" s="27" t="s">
        <v>4631</v>
      </c>
      <c r="E478" s="27" t="s">
        <v>4632</v>
      </c>
      <c r="F478" s="45"/>
      <c r="G478" s="45"/>
      <c r="H478" s="45"/>
      <c r="I478" s="286"/>
      <c r="J478" s="287"/>
      <c r="K478" s="286"/>
      <c r="L478" s="286"/>
      <c r="M478" s="286"/>
      <c r="N478" s="286"/>
      <c r="O478" s="286"/>
      <c r="P478" s="286"/>
      <c r="Q478" s="290" t="s">
        <v>150</v>
      </c>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75"/>
      <c r="AP478" s="75"/>
      <c r="AQ478" s="75"/>
      <c r="AR478" s="75"/>
      <c r="AS478" s="75"/>
      <c r="AT478" s="75"/>
      <c r="AU478" s="75"/>
      <c r="AV478" s="75"/>
      <c r="AW478" s="75"/>
      <c r="AX478" s="75"/>
    </row>
    <row r="479" ht="15.75" customHeight="1">
      <c r="A479" s="291" t="s">
        <v>268</v>
      </c>
      <c r="B479" s="292" t="s">
        <v>4316</v>
      </c>
      <c r="C479" s="27" t="s">
        <v>4643</v>
      </c>
      <c r="D479" s="27" t="s">
        <v>4644</v>
      </c>
      <c r="E479" s="27" t="s">
        <v>4645</v>
      </c>
      <c r="F479" s="45"/>
      <c r="G479" s="45"/>
      <c r="H479" s="45"/>
      <c r="I479" s="306"/>
      <c r="J479" s="306"/>
      <c r="K479" s="307" t="s">
        <v>4558</v>
      </c>
      <c r="L479" s="308"/>
      <c r="M479" s="306"/>
      <c r="N479" s="306"/>
      <c r="O479" s="309" t="s">
        <v>4651</v>
      </c>
      <c r="P479" s="306"/>
      <c r="Q479" s="309" t="s">
        <v>150</v>
      </c>
      <c r="R479" s="306"/>
      <c r="S479" s="306"/>
      <c r="T479" s="306"/>
      <c r="U479" s="306"/>
      <c r="V479" s="306"/>
      <c r="W479" s="306"/>
      <c r="X479" s="306"/>
      <c r="Y479" s="306"/>
      <c r="Z479" s="306"/>
      <c r="AA479" s="306"/>
      <c r="AB479" s="306"/>
      <c r="AC479" s="306"/>
      <c r="AD479" s="306"/>
      <c r="AE479" s="306"/>
      <c r="AF479" s="306"/>
      <c r="AG479" s="306"/>
      <c r="AH479" s="306"/>
      <c r="AI479" s="306"/>
      <c r="AJ479" s="306"/>
      <c r="AK479" s="306"/>
      <c r="AL479" s="306"/>
      <c r="AM479" s="306"/>
      <c r="AN479" s="306"/>
      <c r="AO479" s="75"/>
      <c r="AP479" s="75"/>
      <c r="AQ479" s="75"/>
      <c r="AR479" s="75"/>
      <c r="AS479" s="75"/>
      <c r="AT479" s="75"/>
      <c r="AU479" s="75"/>
      <c r="AV479" s="75"/>
      <c r="AW479" s="75"/>
      <c r="AX479" s="75"/>
    </row>
    <row r="480" ht="15.75" customHeight="1">
      <c r="A480" s="291" t="s">
        <v>268</v>
      </c>
      <c r="B480" s="292" t="s">
        <v>4322</v>
      </c>
      <c r="C480" s="27" t="s">
        <v>4660</v>
      </c>
      <c r="D480" s="27" t="s">
        <v>4662</v>
      </c>
      <c r="E480" s="27" t="s">
        <v>4664</v>
      </c>
      <c r="F480" s="45"/>
      <c r="G480" s="45"/>
      <c r="H480" s="45"/>
      <c r="I480" s="306"/>
      <c r="J480" s="306"/>
      <c r="K480" s="307" t="s">
        <v>4558</v>
      </c>
      <c r="L480" s="308"/>
      <c r="M480" s="306"/>
      <c r="N480" s="306"/>
      <c r="O480" s="306"/>
      <c r="P480" s="306"/>
      <c r="Q480" s="309" t="s">
        <v>150</v>
      </c>
      <c r="R480" s="306"/>
      <c r="S480" s="306"/>
      <c r="T480" s="306"/>
      <c r="U480" s="306"/>
      <c r="V480" s="306"/>
      <c r="W480" s="306"/>
      <c r="X480" s="306"/>
      <c r="Y480" s="306"/>
      <c r="Z480" s="306"/>
      <c r="AA480" s="306"/>
      <c r="AB480" s="306"/>
      <c r="AC480" s="306"/>
      <c r="AD480" s="306"/>
      <c r="AE480" s="306"/>
      <c r="AF480" s="306"/>
      <c r="AG480" s="306"/>
      <c r="AH480" s="306"/>
      <c r="AI480" s="306"/>
      <c r="AJ480" s="306"/>
      <c r="AK480" s="306"/>
      <c r="AL480" s="306"/>
      <c r="AM480" s="306"/>
      <c r="AN480" s="306"/>
      <c r="AO480" s="75"/>
      <c r="AP480" s="75"/>
      <c r="AQ480" s="75"/>
      <c r="AR480" s="75"/>
      <c r="AS480" s="75"/>
      <c r="AT480" s="75"/>
      <c r="AU480" s="75"/>
      <c r="AV480" s="75"/>
      <c r="AW480" s="75"/>
      <c r="AX480" s="75"/>
    </row>
    <row r="481" ht="15.75" customHeight="1">
      <c r="A481" s="320"/>
      <c r="B481" s="321"/>
      <c r="C481" s="191" t="s">
        <v>50</v>
      </c>
      <c r="D481" s="191" t="s">
        <v>50</v>
      </c>
      <c r="E481" s="191" t="s">
        <v>50</v>
      </c>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row>
    <row r="482" ht="15.75" customHeight="1">
      <c r="A482" s="298" t="s">
        <v>133</v>
      </c>
      <c r="B482" s="299" t="s">
        <v>4330</v>
      </c>
      <c r="C482" s="147"/>
      <c r="D482" s="147"/>
      <c r="E482" s="147"/>
      <c r="F482" s="312"/>
      <c r="G482" s="312"/>
      <c r="H482" s="312"/>
      <c r="I482" s="312"/>
      <c r="J482" s="313"/>
      <c r="K482" s="312"/>
      <c r="L482" s="312"/>
      <c r="M482" s="313"/>
      <c r="N482" s="313"/>
      <c r="O482" s="313"/>
      <c r="P482" s="312"/>
      <c r="Q482" s="312"/>
      <c r="R482" s="312"/>
      <c r="S482" s="312"/>
      <c r="T482" s="312"/>
      <c r="U482" s="312"/>
      <c r="V482" s="312"/>
      <c r="W482" s="312"/>
      <c r="X482" s="312"/>
      <c r="Y482" s="312"/>
      <c r="Z482" s="312"/>
      <c r="AA482" s="312"/>
      <c r="AB482" s="312"/>
      <c r="AC482" s="312"/>
      <c r="AD482" s="75"/>
      <c r="AE482" s="75"/>
      <c r="AF482" s="75"/>
      <c r="AG482" s="75"/>
      <c r="AH482" s="75"/>
      <c r="AI482" s="75"/>
      <c r="AJ482" s="75"/>
      <c r="AK482" s="75"/>
      <c r="AL482" s="75"/>
      <c r="AM482" s="75"/>
      <c r="AN482" s="75"/>
      <c r="AO482" s="75"/>
      <c r="AP482" s="75"/>
      <c r="AQ482" s="75"/>
      <c r="AR482" s="75"/>
      <c r="AS482" s="75"/>
      <c r="AT482" s="75"/>
      <c r="AU482" s="75"/>
      <c r="AV482" s="75"/>
      <c r="AW482" s="75"/>
      <c r="AX482" s="75"/>
    </row>
    <row r="483" ht="15.75" customHeight="1">
      <c r="A483" s="280" t="s">
        <v>4334</v>
      </c>
      <c r="B483" s="281" t="s">
        <v>4335</v>
      </c>
      <c r="C483" s="27" t="s">
        <v>4692</v>
      </c>
      <c r="D483" s="27" t="s">
        <v>4693</v>
      </c>
      <c r="E483" s="27" t="s">
        <v>4694</v>
      </c>
      <c r="F483" s="45"/>
      <c r="G483" s="45"/>
      <c r="H483" s="45"/>
      <c r="I483" s="286"/>
      <c r="J483" s="287"/>
      <c r="K483" s="290" t="s">
        <v>4695</v>
      </c>
      <c r="L483" s="286"/>
      <c r="M483" s="286"/>
      <c r="N483" s="286"/>
      <c r="O483" s="286"/>
      <c r="P483" s="286"/>
      <c r="Q483" s="290" t="s">
        <v>150</v>
      </c>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75"/>
      <c r="AP483" s="75"/>
      <c r="AQ483" s="75"/>
      <c r="AR483" s="75"/>
      <c r="AS483" s="75"/>
      <c r="AT483" s="75"/>
      <c r="AU483" s="75"/>
      <c r="AV483" s="75"/>
      <c r="AW483" s="75"/>
      <c r="AX483" s="75"/>
    </row>
    <row r="484" ht="15.75" customHeight="1">
      <c r="A484" s="285" t="s">
        <v>426</v>
      </c>
      <c r="B484" s="171" t="s">
        <v>4346</v>
      </c>
      <c r="C484" s="172" t="s">
        <v>4347</v>
      </c>
      <c r="D484" s="172" t="s">
        <v>4348</v>
      </c>
      <c r="E484" s="172" t="s">
        <v>4349</v>
      </c>
      <c r="F484" s="304"/>
      <c r="G484" s="304"/>
      <c r="H484" s="304"/>
      <c r="I484" s="304"/>
      <c r="J484" s="304"/>
      <c r="K484" s="304"/>
      <c r="L484" s="304"/>
      <c r="M484" s="305"/>
      <c r="N484" s="305"/>
      <c r="O484" s="176" t="s">
        <v>4702</v>
      </c>
      <c r="P484" s="304"/>
      <c r="Q484" s="304"/>
      <c r="R484" s="304"/>
      <c r="S484" s="304"/>
      <c r="T484" s="304"/>
      <c r="U484" s="176" t="s">
        <v>4705</v>
      </c>
      <c r="V484" s="304"/>
      <c r="W484" s="304"/>
      <c r="X484" s="304"/>
      <c r="Y484" s="304"/>
      <c r="Z484" s="304"/>
      <c r="AA484" s="304"/>
      <c r="AB484" s="304"/>
      <c r="AC484" s="304"/>
      <c r="AD484" s="304"/>
      <c r="AE484" s="304"/>
      <c r="AF484" s="304"/>
      <c r="AG484" s="304"/>
      <c r="AH484" s="304"/>
      <c r="AI484" s="304"/>
      <c r="AJ484" s="304"/>
      <c r="AK484" s="304"/>
      <c r="AL484" s="304"/>
      <c r="AM484" s="304"/>
      <c r="AN484" s="304"/>
      <c r="AO484" s="75"/>
      <c r="AP484" s="75"/>
      <c r="AQ484" s="75"/>
      <c r="AR484" s="75"/>
      <c r="AS484" s="75"/>
      <c r="AT484" s="75"/>
      <c r="AU484" s="75"/>
      <c r="AV484" s="75"/>
      <c r="AW484" s="75"/>
      <c r="AX484" s="75"/>
    </row>
    <row r="485" ht="15.75" customHeight="1">
      <c r="A485" s="168" t="s">
        <v>68</v>
      </c>
      <c r="B485" s="71" t="s">
        <v>4353</v>
      </c>
      <c r="C485" s="72" t="s">
        <v>4354</v>
      </c>
      <c r="D485" s="72" t="s">
        <v>4355</v>
      </c>
      <c r="E485" s="72" t="s">
        <v>4356</v>
      </c>
      <c r="F485" s="73"/>
      <c r="G485" s="73"/>
      <c r="H485" s="73"/>
      <c r="I485" s="73"/>
      <c r="J485" s="73"/>
      <c r="K485" s="73"/>
      <c r="L485" s="73"/>
      <c r="M485" s="73"/>
      <c r="N485" s="73"/>
      <c r="O485" s="73"/>
      <c r="P485" s="73"/>
      <c r="Q485" s="73"/>
      <c r="R485" s="73"/>
      <c r="S485" s="73"/>
      <c r="T485" s="74" t="s">
        <v>4708</v>
      </c>
      <c r="U485" s="73"/>
      <c r="V485" s="73"/>
      <c r="W485" s="73"/>
      <c r="X485" s="73"/>
      <c r="Y485" s="73"/>
      <c r="Z485" s="73"/>
      <c r="AA485" s="73"/>
      <c r="AB485" s="73"/>
      <c r="AC485" s="73"/>
      <c r="AD485" s="73"/>
      <c r="AE485" s="73"/>
      <c r="AF485" s="73"/>
      <c r="AG485" s="73"/>
      <c r="AH485" s="73"/>
      <c r="AI485" s="73"/>
      <c r="AJ485" s="73"/>
      <c r="AK485" s="73"/>
      <c r="AL485" s="73"/>
      <c r="AM485" s="73"/>
      <c r="AN485" s="73"/>
      <c r="AO485" s="75"/>
      <c r="AP485" s="75"/>
      <c r="AQ485" s="75"/>
      <c r="AR485" s="75"/>
      <c r="AS485" s="75"/>
      <c r="AT485" s="75"/>
      <c r="AU485" s="75"/>
      <c r="AV485" s="75"/>
      <c r="AW485" s="75"/>
      <c r="AX485" s="75"/>
    </row>
    <row r="486" ht="15.75" customHeight="1">
      <c r="A486" s="291" t="s">
        <v>268</v>
      </c>
      <c r="B486" s="292" t="s">
        <v>4365</v>
      </c>
      <c r="C486" s="27" t="s">
        <v>4717</v>
      </c>
      <c r="D486" s="27" t="s">
        <v>4718</v>
      </c>
      <c r="E486" s="27" t="s">
        <v>4719</v>
      </c>
      <c r="F486" s="45"/>
      <c r="G486" s="45"/>
      <c r="H486" s="45"/>
      <c r="I486" s="306"/>
      <c r="J486" s="306"/>
      <c r="K486" s="307" t="s">
        <v>2550</v>
      </c>
      <c r="L486" s="308"/>
      <c r="M486" s="306"/>
      <c r="N486" s="306"/>
      <c r="O486" s="306"/>
      <c r="P486" s="306"/>
      <c r="Q486" s="309" t="s">
        <v>150</v>
      </c>
      <c r="R486" s="306"/>
      <c r="S486" s="306"/>
      <c r="T486" s="306"/>
      <c r="U486" s="306"/>
      <c r="V486" s="306"/>
      <c r="W486" s="306"/>
      <c r="X486" s="306"/>
      <c r="Y486" s="306"/>
      <c r="Z486" s="306"/>
      <c r="AA486" s="306"/>
      <c r="AB486" s="306"/>
      <c r="AC486" s="306"/>
      <c r="AD486" s="306"/>
      <c r="AE486" s="306"/>
      <c r="AF486" s="306"/>
      <c r="AG486" s="306"/>
      <c r="AH486" s="306"/>
      <c r="AI486" s="306"/>
      <c r="AJ486" s="306"/>
      <c r="AK486" s="306"/>
      <c r="AL486" s="306"/>
      <c r="AM486" s="306"/>
      <c r="AN486" s="306"/>
      <c r="AO486" s="75"/>
      <c r="AP486" s="75"/>
      <c r="AQ486" s="75"/>
      <c r="AR486" s="75"/>
      <c r="AS486" s="75"/>
      <c r="AT486" s="75"/>
      <c r="AU486" s="75"/>
      <c r="AV486" s="75"/>
      <c r="AW486" s="75"/>
      <c r="AX486" s="75"/>
    </row>
    <row r="487" ht="15.75" customHeight="1">
      <c r="A487" s="285" t="s">
        <v>468</v>
      </c>
      <c r="B487" s="185" t="s">
        <v>4346</v>
      </c>
      <c r="C487" s="186" t="s">
        <v>4347</v>
      </c>
      <c r="D487" s="186" t="s">
        <v>4348</v>
      </c>
      <c r="E487" s="186" t="s">
        <v>4349</v>
      </c>
      <c r="F487" s="304"/>
      <c r="G487" s="304"/>
      <c r="H487" s="304"/>
      <c r="I487" s="304"/>
      <c r="J487" s="304"/>
      <c r="K487" s="304"/>
      <c r="L487" s="304"/>
      <c r="M487" s="304"/>
      <c r="N487" s="304"/>
      <c r="O487" s="304"/>
      <c r="P487" s="304"/>
      <c r="Q487" s="304"/>
      <c r="R487" s="304"/>
      <c r="S487" s="304"/>
      <c r="T487" s="304"/>
      <c r="U487" s="304"/>
      <c r="V487" s="304"/>
      <c r="W487" s="304"/>
      <c r="X487" s="304"/>
      <c r="Y487" s="304"/>
      <c r="Z487" s="304"/>
      <c r="AA487" s="304"/>
      <c r="AB487" s="304"/>
      <c r="AC487" s="304"/>
      <c r="AD487" s="304"/>
      <c r="AE487" s="304"/>
      <c r="AF487" s="304"/>
      <c r="AG487" s="304"/>
      <c r="AH487" s="304"/>
      <c r="AI487" s="304"/>
      <c r="AJ487" s="304"/>
      <c r="AK487" s="304"/>
      <c r="AL487" s="304"/>
      <c r="AM487" s="304"/>
      <c r="AN487" s="304"/>
      <c r="AO487" s="75"/>
      <c r="AP487" s="75"/>
      <c r="AQ487" s="75"/>
      <c r="AR487" s="75"/>
      <c r="AS487" s="75"/>
      <c r="AT487" s="75"/>
      <c r="AU487" s="75"/>
      <c r="AV487" s="75"/>
      <c r="AW487" s="75"/>
      <c r="AX487" s="75"/>
    </row>
    <row r="488" ht="15.75" customHeight="1">
      <c r="A488" s="280" t="s">
        <v>4376</v>
      </c>
      <c r="B488" s="281" t="s">
        <v>4378</v>
      </c>
      <c r="C488" s="27" t="s">
        <v>4735</v>
      </c>
      <c r="D488" s="27" t="s">
        <v>4736</v>
      </c>
      <c r="E488" s="27" t="s">
        <v>4738</v>
      </c>
      <c r="F488" s="45"/>
      <c r="G488" s="45"/>
      <c r="H488" s="45"/>
      <c r="I488" s="286"/>
      <c r="J488" s="287"/>
      <c r="K488" s="290" t="s">
        <v>4695</v>
      </c>
      <c r="L488" s="286"/>
      <c r="M488" s="286"/>
      <c r="N488" s="286"/>
      <c r="O488" s="286"/>
      <c r="P488" s="286"/>
      <c r="Q488" s="290" t="s">
        <v>150</v>
      </c>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75"/>
      <c r="AP488" s="75"/>
      <c r="AQ488" s="75"/>
      <c r="AR488" s="75"/>
      <c r="AS488" s="75"/>
      <c r="AT488" s="75"/>
      <c r="AU488" s="75"/>
      <c r="AV488" s="75"/>
      <c r="AW488" s="75"/>
      <c r="AX488" s="75"/>
    </row>
    <row r="489" ht="15.75" customHeight="1">
      <c r="A489" s="285" t="s">
        <v>426</v>
      </c>
      <c r="B489" s="171" t="s">
        <v>4381</v>
      </c>
      <c r="C489" s="172" t="s">
        <v>4382</v>
      </c>
      <c r="D489" s="172" t="s">
        <v>4383</v>
      </c>
      <c r="E489" s="172" t="s">
        <v>4384</v>
      </c>
      <c r="F489" s="304"/>
      <c r="G489" s="304"/>
      <c r="H489" s="304"/>
      <c r="I489" s="304"/>
      <c r="J489" s="304"/>
      <c r="K489" s="304"/>
      <c r="L489" s="304"/>
      <c r="M489" s="305"/>
      <c r="N489" s="305"/>
      <c r="O489" s="176" t="s">
        <v>4750</v>
      </c>
      <c r="P489" s="304"/>
      <c r="Q489" s="304"/>
      <c r="R489" s="304"/>
      <c r="S489" s="304"/>
      <c r="T489" s="304"/>
      <c r="U489" s="176" t="s">
        <v>4751</v>
      </c>
      <c r="V489" s="304"/>
      <c r="W489" s="304"/>
      <c r="X489" s="304"/>
      <c r="Y489" s="304"/>
      <c r="Z489" s="304"/>
      <c r="AA489" s="304"/>
      <c r="AB489" s="304"/>
      <c r="AC489" s="304"/>
      <c r="AD489" s="304"/>
      <c r="AE489" s="304"/>
      <c r="AF489" s="304"/>
      <c r="AG489" s="304"/>
      <c r="AH489" s="304"/>
      <c r="AI489" s="304"/>
      <c r="AJ489" s="304"/>
      <c r="AK489" s="304"/>
      <c r="AL489" s="304"/>
      <c r="AM489" s="304"/>
      <c r="AN489" s="304"/>
      <c r="AO489" s="75"/>
      <c r="AP489" s="75"/>
      <c r="AQ489" s="75"/>
      <c r="AR489" s="75"/>
      <c r="AS489" s="75"/>
      <c r="AT489" s="75"/>
      <c r="AU489" s="75"/>
      <c r="AV489" s="75"/>
      <c r="AW489" s="75"/>
      <c r="AX489" s="75"/>
    </row>
    <row r="490" ht="15.75" customHeight="1">
      <c r="A490" s="168" t="s">
        <v>68</v>
      </c>
      <c r="B490" s="71" t="s">
        <v>4394</v>
      </c>
      <c r="C490" s="72" t="s">
        <v>4395</v>
      </c>
      <c r="D490" s="72" t="s">
        <v>4396</v>
      </c>
      <c r="E490" s="72" t="s">
        <v>4397</v>
      </c>
      <c r="F490" s="73"/>
      <c r="G490" s="73"/>
      <c r="H490" s="73"/>
      <c r="I490" s="73"/>
      <c r="J490" s="73"/>
      <c r="K490" s="73"/>
      <c r="L490" s="73"/>
      <c r="M490" s="73"/>
      <c r="N490" s="73"/>
      <c r="O490" s="73"/>
      <c r="P490" s="73"/>
      <c r="Q490" s="73"/>
      <c r="R490" s="73"/>
      <c r="S490" s="73"/>
      <c r="T490" s="74" t="s">
        <v>4764</v>
      </c>
      <c r="U490" s="73"/>
      <c r="V490" s="73"/>
      <c r="W490" s="73"/>
      <c r="X490" s="73"/>
      <c r="Y490" s="73"/>
      <c r="Z490" s="73"/>
      <c r="AA490" s="73"/>
      <c r="AB490" s="73"/>
      <c r="AC490" s="73"/>
      <c r="AD490" s="73"/>
      <c r="AE490" s="73"/>
      <c r="AF490" s="73"/>
      <c r="AG490" s="73"/>
      <c r="AH490" s="73"/>
      <c r="AI490" s="73"/>
      <c r="AJ490" s="73"/>
      <c r="AK490" s="73"/>
      <c r="AL490" s="73"/>
      <c r="AM490" s="73"/>
      <c r="AN490" s="73"/>
      <c r="AO490" s="75"/>
      <c r="AP490" s="75"/>
      <c r="AQ490" s="75"/>
      <c r="AR490" s="75"/>
      <c r="AS490" s="75"/>
      <c r="AT490" s="75"/>
      <c r="AU490" s="75"/>
      <c r="AV490" s="75"/>
      <c r="AW490" s="75"/>
      <c r="AX490" s="75"/>
    </row>
    <row r="491" ht="15.75" customHeight="1">
      <c r="A491" s="291" t="s">
        <v>268</v>
      </c>
      <c r="B491" s="292" t="s">
        <v>4401</v>
      </c>
      <c r="C491" s="27" t="s">
        <v>4769</v>
      </c>
      <c r="D491" s="27" t="s">
        <v>4770</v>
      </c>
      <c r="E491" s="27" t="s">
        <v>4771</v>
      </c>
      <c r="F491" s="45"/>
      <c r="G491" s="45"/>
      <c r="H491" s="45"/>
      <c r="I491" s="306"/>
      <c r="J491" s="306"/>
      <c r="K491" s="307" t="s">
        <v>2550</v>
      </c>
      <c r="L491" s="308"/>
      <c r="M491" s="306"/>
      <c r="N491" s="306"/>
      <c r="O491" s="306"/>
      <c r="P491" s="306"/>
      <c r="Q491" s="309" t="s">
        <v>150</v>
      </c>
      <c r="R491" s="306"/>
      <c r="S491" s="306"/>
      <c r="T491" s="306"/>
      <c r="U491" s="306"/>
      <c r="V491" s="306"/>
      <c r="W491" s="306"/>
      <c r="X491" s="306"/>
      <c r="Y491" s="306"/>
      <c r="Z491" s="306"/>
      <c r="AA491" s="306"/>
      <c r="AB491" s="306"/>
      <c r="AC491" s="306"/>
      <c r="AD491" s="306"/>
      <c r="AE491" s="306"/>
      <c r="AF491" s="306"/>
      <c r="AG491" s="306"/>
      <c r="AH491" s="306"/>
      <c r="AI491" s="306"/>
      <c r="AJ491" s="306"/>
      <c r="AK491" s="306"/>
      <c r="AL491" s="306"/>
      <c r="AM491" s="306"/>
      <c r="AN491" s="306"/>
      <c r="AO491" s="75"/>
      <c r="AP491" s="75"/>
      <c r="AQ491" s="75"/>
      <c r="AR491" s="75"/>
      <c r="AS491" s="75"/>
      <c r="AT491" s="75"/>
      <c r="AU491" s="75"/>
      <c r="AV491" s="75"/>
      <c r="AW491" s="75"/>
      <c r="AX491" s="75"/>
    </row>
    <row r="492" ht="15.75" customHeight="1">
      <c r="A492" s="285" t="s">
        <v>468</v>
      </c>
      <c r="B492" s="185" t="s">
        <v>4381</v>
      </c>
      <c r="C492" s="186" t="s">
        <v>4382</v>
      </c>
      <c r="D492" s="186" t="s">
        <v>4383</v>
      </c>
      <c r="E492" s="186" t="s">
        <v>4384</v>
      </c>
      <c r="F492" s="304"/>
      <c r="G492" s="304"/>
      <c r="H492" s="304"/>
      <c r="I492" s="304"/>
      <c r="J492" s="304"/>
      <c r="K492" s="304"/>
      <c r="L492" s="304"/>
      <c r="M492" s="304"/>
      <c r="N492" s="304"/>
      <c r="O492" s="304"/>
      <c r="P492" s="304"/>
      <c r="Q492" s="304"/>
      <c r="R492" s="304"/>
      <c r="S492" s="304"/>
      <c r="T492" s="304"/>
      <c r="U492" s="304"/>
      <c r="V492" s="304"/>
      <c r="W492" s="304"/>
      <c r="X492" s="304"/>
      <c r="Y492" s="304"/>
      <c r="Z492" s="304"/>
      <c r="AA492" s="304"/>
      <c r="AB492" s="304"/>
      <c r="AC492" s="304"/>
      <c r="AD492" s="304"/>
      <c r="AE492" s="304"/>
      <c r="AF492" s="304"/>
      <c r="AG492" s="304"/>
      <c r="AH492" s="304"/>
      <c r="AI492" s="304"/>
      <c r="AJ492" s="304"/>
      <c r="AK492" s="304"/>
      <c r="AL492" s="304"/>
      <c r="AM492" s="304"/>
      <c r="AN492" s="304"/>
      <c r="AO492" s="75"/>
      <c r="AP492" s="75"/>
      <c r="AQ492" s="75"/>
      <c r="AR492" s="75"/>
      <c r="AS492" s="75"/>
      <c r="AT492" s="75"/>
      <c r="AU492" s="75"/>
      <c r="AV492" s="75"/>
      <c r="AW492" s="75"/>
      <c r="AX492" s="75"/>
    </row>
    <row r="493" ht="15.75" customHeight="1">
      <c r="A493" s="298" t="s">
        <v>133</v>
      </c>
      <c r="B493" s="299" t="s">
        <v>4415</v>
      </c>
      <c r="C493" s="147"/>
      <c r="D493" s="147"/>
      <c r="E493" s="147"/>
      <c r="F493" s="312"/>
      <c r="G493" s="312"/>
      <c r="H493" s="312"/>
      <c r="I493" s="312"/>
      <c r="J493" s="314" t="s">
        <v>1982</v>
      </c>
      <c r="K493" s="312"/>
      <c r="L493" s="312"/>
      <c r="M493" s="313"/>
      <c r="N493" s="313"/>
      <c r="O493" s="313"/>
      <c r="P493" s="312"/>
      <c r="Q493" s="312"/>
      <c r="R493" s="312"/>
      <c r="S493" s="312"/>
      <c r="T493" s="312"/>
      <c r="U493" s="312"/>
      <c r="V493" s="312"/>
      <c r="W493" s="312"/>
      <c r="X493" s="312"/>
      <c r="Y493" s="312"/>
      <c r="Z493" s="312"/>
      <c r="AA493" s="312"/>
      <c r="AB493" s="312"/>
      <c r="AC493" s="312"/>
      <c r="AD493" s="75"/>
      <c r="AE493" s="75"/>
      <c r="AF493" s="75"/>
      <c r="AG493" s="75"/>
      <c r="AH493" s="75"/>
      <c r="AI493" s="75"/>
      <c r="AJ493" s="75"/>
      <c r="AK493" s="75"/>
      <c r="AL493" s="75"/>
      <c r="AM493" s="75"/>
      <c r="AN493" s="75"/>
      <c r="AO493" s="75"/>
      <c r="AP493" s="75"/>
      <c r="AQ493" s="75"/>
      <c r="AR493" s="75"/>
      <c r="AS493" s="75"/>
      <c r="AT493" s="75"/>
      <c r="AU493" s="75"/>
      <c r="AV493" s="75"/>
      <c r="AW493" s="75"/>
      <c r="AX493" s="75"/>
    </row>
    <row r="494" ht="15.75" customHeight="1">
      <c r="A494" s="280" t="s">
        <v>2509</v>
      </c>
      <c r="B494" s="281" t="s">
        <v>4421</v>
      </c>
      <c r="C494" s="63" t="s">
        <v>4802</v>
      </c>
      <c r="D494" s="63" t="s">
        <v>4803</v>
      </c>
      <c r="E494" s="63" t="s">
        <v>4804</v>
      </c>
      <c r="F494" s="45"/>
      <c r="G494" s="45"/>
      <c r="H494" s="45"/>
      <c r="I494" s="286"/>
      <c r="J494" s="297" t="s">
        <v>8</v>
      </c>
      <c r="K494" s="286"/>
      <c r="L494" s="286"/>
      <c r="M494" s="286"/>
      <c r="N494" s="286"/>
      <c r="O494" s="286"/>
      <c r="P494" s="286"/>
      <c r="Q494" s="286"/>
      <c r="R494" s="286"/>
      <c r="S494" s="286"/>
      <c r="T494" s="286"/>
      <c r="U494" s="286"/>
      <c r="V494" s="286"/>
      <c r="W494" s="286"/>
      <c r="X494" s="286"/>
      <c r="Y494" s="286"/>
      <c r="Z494" s="286"/>
      <c r="AA494" s="286"/>
      <c r="AB494" s="286"/>
      <c r="AC494" s="286"/>
      <c r="AD494" s="75"/>
      <c r="AE494" s="75"/>
      <c r="AF494" s="75"/>
      <c r="AG494" s="75"/>
      <c r="AH494" s="75"/>
      <c r="AI494" s="75"/>
      <c r="AJ494" s="75"/>
      <c r="AK494" s="75"/>
      <c r="AL494" s="75"/>
      <c r="AM494" s="75"/>
      <c r="AN494" s="75"/>
      <c r="AO494" s="75"/>
      <c r="AP494" s="75"/>
      <c r="AQ494" s="75"/>
      <c r="AR494" s="75"/>
      <c r="AS494" s="75"/>
      <c r="AT494" s="75"/>
      <c r="AU494" s="75"/>
      <c r="AV494" s="75"/>
      <c r="AW494" s="75"/>
      <c r="AX494" s="75"/>
    </row>
    <row r="495" ht="15.75" customHeight="1">
      <c r="A495" s="280" t="s">
        <v>2509</v>
      </c>
      <c r="B495" s="281" t="s">
        <v>4422</v>
      </c>
      <c r="C495" s="27" t="s">
        <v>4817</v>
      </c>
      <c r="D495" s="27" t="s">
        <v>4818</v>
      </c>
      <c r="E495" s="27" t="s">
        <v>4819</v>
      </c>
      <c r="F495" s="45"/>
      <c r="G495" s="45"/>
      <c r="H495" s="45"/>
      <c r="I495" s="286"/>
      <c r="J495" s="297" t="s">
        <v>2000</v>
      </c>
      <c r="K495" s="286"/>
      <c r="L495" s="286"/>
      <c r="M495" s="286"/>
      <c r="N495" s="286"/>
      <c r="O495" s="286"/>
      <c r="P495" s="286"/>
      <c r="Q495" s="290" t="s">
        <v>150</v>
      </c>
      <c r="R495" s="286"/>
      <c r="S495" s="286"/>
      <c r="T495" s="286"/>
      <c r="U495" s="286"/>
      <c r="V495" s="286"/>
      <c r="W495" s="286"/>
      <c r="X495" s="286"/>
      <c r="Y495" s="286"/>
      <c r="Z495" s="286"/>
      <c r="AA495" s="286"/>
      <c r="AB495" s="286"/>
      <c r="AC495" s="286"/>
      <c r="AD495" s="75"/>
      <c r="AE495" s="75"/>
      <c r="AF495" s="75"/>
      <c r="AG495" s="75"/>
      <c r="AH495" s="75"/>
      <c r="AI495" s="75"/>
      <c r="AJ495" s="75"/>
      <c r="AK495" s="75"/>
      <c r="AL495" s="75"/>
      <c r="AM495" s="75"/>
      <c r="AN495" s="75"/>
      <c r="AO495" s="75"/>
      <c r="AP495" s="75"/>
      <c r="AQ495" s="75"/>
      <c r="AR495" s="75"/>
      <c r="AS495" s="75"/>
      <c r="AT495" s="75"/>
      <c r="AU495" s="75"/>
      <c r="AV495" s="75"/>
      <c r="AW495" s="75"/>
      <c r="AX495" s="75"/>
    </row>
    <row r="496" ht="15.75" customHeight="1">
      <c r="A496" s="280" t="s">
        <v>2509</v>
      </c>
      <c r="B496" s="281" t="s">
        <v>4429</v>
      </c>
      <c r="C496" s="27" t="s">
        <v>4827</v>
      </c>
      <c r="D496" s="27" t="s">
        <v>4829</v>
      </c>
      <c r="E496" s="27" t="s">
        <v>4831</v>
      </c>
      <c r="F496" s="45"/>
      <c r="G496" s="45"/>
      <c r="H496" s="45"/>
      <c r="I496" s="286"/>
      <c r="J496" s="297" t="s">
        <v>2000</v>
      </c>
      <c r="K496" s="286"/>
      <c r="L496" s="286"/>
      <c r="M496" s="286"/>
      <c r="N496" s="286"/>
      <c r="O496" s="286"/>
      <c r="P496" s="286"/>
      <c r="Q496" s="290" t="s">
        <v>150</v>
      </c>
      <c r="R496" s="286"/>
      <c r="S496" s="286"/>
      <c r="T496" s="286"/>
      <c r="U496" s="286"/>
      <c r="V496" s="286"/>
      <c r="W496" s="286"/>
      <c r="X496" s="286"/>
      <c r="Y496" s="286"/>
      <c r="Z496" s="286"/>
      <c r="AA496" s="286"/>
      <c r="AB496" s="286"/>
      <c r="AC496" s="286"/>
      <c r="AD496" s="75"/>
      <c r="AE496" s="75"/>
      <c r="AF496" s="75"/>
      <c r="AG496" s="75"/>
      <c r="AH496" s="75"/>
      <c r="AI496" s="75"/>
      <c r="AJ496" s="75"/>
      <c r="AK496" s="75"/>
      <c r="AL496" s="75"/>
      <c r="AM496" s="75"/>
      <c r="AN496" s="75"/>
      <c r="AO496" s="75"/>
      <c r="AP496" s="75"/>
      <c r="AQ496" s="75"/>
      <c r="AR496" s="75"/>
      <c r="AS496" s="75"/>
      <c r="AT496" s="75"/>
      <c r="AU496" s="75"/>
      <c r="AV496" s="75"/>
      <c r="AW496" s="75"/>
      <c r="AX496" s="75"/>
    </row>
    <row r="497" ht="15.75" customHeight="1">
      <c r="A497" s="280" t="s">
        <v>2509</v>
      </c>
      <c r="B497" s="281" t="s">
        <v>4435</v>
      </c>
      <c r="C497" s="27" t="s">
        <v>4838</v>
      </c>
      <c r="D497" s="27" t="s">
        <v>4839</v>
      </c>
      <c r="E497" s="27" t="s">
        <v>4840</v>
      </c>
      <c r="F497" s="45"/>
      <c r="G497" s="45"/>
      <c r="H497" s="45"/>
      <c r="I497" s="286"/>
      <c r="J497" s="297" t="s">
        <v>2000</v>
      </c>
      <c r="K497" s="286"/>
      <c r="L497" s="286"/>
      <c r="M497" s="286"/>
      <c r="N497" s="286"/>
      <c r="O497" s="286"/>
      <c r="P497" s="286"/>
      <c r="Q497" s="290" t="s">
        <v>150</v>
      </c>
      <c r="R497" s="286"/>
      <c r="S497" s="286"/>
      <c r="T497" s="286"/>
      <c r="U497" s="286"/>
      <c r="V497" s="286"/>
      <c r="W497" s="286"/>
      <c r="X497" s="286"/>
      <c r="Y497" s="286"/>
      <c r="Z497" s="286"/>
      <c r="AA497" s="286"/>
      <c r="AB497" s="286"/>
      <c r="AC497" s="286"/>
      <c r="AD497" s="75"/>
      <c r="AE497" s="75"/>
      <c r="AF497" s="75"/>
      <c r="AG497" s="75"/>
      <c r="AH497" s="75"/>
      <c r="AI497" s="75"/>
      <c r="AJ497" s="75"/>
      <c r="AK497" s="75"/>
      <c r="AL497" s="75"/>
      <c r="AM497" s="75"/>
      <c r="AN497" s="75"/>
      <c r="AO497" s="75"/>
      <c r="AP497" s="75"/>
      <c r="AQ497" s="75"/>
      <c r="AR497" s="75"/>
      <c r="AS497" s="75"/>
      <c r="AT497" s="75"/>
      <c r="AU497" s="75"/>
      <c r="AV497" s="75"/>
      <c r="AW497" s="75"/>
      <c r="AX497" s="75"/>
    </row>
    <row r="498" ht="15.75" customHeight="1">
      <c r="A498" s="280" t="s">
        <v>2509</v>
      </c>
      <c r="B498" s="281" t="s">
        <v>4436</v>
      </c>
      <c r="C498" s="27" t="s">
        <v>4853</v>
      </c>
      <c r="D498" s="27" t="s">
        <v>4854</v>
      </c>
      <c r="E498" s="27" t="s">
        <v>4855</v>
      </c>
      <c r="F498" s="45"/>
      <c r="G498" s="45"/>
      <c r="H498" s="45"/>
      <c r="I498" s="286"/>
      <c r="J498" s="297" t="s">
        <v>2000</v>
      </c>
      <c r="K498" s="286"/>
      <c r="L498" s="286"/>
      <c r="M498" s="286"/>
      <c r="N498" s="286"/>
      <c r="O498" s="286"/>
      <c r="P498" s="286"/>
      <c r="Q498" s="290" t="s">
        <v>150</v>
      </c>
      <c r="R498" s="286"/>
      <c r="S498" s="286"/>
      <c r="T498" s="286"/>
      <c r="U498" s="286"/>
      <c r="V498" s="286"/>
      <c r="W498" s="286"/>
      <c r="X498" s="286"/>
      <c r="Y498" s="286"/>
      <c r="Z498" s="286"/>
      <c r="AA498" s="286"/>
      <c r="AB498" s="286"/>
      <c r="AC498" s="286"/>
      <c r="AD498" s="75"/>
      <c r="AE498" s="75"/>
      <c r="AF498" s="75"/>
      <c r="AG498" s="75"/>
      <c r="AH498" s="75"/>
      <c r="AI498" s="75"/>
      <c r="AJ498" s="75"/>
      <c r="AK498" s="75"/>
      <c r="AL498" s="75"/>
      <c r="AM498" s="75"/>
      <c r="AN498" s="75"/>
      <c r="AO498" s="75"/>
      <c r="AP498" s="75"/>
      <c r="AQ498" s="75"/>
      <c r="AR498" s="75"/>
      <c r="AS498" s="75"/>
      <c r="AT498" s="75"/>
      <c r="AU498" s="75"/>
      <c r="AV498" s="75"/>
      <c r="AW498" s="75"/>
      <c r="AX498" s="75"/>
    </row>
    <row r="499" ht="15.75" customHeight="1">
      <c r="A499" s="298" t="s">
        <v>237</v>
      </c>
      <c r="B499" s="310" t="s">
        <v>4447</v>
      </c>
      <c r="C499" s="226"/>
      <c r="D499" s="226"/>
      <c r="E499" s="226"/>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12"/>
      <c r="AD499" s="75"/>
      <c r="AE499" s="75"/>
      <c r="AF499" s="75"/>
      <c r="AG499" s="75"/>
      <c r="AH499" s="75"/>
      <c r="AI499" s="75"/>
      <c r="AJ499" s="75"/>
      <c r="AK499" s="75"/>
      <c r="AL499" s="75"/>
      <c r="AM499" s="75"/>
      <c r="AN499" s="75"/>
      <c r="AO499" s="75"/>
      <c r="AP499" s="75"/>
      <c r="AQ499" s="75"/>
      <c r="AR499" s="75"/>
      <c r="AS499" s="75"/>
      <c r="AT499" s="75"/>
      <c r="AU499" s="75"/>
      <c r="AV499" s="75"/>
      <c r="AW499" s="75"/>
      <c r="AX499" s="75"/>
    </row>
    <row r="500" ht="15.75" customHeight="1">
      <c r="A500" s="298" t="s">
        <v>237</v>
      </c>
      <c r="B500" s="310" t="s">
        <v>4330</v>
      </c>
      <c r="C500" s="226"/>
      <c r="D500" s="226"/>
      <c r="E500" s="226"/>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12"/>
      <c r="AD500" s="75"/>
      <c r="AE500" s="75"/>
      <c r="AF500" s="75"/>
      <c r="AG500" s="75"/>
      <c r="AH500" s="75"/>
      <c r="AI500" s="75"/>
      <c r="AJ500" s="75"/>
      <c r="AK500" s="75"/>
      <c r="AL500" s="75"/>
      <c r="AM500" s="75"/>
      <c r="AN500" s="75"/>
      <c r="AO500" s="75"/>
      <c r="AP500" s="75"/>
      <c r="AQ500" s="75"/>
      <c r="AR500" s="75"/>
      <c r="AS500" s="75"/>
      <c r="AT500" s="75"/>
      <c r="AU500" s="75"/>
      <c r="AV500" s="75"/>
      <c r="AW500" s="75"/>
      <c r="AX500" s="75"/>
    </row>
    <row r="501" ht="15.75" customHeight="1">
      <c r="A501" s="315"/>
      <c r="B501" s="316"/>
      <c r="C501" s="318"/>
      <c r="D501" s="318"/>
      <c r="E501" s="318"/>
      <c r="F501" s="319"/>
      <c r="G501" s="319"/>
      <c r="H501" s="319"/>
      <c r="I501" s="319"/>
      <c r="J501" s="319"/>
      <c r="K501" s="319"/>
      <c r="L501" s="319"/>
      <c r="M501" s="319"/>
      <c r="N501" s="319"/>
      <c r="O501" s="319"/>
      <c r="P501" s="319"/>
      <c r="Q501" s="319"/>
      <c r="R501" s="319"/>
      <c r="S501" s="319"/>
      <c r="T501" s="319"/>
      <c r="U501" s="319"/>
      <c r="V501" s="319"/>
      <c r="W501" s="319"/>
      <c r="X501" s="319"/>
      <c r="Y501" s="319"/>
      <c r="Z501" s="319"/>
      <c r="AA501" s="319"/>
      <c r="AB501" s="319"/>
      <c r="AC501" s="319"/>
      <c r="AD501" s="319"/>
      <c r="AE501" s="319"/>
      <c r="AF501" s="319"/>
      <c r="AG501" s="319"/>
      <c r="AH501" s="319"/>
      <c r="AI501" s="319"/>
      <c r="AJ501" s="319"/>
      <c r="AK501" s="319"/>
      <c r="AL501" s="319"/>
      <c r="AM501" s="319"/>
      <c r="AN501" s="319"/>
      <c r="AO501" s="319"/>
      <c r="AP501" s="319"/>
      <c r="AQ501" s="319"/>
      <c r="AR501" s="319"/>
      <c r="AS501" s="319"/>
      <c r="AT501" s="319"/>
      <c r="AU501" s="319"/>
      <c r="AV501" s="319"/>
      <c r="AW501" s="319"/>
      <c r="AX501" s="319"/>
    </row>
    <row r="502" ht="15.75" customHeight="1">
      <c r="A502" s="280" t="s">
        <v>4465</v>
      </c>
      <c r="B502" s="281" t="s">
        <v>4466</v>
      </c>
      <c r="C502" s="27" t="s">
        <v>4898</v>
      </c>
      <c r="D502" s="27" t="s">
        <v>4899</v>
      </c>
      <c r="E502" s="27" t="s">
        <v>4900</v>
      </c>
      <c r="F502" s="45" t="s">
        <v>4901</v>
      </c>
      <c r="G502" s="45"/>
      <c r="H502" s="45"/>
      <c r="I502" s="286"/>
      <c r="J502" s="287"/>
      <c r="K502" s="290" t="s">
        <v>4902</v>
      </c>
      <c r="L502" s="286"/>
      <c r="M502" s="286"/>
      <c r="N502" s="286"/>
      <c r="O502" s="286"/>
      <c r="P502" s="286"/>
      <c r="Q502" s="290" t="s">
        <v>150</v>
      </c>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75"/>
      <c r="AP502" s="75"/>
      <c r="AQ502" s="75"/>
      <c r="AR502" s="75"/>
      <c r="AS502" s="75"/>
      <c r="AT502" s="75"/>
      <c r="AU502" s="75"/>
      <c r="AV502" s="75"/>
      <c r="AW502" s="75"/>
      <c r="AX502" s="75"/>
    </row>
    <row r="503" ht="15.75" customHeight="1">
      <c r="A503" s="282" t="s">
        <v>252</v>
      </c>
      <c r="B503" s="283" t="s">
        <v>4476</v>
      </c>
      <c r="C503" s="27" t="s">
        <v>4912</v>
      </c>
      <c r="D503" s="27" t="s">
        <v>4913</v>
      </c>
      <c r="E503" s="27" t="s">
        <v>4914</v>
      </c>
      <c r="F503" s="45"/>
      <c r="G503" s="45"/>
      <c r="H503" s="45"/>
      <c r="I503" s="293"/>
      <c r="J503" s="294"/>
      <c r="K503" s="293"/>
      <c r="L503" s="293"/>
      <c r="M503" s="293"/>
      <c r="N503" s="293"/>
      <c r="O503" s="296" t="s">
        <v>4919</v>
      </c>
      <c r="P503" s="293"/>
      <c r="Q503" s="296" t="s">
        <v>150</v>
      </c>
      <c r="R503" s="293"/>
      <c r="S503" s="293"/>
      <c r="T503" s="293"/>
      <c r="U503" s="293"/>
      <c r="V503" s="293"/>
      <c r="W503" s="293"/>
      <c r="X503" s="293"/>
      <c r="Y503" s="293"/>
      <c r="Z503" s="293"/>
      <c r="AA503" s="293"/>
      <c r="AB503" s="293"/>
      <c r="AC503" s="293"/>
      <c r="AD503" s="293"/>
      <c r="AE503" s="293"/>
      <c r="AF503" s="293"/>
      <c r="AG503" s="293"/>
      <c r="AH503" s="293"/>
      <c r="AI503" s="293"/>
      <c r="AJ503" s="293"/>
      <c r="AK503" s="293"/>
      <c r="AL503" s="293"/>
      <c r="AM503" s="293"/>
      <c r="AN503" s="293"/>
      <c r="AO503" s="75"/>
      <c r="AP503" s="75"/>
      <c r="AQ503" s="75"/>
      <c r="AR503" s="75"/>
      <c r="AS503" s="75"/>
      <c r="AT503" s="75"/>
      <c r="AU503" s="75"/>
      <c r="AV503" s="75"/>
      <c r="AW503" s="75"/>
      <c r="AX503" s="75"/>
    </row>
    <row r="504" ht="15.75" customHeight="1">
      <c r="A504" s="285" t="s">
        <v>426</v>
      </c>
      <c r="B504" s="171" t="s">
        <v>4480</v>
      </c>
      <c r="C504" s="172" t="s">
        <v>4481</v>
      </c>
      <c r="D504" s="172"/>
      <c r="E504" s="172"/>
      <c r="F504" s="304"/>
      <c r="G504" s="304"/>
      <c r="H504" s="304"/>
      <c r="I504" s="304"/>
      <c r="J504" s="304"/>
      <c r="K504" s="304"/>
      <c r="L504" s="304"/>
      <c r="M504" s="305"/>
      <c r="N504" s="305"/>
      <c r="O504" s="176" t="s">
        <v>4926</v>
      </c>
      <c r="P504" s="304"/>
      <c r="Q504" s="304"/>
      <c r="R504" s="304"/>
      <c r="S504" s="304"/>
      <c r="T504" s="304"/>
      <c r="U504" s="176" t="s">
        <v>4927</v>
      </c>
      <c r="V504" s="304"/>
      <c r="W504" s="304"/>
      <c r="X504" s="304"/>
      <c r="Y504" s="304"/>
      <c r="Z504" s="304"/>
      <c r="AA504" s="304"/>
      <c r="AB504" s="304"/>
      <c r="AC504" s="304"/>
      <c r="AD504" s="304"/>
      <c r="AE504" s="304"/>
      <c r="AF504" s="304"/>
      <c r="AG504" s="304"/>
      <c r="AH504" s="304"/>
      <c r="AI504" s="304"/>
      <c r="AJ504" s="304"/>
      <c r="AK504" s="304"/>
      <c r="AL504" s="304"/>
      <c r="AM504" s="304"/>
      <c r="AN504" s="304"/>
      <c r="AO504" s="75"/>
      <c r="AP504" s="75"/>
      <c r="AQ504" s="75"/>
      <c r="AR504" s="75"/>
      <c r="AS504" s="75"/>
      <c r="AT504" s="75"/>
      <c r="AU504" s="75"/>
      <c r="AV504" s="75"/>
      <c r="AW504" s="75"/>
      <c r="AX504" s="75"/>
    </row>
    <row r="505" ht="15.75" customHeight="1">
      <c r="A505" s="168" t="s">
        <v>68</v>
      </c>
      <c r="B505" s="71" t="s">
        <v>4489</v>
      </c>
      <c r="C505" s="72" t="s">
        <v>4490</v>
      </c>
      <c r="D505" s="72"/>
      <c r="E505" s="72"/>
      <c r="F505" s="73"/>
      <c r="G505" s="73"/>
      <c r="H505" s="73"/>
      <c r="I505" s="73"/>
      <c r="J505" s="73"/>
      <c r="K505" s="73"/>
      <c r="L505" s="73"/>
      <c r="M505" s="73"/>
      <c r="N505" s="73"/>
      <c r="O505" s="73"/>
      <c r="P505" s="73"/>
      <c r="Q505" s="73"/>
      <c r="R505" s="73"/>
      <c r="S505" s="73"/>
      <c r="T505" s="74" t="s">
        <v>4935</v>
      </c>
      <c r="U505" s="73"/>
      <c r="V505" s="73"/>
      <c r="W505" s="73"/>
      <c r="X505" s="73"/>
      <c r="Y505" s="73"/>
      <c r="Z505" s="73"/>
      <c r="AA505" s="73"/>
      <c r="AB505" s="73"/>
      <c r="AC505" s="73"/>
      <c r="AD505" s="73"/>
      <c r="AE505" s="73"/>
      <c r="AF505" s="73"/>
      <c r="AG505" s="73"/>
      <c r="AH505" s="73"/>
      <c r="AI505" s="73"/>
      <c r="AJ505" s="73"/>
      <c r="AK505" s="73"/>
      <c r="AL505" s="73"/>
      <c r="AM505" s="73"/>
      <c r="AN505" s="73"/>
      <c r="AO505" s="75"/>
      <c r="AP505" s="75"/>
      <c r="AQ505" s="75"/>
      <c r="AR505" s="75"/>
      <c r="AS505" s="75"/>
      <c r="AT505" s="75"/>
      <c r="AU505" s="75"/>
      <c r="AV505" s="75"/>
      <c r="AW505" s="75"/>
      <c r="AX505" s="75"/>
    </row>
    <row r="506" ht="15.75" customHeight="1">
      <c r="A506" s="298" t="s">
        <v>133</v>
      </c>
      <c r="B506" s="299" t="s">
        <v>4496</v>
      </c>
      <c r="C506" s="147"/>
      <c r="D506" s="147"/>
      <c r="E506" s="147"/>
      <c r="F506" s="312"/>
      <c r="G506" s="312"/>
      <c r="H506" s="312"/>
      <c r="I506" s="312"/>
      <c r="J506" s="314" t="s">
        <v>1982</v>
      </c>
      <c r="K506" s="312"/>
      <c r="L506" s="312"/>
      <c r="M506" s="313"/>
      <c r="N506" s="313"/>
      <c r="O506" s="313"/>
      <c r="P506" s="312"/>
      <c r="Q506" s="312"/>
      <c r="R506" s="312"/>
      <c r="S506" s="312"/>
      <c r="T506" s="312"/>
      <c r="U506" s="312"/>
      <c r="V506" s="312"/>
      <c r="W506" s="312"/>
      <c r="X506" s="312"/>
      <c r="Y506" s="312"/>
      <c r="Z506" s="312"/>
      <c r="AA506" s="312"/>
      <c r="AB506" s="312"/>
      <c r="AC506" s="312"/>
      <c r="AD506" s="312"/>
      <c r="AE506" s="312"/>
      <c r="AF506" s="312"/>
      <c r="AG506" s="312"/>
      <c r="AH506" s="312"/>
      <c r="AI506" s="312"/>
      <c r="AJ506" s="312"/>
      <c r="AK506" s="312"/>
      <c r="AL506" s="312"/>
      <c r="AM506" s="312"/>
      <c r="AN506" s="312"/>
      <c r="AO506" s="75"/>
      <c r="AP506" s="75"/>
      <c r="AQ506" s="75"/>
      <c r="AR506" s="75"/>
      <c r="AS506" s="75"/>
      <c r="AT506" s="75"/>
      <c r="AU506" s="75"/>
      <c r="AV506" s="75"/>
      <c r="AW506" s="75"/>
      <c r="AX506" s="75"/>
    </row>
    <row r="507" ht="15.75" customHeight="1">
      <c r="A507" s="280" t="s">
        <v>2509</v>
      </c>
      <c r="B507" s="281" t="s">
        <v>4502</v>
      </c>
      <c r="C507" s="27" t="s">
        <v>4947</v>
      </c>
      <c r="D507" s="27" t="s">
        <v>4948</v>
      </c>
      <c r="E507" s="27" t="s">
        <v>4949</v>
      </c>
      <c r="F507" s="45"/>
      <c r="G507" s="45"/>
      <c r="H507" s="45"/>
      <c r="I507" s="286"/>
      <c r="J507" s="297" t="s">
        <v>8</v>
      </c>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75"/>
      <c r="AP507" s="75"/>
      <c r="AQ507" s="75"/>
      <c r="AR507" s="75"/>
      <c r="AS507" s="75"/>
      <c r="AT507" s="75"/>
      <c r="AU507" s="75"/>
      <c r="AV507" s="75"/>
      <c r="AW507" s="75"/>
      <c r="AX507" s="75"/>
    </row>
    <row r="508" ht="15.75" customHeight="1">
      <c r="A508" s="280" t="s">
        <v>2509</v>
      </c>
      <c r="B508" s="281" t="s">
        <v>4521</v>
      </c>
      <c r="C508" s="27" t="s">
        <v>4956</v>
      </c>
      <c r="D508" s="27" t="s">
        <v>4957</v>
      </c>
      <c r="E508" s="27" t="s">
        <v>4958</v>
      </c>
      <c r="F508" s="45"/>
      <c r="G508" s="45"/>
      <c r="H508" s="45"/>
      <c r="I508" s="286"/>
      <c r="J508" s="297" t="s">
        <v>2000</v>
      </c>
      <c r="K508" s="286"/>
      <c r="L508" s="286"/>
      <c r="M508" s="286"/>
      <c r="N508" s="286"/>
      <c r="O508" s="286"/>
      <c r="P508" s="286"/>
      <c r="Q508" s="290" t="s">
        <v>150</v>
      </c>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75"/>
      <c r="AP508" s="75"/>
      <c r="AQ508" s="75"/>
      <c r="AR508" s="75"/>
      <c r="AS508" s="75"/>
      <c r="AT508" s="75"/>
      <c r="AU508" s="75"/>
      <c r="AV508" s="75"/>
      <c r="AW508" s="75"/>
      <c r="AX508" s="75"/>
    </row>
    <row r="509" ht="15.75" customHeight="1">
      <c r="A509" s="280" t="s">
        <v>2509</v>
      </c>
      <c r="B509" s="281" t="s">
        <v>4531</v>
      </c>
      <c r="C509" s="27" t="s">
        <v>4968</v>
      </c>
      <c r="D509" s="27" t="s">
        <v>4969</v>
      </c>
      <c r="E509" s="27" t="s">
        <v>4970</v>
      </c>
      <c r="F509" s="45"/>
      <c r="G509" s="45"/>
      <c r="H509" s="45"/>
      <c r="I509" s="286"/>
      <c r="J509" s="297" t="s">
        <v>2000</v>
      </c>
      <c r="K509" s="286"/>
      <c r="L509" s="286"/>
      <c r="M509" s="286"/>
      <c r="N509" s="286"/>
      <c r="O509" s="286"/>
      <c r="P509" s="286"/>
      <c r="Q509" s="290" t="s">
        <v>150</v>
      </c>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75"/>
      <c r="AP509" s="75"/>
      <c r="AQ509" s="75"/>
      <c r="AR509" s="75"/>
      <c r="AS509" s="75"/>
      <c r="AT509" s="75"/>
      <c r="AU509" s="75"/>
      <c r="AV509" s="75"/>
      <c r="AW509" s="75"/>
      <c r="AX509" s="75"/>
    </row>
    <row r="510" ht="15.75" customHeight="1">
      <c r="A510" s="280" t="s">
        <v>2509</v>
      </c>
      <c r="B510" s="281" t="s">
        <v>4538</v>
      </c>
      <c r="C510" s="27" t="s">
        <v>4981</v>
      </c>
      <c r="D510" s="27" t="s">
        <v>4982</v>
      </c>
      <c r="E510" s="27" t="s">
        <v>4983</v>
      </c>
      <c r="F510" s="45"/>
      <c r="G510" s="45"/>
      <c r="H510" s="45"/>
      <c r="I510" s="286"/>
      <c r="J510" s="297" t="s">
        <v>2000</v>
      </c>
      <c r="K510" s="286"/>
      <c r="L510" s="286"/>
      <c r="M510" s="286"/>
      <c r="N510" s="286"/>
      <c r="O510" s="286"/>
      <c r="P510" s="286"/>
      <c r="Q510" s="290" t="s">
        <v>150</v>
      </c>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75"/>
      <c r="AP510" s="75"/>
      <c r="AQ510" s="75"/>
      <c r="AR510" s="75"/>
      <c r="AS510" s="75"/>
      <c r="AT510" s="75"/>
      <c r="AU510" s="75"/>
      <c r="AV510" s="75"/>
      <c r="AW510" s="75"/>
      <c r="AX510" s="75"/>
    </row>
    <row r="511" ht="15.75" customHeight="1">
      <c r="A511" s="280" t="s">
        <v>2509</v>
      </c>
      <c r="B511" s="281" t="s">
        <v>4545</v>
      </c>
      <c r="C511" s="27" t="s">
        <v>4991</v>
      </c>
      <c r="D511" s="27" t="s">
        <v>4993</v>
      </c>
      <c r="E511" s="27" t="s">
        <v>4994</v>
      </c>
      <c r="F511" s="45"/>
      <c r="G511" s="45"/>
      <c r="H511" s="45"/>
      <c r="I511" s="286"/>
      <c r="J511" s="297" t="s">
        <v>2000</v>
      </c>
      <c r="K511" s="286"/>
      <c r="L511" s="286"/>
      <c r="M511" s="286"/>
      <c r="N511" s="286"/>
      <c r="O511" s="286"/>
      <c r="P511" s="286"/>
      <c r="Q511" s="290" t="s">
        <v>150</v>
      </c>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75"/>
      <c r="AP511" s="75"/>
      <c r="AQ511" s="75"/>
      <c r="AR511" s="75"/>
      <c r="AS511" s="75"/>
      <c r="AT511" s="75"/>
      <c r="AU511" s="75"/>
      <c r="AV511" s="75"/>
      <c r="AW511" s="75"/>
      <c r="AX511" s="75"/>
    </row>
    <row r="512" ht="15.75" customHeight="1">
      <c r="A512" s="298" t="s">
        <v>237</v>
      </c>
      <c r="B512" s="310" t="s">
        <v>4496</v>
      </c>
      <c r="C512" s="226"/>
      <c r="D512" s="226"/>
      <c r="E512" s="226"/>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12"/>
      <c r="AD512" s="312"/>
      <c r="AE512" s="312"/>
      <c r="AF512" s="312"/>
      <c r="AG512" s="312"/>
      <c r="AH512" s="312"/>
      <c r="AI512" s="312"/>
      <c r="AJ512" s="312"/>
      <c r="AK512" s="312"/>
      <c r="AL512" s="312"/>
      <c r="AM512" s="312"/>
      <c r="AN512" s="312"/>
      <c r="AO512" s="75"/>
      <c r="AP512" s="75"/>
      <c r="AQ512" s="75"/>
      <c r="AR512" s="75"/>
      <c r="AS512" s="75"/>
      <c r="AT512" s="75"/>
      <c r="AU512" s="75"/>
      <c r="AV512" s="75"/>
      <c r="AW512" s="75"/>
      <c r="AX512" s="75"/>
    </row>
    <row r="513" ht="15.75" customHeight="1">
      <c r="A513" s="298" t="s">
        <v>133</v>
      </c>
      <c r="B513" s="299" t="s">
        <v>4557</v>
      </c>
      <c r="C513" s="147"/>
      <c r="D513" s="147"/>
      <c r="E513" s="147"/>
      <c r="F513" s="312"/>
      <c r="G513" s="312"/>
      <c r="H513" s="312"/>
      <c r="I513" s="312"/>
      <c r="J513" s="314" t="s">
        <v>1982</v>
      </c>
      <c r="K513" s="312"/>
      <c r="L513" s="312"/>
      <c r="M513" s="313"/>
      <c r="N513" s="313"/>
      <c r="O513" s="314" t="s">
        <v>5005</v>
      </c>
      <c r="P513" s="312"/>
      <c r="Q513" s="312"/>
      <c r="R513" s="312"/>
      <c r="S513" s="312"/>
      <c r="T513" s="312"/>
      <c r="U513" s="312"/>
      <c r="V513" s="312"/>
      <c r="W513" s="312"/>
      <c r="X513" s="312"/>
      <c r="Y513" s="312"/>
      <c r="Z513" s="312"/>
      <c r="AA513" s="312"/>
      <c r="AB513" s="312"/>
      <c r="AC513" s="312"/>
      <c r="AD513" s="312"/>
      <c r="AE513" s="312"/>
      <c r="AF513" s="312"/>
      <c r="AG513" s="312"/>
      <c r="AH513" s="312"/>
      <c r="AI513" s="312"/>
      <c r="AJ513" s="312"/>
      <c r="AK513" s="312"/>
      <c r="AL513" s="312"/>
      <c r="AM513" s="312"/>
      <c r="AN513" s="312"/>
      <c r="AO513" s="75"/>
      <c r="AP513" s="75"/>
      <c r="AQ513" s="75"/>
      <c r="AR513" s="75"/>
      <c r="AS513" s="75"/>
      <c r="AT513" s="75"/>
      <c r="AU513" s="75"/>
      <c r="AV513" s="75"/>
      <c r="AW513" s="75"/>
      <c r="AX513" s="75"/>
    </row>
    <row r="514" ht="15.75" customHeight="1">
      <c r="A514" s="278" t="s">
        <v>38</v>
      </c>
      <c r="B514" s="279" t="s">
        <v>4569</v>
      </c>
      <c r="C514" s="27" t="s">
        <v>5010</v>
      </c>
      <c r="D514" s="27" t="s">
        <v>5011</v>
      </c>
      <c r="E514" s="27" t="s">
        <v>5012</v>
      </c>
      <c r="F514" s="45"/>
      <c r="G514" s="45"/>
      <c r="H514" s="45"/>
      <c r="I514" s="284"/>
      <c r="J514" s="323" t="s">
        <v>8</v>
      </c>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75"/>
      <c r="AP514" s="75"/>
      <c r="AQ514" s="75"/>
      <c r="AR514" s="75"/>
      <c r="AS514" s="75"/>
      <c r="AT514" s="75"/>
      <c r="AU514" s="75"/>
      <c r="AV514" s="75"/>
      <c r="AW514" s="75"/>
      <c r="AX514" s="75"/>
    </row>
    <row r="515" ht="15.75" customHeight="1">
      <c r="A515" s="291" t="s">
        <v>268</v>
      </c>
      <c r="B515" s="292" t="s">
        <v>4576</v>
      </c>
      <c r="C515" s="27" t="s">
        <v>5021</v>
      </c>
      <c r="D515" s="27" t="s">
        <v>5022</v>
      </c>
      <c r="E515" s="27" t="s">
        <v>5023</v>
      </c>
      <c r="F515" s="45" t="s">
        <v>5024</v>
      </c>
      <c r="G515" s="45" t="s">
        <v>5025</v>
      </c>
      <c r="H515" s="45" t="s">
        <v>5026</v>
      </c>
      <c r="I515" s="306"/>
      <c r="J515" s="309" t="s">
        <v>2000</v>
      </c>
      <c r="K515" s="307" t="s">
        <v>2550</v>
      </c>
      <c r="L515" s="308"/>
      <c r="M515" s="306"/>
      <c r="N515" s="306"/>
      <c r="O515" s="309" t="s">
        <v>5031</v>
      </c>
      <c r="P515" s="306"/>
      <c r="Q515" s="309" t="s">
        <v>150</v>
      </c>
      <c r="R515" s="306"/>
      <c r="S515" s="306"/>
      <c r="T515" s="306"/>
      <c r="U515" s="306"/>
      <c r="V515" s="306"/>
      <c r="W515" s="306"/>
      <c r="X515" s="306"/>
      <c r="Y515" s="306"/>
      <c r="Z515" s="306"/>
      <c r="AA515" s="306"/>
      <c r="AB515" s="306"/>
      <c r="AC515" s="306"/>
      <c r="AD515" s="306"/>
      <c r="AE515" s="306"/>
      <c r="AF515" s="306"/>
      <c r="AG515" s="306"/>
      <c r="AH515" s="306"/>
      <c r="AI515" s="306"/>
      <c r="AJ515" s="306"/>
      <c r="AK515" s="306"/>
      <c r="AL515" s="306"/>
      <c r="AM515" s="306"/>
      <c r="AN515" s="306"/>
      <c r="AO515" s="75"/>
      <c r="AP515" s="75"/>
      <c r="AQ515" s="75"/>
      <c r="AR515" s="75"/>
      <c r="AS515" s="75"/>
      <c r="AT515" s="75"/>
      <c r="AU515" s="75"/>
      <c r="AV515" s="75"/>
      <c r="AW515" s="75"/>
      <c r="AX515" s="75"/>
    </row>
    <row r="516" ht="15.75" customHeight="1">
      <c r="A516" s="291" t="s">
        <v>268</v>
      </c>
      <c r="B516" s="292" t="s">
        <v>4580</v>
      </c>
      <c r="C516" s="27" t="s">
        <v>5041</v>
      </c>
      <c r="D516" s="27" t="s">
        <v>5042</v>
      </c>
      <c r="E516" s="27" t="s">
        <v>5043</v>
      </c>
      <c r="F516" s="45"/>
      <c r="G516" s="45"/>
      <c r="H516" s="45"/>
      <c r="I516" s="306"/>
      <c r="J516" s="309" t="s">
        <v>2000</v>
      </c>
      <c r="K516" s="307" t="s">
        <v>2550</v>
      </c>
      <c r="L516" s="308"/>
      <c r="M516" s="306"/>
      <c r="N516" s="306"/>
      <c r="O516" s="309" t="s">
        <v>5044</v>
      </c>
      <c r="P516" s="306"/>
      <c r="Q516" s="309" t="s">
        <v>150</v>
      </c>
      <c r="R516" s="306"/>
      <c r="S516" s="306"/>
      <c r="T516" s="306"/>
      <c r="U516" s="306"/>
      <c r="V516" s="306"/>
      <c r="W516" s="306"/>
      <c r="X516" s="306"/>
      <c r="Y516" s="306"/>
      <c r="Z516" s="306"/>
      <c r="AA516" s="306"/>
      <c r="AB516" s="306"/>
      <c r="AC516" s="306"/>
      <c r="AD516" s="306"/>
      <c r="AE516" s="306"/>
      <c r="AF516" s="306"/>
      <c r="AG516" s="306"/>
      <c r="AH516" s="306"/>
      <c r="AI516" s="306"/>
      <c r="AJ516" s="306"/>
      <c r="AK516" s="306"/>
      <c r="AL516" s="306"/>
      <c r="AM516" s="306"/>
      <c r="AN516" s="306"/>
      <c r="AO516" s="75"/>
      <c r="AP516" s="75"/>
      <c r="AQ516" s="75"/>
      <c r="AR516" s="75"/>
      <c r="AS516" s="75"/>
      <c r="AT516" s="75"/>
      <c r="AU516" s="75"/>
      <c r="AV516" s="75"/>
      <c r="AW516" s="75"/>
      <c r="AX516" s="75"/>
    </row>
    <row r="517" ht="15.75" customHeight="1">
      <c r="A517" s="291" t="s">
        <v>268</v>
      </c>
      <c r="B517" s="292" t="s">
        <v>4588</v>
      </c>
      <c r="C517" s="27" t="s">
        <v>5049</v>
      </c>
      <c r="D517" s="27" t="s">
        <v>5050</v>
      </c>
      <c r="E517" s="27" t="s">
        <v>5052</v>
      </c>
      <c r="F517" s="45"/>
      <c r="G517" s="45"/>
      <c r="H517" s="45"/>
      <c r="I517" s="306"/>
      <c r="J517" s="309" t="s">
        <v>2000</v>
      </c>
      <c r="K517" s="307" t="s">
        <v>2550</v>
      </c>
      <c r="L517" s="308"/>
      <c r="M517" s="306"/>
      <c r="N517" s="306"/>
      <c r="O517" s="309" t="s">
        <v>5056</v>
      </c>
      <c r="P517" s="306"/>
      <c r="Q517" s="309" t="s">
        <v>150</v>
      </c>
      <c r="R517" s="306"/>
      <c r="S517" s="306"/>
      <c r="T517" s="306"/>
      <c r="U517" s="306"/>
      <c r="V517" s="306"/>
      <c r="W517" s="306"/>
      <c r="X517" s="306"/>
      <c r="Y517" s="306"/>
      <c r="Z517" s="306"/>
      <c r="AA517" s="306"/>
      <c r="AB517" s="306"/>
      <c r="AC517" s="306"/>
      <c r="AD517" s="306"/>
      <c r="AE517" s="306"/>
      <c r="AF517" s="306"/>
      <c r="AG517" s="306"/>
      <c r="AH517" s="306"/>
      <c r="AI517" s="306"/>
      <c r="AJ517" s="306"/>
      <c r="AK517" s="306"/>
      <c r="AL517" s="306"/>
      <c r="AM517" s="306"/>
      <c r="AN517" s="306"/>
      <c r="AO517" s="75"/>
      <c r="AP517" s="75"/>
      <c r="AQ517" s="75"/>
      <c r="AR517" s="75"/>
      <c r="AS517" s="75"/>
      <c r="AT517" s="75"/>
      <c r="AU517" s="75"/>
      <c r="AV517" s="75"/>
      <c r="AW517" s="75"/>
      <c r="AX517" s="75"/>
    </row>
    <row r="518" ht="15.75" customHeight="1">
      <c r="A518" s="298" t="s">
        <v>237</v>
      </c>
      <c r="B518" s="310" t="s">
        <v>4557</v>
      </c>
      <c r="C518" s="226"/>
      <c r="D518" s="226"/>
      <c r="E518" s="226"/>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312"/>
      <c r="AH518" s="312"/>
      <c r="AI518" s="312"/>
      <c r="AJ518" s="312"/>
      <c r="AK518" s="312"/>
      <c r="AL518" s="312"/>
      <c r="AM518" s="312"/>
      <c r="AN518" s="312"/>
      <c r="AO518" s="75"/>
      <c r="AP518" s="75"/>
      <c r="AQ518" s="75"/>
      <c r="AR518" s="75"/>
      <c r="AS518" s="75"/>
      <c r="AT518" s="75"/>
      <c r="AU518" s="75"/>
      <c r="AV518" s="75"/>
      <c r="AW518" s="75"/>
      <c r="AX518" s="75"/>
    </row>
    <row r="519" ht="15.75" customHeight="1">
      <c r="A519" s="285" t="s">
        <v>468</v>
      </c>
      <c r="B519" s="185" t="s">
        <v>4480</v>
      </c>
      <c r="C519" s="186" t="s">
        <v>4481</v>
      </c>
      <c r="D519" s="186"/>
      <c r="E519" s="186"/>
      <c r="F519" s="304"/>
      <c r="G519" s="304"/>
      <c r="H519" s="304"/>
      <c r="I519" s="304"/>
      <c r="J519" s="304"/>
      <c r="K519" s="304"/>
      <c r="L519" s="304"/>
      <c r="M519" s="304"/>
      <c r="N519" s="304"/>
      <c r="O519" s="304"/>
      <c r="P519" s="304"/>
      <c r="Q519" s="304"/>
      <c r="R519" s="304"/>
      <c r="S519" s="304"/>
      <c r="T519" s="304"/>
      <c r="U519" s="304"/>
      <c r="V519" s="304"/>
      <c r="W519" s="304"/>
      <c r="X519" s="304"/>
      <c r="Y519" s="304"/>
      <c r="Z519" s="304"/>
      <c r="AA519" s="304"/>
      <c r="AB519" s="304"/>
      <c r="AC519" s="304"/>
      <c r="AD519" s="304"/>
      <c r="AE519" s="304"/>
      <c r="AF519" s="304"/>
      <c r="AG519" s="304"/>
      <c r="AH519" s="304"/>
      <c r="AI519" s="304"/>
      <c r="AJ519" s="304"/>
      <c r="AK519" s="304"/>
      <c r="AL519" s="304"/>
      <c r="AM519" s="304"/>
      <c r="AN519" s="304"/>
      <c r="AO519" s="75"/>
      <c r="AP519" s="75"/>
      <c r="AQ519" s="75"/>
      <c r="AR519" s="75"/>
      <c r="AS519" s="75"/>
      <c r="AT519" s="75"/>
      <c r="AU519" s="75"/>
      <c r="AV519" s="75"/>
      <c r="AW519" s="75"/>
      <c r="AX519" s="75"/>
    </row>
    <row r="520" ht="15.75" customHeight="1">
      <c r="A520" s="302"/>
      <c r="B520" s="300"/>
      <c r="C520" s="147"/>
      <c r="D520" s="226"/>
      <c r="E520" s="226"/>
      <c r="F520" s="312"/>
      <c r="G520" s="312"/>
      <c r="H520" s="312"/>
      <c r="I520" s="313"/>
      <c r="J520" s="313"/>
      <c r="K520" s="312"/>
      <c r="L520" s="313"/>
      <c r="M520" s="313"/>
      <c r="N520" s="313"/>
      <c r="O520" s="313"/>
      <c r="P520" s="312"/>
      <c r="Q520" s="312"/>
      <c r="R520" s="312"/>
      <c r="S520" s="312"/>
      <c r="T520" s="312"/>
      <c r="U520" s="312"/>
      <c r="V520" s="312"/>
      <c r="W520" s="312"/>
      <c r="X520" s="312"/>
      <c r="Y520" s="312"/>
      <c r="Z520" s="312"/>
      <c r="AA520" s="312"/>
      <c r="AB520" s="312"/>
      <c r="AC520" s="312"/>
      <c r="AD520" s="75"/>
      <c r="AE520" s="75"/>
      <c r="AF520" s="75"/>
      <c r="AG520" s="75"/>
      <c r="AH520" s="75"/>
      <c r="AI520" s="75"/>
      <c r="AJ520" s="75"/>
      <c r="AK520" s="75"/>
      <c r="AL520" s="75"/>
      <c r="AM520" s="75"/>
      <c r="AN520" s="75"/>
      <c r="AO520" s="75"/>
      <c r="AP520" s="75"/>
      <c r="AQ520" s="75"/>
      <c r="AR520" s="75"/>
      <c r="AS520" s="75"/>
      <c r="AT520" s="75"/>
      <c r="AU520" s="75"/>
      <c r="AV520" s="75"/>
      <c r="AW520" s="75"/>
      <c r="AX520" s="75"/>
    </row>
    <row r="521" ht="15.75" customHeight="1">
      <c r="A521" s="278" t="s">
        <v>38</v>
      </c>
      <c r="B521" s="279" t="s">
        <v>4621</v>
      </c>
      <c r="C521" s="27" t="s">
        <v>5093</v>
      </c>
      <c r="D521" s="27" t="s">
        <v>5094</v>
      </c>
      <c r="E521" s="27" t="s">
        <v>5095</v>
      </c>
      <c r="F521" s="45"/>
      <c r="G521" s="45"/>
      <c r="H521" s="45"/>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75"/>
      <c r="AE521" s="75"/>
      <c r="AF521" s="75"/>
      <c r="AG521" s="75"/>
      <c r="AH521" s="75"/>
      <c r="AI521" s="75"/>
      <c r="AJ521" s="75"/>
      <c r="AK521" s="75"/>
      <c r="AL521" s="75"/>
      <c r="AM521" s="75"/>
      <c r="AN521" s="75"/>
      <c r="AO521" s="75"/>
      <c r="AP521" s="75"/>
      <c r="AQ521" s="75"/>
      <c r="AR521" s="75"/>
      <c r="AS521" s="75"/>
      <c r="AT521" s="75"/>
      <c r="AU521" s="75"/>
      <c r="AV521" s="75"/>
      <c r="AW521" s="75"/>
      <c r="AX521" s="75"/>
    </row>
    <row r="522" ht="15.75" customHeight="1">
      <c r="A522" s="298" t="s">
        <v>133</v>
      </c>
      <c r="B522" s="299" t="s">
        <v>4627</v>
      </c>
      <c r="C522" s="147"/>
      <c r="D522" s="147"/>
      <c r="E522" s="147"/>
      <c r="F522" s="312"/>
      <c r="G522" s="312"/>
      <c r="H522" s="312"/>
      <c r="I522" s="312"/>
      <c r="J522" s="314" t="s">
        <v>1982</v>
      </c>
      <c r="K522" s="312"/>
      <c r="L522" s="312"/>
      <c r="M522" s="313"/>
      <c r="N522" s="313"/>
      <c r="O522" s="313"/>
      <c r="P522" s="312"/>
      <c r="Q522" s="312"/>
      <c r="R522" s="312"/>
      <c r="S522" s="312"/>
      <c r="T522" s="312"/>
      <c r="U522" s="312"/>
      <c r="V522" s="312"/>
      <c r="W522" s="312"/>
      <c r="X522" s="312"/>
      <c r="Y522" s="312"/>
      <c r="Z522" s="312"/>
      <c r="AA522" s="312"/>
      <c r="AB522" s="312"/>
      <c r="AC522" s="312"/>
      <c r="AD522" s="75"/>
      <c r="AE522" s="75"/>
      <c r="AF522" s="75"/>
      <c r="AG522" s="75"/>
      <c r="AH522" s="75"/>
      <c r="AI522" s="75"/>
      <c r="AJ522" s="75"/>
      <c r="AK522" s="75"/>
      <c r="AL522" s="75"/>
      <c r="AM522" s="75"/>
      <c r="AN522" s="75"/>
      <c r="AO522" s="75"/>
      <c r="AP522" s="75"/>
      <c r="AQ522" s="75"/>
      <c r="AR522" s="75"/>
      <c r="AS522" s="75"/>
      <c r="AT522" s="75"/>
      <c r="AU522" s="75"/>
      <c r="AV522" s="75"/>
      <c r="AW522" s="75"/>
      <c r="AX522" s="75"/>
    </row>
    <row r="523" ht="15.75" customHeight="1">
      <c r="A523" s="280" t="s">
        <v>4649</v>
      </c>
      <c r="B523" s="281" t="s">
        <v>4650</v>
      </c>
      <c r="C523" s="27" t="s">
        <v>5110</v>
      </c>
      <c r="D523" s="27" t="s">
        <v>5111</v>
      </c>
      <c r="E523" s="27" t="s">
        <v>5112</v>
      </c>
      <c r="F523" s="45"/>
      <c r="G523" s="45"/>
      <c r="H523" s="45"/>
      <c r="I523" s="286"/>
      <c r="J523" s="297" t="s">
        <v>8</v>
      </c>
      <c r="K523" s="286"/>
      <c r="L523" s="286"/>
      <c r="M523" s="286"/>
      <c r="N523" s="286"/>
      <c r="O523" s="286"/>
      <c r="P523" s="286"/>
      <c r="Q523" s="286"/>
      <c r="R523" s="286"/>
      <c r="S523" s="286"/>
      <c r="T523" s="286"/>
      <c r="U523" s="286"/>
      <c r="V523" s="286"/>
      <c r="W523" s="286"/>
      <c r="X523" s="286"/>
      <c r="Y523" s="286"/>
      <c r="Z523" s="286"/>
      <c r="AA523" s="286"/>
      <c r="AB523" s="286"/>
      <c r="AC523" s="286"/>
      <c r="AD523" s="75"/>
      <c r="AE523" s="75"/>
      <c r="AF523" s="75"/>
      <c r="AG523" s="75"/>
      <c r="AH523" s="75"/>
      <c r="AI523" s="75"/>
      <c r="AJ523" s="75"/>
      <c r="AK523" s="75"/>
      <c r="AL523" s="75"/>
      <c r="AM523" s="75"/>
      <c r="AN523" s="75"/>
      <c r="AO523" s="75"/>
      <c r="AP523" s="75"/>
      <c r="AQ523" s="75"/>
      <c r="AR523" s="75"/>
      <c r="AS523" s="75"/>
      <c r="AT523" s="75"/>
      <c r="AU523" s="75"/>
      <c r="AV523" s="75"/>
      <c r="AW523" s="75"/>
      <c r="AX523" s="75"/>
    </row>
    <row r="524" ht="15.75" customHeight="1">
      <c r="A524" s="280" t="s">
        <v>4649</v>
      </c>
      <c r="B524" s="281" t="s">
        <v>4658</v>
      </c>
      <c r="C524" s="27" t="s">
        <v>5119</v>
      </c>
      <c r="D524" s="27" t="s">
        <v>5121</v>
      </c>
      <c r="E524" s="27" t="s">
        <v>5123</v>
      </c>
      <c r="F524" s="45"/>
      <c r="G524" s="45"/>
      <c r="H524" s="45"/>
      <c r="I524" s="286"/>
      <c r="J524" s="297" t="s">
        <v>2000</v>
      </c>
      <c r="K524" s="286"/>
      <c r="L524" s="286"/>
      <c r="M524" s="286"/>
      <c r="N524" s="286"/>
      <c r="O524" s="286"/>
      <c r="P524" s="286"/>
      <c r="Q524" s="290" t="s">
        <v>150</v>
      </c>
      <c r="R524" s="286"/>
      <c r="S524" s="286"/>
      <c r="T524" s="286"/>
      <c r="U524" s="286"/>
      <c r="V524" s="286"/>
      <c r="W524" s="286"/>
      <c r="X524" s="286"/>
      <c r="Y524" s="286"/>
      <c r="Z524" s="286"/>
      <c r="AA524" s="286"/>
      <c r="AB524" s="286"/>
      <c r="AC524" s="286"/>
      <c r="AD524" s="75"/>
      <c r="AE524" s="75"/>
      <c r="AF524" s="75"/>
      <c r="AG524" s="75"/>
      <c r="AH524" s="75"/>
      <c r="AI524" s="75"/>
      <c r="AJ524" s="75"/>
      <c r="AK524" s="75"/>
      <c r="AL524" s="75"/>
      <c r="AM524" s="75"/>
      <c r="AN524" s="75"/>
      <c r="AO524" s="75"/>
      <c r="AP524" s="75"/>
      <c r="AQ524" s="75"/>
      <c r="AR524" s="75"/>
      <c r="AS524" s="75"/>
      <c r="AT524" s="75"/>
      <c r="AU524" s="75"/>
      <c r="AV524" s="75"/>
      <c r="AW524" s="75"/>
      <c r="AX524" s="75"/>
    </row>
    <row r="525" ht="15.75" customHeight="1">
      <c r="A525" s="280" t="s">
        <v>4649</v>
      </c>
      <c r="B525" s="281" t="s">
        <v>4681</v>
      </c>
      <c r="C525" s="27" t="s">
        <v>5131</v>
      </c>
      <c r="D525" s="27" t="s">
        <v>5133</v>
      </c>
      <c r="E525" s="27" t="s">
        <v>5134</v>
      </c>
      <c r="F525" s="45"/>
      <c r="G525" s="45"/>
      <c r="H525" s="45"/>
      <c r="I525" s="286"/>
      <c r="J525" s="297" t="s">
        <v>2000</v>
      </c>
      <c r="K525" s="286"/>
      <c r="L525" s="286"/>
      <c r="M525" s="286"/>
      <c r="N525" s="286"/>
      <c r="O525" s="286"/>
      <c r="P525" s="286"/>
      <c r="Q525" s="290" t="s">
        <v>150</v>
      </c>
      <c r="R525" s="286"/>
      <c r="S525" s="286"/>
      <c r="T525" s="286"/>
      <c r="U525" s="286"/>
      <c r="V525" s="286"/>
      <c r="W525" s="286"/>
      <c r="X525" s="286"/>
      <c r="Y525" s="286"/>
      <c r="Z525" s="286"/>
      <c r="AA525" s="286"/>
      <c r="AB525" s="286"/>
      <c r="AC525" s="286"/>
      <c r="AD525" s="75"/>
      <c r="AE525" s="75"/>
      <c r="AF525" s="75"/>
      <c r="AG525" s="75"/>
      <c r="AH525" s="75"/>
      <c r="AI525" s="75"/>
      <c r="AJ525" s="75"/>
      <c r="AK525" s="75"/>
      <c r="AL525" s="75"/>
      <c r="AM525" s="75"/>
      <c r="AN525" s="75"/>
      <c r="AO525" s="75"/>
      <c r="AP525" s="75"/>
      <c r="AQ525" s="75"/>
      <c r="AR525" s="75"/>
      <c r="AS525" s="75"/>
      <c r="AT525" s="75"/>
      <c r="AU525" s="75"/>
      <c r="AV525" s="75"/>
      <c r="AW525" s="75"/>
      <c r="AX525" s="75"/>
    </row>
    <row r="526" ht="15.75" customHeight="1">
      <c r="A526" s="280" t="s">
        <v>4649</v>
      </c>
      <c r="B526" s="281" t="s">
        <v>4691</v>
      </c>
      <c r="C526" s="27" t="s">
        <v>2346</v>
      </c>
      <c r="D526" s="27" t="s">
        <v>2347</v>
      </c>
      <c r="E526" s="27" t="s">
        <v>2348</v>
      </c>
      <c r="F526" s="45"/>
      <c r="G526" s="45"/>
      <c r="H526" s="45"/>
      <c r="I526" s="286"/>
      <c r="J526" s="297" t="s">
        <v>2000</v>
      </c>
      <c r="K526" s="286"/>
      <c r="L526" s="286"/>
      <c r="M526" s="286"/>
      <c r="N526" s="286"/>
      <c r="O526" s="286"/>
      <c r="P526" s="286"/>
      <c r="Q526" s="290" t="s">
        <v>150</v>
      </c>
      <c r="R526" s="286"/>
      <c r="S526" s="286"/>
      <c r="T526" s="286"/>
      <c r="U526" s="286"/>
      <c r="V526" s="286"/>
      <c r="W526" s="286"/>
      <c r="X526" s="286"/>
      <c r="Y526" s="286"/>
      <c r="Z526" s="286"/>
      <c r="AA526" s="286"/>
      <c r="AB526" s="286"/>
      <c r="AC526" s="286"/>
      <c r="AD526" s="75"/>
      <c r="AE526" s="75"/>
      <c r="AF526" s="75"/>
      <c r="AG526" s="75"/>
      <c r="AH526" s="75"/>
      <c r="AI526" s="75"/>
      <c r="AJ526" s="75"/>
      <c r="AK526" s="75"/>
      <c r="AL526" s="75"/>
      <c r="AM526" s="75"/>
      <c r="AN526" s="75"/>
      <c r="AO526" s="75"/>
      <c r="AP526" s="75"/>
      <c r="AQ526" s="75"/>
      <c r="AR526" s="75"/>
      <c r="AS526" s="75"/>
      <c r="AT526" s="75"/>
      <c r="AU526" s="75"/>
      <c r="AV526" s="75"/>
      <c r="AW526" s="75"/>
      <c r="AX526" s="75"/>
    </row>
    <row r="527" ht="15.75" customHeight="1">
      <c r="A527" s="280" t="s">
        <v>4649</v>
      </c>
      <c r="B527" s="281" t="s">
        <v>4696</v>
      </c>
      <c r="C527" s="27" t="s">
        <v>5146</v>
      </c>
      <c r="D527" s="27" t="s">
        <v>5147</v>
      </c>
      <c r="E527" s="27" t="s">
        <v>5148</v>
      </c>
      <c r="F527" s="45"/>
      <c r="G527" s="45"/>
      <c r="H527" s="45"/>
      <c r="I527" s="286"/>
      <c r="J527" s="297" t="s">
        <v>2000</v>
      </c>
      <c r="K527" s="286"/>
      <c r="L527" s="286"/>
      <c r="M527" s="286"/>
      <c r="N527" s="286"/>
      <c r="O527" s="286"/>
      <c r="P527" s="286"/>
      <c r="Q527" s="290" t="s">
        <v>150</v>
      </c>
      <c r="R527" s="286"/>
      <c r="S527" s="286"/>
      <c r="T527" s="286"/>
      <c r="U527" s="286"/>
      <c r="V527" s="286"/>
      <c r="W527" s="286"/>
      <c r="X527" s="286"/>
      <c r="Y527" s="286"/>
      <c r="Z527" s="286"/>
      <c r="AA527" s="286"/>
      <c r="AB527" s="286"/>
      <c r="AC527" s="286"/>
      <c r="AD527" s="75"/>
      <c r="AE527" s="75"/>
      <c r="AF527" s="75"/>
      <c r="AG527" s="75"/>
      <c r="AH527" s="75"/>
      <c r="AI527" s="75"/>
      <c r="AJ527" s="75"/>
      <c r="AK527" s="75"/>
      <c r="AL527" s="75"/>
      <c r="AM527" s="75"/>
      <c r="AN527" s="75"/>
      <c r="AO527" s="75"/>
      <c r="AP527" s="75"/>
      <c r="AQ527" s="75"/>
      <c r="AR527" s="75"/>
      <c r="AS527" s="75"/>
      <c r="AT527" s="75"/>
      <c r="AU527" s="75"/>
      <c r="AV527" s="75"/>
      <c r="AW527" s="75"/>
      <c r="AX527" s="75"/>
    </row>
    <row r="528" ht="15.75" customHeight="1">
      <c r="A528" s="280" t="s">
        <v>4649</v>
      </c>
      <c r="B528" s="281" t="s">
        <v>4700</v>
      </c>
      <c r="C528" s="27" t="s">
        <v>5154</v>
      </c>
      <c r="D528" s="27" t="s">
        <v>5155</v>
      </c>
      <c r="E528" s="27" t="s">
        <v>5156</v>
      </c>
      <c r="F528" s="45"/>
      <c r="G528" s="45"/>
      <c r="H528" s="45"/>
      <c r="I528" s="286"/>
      <c r="J528" s="297" t="s">
        <v>2000</v>
      </c>
      <c r="K528" s="286"/>
      <c r="L528" s="286"/>
      <c r="M528" s="286"/>
      <c r="N528" s="286"/>
      <c r="O528" s="286"/>
      <c r="P528" s="286"/>
      <c r="Q528" s="290" t="s">
        <v>150</v>
      </c>
      <c r="R528" s="286"/>
      <c r="S528" s="286"/>
      <c r="T528" s="286"/>
      <c r="U528" s="286"/>
      <c r="V528" s="286"/>
      <c r="W528" s="286"/>
      <c r="X528" s="286"/>
      <c r="Y528" s="286"/>
      <c r="Z528" s="286"/>
      <c r="AA528" s="286"/>
      <c r="AB528" s="286"/>
      <c r="AC528" s="286"/>
      <c r="AD528" s="75"/>
      <c r="AE528" s="75"/>
      <c r="AF528" s="75"/>
      <c r="AG528" s="75"/>
      <c r="AH528" s="75"/>
      <c r="AI528" s="75"/>
      <c r="AJ528" s="75"/>
      <c r="AK528" s="75"/>
      <c r="AL528" s="75"/>
      <c r="AM528" s="75"/>
      <c r="AN528" s="75"/>
      <c r="AO528" s="75"/>
      <c r="AP528" s="75"/>
      <c r="AQ528" s="75"/>
      <c r="AR528" s="75"/>
      <c r="AS528" s="75"/>
      <c r="AT528" s="75"/>
      <c r="AU528" s="75"/>
      <c r="AV528" s="75"/>
      <c r="AW528" s="75"/>
      <c r="AX528" s="75"/>
    </row>
    <row r="529" ht="15.75" customHeight="1">
      <c r="A529" s="280" t="s">
        <v>4649</v>
      </c>
      <c r="B529" s="281" t="s">
        <v>4707</v>
      </c>
      <c r="C529" s="27" t="s">
        <v>5169</v>
      </c>
      <c r="D529" s="27" t="s">
        <v>5170</v>
      </c>
      <c r="E529" s="27" t="s">
        <v>5171</v>
      </c>
      <c r="F529" s="45"/>
      <c r="G529" s="45"/>
      <c r="H529" s="45"/>
      <c r="I529" s="286"/>
      <c r="J529" s="297" t="s">
        <v>2000</v>
      </c>
      <c r="K529" s="286"/>
      <c r="L529" s="286"/>
      <c r="M529" s="286"/>
      <c r="N529" s="286"/>
      <c r="O529" s="286"/>
      <c r="P529" s="286"/>
      <c r="Q529" s="290" t="s">
        <v>150</v>
      </c>
      <c r="R529" s="286"/>
      <c r="S529" s="286"/>
      <c r="T529" s="286"/>
      <c r="U529" s="286"/>
      <c r="V529" s="286"/>
      <c r="W529" s="286"/>
      <c r="X529" s="286"/>
      <c r="Y529" s="286"/>
      <c r="Z529" s="286"/>
      <c r="AA529" s="286"/>
      <c r="AB529" s="286"/>
      <c r="AC529" s="286"/>
      <c r="AD529" s="75"/>
      <c r="AE529" s="75"/>
      <c r="AF529" s="75"/>
      <c r="AG529" s="75"/>
      <c r="AH529" s="75"/>
      <c r="AI529" s="75"/>
      <c r="AJ529" s="75"/>
      <c r="AK529" s="75"/>
      <c r="AL529" s="75"/>
      <c r="AM529" s="75"/>
      <c r="AN529" s="75"/>
      <c r="AO529" s="75"/>
      <c r="AP529" s="75"/>
      <c r="AQ529" s="75"/>
      <c r="AR529" s="75"/>
      <c r="AS529" s="75"/>
      <c r="AT529" s="75"/>
      <c r="AU529" s="75"/>
      <c r="AV529" s="75"/>
      <c r="AW529" s="75"/>
      <c r="AX529" s="75"/>
    </row>
    <row r="530" ht="15.75" customHeight="1">
      <c r="A530" s="298" t="s">
        <v>237</v>
      </c>
      <c r="B530" s="310" t="s">
        <v>4627</v>
      </c>
      <c r="C530" s="226"/>
      <c r="D530" s="226"/>
      <c r="E530" s="226"/>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75"/>
      <c r="AE530" s="75"/>
      <c r="AF530" s="75"/>
      <c r="AG530" s="75"/>
      <c r="AH530" s="75"/>
      <c r="AI530" s="75"/>
      <c r="AJ530" s="75"/>
      <c r="AK530" s="75"/>
      <c r="AL530" s="75"/>
      <c r="AM530" s="75"/>
      <c r="AN530" s="75"/>
      <c r="AO530" s="75"/>
      <c r="AP530" s="75"/>
      <c r="AQ530" s="75"/>
      <c r="AR530" s="75"/>
      <c r="AS530" s="75"/>
      <c r="AT530" s="75"/>
      <c r="AU530" s="75"/>
      <c r="AV530" s="75"/>
      <c r="AW530" s="75"/>
      <c r="AX530" s="75"/>
    </row>
    <row r="531" ht="15.75" customHeight="1">
      <c r="A531" s="329" t="s">
        <v>133</v>
      </c>
      <c r="B531" s="330" t="s">
        <v>5177</v>
      </c>
      <c r="C531" s="27"/>
      <c r="D531" s="27"/>
      <c r="E531" s="27"/>
      <c r="F531" s="45"/>
      <c r="G531" s="45"/>
      <c r="H531" s="45"/>
      <c r="I531" s="284"/>
      <c r="J531" s="314" t="s">
        <v>1982</v>
      </c>
      <c r="K531" s="284"/>
      <c r="L531" s="284"/>
      <c r="M531" s="284"/>
      <c r="N531" s="284"/>
      <c r="O531" s="284"/>
      <c r="P531" s="284"/>
      <c r="Q531" s="284"/>
      <c r="R531" s="284"/>
      <c r="S531" s="284"/>
      <c r="T531" s="284"/>
      <c r="U531" s="284"/>
      <c r="V531" s="284"/>
      <c r="W531" s="284"/>
      <c r="X531" s="284"/>
      <c r="Y531" s="284"/>
      <c r="Z531" s="284"/>
      <c r="AA531" s="284"/>
      <c r="AB531" s="284"/>
      <c r="AC531" s="284"/>
      <c r="AD531" s="75"/>
      <c r="AE531" s="75"/>
      <c r="AF531" s="75"/>
      <c r="AG531" s="75"/>
      <c r="AH531" s="75"/>
      <c r="AI531" s="75"/>
      <c r="AJ531" s="75"/>
      <c r="AK531" s="75"/>
      <c r="AL531" s="75"/>
      <c r="AM531" s="75"/>
      <c r="AN531" s="75"/>
      <c r="AO531" s="75"/>
      <c r="AP531" s="75"/>
      <c r="AQ531" s="75"/>
      <c r="AR531" s="75"/>
      <c r="AS531" s="75"/>
      <c r="AT531" s="75"/>
      <c r="AU531" s="75"/>
      <c r="AV531" s="75"/>
      <c r="AW531" s="75"/>
      <c r="AX531" s="75"/>
    </row>
    <row r="532" ht="15.75" customHeight="1">
      <c r="A532" s="280" t="s">
        <v>1988</v>
      </c>
      <c r="B532" s="279" t="s">
        <v>4712</v>
      </c>
      <c r="C532" s="27" t="s">
        <v>5178</v>
      </c>
      <c r="D532" s="27" t="s">
        <v>5179</v>
      </c>
      <c r="E532" s="27" t="s">
        <v>5180</v>
      </c>
      <c r="F532" s="45"/>
      <c r="G532" s="45"/>
      <c r="H532" s="45"/>
      <c r="I532" s="284"/>
      <c r="J532" s="297" t="s">
        <v>8</v>
      </c>
      <c r="K532" s="284"/>
      <c r="L532" s="284"/>
      <c r="M532" s="284"/>
      <c r="N532" s="284"/>
      <c r="O532" s="284"/>
      <c r="P532" s="284"/>
      <c r="Q532" s="284"/>
      <c r="R532" s="284"/>
      <c r="S532" s="284"/>
      <c r="T532" s="284"/>
      <c r="U532" s="284"/>
      <c r="V532" s="284"/>
      <c r="W532" s="284"/>
      <c r="X532" s="284"/>
      <c r="Y532" s="284"/>
      <c r="Z532" s="284"/>
      <c r="AA532" s="284"/>
      <c r="AB532" s="284"/>
      <c r="AC532" s="284"/>
      <c r="AD532" s="75"/>
      <c r="AE532" s="75"/>
      <c r="AF532" s="75"/>
      <c r="AG532" s="75"/>
      <c r="AH532" s="75"/>
      <c r="AI532" s="75"/>
      <c r="AJ532" s="75"/>
      <c r="AK532" s="75"/>
      <c r="AL532" s="75"/>
      <c r="AM532" s="75"/>
      <c r="AN532" s="75"/>
      <c r="AO532" s="75"/>
      <c r="AP532" s="75"/>
      <c r="AQ532" s="75"/>
      <c r="AR532" s="75"/>
      <c r="AS532" s="75"/>
      <c r="AT532" s="75"/>
      <c r="AU532" s="75"/>
      <c r="AV532" s="75"/>
      <c r="AW532" s="75"/>
      <c r="AX532" s="75"/>
    </row>
    <row r="533" ht="15.75" customHeight="1">
      <c r="A533" s="280" t="s">
        <v>1988</v>
      </c>
      <c r="B533" s="281" t="s">
        <v>4716</v>
      </c>
      <c r="C533" s="27" t="s">
        <v>5182</v>
      </c>
      <c r="D533" s="27" t="s">
        <v>5183</v>
      </c>
      <c r="E533" s="27" t="s">
        <v>5184</v>
      </c>
      <c r="F533" s="45"/>
      <c r="G533" s="45"/>
      <c r="H533" s="45"/>
      <c r="I533" s="286"/>
      <c r="J533" s="297" t="s">
        <v>2000</v>
      </c>
      <c r="K533" s="286"/>
      <c r="L533" s="286"/>
      <c r="M533" s="286"/>
      <c r="N533" s="286"/>
      <c r="O533" s="286"/>
      <c r="P533" s="286"/>
      <c r="Q533" s="290" t="s">
        <v>150</v>
      </c>
      <c r="R533" s="286"/>
      <c r="S533" s="286"/>
      <c r="T533" s="286"/>
      <c r="U533" s="286"/>
      <c r="V533" s="286"/>
      <c r="W533" s="286"/>
      <c r="X533" s="286"/>
      <c r="Y533" s="286"/>
      <c r="Z533" s="286"/>
      <c r="AA533" s="286"/>
      <c r="AB533" s="286"/>
      <c r="AC533" s="286"/>
      <c r="AD533" s="75"/>
      <c r="AE533" s="75"/>
      <c r="AF533" s="75"/>
      <c r="AG533" s="75"/>
      <c r="AH533" s="75"/>
      <c r="AI533" s="75"/>
      <c r="AJ533" s="75"/>
      <c r="AK533" s="75"/>
      <c r="AL533" s="75"/>
      <c r="AM533" s="75"/>
      <c r="AN533" s="75"/>
      <c r="AO533" s="75"/>
      <c r="AP533" s="75"/>
      <c r="AQ533" s="75"/>
      <c r="AR533" s="75"/>
      <c r="AS533" s="75"/>
      <c r="AT533" s="75"/>
      <c r="AU533" s="75"/>
      <c r="AV533" s="75"/>
      <c r="AW533" s="75"/>
      <c r="AX533" s="75"/>
    </row>
    <row r="534" ht="15.75" customHeight="1">
      <c r="A534" s="280" t="s">
        <v>1988</v>
      </c>
      <c r="B534" s="281" t="s">
        <v>4724</v>
      </c>
      <c r="C534" s="27" t="s">
        <v>5185</v>
      </c>
      <c r="D534" s="27" t="s">
        <v>5186</v>
      </c>
      <c r="E534" s="27" t="s">
        <v>5187</v>
      </c>
      <c r="F534" s="45"/>
      <c r="G534" s="45"/>
      <c r="H534" s="45"/>
      <c r="I534" s="286"/>
      <c r="J534" s="297" t="s">
        <v>2000</v>
      </c>
      <c r="K534" s="286"/>
      <c r="L534" s="286"/>
      <c r="M534" s="286"/>
      <c r="N534" s="286"/>
      <c r="O534" s="286"/>
      <c r="P534" s="286"/>
      <c r="Q534" s="290" t="s">
        <v>150</v>
      </c>
      <c r="R534" s="286"/>
      <c r="S534" s="286"/>
      <c r="T534" s="286"/>
      <c r="U534" s="286"/>
      <c r="V534" s="286"/>
      <c r="W534" s="286"/>
      <c r="X534" s="286"/>
      <c r="Y534" s="286"/>
      <c r="Z534" s="286"/>
      <c r="AA534" s="286"/>
      <c r="AB534" s="286"/>
      <c r="AC534" s="286"/>
      <c r="AD534" s="75"/>
      <c r="AE534" s="75"/>
      <c r="AF534" s="75"/>
      <c r="AG534" s="75"/>
      <c r="AH534" s="75"/>
      <c r="AI534" s="75"/>
      <c r="AJ534" s="75"/>
      <c r="AK534" s="75"/>
      <c r="AL534" s="75"/>
      <c r="AM534" s="75"/>
      <c r="AN534" s="75"/>
      <c r="AO534" s="75"/>
      <c r="AP534" s="75"/>
      <c r="AQ534" s="75"/>
      <c r="AR534" s="75"/>
      <c r="AS534" s="75"/>
      <c r="AT534" s="75"/>
      <c r="AU534" s="75"/>
      <c r="AV534" s="75"/>
      <c r="AW534" s="75"/>
      <c r="AX534" s="75"/>
    </row>
    <row r="535" ht="15.75" customHeight="1">
      <c r="A535" s="280" t="s">
        <v>1988</v>
      </c>
      <c r="B535" s="281" t="s">
        <v>4729</v>
      </c>
      <c r="C535" s="27" t="s">
        <v>5188</v>
      </c>
      <c r="D535" s="27" t="s">
        <v>5189</v>
      </c>
      <c r="E535" s="27" t="s">
        <v>5190</v>
      </c>
      <c r="F535" s="45"/>
      <c r="G535" s="45"/>
      <c r="H535" s="45"/>
      <c r="I535" s="286"/>
      <c r="J535" s="297" t="s">
        <v>2000</v>
      </c>
      <c r="K535" s="286"/>
      <c r="L535" s="286"/>
      <c r="M535" s="286"/>
      <c r="N535" s="286"/>
      <c r="O535" s="286"/>
      <c r="P535" s="286"/>
      <c r="Q535" s="290" t="s">
        <v>150</v>
      </c>
      <c r="R535" s="286"/>
      <c r="S535" s="286"/>
      <c r="T535" s="286"/>
      <c r="U535" s="286"/>
      <c r="V535" s="286"/>
      <c r="W535" s="286"/>
      <c r="X535" s="286"/>
      <c r="Y535" s="286"/>
      <c r="Z535" s="286"/>
      <c r="AA535" s="286"/>
      <c r="AB535" s="286"/>
      <c r="AC535" s="286"/>
      <c r="AD535" s="75"/>
      <c r="AE535" s="75"/>
      <c r="AF535" s="75"/>
      <c r="AG535" s="75"/>
      <c r="AH535" s="75"/>
      <c r="AI535" s="75"/>
      <c r="AJ535" s="75"/>
      <c r="AK535" s="75"/>
      <c r="AL535" s="75"/>
      <c r="AM535" s="75"/>
      <c r="AN535" s="75"/>
      <c r="AO535" s="75"/>
      <c r="AP535" s="75"/>
      <c r="AQ535" s="75"/>
      <c r="AR535" s="75"/>
      <c r="AS535" s="75"/>
      <c r="AT535" s="75"/>
      <c r="AU535" s="75"/>
      <c r="AV535" s="75"/>
      <c r="AW535" s="75"/>
      <c r="AX535" s="75"/>
    </row>
    <row r="536" ht="15.75" customHeight="1">
      <c r="A536" s="280" t="s">
        <v>1988</v>
      </c>
      <c r="B536" s="281" t="s">
        <v>4739</v>
      </c>
      <c r="C536" s="27" t="s">
        <v>5191</v>
      </c>
      <c r="D536" s="27" t="s">
        <v>5192</v>
      </c>
      <c r="E536" s="27" t="s">
        <v>5193</v>
      </c>
      <c r="F536" s="45"/>
      <c r="G536" s="45"/>
      <c r="H536" s="45"/>
      <c r="I536" s="286"/>
      <c r="J536" s="297" t="s">
        <v>2000</v>
      </c>
      <c r="K536" s="286"/>
      <c r="L536" s="286"/>
      <c r="M536" s="286"/>
      <c r="N536" s="286"/>
      <c r="O536" s="286"/>
      <c r="P536" s="286"/>
      <c r="Q536" s="290" t="s">
        <v>150</v>
      </c>
      <c r="R536" s="286"/>
      <c r="S536" s="286"/>
      <c r="T536" s="286"/>
      <c r="U536" s="286"/>
      <c r="V536" s="286"/>
      <c r="W536" s="286"/>
      <c r="X536" s="286"/>
      <c r="Y536" s="286"/>
      <c r="Z536" s="286"/>
      <c r="AA536" s="286"/>
      <c r="AB536" s="286"/>
      <c r="AC536" s="286"/>
      <c r="AD536" s="75"/>
      <c r="AE536" s="75"/>
      <c r="AF536" s="75"/>
      <c r="AG536" s="75"/>
      <c r="AH536" s="75"/>
      <c r="AI536" s="75"/>
      <c r="AJ536" s="75"/>
      <c r="AK536" s="75"/>
      <c r="AL536" s="75"/>
      <c r="AM536" s="75"/>
      <c r="AN536" s="75"/>
      <c r="AO536" s="75"/>
      <c r="AP536" s="75"/>
      <c r="AQ536" s="75"/>
      <c r="AR536" s="75"/>
      <c r="AS536" s="75"/>
      <c r="AT536" s="75"/>
      <c r="AU536" s="75"/>
      <c r="AV536" s="75"/>
      <c r="AW536" s="75"/>
      <c r="AX536" s="75"/>
    </row>
    <row r="537" ht="15.75" customHeight="1">
      <c r="A537" s="280" t="s">
        <v>1988</v>
      </c>
      <c r="B537" s="281" t="s">
        <v>4743</v>
      </c>
      <c r="C537" s="27" t="s">
        <v>5194</v>
      </c>
      <c r="D537" s="27" t="s">
        <v>5195</v>
      </c>
      <c r="E537" s="27" t="s">
        <v>5196</v>
      </c>
      <c r="F537" s="45"/>
      <c r="G537" s="45"/>
      <c r="H537" s="45"/>
      <c r="I537" s="286"/>
      <c r="J537" s="297" t="s">
        <v>2000</v>
      </c>
      <c r="K537" s="286"/>
      <c r="L537" s="286"/>
      <c r="M537" s="286"/>
      <c r="N537" s="286"/>
      <c r="O537" s="286"/>
      <c r="P537" s="286"/>
      <c r="Q537" s="290" t="s">
        <v>150</v>
      </c>
      <c r="R537" s="286"/>
      <c r="S537" s="286"/>
      <c r="T537" s="286"/>
      <c r="U537" s="286"/>
      <c r="V537" s="286"/>
      <c r="W537" s="286"/>
      <c r="X537" s="286"/>
      <c r="Y537" s="286"/>
      <c r="Z537" s="286"/>
      <c r="AA537" s="286"/>
      <c r="AB537" s="286"/>
      <c r="AC537" s="286"/>
      <c r="AD537" s="75"/>
      <c r="AE537" s="75"/>
      <c r="AF537" s="75"/>
      <c r="AG537" s="75"/>
      <c r="AH537" s="75"/>
      <c r="AI537" s="75"/>
      <c r="AJ537" s="75"/>
      <c r="AK537" s="75"/>
      <c r="AL537" s="75"/>
      <c r="AM537" s="75"/>
      <c r="AN537" s="75"/>
      <c r="AO537" s="75"/>
      <c r="AP537" s="75"/>
      <c r="AQ537" s="75"/>
      <c r="AR537" s="75"/>
      <c r="AS537" s="75"/>
      <c r="AT537" s="75"/>
      <c r="AU537" s="75"/>
      <c r="AV537" s="75"/>
      <c r="AW537" s="75"/>
      <c r="AX537" s="75"/>
    </row>
    <row r="538" ht="15.75" customHeight="1">
      <c r="A538" s="329" t="s">
        <v>237</v>
      </c>
      <c r="B538" s="330" t="s">
        <v>5177</v>
      </c>
      <c r="C538" s="27"/>
      <c r="D538" s="27"/>
      <c r="E538" s="27"/>
      <c r="F538" s="45"/>
      <c r="G538" s="45"/>
      <c r="H538" s="45"/>
      <c r="I538" s="286"/>
      <c r="J538" s="297"/>
      <c r="K538" s="286"/>
      <c r="L538" s="286"/>
      <c r="M538" s="286"/>
      <c r="N538" s="286"/>
      <c r="O538" s="286"/>
      <c r="P538" s="286"/>
      <c r="Q538" s="290"/>
      <c r="R538" s="286"/>
      <c r="S538" s="286"/>
      <c r="T538" s="286"/>
      <c r="U538" s="286"/>
      <c r="V538" s="286"/>
      <c r="W538" s="286"/>
      <c r="X538" s="286"/>
      <c r="Y538" s="286"/>
      <c r="Z538" s="286"/>
      <c r="AA538" s="286"/>
      <c r="AB538" s="286"/>
      <c r="AC538" s="286"/>
      <c r="AD538" s="75"/>
      <c r="AE538" s="75"/>
      <c r="AF538" s="75"/>
      <c r="AG538" s="75"/>
      <c r="AH538" s="75"/>
      <c r="AI538" s="75"/>
      <c r="AJ538" s="75"/>
      <c r="AK538" s="75"/>
      <c r="AL538" s="75"/>
      <c r="AM538" s="75"/>
      <c r="AN538" s="75"/>
      <c r="AO538" s="75"/>
      <c r="AP538" s="75"/>
      <c r="AQ538" s="75"/>
      <c r="AR538" s="75"/>
      <c r="AS538" s="75"/>
      <c r="AT538" s="75"/>
      <c r="AU538" s="75"/>
      <c r="AV538" s="75"/>
      <c r="AW538" s="75"/>
      <c r="AX538" s="75"/>
    </row>
    <row r="539" ht="15.75" customHeight="1">
      <c r="A539" s="280" t="s">
        <v>1306</v>
      </c>
      <c r="B539" s="281" t="s">
        <v>4765</v>
      </c>
      <c r="C539" s="27" t="s">
        <v>5198</v>
      </c>
      <c r="D539" s="27" t="s">
        <v>5199</v>
      </c>
      <c r="E539" s="27" t="s">
        <v>5200</v>
      </c>
      <c r="F539" s="45"/>
      <c r="G539" s="45"/>
      <c r="H539" s="45"/>
      <c r="I539" s="286"/>
      <c r="J539" s="287"/>
      <c r="K539" s="286"/>
      <c r="L539" s="286"/>
      <c r="M539" s="286"/>
      <c r="N539" s="286"/>
      <c r="O539" s="286"/>
      <c r="P539" s="286"/>
      <c r="Q539" s="290" t="s">
        <v>150</v>
      </c>
      <c r="R539" s="286"/>
      <c r="S539" s="286"/>
      <c r="T539" s="286"/>
      <c r="U539" s="286"/>
      <c r="V539" s="286"/>
      <c r="W539" s="286"/>
      <c r="X539" s="286"/>
      <c r="Y539" s="286"/>
      <c r="Z539" s="286"/>
      <c r="AA539" s="286"/>
      <c r="AB539" s="286"/>
      <c r="AC539" s="286"/>
      <c r="AD539" s="75"/>
      <c r="AE539" s="75"/>
      <c r="AF539" s="75"/>
      <c r="AG539" s="75"/>
      <c r="AH539" s="75"/>
      <c r="AI539" s="75"/>
      <c r="AJ539" s="75"/>
      <c r="AK539" s="75"/>
      <c r="AL539" s="75"/>
      <c r="AM539" s="75"/>
      <c r="AN539" s="75"/>
      <c r="AO539" s="75"/>
      <c r="AP539" s="75"/>
      <c r="AQ539" s="75"/>
      <c r="AR539" s="75"/>
      <c r="AS539" s="75"/>
      <c r="AT539" s="75"/>
      <c r="AU539" s="75"/>
      <c r="AV539" s="75"/>
      <c r="AW539" s="75"/>
      <c r="AX539" s="75"/>
    </row>
    <row r="540" ht="15.75" customHeight="1">
      <c r="A540" s="278" t="s">
        <v>38</v>
      </c>
      <c r="B540" s="279" t="s">
        <v>4772</v>
      </c>
      <c r="C540" s="27" t="s">
        <v>5201</v>
      </c>
      <c r="D540" s="27" t="s">
        <v>5202</v>
      </c>
      <c r="E540" s="27" t="s">
        <v>5203</v>
      </c>
      <c r="F540" s="45"/>
      <c r="G540" s="45"/>
      <c r="H540" s="45"/>
      <c r="I540" s="284"/>
      <c r="J540" s="284"/>
      <c r="K540" s="284"/>
      <c r="L540" s="284"/>
      <c r="M540" s="284"/>
      <c r="N540" s="284"/>
      <c r="O540" s="323" t="s">
        <v>5204</v>
      </c>
      <c r="P540" s="284"/>
      <c r="Q540" s="284"/>
      <c r="R540" s="284"/>
      <c r="S540" s="284"/>
      <c r="T540" s="284"/>
      <c r="U540" s="284"/>
      <c r="V540" s="284"/>
      <c r="W540" s="284"/>
      <c r="X540" s="284"/>
      <c r="Y540" s="284"/>
      <c r="Z540" s="284"/>
      <c r="AA540" s="284"/>
      <c r="AB540" s="284"/>
      <c r="AC540" s="284"/>
      <c r="AD540" s="75"/>
      <c r="AE540" s="75"/>
      <c r="AF540" s="75"/>
      <c r="AG540" s="75"/>
      <c r="AH540" s="75"/>
      <c r="AI540" s="75"/>
      <c r="AJ540" s="75"/>
      <c r="AK540" s="75"/>
      <c r="AL540" s="75"/>
      <c r="AM540" s="75"/>
      <c r="AN540" s="75"/>
      <c r="AO540" s="75"/>
      <c r="AP540" s="75"/>
      <c r="AQ540" s="75"/>
      <c r="AR540" s="75"/>
      <c r="AS540" s="75"/>
      <c r="AT540" s="75"/>
      <c r="AU540" s="75"/>
      <c r="AV540" s="75"/>
      <c r="AW540" s="75"/>
      <c r="AX540" s="75"/>
    </row>
    <row r="541" ht="15.75" customHeight="1">
      <c r="A541" s="280" t="s">
        <v>1988</v>
      </c>
      <c r="B541" s="281" t="s">
        <v>4779</v>
      </c>
      <c r="C541" s="27" t="s">
        <v>5205</v>
      </c>
      <c r="D541" s="27" t="s">
        <v>5206</v>
      </c>
      <c r="E541" s="27" t="s">
        <v>5207</v>
      </c>
      <c r="F541" s="45"/>
      <c r="G541" s="45"/>
      <c r="H541" s="45"/>
      <c r="I541" s="286"/>
      <c r="J541" s="287"/>
      <c r="K541" s="286"/>
      <c r="L541" s="286"/>
      <c r="M541" s="286"/>
      <c r="N541" s="286"/>
      <c r="O541" s="290" t="s">
        <v>5204</v>
      </c>
      <c r="P541" s="286"/>
      <c r="Q541" s="290" t="s">
        <v>150</v>
      </c>
      <c r="R541" s="286"/>
      <c r="S541" s="286"/>
      <c r="T541" s="286"/>
      <c r="U541" s="286"/>
      <c r="V541" s="286"/>
      <c r="W541" s="286"/>
      <c r="X541" s="286"/>
      <c r="Y541" s="286"/>
      <c r="Z541" s="286"/>
      <c r="AA541" s="286"/>
      <c r="AB541" s="286"/>
      <c r="AC541" s="286"/>
      <c r="AD541" s="75"/>
      <c r="AE541" s="75"/>
      <c r="AF541" s="75"/>
      <c r="AG541" s="75"/>
      <c r="AH541" s="75"/>
      <c r="AI541" s="75"/>
      <c r="AJ541" s="75"/>
      <c r="AK541" s="75"/>
      <c r="AL541" s="75"/>
      <c r="AM541" s="75"/>
      <c r="AN541" s="75"/>
      <c r="AO541" s="75"/>
      <c r="AP541" s="75"/>
      <c r="AQ541" s="75"/>
      <c r="AR541" s="75"/>
      <c r="AS541" s="75"/>
      <c r="AT541" s="75"/>
      <c r="AU541" s="75"/>
      <c r="AV541" s="75"/>
      <c r="AW541" s="75"/>
      <c r="AX541" s="75"/>
    </row>
    <row r="542" ht="15.75" customHeight="1">
      <c r="A542" s="280" t="s">
        <v>1988</v>
      </c>
      <c r="B542" s="281" t="s">
        <v>4784</v>
      </c>
      <c r="C542" s="27" t="s">
        <v>5209</v>
      </c>
      <c r="D542" s="27" t="s">
        <v>5210</v>
      </c>
      <c r="E542" s="27" t="s">
        <v>5211</v>
      </c>
      <c r="F542" s="45"/>
      <c r="G542" s="45"/>
      <c r="H542" s="45"/>
      <c r="I542" s="286"/>
      <c r="J542" s="287"/>
      <c r="K542" s="286"/>
      <c r="L542" s="286"/>
      <c r="M542" s="286"/>
      <c r="N542" s="286"/>
      <c r="O542" s="290" t="s">
        <v>5204</v>
      </c>
      <c r="P542" s="286"/>
      <c r="Q542" s="290" t="s">
        <v>150</v>
      </c>
      <c r="R542" s="286"/>
      <c r="S542" s="286"/>
      <c r="T542" s="286"/>
      <c r="U542" s="286"/>
      <c r="V542" s="286"/>
      <c r="W542" s="286"/>
      <c r="X542" s="286"/>
      <c r="Y542" s="286"/>
      <c r="Z542" s="286"/>
      <c r="AA542" s="286"/>
      <c r="AB542" s="286"/>
      <c r="AC542" s="286"/>
      <c r="AD542" s="75"/>
      <c r="AE542" s="75"/>
      <c r="AF542" s="75"/>
      <c r="AG542" s="75"/>
      <c r="AH542" s="75"/>
      <c r="AI542" s="75"/>
      <c r="AJ542" s="75"/>
      <c r="AK542" s="75"/>
      <c r="AL542" s="75"/>
      <c r="AM542" s="75"/>
      <c r="AN542" s="75"/>
      <c r="AO542" s="75"/>
      <c r="AP542" s="75"/>
      <c r="AQ542" s="75"/>
      <c r="AR542" s="75"/>
      <c r="AS542" s="75"/>
      <c r="AT542" s="75"/>
      <c r="AU542" s="75"/>
      <c r="AV542" s="75"/>
      <c r="AW542" s="75"/>
      <c r="AX542" s="75"/>
    </row>
    <row r="543" ht="15.75" customHeight="1">
      <c r="A543" s="280" t="s">
        <v>1988</v>
      </c>
      <c r="B543" s="281" t="s">
        <v>4788</v>
      </c>
      <c r="C543" s="27" t="s">
        <v>5218</v>
      </c>
      <c r="D543" s="27" t="s">
        <v>5219</v>
      </c>
      <c r="E543" s="27" t="s">
        <v>5220</v>
      </c>
      <c r="F543" s="45"/>
      <c r="G543" s="45"/>
      <c r="H543" s="45"/>
      <c r="I543" s="286"/>
      <c r="J543" s="287"/>
      <c r="K543" s="286"/>
      <c r="L543" s="286"/>
      <c r="M543" s="286"/>
      <c r="N543" s="286"/>
      <c r="O543" s="290" t="s">
        <v>5204</v>
      </c>
      <c r="P543" s="286"/>
      <c r="Q543" s="290" t="s">
        <v>150</v>
      </c>
      <c r="R543" s="286"/>
      <c r="S543" s="286"/>
      <c r="T543" s="286"/>
      <c r="U543" s="286"/>
      <c r="V543" s="286"/>
      <c r="W543" s="286"/>
      <c r="X543" s="286"/>
      <c r="Y543" s="286"/>
      <c r="Z543" s="286"/>
      <c r="AA543" s="286"/>
      <c r="AB543" s="286"/>
      <c r="AC543" s="286"/>
      <c r="AD543" s="75"/>
      <c r="AE543" s="75"/>
      <c r="AF543" s="75"/>
      <c r="AG543" s="75"/>
      <c r="AH543" s="75"/>
      <c r="AI543" s="75"/>
      <c r="AJ543" s="75"/>
      <c r="AK543" s="75"/>
      <c r="AL543" s="75"/>
      <c r="AM543" s="75"/>
      <c r="AN543" s="75"/>
      <c r="AO543" s="75"/>
      <c r="AP543" s="75"/>
      <c r="AQ543" s="75"/>
      <c r="AR543" s="75"/>
      <c r="AS543" s="75"/>
      <c r="AT543" s="75"/>
      <c r="AU543" s="75"/>
      <c r="AV543" s="75"/>
      <c r="AW543" s="75"/>
      <c r="AX543" s="75"/>
    </row>
    <row r="544" ht="15.75" customHeight="1">
      <c r="A544" s="280" t="s">
        <v>1988</v>
      </c>
      <c r="B544" s="281" t="s">
        <v>4794</v>
      </c>
      <c r="C544" s="27" t="s">
        <v>5229</v>
      </c>
      <c r="D544" s="27" t="s">
        <v>5230</v>
      </c>
      <c r="E544" s="27" t="s">
        <v>5231</v>
      </c>
      <c r="F544" s="45"/>
      <c r="G544" s="45"/>
      <c r="H544" s="45"/>
      <c r="I544" s="286"/>
      <c r="J544" s="287"/>
      <c r="K544" s="286"/>
      <c r="L544" s="286"/>
      <c r="M544" s="286"/>
      <c r="N544" s="286"/>
      <c r="O544" s="290" t="s">
        <v>5204</v>
      </c>
      <c r="P544" s="286"/>
      <c r="Q544" s="290" t="s">
        <v>150</v>
      </c>
      <c r="R544" s="286"/>
      <c r="S544" s="286"/>
      <c r="T544" s="286"/>
      <c r="U544" s="286"/>
      <c r="V544" s="286"/>
      <c r="W544" s="286"/>
      <c r="X544" s="286"/>
      <c r="Y544" s="286"/>
      <c r="Z544" s="286"/>
      <c r="AA544" s="286"/>
      <c r="AB544" s="286"/>
      <c r="AC544" s="286"/>
      <c r="AD544" s="75"/>
      <c r="AE544" s="75"/>
      <c r="AF544" s="75"/>
      <c r="AG544" s="75"/>
      <c r="AH544" s="75"/>
      <c r="AI544" s="75"/>
      <c r="AJ544" s="75"/>
      <c r="AK544" s="75"/>
      <c r="AL544" s="75"/>
      <c r="AM544" s="75"/>
      <c r="AN544" s="75"/>
      <c r="AO544" s="75"/>
      <c r="AP544" s="75"/>
      <c r="AQ544" s="75"/>
      <c r="AR544" s="75"/>
      <c r="AS544" s="75"/>
      <c r="AT544" s="75"/>
      <c r="AU544" s="75"/>
      <c r="AV544" s="75"/>
      <c r="AW544" s="75"/>
      <c r="AX544" s="75"/>
    </row>
    <row r="545" ht="15.75" customHeight="1">
      <c r="A545" s="280" t="s">
        <v>1988</v>
      </c>
      <c r="B545" s="281" t="s">
        <v>4798</v>
      </c>
      <c r="C545" s="27" t="s">
        <v>5242</v>
      </c>
      <c r="D545" s="27" t="s">
        <v>5243</v>
      </c>
      <c r="E545" s="27" t="s">
        <v>5245</v>
      </c>
      <c r="F545" s="45"/>
      <c r="G545" s="45"/>
      <c r="H545" s="45"/>
      <c r="I545" s="286"/>
      <c r="J545" s="287"/>
      <c r="K545" s="286"/>
      <c r="L545" s="286"/>
      <c r="M545" s="286"/>
      <c r="N545" s="286"/>
      <c r="O545" s="290" t="s">
        <v>5204</v>
      </c>
      <c r="P545" s="286"/>
      <c r="Q545" s="290" t="s">
        <v>150</v>
      </c>
      <c r="R545" s="286"/>
      <c r="S545" s="286"/>
      <c r="T545" s="286"/>
      <c r="U545" s="286"/>
      <c r="V545" s="286"/>
      <c r="W545" s="286"/>
      <c r="X545" s="286"/>
      <c r="Y545" s="286"/>
      <c r="Z545" s="286"/>
      <c r="AA545" s="286"/>
      <c r="AB545" s="286"/>
      <c r="AC545" s="286"/>
      <c r="AD545" s="75"/>
      <c r="AE545" s="75"/>
      <c r="AF545" s="75"/>
      <c r="AG545" s="75"/>
      <c r="AH545" s="75"/>
      <c r="AI545" s="75"/>
      <c r="AJ545" s="75"/>
      <c r="AK545" s="75"/>
      <c r="AL545" s="75"/>
      <c r="AM545" s="75"/>
      <c r="AN545" s="75"/>
      <c r="AO545" s="75"/>
      <c r="AP545" s="75"/>
      <c r="AQ545" s="75"/>
      <c r="AR545" s="75"/>
      <c r="AS545" s="75"/>
      <c r="AT545" s="75"/>
      <c r="AU545" s="75"/>
      <c r="AV545" s="75"/>
      <c r="AW545" s="75"/>
      <c r="AX545" s="75"/>
    </row>
    <row r="546" ht="15.75" customHeight="1">
      <c r="A546" s="280" t="s">
        <v>1988</v>
      </c>
      <c r="B546" s="281" t="s">
        <v>4807</v>
      </c>
      <c r="C546" s="27" t="s">
        <v>5251</v>
      </c>
      <c r="D546" s="27" t="s">
        <v>5252</v>
      </c>
      <c r="E546" s="27" t="s">
        <v>5254</v>
      </c>
      <c r="F546" s="45"/>
      <c r="G546" s="45"/>
      <c r="H546" s="45"/>
      <c r="I546" s="286"/>
      <c r="J546" s="287"/>
      <c r="K546" s="286"/>
      <c r="L546" s="286"/>
      <c r="M546" s="286"/>
      <c r="N546" s="286"/>
      <c r="O546" s="290" t="s">
        <v>5204</v>
      </c>
      <c r="P546" s="286"/>
      <c r="Q546" s="290" t="s">
        <v>150</v>
      </c>
      <c r="R546" s="286"/>
      <c r="S546" s="286"/>
      <c r="T546" s="286"/>
      <c r="U546" s="286"/>
      <c r="V546" s="286"/>
      <c r="W546" s="286"/>
      <c r="X546" s="286"/>
      <c r="Y546" s="286"/>
      <c r="Z546" s="286"/>
      <c r="AA546" s="286"/>
      <c r="AB546" s="286"/>
      <c r="AC546" s="286"/>
      <c r="AD546" s="75"/>
      <c r="AE546" s="75"/>
      <c r="AF546" s="75"/>
      <c r="AG546" s="75"/>
      <c r="AH546" s="75"/>
      <c r="AI546" s="75"/>
      <c r="AJ546" s="75"/>
      <c r="AK546" s="75"/>
      <c r="AL546" s="75"/>
      <c r="AM546" s="75"/>
      <c r="AN546" s="75"/>
      <c r="AO546" s="75"/>
      <c r="AP546" s="75"/>
      <c r="AQ546" s="75"/>
      <c r="AR546" s="75"/>
      <c r="AS546" s="75"/>
      <c r="AT546" s="75"/>
      <c r="AU546" s="75"/>
      <c r="AV546" s="75"/>
      <c r="AW546" s="75"/>
      <c r="AX546" s="75"/>
    </row>
    <row r="547" ht="15.75" customHeight="1">
      <c r="A547" s="280" t="s">
        <v>1988</v>
      </c>
      <c r="B547" s="281" t="s">
        <v>4812</v>
      </c>
      <c r="C547" s="27" t="s">
        <v>5264</v>
      </c>
      <c r="D547" s="27" t="s">
        <v>5265</v>
      </c>
      <c r="E547" s="27" t="s">
        <v>5266</v>
      </c>
      <c r="F547" s="45"/>
      <c r="G547" s="45"/>
      <c r="H547" s="45"/>
      <c r="I547" s="286"/>
      <c r="J547" s="287"/>
      <c r="K547" s="286"/>
      <c r="L547" s="286"/>
      <c r="M547" s="286"/>
      <c r="N547" s="286"/>
      <c r="O547" s="290" t="s">
        <v>5204</v>
      </c>
      <c r="P547" s="286"/>
      <c r="Q547" s="290" t="s">
        <v>150</v>
      </c>
      <c r="R547" s="286"/>
      <c r="S547" s="286"/>
      <c r="T547" s="286"/>
      <c r="U547" s="286"/>
      <c r="V547" s="286"/>
      <c r="W547" s="286"/>
      <c r="X547" s="286"/>
      <c r="Y547" s="286"/>
      <c r="Z547" s="286"/>
      <c r="AA547" s="286"/>
      <c r="AB547" s="286"/>
      <c r="AC547" s="286"/>
      <c r="AD547" s="75"/>
      <c r="AE547" s="75"/>
      <c r="AF547" s="75"/>
      <c r="AG547" s="75"/>
      <c r="AH547" s="75"/>
      <c r="AI547" s="75"/>
      <c r="AJ547" s="75"/>
      <c r="AK547" s="75"/>
      <c r="AL547" s="75"/>
      <c r="AM547" s="75"/>
      <c r="AN547" s="75"/>
      <c r="AO547" s="75"/>
      <c r="AP547" s="75"/>
      <c r="AQ547" s="75"/>
      <c r="AR547" s="75"/>
      <c r="AS547" s="75"/>
      <c r="AT547" s="75"/>
      <c r="AU547" s="75"/>
      <c r="AV547" s="75"/>
      <c r="AW547" s="75"/>
      <c r="AX547" s="75"/>
    </row>
    <row r="548" ht="15.75" customHeight="1">
      <c r="A548" s="278" t="s">
        <v>38</v>
      </c>
      <c r="B548" s="279" t="s">
        <v>4820</v>
      </c>
      <c r="C548" s="27" t="s">
        <v>5274</v>
      </c>
      <c r="D548" s="27" t="s">
        <v>5275</v>
      </c>
      <c r="E548" s="27" t="s">
        <v>5276</v>
      </c>
      <c r="F548" s="45" t="s">
        <v>2078</v>
      </c>
      <c r="G548" s="45" t="s">
        <v>2079</v>
      </c>
      <c r="H548" s="45" t="s">
        <v>2080</v>
      </c>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75"/>
      <c r="AE548" s="75"/>
      <c r="AF548" s="75"/>
      <c r="AG548" s="75"/>
      <c r="AH548" s="75"/>
      <c r="AI548" s="75"/>
      <c r="AJ548" s="75"/>
      <c r="AK548" s="75"/>
      <c r="AL548" s="75"/>
      <c r="AM548" s="75"/>
      <c r="AN548" s="75"/>
      <c r="AO548" s="75"/>
      <c r="AP548" s="75"/>
      <c r="AQ548" s="75"/>
      <c r="AR548" s="75"/>
      <c r="AS548" s="75"/>
      <c r="AT548" s="75"/>
      <c r="AU548" s="75"/>
      <c r="AV548" s="75"/>
      <c r="AW548" s="75"/>
      <c r="AX548" s="75"/>
    </row>
    <row r="549" ht="15.75" customHeight="1">
      <c r="A549" s="280" t="s">
        <v>2073</v>
      </c>
      <c r="B549" s="281" t="s">
        <v>4826</v>
      </c>
      <c r="C549" s="27" t="s">
        <v>5285</v>
      </c>
      <c r="D549" s="27" t="s">
        <v>5286</v>
      </c>
      <c r="E549" s="27" t="s">
        <v>5287</v>
      </c>
      <c r="F549" s="45"/>
      <c r="G549" s="45"/>
      <c r="H549" s="45"/>
      <c r="I549" s="286"/>
      <c r="J549" s="287"/>
      <c r="K549" s="286"/>
      <c r="L549" s="286"/>
      <c r="M549" s="286"/>
      <c r="N549" s="286"/>
      <c r="O549" s="286"/>
      <c r="P549" s="286"/>
      <c r="Q549" s="290" t="s">
        <v>150</v>
      </c>
      <c r="R549" s="286"/>
      <c r="S549" s="286"/>
      <c r="T549" s="286"/>
      <c r="U549" s="286"/>
      <c r="V549" s="286"/>
      <c r="W549" s="286"/>
      <c r="X549" s="286"/>
      <c r="Y549" s="286"/>
      <c r="Z549" s="286"/>
      <c r="AA549" s="286"/>
      <c r="AB549" s="286"/>
      <c r="AC549" s="286"/>
      <c r="AD549" s="75"/>
      <c r="AE549" s="75"/>
      <c r="AF549" s="75"/>
      <c r="AG549" s="75"/>
      <c r="AH549" s="75"/>
      <c r="AI549" s="75"/>
      <c r="AJ549" s="75"/>
      <c r="AK549" s="75"/>
      <c r="AL549" s="75"/>
      <c r="AM549" s="75"/>
      <c r="AN549" s="75"/>
      <c r="AO549" s="75"/>
      <c r="AP549" s="75"/>
      <c r="AQ549" s="75"/>
      <c r="AR549" s="75"/>
      <c r="AS549" s="75"/>
      <c r="AT549" s="75"/>
      <c r="AU549" s="75"/>
      <c r="AV549" s="75"/>
      <c r="AW549" s="75"/>
      <c r="AX549" s="75"/>
    </row>
    <row r="550" ht="15.75" customHeight="1">
      <c r="A550" s="280" t="s">
        <v>2073</v>
      </c>
      <c r="B550" s="281" t="s">
        <v>4833</v>
      </c>
      <c r="C550" s="27" t="s">
        <v>5291</v>
      </c>
      <c r="D550" s="27" t="s">
        <v>5292</v>
      </c>
      <c r="E550" s="27" t="s">
        <v>5293</v>
      </c>
      <c r="F550" s="45"/>
      <c r="G550" s="45"/>
      <c r="H550" s="45"/>
      <c r="I550" s="286"/>
      <c r="J550" s="287"/>
      <c r="K550" s="286"/>
      <c r="L550" s="286"/>
      <c r="M550" s="286"/>
      <c r="N550" s="286"/>
      <c r="O550" s="286"/>
      <c r="P550" s="286"/>
      <c r="Q550" s="290" t="s">
        <v>150</v>
      </c>
      <c r="R550" s="286"/>
      <c r="S550" s="286"/>
      <c r="T550" s="286"/>
      <c r="U550" s="286"/>
      <c r="V550" s="286"/>
      <c r="W550" s="286"/>
      <c r="X550" s="286"/>
      <c r="Y550" s="286"/>
      <c r="Z550" s="286"/>
      <c r="AA550" s="286"/>
      <c r="AB550" s="286"/>
      <c r="AC550" s="286"/>
      <c r="AD550" s="75"/>
      <c r="AE550" s="75"/>
      <c r="AF550" s="75"/>
      <c r="AG550" s="75"/>
      <c r="AH550" s="75"/>
      <c r="AI550" s="75"/>
      <c r="AJ550" s="75"/>
      <c r="AK550" s="75"/>
      <c r="AL550" s="75"/>
      <c r="AM550" s="75"/>
      <c r="AN550" s="75"/>
      <c r="AO550" s="75"/>
      <c r="AP550" s="75"/>
      <c r="AQ550" s="75"/>
      <c r="AR550" s="75"/>
      <c r="AS550" s="75"/>
      <c r="AT550" s="75"/>
      <c r="AU550" s="75"/>
      <c r="AV550" s="75"/>
      <c r="AW550" s="75"/>
      <c r="AX550" s="75"/>
    </row>
    <row r="551" ht="15.75" customHeight="1">
      <c r="A551" s="280" t="s">
        <v>2073</v>
      </c>
      <c r="B551" s="281" t="s">
        <v>4842</v>
      </c>
      <c r="C551" s="27" t="s">
        <v>5299</v>
      </c>
      <c r="D551" s="27" t="s">
        <v>5300</v>
      </c>
      <c r="E551" s="27" t="s">
        <v>5301</v>
      </c>
      <c r="F551" s="45"/>
      <c r="G551" s="45"/>
      <c r="H551" s="45"/>
      <c r="I551" s="286"/>
      <c r="J551" s="287"/>
      <c r="K551" s="286"/>
      <c r="L551" s="286"/>
      <c r="M551" s="286"/>
      <c r="N551" s="286"/>
      <c r="O551" s="286"/>
      <c r="P551" s="286"/>
      <c r="Q551" s="290" t="s">
        <v>150</v>
      </c>
      <c r="R551" s="286"/>
      <c r="S551" s="286"/>
      <c r="T551" s="286"/>
      <c r="U551" s="286"/>
      <c r="V551" s="286"/>
      <c r="W551" s="286"/>
      <c r="X551" s="286"/>
      <c r="Y551" s="286"/>
      <c r="Z551" s="286"/>
      <c r="AA551" s="286"/>
      <c r="AB551" s="286"/>
      <c r="AC551" s="286"/>
      <c r="AD551" s="75"/>
      <c r="AE551" s="75"/>
      <c r="AF551" s="75"/>
      <c r="AG551" s="75"/>
      <c r="AH551" s="75"/>
      <c r="AI551" s="75"/>
      <c r="AJ551" s="75"/>
      <c r="AK551" s="75"/>
      <c r="AL551" s="75"/>
      <c r="AM551" s="75"/>
      <c r="AN551" s="75"/>
      <c r="AO551" s="75"/>
      <c r="AP551" s="75"/>
      <c r="AQ551" s="75"/>
      <c r="AR551" s="75"/>
      <c r="AS551" s="75"/>
      <c r="AT551" s="75"/>
      <c r="AU551" s="75"/>
      <c r="AV551" s="75"/>
      <c r="AW551" s="75"/>
      <c r="AX551" s="75"/>
    </row>
    <row r="552" ht="15.75" customHeight="1">
      <c r="A552" s="280" t="s">
        <v>4846</v>
      </c>
      <c r="B552" s="281" t="s">
        <v>4848</v>
      </c>
      <c r="C552" s="27" t="s">
        <v>5310</v>
      </c>
      <c r="D552" s="27" t="s">
        <v>5311</v>
      </c>
      <c r="E552" s="27" t="s">
        <v>5313</v>
      </c>
      <c r="F552" s="45" t="s">
        <v>1920</v>
      </c>
      <c r="G552" s="45" t="s">
        <v>1921</v>
      </c>
      <c r="H552" s="45" t="s">
        <v>1922</v>
      </c>
      <c r="I552" s="286"/>
      <c r="J552" s="287"/>
      <c r="K552" s="286"/>
      <c r="L552" s="286"/>
      <c r="M552" s="286"/>
      <c r="N552" s="286"/>
      <c r="O552" s="286"/>
      <c r="P552" s="286"/>
      <c r="Q552" s="290" t="s">
        <v>150</v>
      </c>
      <c r="R552" s="286"/>
      <c r="S552" s="286"/>
      <c r="T552" s="286"/>
      <c r="U552" s="286"/>
      <c r="V552" s="286"/>
      <c r="W552" s="286"/>
      <c r="X552" s="286"/>
      <c r="Y552" s="286"/>
      <c r="Z552" s="286"/>
      <c r="AA552" s="286"/>
      <c r="AB552" s="286"/>
      <c r="AC552" s="286"/>
      <c r="AD552" s="75"/>
      <c r="AE552" s="75"/>
      <c r="AF552" s="75"/>
      <c r="AG552" s="75"/>
      <c r="AH552" s="75"/>
      <c r="AI552" s="75"/>
      <c r="AJ552" s="75"/>
      <c r="AK552" s="75"/>
      <c r="AL552" s="75"/>
      <c r="AM552" s="75"/>
      <c r="AN552" s="75"/>
      <c r="AO552" s="75"/>
      <c r="AP552" s="75"/>
      <c r="AQ552" s="75"/>
      <c r="AR552" s="75"/>
      <c r="AS552" s="75"/>
      <c r="AT552" s="75"/>
      <c r="AU552" s="75"/>
      <c r="AV552" s="75"/>
      <c r="AW552" s="75"/>
      <c r="AX552" s="75"/>
    </row>
    <row r="553" ht="15.75" customHeight="1">
      <c r="A553" s="282" t="s">
        <v>252</v>
      </c>
      <c r="B553" s="283" t="s">
        <v>4856</v>
      </c>
      <c r="C553" s="27" t="s">
        <v>5319</v>
      </c>
      <c r="D553" s="27" t="s">
        <v>5320</v>
      </c>
      <c r="E553" s="27" t="s">
        <v>5321</v>
      </c>
      <c r="F553" s="45"/>
      <c r="G553" s="45"/>
      <c r="H553" s="45"/>
      <c r="I553" s="293"/>
      <c r="J553" s="294"/>
      <c r="K553" s="293"/>
      <c r="L553" s="293"/>
      <c r="M553" s="293"/>
      <c r="N553" s="293"/>
      <c r="O553" s="296" t="s">
        <v>5323</v>
      </c>
      <c r="P553" s="293"/>
      <c r="Q553" s="296" t="s">
        <v>150</v>
      </c>
      <c r="R553" s="293"/>
      <c r="S553" s="293"/>
      <c r="T553" s="293"/>
      <c r="U553" s="293"/>
      <c r="V553" s="293"/>
      <c r="W553" s="293"/>
      <c r="X553" s="293"/>
      <c r="Y553" s="293"/>
      <c r="Z553" s="293"/>
      <c r="AA553" s="293"/>
      <c r="AB553" s="293"/>
      <c r="AC553" s="293"/>
      <c r="AD553" s="75"/>
      <c r="AE553" s="75"/>
      <c r="AF553" s="75"/>
      <c r="AG553" s="75"/>
      <c r="AH553" s="75"/>
      <c r="AI553" s="75"/>
      <c r="AJ553" s="75"/>
      <c r="AK553" s="75"/>
      <c r="AL553" s="75"/>
      <c r="AM553" s="75"/>
      <c r="AN553" s="75"/>
      <c r="AO553" s="75"/>
      <c r="AP553" s="75"/>
      <c r="AQ553" s="75"/>
      <c r="AR553" s="75"/>
      <c r="AS553" s="75"/>
      <c r="AT553" s="75"/>
      <c r="AU553" s="75"/>
      <c r="AV553" s="75"/>
      <c r="AW553" s="75"/>
      <c r="AX553" s="75"/>
    </row>
    <row r="554" ht="15.75" customHeight="1">
      <c r="A554" s="278" t="s">
        <v>38</v>
      </c>
      <c r="B554" s="279" t="s">
        <v>4862</v>
      </c>
      <c r="C554" s="27" t="s">
        <v>5324</v>
      </c>
      <c r="D554" s="27" t="s">
        <v>5325</v>
      </c>
      <c r="E554" s="27" t="s">
        <v>5326</v>
      </c>
      <c r="F554" s="45"/>
      <c r="G554" s="45"/>
      <c r="H554" s="45"/>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75"/>
      <c r="AE554" s="75"/>
      <c r="AF554" s="75"/>
      <c r="AG554" s="75"/>
      <c r="AH554" s="75"/>
      <c r="AI554" s="75"/>
      <c r="AJ554" s="75"/>
      <c r="AK554" s="75"/>
      <c r="AL554" s="75"/>
      <c r="AM554" s="75"/>
      <c r="AN554" s="75"/>
      <c r="AO554" s="75"/>
      <c r="AP554" s="75"/>
      <c r="AQ554" s="75"/>
      <c r="AR554" s="75"/>
      <c r="AS554" s="75"/>
      <c r="AT554" s="75"/>
      <c r="AU554" s="75"/>
      <c r="AV554" s="75"/>
      <c r="AW554" s="75"/>
      <c r="AX554" s="75"/>
    </row>
    <row r="555" ht="15.75" customHeight="1">
      <c r="A555" s="280" t="s">
        <v>1988</v>
      </c>
      <c r="B555" s="281" t="s">
        <v>4866</v>
      </c>
      <c r="C555" s="27" t="s">
        <v>5331</v>
      </c>
      <c r="D555" s="27" t="s">
        <v>5332</v>
      </c>
      <c r="E555" s="27" t="s">
        <v>5333</v>
      </c>
      <c r="F555" s="45"/>
      <c r="G555" s="45"/>
      <c r="H555" s="45"/>
      <c r="I555" s="286"/>
      <c r="J555" s="287"/>
      <c r="K555" s="286"/>
      <c r="L555" s="286"/>
      <c r="M555" s="286"/>
      <c r="N555" s="286"/>
      <c r="O555" s="286"/>
      <c r="P555" s="286"/>
      <c r="Q555" s="290" t="s">
        <v>150</v>
      </c>
      <c r="R555" s="286"/>
      <c r="S555" s="286"/>
      <c r="T555" s="286"/>
      <c r="U555" s="286"/>
      <c r="V555" s="286"/>
      <c r="W555" s="286"/>
      <c r="X555" s="286"/>
      <c r="Y555" s="286"/>
      <c r="Z555" s="286"/>
      <c r="AA555" s="286"/>
      <c r="AB555" s="286"/>
      <c r="AC555" s="286"/>
      <c r="AD555" s="75"/>
      <c r="AE555" s="75"/>
      <c r="AF555" s="75"/>
      <c r="AG555" s="75"/>
      <c r="AH555" s="75"/>
      <c r="AI555" s="75"/>
      <c r="AJ555" s="75"/>
      <c r="AK555" s="75"/>
      <c r="AL555" s="75"/>
      <c r="AM555" s="75"/>
      <c r="AN555" s="75"/>
      <c r="AO555" s="75"/>
      <c r="AP555" s="75"/>
      <c r="AQ555" s="75"/>
      <c r="AR555" s="75"/>
      <c r="AS555" s="75"/>
      <c r="AT555" s="75"/>
      <c r="AU555" s="75"/>
      <c r="AV555" s="75"/>
      <c r="AW555" s="75"/>
      <c r="AX555" s="75"/>
    </row>
    <row r="556" ht="15.75" customHeight="1">
      <c r="A556" s="278" t="s">
        <v>38</v>
      </c>
      <c r="B556" s="279" t="s">
        <v>4870</v>
      </c>
      <c r="C556" s="27" t="s">
        <v>5342</v>
      </c>
      <c r="D556" s="27" t="s">
        <v>5344</v>
      </c>
      <c r="E556" s="27" t="s">
        <v>5345</v>
      </c>
      <c r="F556" s="45"/>
      <c r="G556" s="45"/>
      <c r="H556" s="45"/>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75"/>
      <c r="AE556" s="75"/>
      <c r="AF556" s="75"/>
      <c r="AG556" s="75"/>
      <c r="AH556" s="75"/>
      <c r="AI556" s="75"/>
      <c r="AJ556" s="75"/>
      <c r="AK556" s="75"/>
      <c r="AL556" s="75"/>
      <c r="AM556" s="75"/>
      <c r="AN556" s="75"/>
      <c r="AO556" s="75"/>
      <c r="AP556" s="75"/>
      <c r="AQ556" s="75"/>
      <c r="AR556" s="75"/>
      <c r="AS556" s="75"/>
      <c r="AT556" s="75"/>
      <c r="AU556" s="75"/>
      <c r="AV556" s="75"/>
      <c r="AW556" s="75"/>
      <c r="AX556" s="75"/>
    </row>
    <row r="557" ht="15.75" customHeight="1">
      <c r="A557" s="280" t="s">
        <v>2847</v>
      </c>
      <c r="B557" s="281" t="s">
        <v>4885</v>
      </c>
      <c r="C557" s="27" t="s">
        <v>5355</v>
      </c>
      <c r="D557" s="27" t="s">
        <v>5356</v>
      </c>
      <c r="E557" s="27" t="s">
        <v>5357</v>
      </c>
      <c r="F557" s="45"/>
      <c r="G557" s="45"/>
      <c r="H557" s="45"/>
      <c r="I557" s="286"/>
      <c r="J557" s="287"/>
      <c r="K557" s="286"/>
      <c r="L557" s="286"/>
      <c r="M557" s="286"/>
      <c r="N557" s="286"/>
      <c r="O557" s="286"/>
      <c r="P557" s="286"/>
      <c r="Q557" s="290" t="s">
        <v>150</v>
      </c>
      <c r="R557" s="286"/>
      <c r="S557" s="286"/>
      <c r="T557" s="286"/>
      <c r="U557" s="286"/>
      <c r="V557" s="286"/>
      <c r="W557" s="286"/>
      <c r="X557" s="286"/>
      <c r="Y557" s="286"/>
      <c r="Z557" s="286"/>
      <c r="AA557" s="286"/>
      <c r="AB557" s="286"/>
      <c r="AC557" s="286"/>
      <c r="AD557" s="75"/>
      <c r="AE557" s="75"/>
      <c r="AF557" s="75"/>
      <c r="AG557" s="75"/>
      <c r="AH557" s="75"/>
      <c r="AI557" s="75"/>
      <c r="AJ557" s="75"/>
      <c r="AK557" s="75"/>
      <c r="AL557" s="75"/>
      <c r="AM557" s="75"/>
      <c r="AN557" s="75"/>
      <c r="AO557" s="75"/>
      <c r="AP557" s="75"/>
      <c r="AQ557" s="75"/>
      <c r="AR557" s="75"/>
      <c r="AS557" s="75"/>
      <c r="AT557" s="75"/>
      <c r="AU557" s="75"/>
      <c r="AV557" s="75"/>
      <c r="AW557" s="75"/>
      <c r="AX557" s="75"/>
    </row>
    <row r="558" ht="15.75" customHeight="1">
      <c r="A558" s="280" t="s">
        <v>2847</v>
      </c>
      <c r="B558" s="281" t="s">
        <v>4893</v>
      </c>
      <c r="C558" s="27" t="s">
        <v>5365</v>
      </c>
      <c r="D558" s="27" t="s">
        <v>5366</v>
      </c>
      <c r="E558" s="27" t="s">
        <v>5367</v>
      </c>
      <c r="F558" s="45"/>
      <c r="G558" s="45"/>
      <c r="H558" s="45"/>
      <c r="I558" s="286"/>
      <c r="J558" s="287"/>
      <c r="K558" s="286"/>
      <c r="L558" s="286"/>
      <c r="M558" s="286"/>
      <c r="N558" s="286"/>
      <c r="O558" s="286"/>
      <c r="P558" s="286"/>
      <c r="Q558" s="290" t="s">
        <v>150</v>
      </c>
      <c r="R558" s="286"/>
      <c r="S558" s="286"/>
      <c r="T558" s="286"/>
      <c r="U558" s="286"/>
      <c r="V558" s="286"/>
      <c r="W558" s="286"/>
      <c r="X558" s="286"/>
      <c r="Y558" s="286"/>
      <c r="Z558" s="286"/>
      <c r="AA558" s="286"/>
      <c r="AB558" s="286"/>
      <c r="AC558" s="286"/>
      <c r="AD558" s="75"/>
      <c r="AE558" s="75"/>
      <c r="AF558" s="75"/>
      <c r="AG558" s="75"/>
      <c r="AH558" s="75"/>
      <c r="AI558" s="75"/>
      <c r="AJ558" s="75"/>
      <c r="AK558" s="75"/>
      <c r="AL558" s="75"/>
      <c r="AM558" s="75"/>
      <c r="AN558" s="75"/>
      <c r="AO558" s="75"/>
      <c r="AP558" s="75"/>
      <c r="AQ558" s="75"/>
      <c r="AR558" s="75"/>
      <c r="AS558" s="75"/>
      <c r="AT558" s="75"/>
      <c r="AU558" s="75"/>
      <c r="AV558" s="75"/>
      <c r="AW558" s="75"/>
      <c r="AX558" s="75"/>
    </row>
    <row r="559" ht="15.75" customHeight="1">
      <c r="A559" s="280" t="s">
        <v>2847</v>
      </c>
      <c r="B559" s="281" t="s">
        <v>4903</v>
      </c>
      <c r="C559" s="27" t="s">
        <v>5375</v>
      </c>
      <c r="D559" s="27" t="s">
        <v>5377</v>
      </c>
      <c r="E559" s="27" t="s">
        <v>5378</v>
      </c>
      <c r="F559" s="45"/>
      <c r="G559" s="45"/>
      <c r="H559" s="45"/>
      <c r="I559" s="286"/>
      <c r="J559" s="287"/>
      <c r="K559" s="286"/>
      <c r="L559" s="286"/>
      <c r="M559" s="286"/>
      <c r="N559" s="286"/>
      <c r="O559" s="286"/>
      <c r="P559" s="286"/>
      <c r="Q559" s="290" t="s">
        <v>150</v>
      </c>
      <c r="R559" s="286"/>
      <c r="S559" s="286"/>
      <c r="T559" s="286"/>
      <c r="U559" s="286"/>
      <c r="V559" s="286"/>
      <c r="W559" s="286"/>
      <c r="X559" s="286"/>
      <c r="Y559" s="286"/>
      <c r="Z559" s="286"/>
      <c r="AA559" s="286"/>
      <c r="AB559" s="286"/>
      <c r="AC559" s="286"/>
      <c r="AD559" s="75"/>
      <c r="AE559" s="75"/>
      <c r="AF559" s="75"/>
      <c r="AG559" s="75"/>
      <c r="AH559" s="75"/>
      <c r="AI559" s="75"/>
      <c r="AJ559" s="75"/>
      <c r="AK559" s="75"/>
      <c r="AL559" s="75"/>
      <c r="AM559" s="75"/>
      <c r="AN559" s="75"/>
      <c r="AO559" s="75"/>
      <c r="AP559" s="75"/>
      <c r="AQ559" s="75"/>
      <c r="AR559" s="75"/>
      <c r="AS559" s="75"/>
      <c r="AT559" s="75"/>
      <c r="AU559" s="75"/>
      <c r="AV559" s="75"/>
      <c r="AW559" s="75"/>
      <c r="AX559" s="75"/>
    </row>
    <row r="560" ht="15.75" customHeight="1">
      <c r="A560" s="280" t="s">
        <v>2847</v>
      </c>
      <c r="B560" s="281" t="s">
        <v>4918</v>
      </c>
      <c r="C560" s="27" t="s">
        <v>5389</v>
      </c>
      <c r="D560" s="27" t="s">
        <v>5390</v>
      </c>
      <c r="E560" s="27" t="s">
        <v>5391</v>
      </c>
      <c r="F560" s="45"/>
      <c r="G560" s="45"/>
      <c r="H560" s="45"/>
      <c r="I560" s="286"/>
      <c r="J560" s="287"/>
      <c r="K560" s="286"/>
      <c r="L560" s="286"/>
      <c r="M560" s="286"/>
      <c r="N560" s="286"/>
      <c r="O560" s="286"/>
      <c r="P560" s="286"/>
      <c r="Q560" s="290" t="s">
        <v>150</v>
      </c>
      <c r="R560" s="286"/>
      <c r="S560" s="286"/>
      <c r="T560" s="286"/>
      <c r="U560" s="286"/>
      <c r="V560" s="286"/>
      <c r="W560" s="286"/>
      <c r="X560" s="286"/>
      <c r="Y560" s="286"/>
      <c r="Z560" s="286"/>
      <c r="AA560" s="286"/>
      <c r="AB560" s="286"/>
      <c r="AC560" s="286"/>
      <c r="AD560" s="75"/>
      <c r="AE560" s="75"/>
      <c r="AF560" s="75"/>
      <c r="AG560" s="75"/>
      <c r="AH560" s="75"/>
      <c r="AI560" s="75"/>
      <c r="AJ560" s="75"/>
      <c r="AK560" s="75"/>
      <c r="AL560" s="75"/>
      <c r="AM560" s="75"/>
      <c r="AN560" s="75"/>
      <c r="AO560" s="75"/>
      <c r="AP560" s="75"/>
      <c r="AQ560" s="75"/>
      <c r="AR560" s="75"/>
      <c r="AS560" s="75"/>
      <c r="AT560" s="75"/>
      <c r="AU560" s="75"/>
      <c r="AV560" s="75"/>
      <c r="AW560" s="75"/>
      <c r="AX560" s="75"/>
    </row>
    <row r="561" ht="15.75" customHeight="1">
      <c r="A561" s="280" t="s">
        <v>2847</v>
      </c>
      <c r="B561" s="281" t="s">
        <v>4931</v>
      </c>
      <c r="C561" s="27" t="s">
        <v>5399</v>
      </c>
      <c r="D561" s="27" t="s">
        <v>5401</v>
      </c>
      <c r="E561" s="27" t="s">
        <v>5403</v>
      </c>
      <c r="F561" s="45"/>
      <c r="G561" s="45"/>
      <c r="H561" s="45"/>
      <c r="I561" s="286"/>
      <c r="J561" s="287"/>
      <c r="K561" s="286"/>
      <c r="L561" s="286"/>
      <c r="M561" s="286"/>
      <c r="N561" s="286"/>
      <c r="O561" s="286"/>
      <c r="P561" s="286"/>
      <c r="Q561" s="290" t="s">
        <v>150</v>
      </c>
      <c r="R561" s="286"/>
      <c r="S561" s="286"/>
      <c r="T561" s="286"/>
      <c r="U561" s="286"/>
      <c r="V561" s="286"/>
      <c r="W561" s="286"/>
      <c r="X561" s="286"/>
      <c r="Y561" s="286"/>
      <c r="Z561" s="286"/>
      <c r="AA561" s="286"/>
      <c r="AB561" s="286"/>
      <c r="AC561" s="286"/>
      <c r="AD561" s="75"/>
      <c r="AE561" s="75"/>
      <c r="AF561" s="75"/>
      <c r="AG561" s="75"/>
      <c r="AH561" s="75"/>
      <c r="AI561" s="75"/>
      <c r="AJ561" s="75"/>
      <c r="AK561" s="75"/>
      <c r="AL561" s="75"/>
      <c r="AM561" s="75"/>
      <c r="AN561" s="75"/>
      <c r="AO561" s="75"/>
      <c r="AP561" s="75"/>
      <c r="AQ561" s="75"/>
      <c r="AR561" s="75"/>
      <c r="AS561" s="75"/>
      <c r="AT561" s="75"/>
      <c r="AU561" s="75"/>
      <c r="AV561" s="75"/>
      <c r="AW561" s="75"/>
      <c r="AX561" s="75"/>
    </row>
    <row r="562" ht="15.75" customHeight="1">
      <c r="A562" s="280" t="s">
        <v>2847</v>
      </c>
      <c r="B562" s="281" t="s">
        <v>4934</v>
      </c>
      <c r="C562" s="27" t="s">
        <v>5408</v>
      </c>
      <c r="D562" s="27" t="s">
        <v>5409</v>
      </c>
      <c r="E562" s="27" t="s">
        <v>5411</v>
      </c>
      <c r="F562" s="45"/>
      <c r="G562" s="45"/>
      <c r="H562" s="45"/>
      <c r="I562" s="286"/>
      <c r="J562" s="287"/>
      <c r="K562" s="286"/>
      <c r="L562" s="286"/>
      <c r="M562" s="286"/>
      <c r="N562" s="286"/>
      <c r="O562" s="286"/>
      <c r="P562" s="286"/>
      <c r="Q562" s="290" t="s">
        <v>150</v>
      </c>
      <c r="R562" s="286"/>
      <c r="S562" s="286"/>
      <c r="T562" s="286"/>
      <c r="U562" s="286"/>
      <c r="V562" s="286"/>
      <c r="W562" s="286"/>
      <c r="X562" s="286"/>
      <c r="Y562" s="286"/>
      <c r="Z562" s="286"/>
      <c r="AA562" s="286"/>
      <c r="AB562" s="286"/>
      <c r="AC562" s="286"/>
      <c r="AD562" s="75"/>
      <c r="AE562" s="75"/>
      <c r="AF562" s="75"/>
      <c r="AG562" s="75"/>
      <c r="AH562" s="75"/>
      <c r="AI562" s="75"/>
      <c r="AJ562" s="75"/>
      <c r="AK562" s="75"/>
      <c r="AL562" s="75"/>
      <c r="AM562" s="75"/>
      <c r="AN562" s="75"/>
      <c r="AO562" s="75"/>
      <c r="AP562" s="75"/>
      <c r="AQ562" s="75"/>
      <c r="AR562" s="75"/>
      <c r="AS562" s="75"/>
      <c r="AT562" s="75"/>
      <c r="AU562" s="75"/>
      <c r="AV562" s="75"/>
      <c r="AW562" s="75"/>
      <c r="AX562" s="75"/>
    </row>
    <row r="563" ht="15.75" customHeight="1">
      <c r="A563" s="280" t="s">
        <v>2847</v>
      </c>
      <c r="B563" s="281" t="s">
        <v>4936</v>
      </c>
      <c r="C563" s="27" t="s">
        <v>5424</v>
      </c>
      <c r="D563" s="27" t="s">
        <v>5425</v>
      </c>
      <c r="E563" s="27" t="s">
        <v>5427</v>
      </c>
      <c r="F563" s="45"/>
      <c r="G563" s="45"/>
      <c r="H563" s="45"/>
      <c r="I563" s="286"/>
      <c r="J563" s="287"/>
      <c r="K563" s="286"/>
      <c r="L563" s="286"/>
      <c r="M563" s="286"/>
      <c r="N563" s="286"/>
      <c r="O563" s="286"/>
      <c r="P563" s="286"/>
      <c r="Q563" s="290" t="s">
        <v>150</v>
      </c>
      <c r="R563" s="286"/>
      <c r="S563" s="286"/>
      <c r="T563" s="286"/>
      <c r="U563" s="286"/>
      <c r="V563" s="286"/>
      <c r="W563" s="286"/>
      <c r="X563" s="286"/>
      <c r="Y563" s="286"/>
      <c r="Z563" s="286"/>
      <c r="AA563" s="286"/>
      <c r="AB563" s="286"/>
      <c r="AC563" s="286"/>
      <c r="AD563" s="75"/>
      <c r="AE563" s="75"/>
      <c r="AF563" s="75"/>
      <c r="AG563" s="75"/>
      <c r="AH563" s="75"/>
      <c r="AI563" s="75"/>
      <c r="AJ563" s="75"/>
      <c r="AK563" s="75"/>
      <c r="AL563" s="75"/>
      <c r="AM563" s="75"/>
      <c r="AN563" s="75"/>
      <c r="AO563" s="75"/>
      <c r="AP563" s="75"/>
      <c r="AQ563" s="75"/>
      <c r="AR563" s="75"/>
      <c r="AS563" s="75"/>
      <c r="AT563" s="75"/>
      <c r="AU563" s="75"/>
      <c r="AV563" s="75"/>
      <c r="AW563" s="75"/>
      <c r="AX563" s="75"/>
    </row>
    <row r="564" ht="15.75" customHeight="1">
      <c r="A564" s="280" t="s">
        <v>1306</v>
      </c>
      <c r="B564" s="281" t="s">
        <v>4938</v>
      </c>
      <c r="C564" s="27" t="s">
        <v>5436</v>
      </c>
      <c r="D564" s="27" t="s">
        <v>5437</v>
      </c>
      <c r="E564" s="27" t="s">
        <v>5439</v>
      </c>
      <c r="F564" s="45"/>
      <c r="G564" s="45"/>
      <c r="H564" s="45"/>
      <c r="I564" s="286"/>
      <c r="J564" s="287"/>
      <c r="K564" s="286"/>
      <c r="L564" s="286"/>
      <c r="M564" s="286"/>
      <c r="N564" s="286"/>
      <c r="O564" s="286"/>
      <c r="P564" s="286"/>
      <c r="Q564" s="290" t="s">
        <v>150</v>
      </c>
      <c r="R564" s="286"/>
      <c r="S564" s="286"/>
      <c r="T564" s="286"/>
      <c r="U564" s="286"/>
      <c r="V564" s="286"/>
      <c r="W564" s="286"/>
      <c r="X564" s="286"/>
      <c r="Y564" s="286"/>
      <c r="Z564" s="286"/>
      <c r="AA564" s="286"/>
      <c r="AB564" s="286"/>
      <c r="AC564" s="286"/>
      <c r="AD564" s="75"/>
      <c r="AE564" s="75"/>
      <c r="AF564" s="75"/>
      <c r="AG564" s="75"/>
      <c r="AH564" s="75"/>
      <c r="AI564" s="75"/>
      <c r="AJ564" s="75"/>
      <c r="AK564" s="75"/>
      <c r="AL564" s="75"/>
      <c r="AM564" s="75"/>
      <c r="AN564" s="75"/>
      <c r="AO564" s="75"/>
      <c r="AP564" s="75"/>
      <c r="AQ564" s="75"/>
      <c r="AR564" s="75"/>
      <c r="AS564" s="75"/>
      <c r="AT564" s="75"/>
      <c r="AU564" s="75"/>
      <c r="AV564" s="75"/>
      <c r="AW564" s="75"/>
      <c r="AX564" s="75"/>
    </row>
    <row r="565" ht="15.75" customHeight="1">
      <c r="A565" s="280" t="s">
        <v>1306</v>
      </c>
      <c r="B565" s="281" t="s">
        <v>4943</v>
      </c>
      <c r="C565" s="27" t="s">
        <v>5445</v>
      </c>
      <c r="D565" s="27" t="s">
        <v>5447</v>
      </c>
      <c r="E565" s="27" t="s">
        <v>5448</v>
      </c>
      <c r="F565" s="45"/>
      <c r="G565" s="45"/>
      <c r="H565" s="45"/>
      <c r="I565" s="286"/>
      <c r="J565" s="287"/>
      <c r="K565" s="286"/>
      <c r="L565" s="286"/>
      <c r="M565" s="286"/>
      <c r="N565" s="286"/>
      <c r="O565" s="286"/>
      <c r="P565" s="286"/>
      <c r="Q565" s="290" t="s">
        <v>150</v>
      </c>
      <c r="R565" s="286"/>
      <c r="S565" s="286"/>
      <c r="T565" s="286"/>
      <c r="U565" s="286"/>
      <c r="V565" s="286"/>
      <c r="W565" s="286"/>
      <c r="X565" s="286"/>
      <c r="Y565" s="286"/>
      <c r="Z565" s="286"/>
      <c r="AA565" s="286"/>
      <c r="AB565" s="286"/>
      <c r="AC565" s="286"/>
      <c r="AD565" s="75"/>
      <c r="AE565" s="75"/>
      <c r="AF565" s="75"/>
      <c r="AG565" s="75"/>
      <c r="AH565" s="75"/>
      <c r="AI565" s="75"/>
      <c r="AJ565" s="75"/>
      <c r="AK565" s="75"/>
      <c r="AL565" s="75"/>
      <c r="AM565" s="75"/>
      <c r="AN565" s="75"/>
      <c r="AO565" s="75"/>
      <c r="AP565" s="75"/>
      <c r="AQ565" s="75"/>
      <c r="AR565" s="75"/>
      <c r="AS565" s="75"/>
      <c r="AT565" s="75"/>
      <c r="AU565" s="75"/>
      <c r="AV565" s="75"/>
      <c r="AW565" s="75"/>
      <c r="AX565" s="75"/>
    </row>
    <row r="566" ht="15.75" customHeight="1">
      <c r="A566" s="280" t="s">
        <v>1306</v>
      </c>
      <c r="B566" s="281" t="s">
        <v>4977</v>
      </c>
      <c r="C566" s="27" t="s">
        <v>5450</v>
      </c>
      <c r="D566" s="27" t="s">
        <v>5451</v>
      </c>
      <c r="E566" s="27" t="s">
        <v>5452</v>
      </c>
      <c r="F566" s="45"/>
      <c r="G566" s="45"/>
      <c r="H566" s="45"/>
      <c r="I566" s="286"/>
      <c r="J566" s="287"/>
      <c r="K566" s="286"/>
      <c r="L566" s="286"/>
      <c r="M566" s="286"/>
      <c r="N566" s="286"/>
      <c r="O566" s="286"/>
      <c r="P566" s="286"/>
      <c r="Q566" s="290" t="s">
        <v>150</v>
      </c>
      <c r="R566" s="286"/>
      <c r="S566" s="286"/>
      <c r="T566" s="286"/>
      <c r="U566" s="286"/>
      <c r="V566" s="286"/>
      <c r="W566" s="286"/>
      <c r="X566" s="286"/>
      <c r="Y566" s="286"/>
      <c r="Z566" s="286"/>
      <c r="AA566" s="286"/>
      <c r="AB566" s="286"/>
      <c r="AC566" s="286"/>
      <c r="AD566" s="75"/>
      <c r="AE566" s="75"/>
      <c r="AF566" s="75"/>
      <c r="AG566" s="75"/>
      <c r="AH566" s="75"/>
      <c r="AI566" s="75"/>
      <c r="AJ566" s="75"/>
      <c r="AK566" s="75"/>
      <c r="AL566" s="75"/>
      <c r="AM566" s="75"/>
      <c r="AN566" s="75"/>
      <c r="AO566" s="75"/>
      <c r="AP566" s="75"/>
      <c r="AQ566" s="75"/>
      <c r="AR566" s="75"/>
      <c r="AS566" s="75"/>
      <c r="AT566" s="75"/>
      <c r="AU566" s="75"/>
      <c r="AV566" s="75"/>
      <c r="AW566" s="75"/>
      <c r="AX566" s="75"/>
    </row>
    <row r="567" ht="15.75" customHeight="1">
      <c r="A567" s="280" t="s">
        <v>1306</v>
      </c>
      <c r="B567" s="281" t="s">
        <v>4984</v>
      </c>
      <c r="C567" s="27" t="s">
        <v>5456</v>
      </c>
      <c r="D567" s="27" t="s">
        <v>5457</v>
      </c>
      <c r="E567" s="27" t="s">
        <v>5458</v>
      </c>
      <c r="F567" s="45"/>
      <c r="G567" s="45"/>
      <c r="H567" s="45"/>
      <c r="I567" s="286"/>
      <c r="J567" s="287"/>
      <c r="K567" s="286"/>
      <c r="L567" s="286"/>
      <c r="M567" s="286"/>
      <c r="N567" s="286"/>
      <c r="O567" s="286"/>
      <c r="P567" s="286"/>
      <c r="Q567" s="290" t="s">
        <v>150</v>
      </c>
      <c r="R567" s="286"/>
      <c r="S567" s="286"/>
      <c r="T567" s="286"/>
      <c r="U567" s="286"/>
      <c r="V567" s="286"/>
      <c r="W567" s="286"/>
      <c r="X567" s="286"/>
      <c r="Y567" s="286"/>
      <c r="Z567" s="286"/>
      <c r="AA567" s="286"/>
      <c r="AB567" s="286"/>
      <c r="AC567" s="286"/>
      <c r="AD567" s="75"/>
      <c r="AE567" s="75"/>
      <c r="AF567" s="75"/>
      <c r="AG567" s="75"/>
      <c r="AH567" s="75"/>
      <c r="AI567" s="75"/>
      <c r="AJ567" s="75"/>
      <c r="AK567" s="75"/>
      <c r="AL567" s="75"/>
      <c r="AM567" s="75"/>
      <c r="AN567" s="75"/>
      <c r="AO567" s="75"/>
      <c r="AP567" s="75"/>
      <c r="AQ567" s="75"/>
      <c r="AR567" s="75"/>
      <c r="AS567" s="75"/>
      <c r="AT567" s="75"/>
      <c r="AU567" s="75"/>
      <c r="AV567" s="75"/>
      <c r="AW567" s="75"/>
      <c r="AX567" s="75"/>
    </row>
    <row r="568" ht="15.75" customHeight="1">
      <c r="A568" s="278" t="s">
        <v>38</v>
      </c>
      <c r="B568" s="279" t="s">
        <v>4988</v>
      </c>
      <c r="C568" s="27" t="s">
        <v>5462</v>
      </c>
      <c r="D568" s="27" t="s">
        <v>5463</v>
      </c>
      <c r="E568" s="27" t="s">
        <v>5464</v>
      </c>
      <c r="F568" s="45"/>
      <c r="G568" s="45"/>
      <c r="H568" s="45"/>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75"/>
      <c r="AE568" s="75"/>
      <c r="AF568" s="75"/>
      <c r="AG568" s="75"/>
      <c r="AH568" s="75"/>
      <c r="AI568" s="75"/>
      <c r="AJ568" s="75"/>
      <c r="AK568" s="75"/>
      <c r="AL568" s="75"/>
      <c r="AM568" s="75"/>
      <c r="AN568" s="75"/>
      <c r="AO568" s="75"/>
      <c r="AP568" s="75"/>
      <c r="AQ568" s="75"/>
      <c r="AR568" s="75"/>
      <c r="AS568" s="75"/>
      <c r="AT568" s="75"/>
      <c r="AU568" s="75"/>
      <c r="AV568" s="75"/>
      <c r="AW568" s="75"/>
      <c r="AX568" s="75"/>
    </row>
    <row r="569" ht="15.75" customHeight="1">
      <c r="A569" s="280" t="s">
        <v>2073</v>
      </c>
      <c r="B569" s="281" t="s">
        <v>4995</v>
      </c>
      <c r="C569" s="27" t="s">
        <v>5469</v>
      </c>
      <c r="D569" s="27" t="s">
        <v>5471</v>
      </c>
      <c r="E569" s="27" t="s">
        <v>5473</v>
      </c>
      <c r="F569" s="45"/>
      <c r="G569" s="45"/>
      <c r="H569" s="45"/>
      <c r="I569" s="286"/>
      <c r="J569" s="287"/>
      <c r="K569" s="286"/>
      <c r="L569" s="286"/>
      <c r="M569" s="286"/>
      <c r="N569" s="286"/>
      <c r="O569" s="286"/>
      <c r="P569" s="286"/>
      <c r="Q569" s="290" t="s">
        <v>150</v>
      </c>
      <c r="R569" s="286"/>
      <c r="S569" s="286"/>
      <c r="T569" s="286"/>
      <c r="U569" s="286"/>
      <c r="V569" s="286"/>
      <c r="W569" s="286"/>
      <c r="X569" s="286"/>
      <c r="Y569" s="286"/>
      <c r="Z569" s="286"/>
      <c r="AA569" s="286"/>
      <c r="AB569" s="286"/>
      <c r="AC569" s="286"/>
      <c r="AD569" s="75"/>
      <c r="AE569" s="75"/>
      <c r="AF569" s="75"/>
      <c r="AG569" s="75"/>
      <c r="AH569" s="75"/>
      <c r="AI569" s="75"/>
      <c r="AJ569" s="75"/>
      <c r="AK569" s="75"/>
      <c r="AL569" s="75"/>
      <c r="AM569" s="75"/>
      <c r="AN569" s="75"/>
      <c r="AO569" s="75"/>
      <c r="AP569" s="75"/>
      <c r="AQ569" s="75"/>
      <c r="AR569" s="75"/>
      <c r="AS569" s="75"/>
      <c r="AT569" s="75"/>
      <c r="AU569" s="75"/>
      <c r="AV569" s="75"/>
      <c r="AW569" s="75"/>
      <c r="AX569" s="75"/>
    </row>
    <row r="570" ht="15.75" customHeight="1">
      <c r="A570" s="280" t="s">
        <v>2073</v>
      </c>
      <c r="B570" s="281" t="s">
        <v>5001</v>
      </c>
      <c r="C570" s="27" t="s">
        <v>5483</v>
      </c>
      <c r="D570" s="27" t="s">
        <v>5484</v>
      </c>
      <c r="E570" s="27" t="s">
        <v>5485</v>
      </c>
      <c r="F570" s="45"/>
      <c r="G570" s="45"/>
      <c r="H570" s="45"/>
      <c r="I570" s="286"/>
      <c r="J570" s="287"/>
      <c r="K570" s="286"/>
      <c r="L570" s="286"/>
      <c r="M570" s="286"/>
      <c r="N570" s="286"/>
      <c r="O570" s="286"/>
      <c r="P570" s="286"/>
      <c r="Q570" s="290" t="s">
        <v>150</v>
      </c>
      <c r="R570" s="286"/>
      <c r="S570" s="286"/>
      <c r="T570" s="286"/>
      <c r="U570" s="286"/>
      <c r="V570" s="286"/>
      <c r="W570" s="286"/>
      <c r="X570" s="286"/>
      <c r="Y570" s="286"/>
      <c r="Z570" s="286"/>
      <c r="AA570" s="286"/>
      <c r="AB570" s="286"/>
      <c r="AC570" s="286"/>
      <c r="AD570" s="75"/>
      <c r="AE570" s="75"/>
      <c r="AF570" s="75"/>
      <c r="AG570" s="75"/>
      <c r="AH570" s="75"/>
      <c r="AI570" s="75"/>
      <c r="AJ570" s="75"/>
      <c r="AK570" s="75"/>
      <c r="AL570" s="75"/>
      <c r="AM570" s="75"/>
      <c r="AN570" s="75"/>
      <c r="AO570" s="75"/>
      <c r="AP570" s="75"/>
      <c r="AQ570" s="75"/>
      <c r="AR570" s="75"/>
      <c r="AS570" s="75"/>
      <c r="AT570" s="75"/>
      <c r="AU570" s="75"/>
      <c r="AV570" s="75"/>
      <c r="AW570" s="75"/>
      <c r="AX570" s="75"/>
    </row>
    <row r="571" ht="15.75" customHeight="1">
      <c r="A571" s="280" t="s">
        <v>2073</v>
      </c>
      <c r="B571" s="281" t="s">
        <v>5004</v>
      </c>
      <c r="C571" s="27" t="s">
        <v>5497</v>
      </c>
      <c r="D571" s="27" t="s">
        <v>5498</v>
      </c>
      <c r="E571" s="27" t="s">
        <v>5499</v>
      </c>
      <c r="F571" s="45"/>
      <c r="G571" s="45"/>
      <c r="H571" s="45"/>
      <c r="I571" s="286"/>
      <c r="J571" s="287"/>
      <c r="K571" s="286"/>
      <c r="L571" s="286"/>
      <c r="M571" s="286"/>
      <c r="N571" s="286"/>
      <c r="O571" s="286"/>
      <c r="P571" s="286"/>
      <c r="Q571" s="290" t="s">
        <v>150</v>
      </c>
      <c r="R571" s="286"/>
      <c r="S571" s="286"/>
      <c r="T571" s="286"/>
      <c r="U571" s="286"/>
      <c r="V571" s="286"/>
      <c r="W571" s="286"/>
      <c r="X571" s="286"/>
      <c r="Y571" s="286"/>
      <c r="Z571" s="286"/>
      <c r="AA571" s="286"/>
      <c r="AB571" s="286"/>
      <c r="AC571" s="286"/>
      <c r="AD571" s="75"/>
      <c r="AE571" s="75"/>
      <c r="AF571" s="75"/>
      <c r="AG571" s="75"/>
      <c r="AH571" s="75"/>
      <c r="AI571" s="75"/>
      <c r="AJ571" s="75"/>
      <c r="AK571" s="75"/>
      <c r="AL571" s="75"/>
      <c r="AM571" s="75"/>
      <c r="AN571" s="75"/>
      <c r="AO571" s="75"/>
      <c r="AP571" s="75"/>
      <c r="AQ571" s="75"/>
      <c r="AR571" s="75"/>
      <c r="AS571" s="75"/>
      <c r="AT571" s="75"/>
      <c r="AU571" s="75"/>
      <c r="AV571" s="75"/>
      <c r="AW571" s="75"/>
      <c r="AX571" s="75"/>
    </row>
    <row r="572" ht="15.75" customHeight="1">
      <c r="A572" s="280" t="s">
        <v>2073</v>
      </c>
      <c r="B572" s="281" t="s">
        <v>5006</v>
      </c>
      <c r="C572" s="27" t="s">
        <v>5515</v>
      </c>
      <c r="D572" s="27" t="s">
        <v>5516</v>
      </c>
      <c r="E572" s="27" t="s">
        <v>5517</v>
      </c>
      <c r="F572" s="45"/>
      <c r="G572" s="45"/>
      <c r="H572" s="45"/>
      <c r="I572" s="286"/>
      <c r="J572" s="287"/>
      <c r="K572" s="286"/>
      <c r="L572" s="286"/>
      <c r="M572" s="286"/>
      <c r="N572" s="286"/>
      <c r="O572" s="286"/>
      <c r="P572" s="286"/>
      <c r="Q572" s="290" t="s">
        <v>150</v>
      </c>
      <c r="R572" s="286"/>
      <c r="S572" s="286"/>
      <c r="T572" s="286"/>
      <c r="U572" s="286"/>
      <c r="V572" s="286"/>
      <c r="W572" s="286"/>
      <c r="X572" s="286"/>
      <c r="Y572" s="286"/>
      <c r="Z572" s="286"/>
      <c r="AA572" s="286"/>
      <c r="AB572" s="286"/>
      <c r="AC572" s="286"/>
      <c r="AD572" s="75"/>
      <c r="AE572" s="75"/>
      <c r="AF572" s="75"/>
      <c r="AG572" s="75"/>
      <c r="AH572" s="75"/>
      <c r="AI572" s="75"/>
      <c r="AJ572" s="75"/>
      <c r="AK572" s="75"/>
      <c r="AL572" s="75"/>
      <c r="AM572" s="75"/>
      <c r="AN572" s="75"/>
      <c r="AO572" s="75"/>
      <c r="AP572" s="75"/>
      <c r="AQ572" s="75"/>
      <c r="AR572" s="75"/>
      <c r="AS572" s="75"/>
      <c r="AT572" s="75"/>
      <c r="AU572" s="75"/>
      <c r="AV572" s="75"/>
      <c r="AW572" s="75"/>
      <c r="AX572" s="75"/>
    </row>
    <row r="573" ht="15.75" customHeight="1">
      <c r="A573" s="280" t="s">
        <v>2073</v>
      </c>
      <c r="B573" s="281" t="s">
        <v>5013</v>
      </c>
      <c r="C573" s="27" t="s">
        <v>5526</v>
      </c>
      <c r="D573" s="27" t="s">
        <v>5527</v>
      </c>
      <c r="E573" s="27" t="s">
        <v>5528</v>
      </c>
      <c r="F573" s="45"/>
      <c r="G573" s="45"/>
      <c r="H573" s="45"/>
      <c r="I573" s="286"/>
      <c r="J573" s="287"/>
      <c r="K573" s="286"/>
      <c r="L573" s="286"/>
      <c r="M573" s="286"/>
      <c r="N573" s="286"/>
      <c r="O573" s="286"/>
      <c r="P573" s="286"/>
      <c r="Q573" s="290" t="s">
        <v>150</v>
      </c>
      <c r="R573" s="286"/>
      <c r="S573" s="286"/>
      <c r="T573" s="286"/>
      <c r="U573" s="286"/>
      <c r="V573" s="286"/>
      <c r="W573" s="286"/>
      <c r="X573" s="286"/>
      <c r="Y573" s="286"/>
      <c r="Z573" s="286"/>
      <c r="AA573" s="286"/>
      <c r="AB573" s="286"/>
      <c r="AC573" s="286"/>
      <c r="AD573" s="75"/>
      <c r="AE573" s="75"/>
      <c r="AF573" s="75"/>
      <c r="AG573" s="75"/>
      <c r="AH573" s="75"/>
      <c r="AI573" s="75"/>
      <c r="AJ573" s="75"/>
      <c r="AK573" s="75"/>
      <c r="AL573" s="75"/>
      <c r="AM573" s="75"/>
      <c r="AN573" s="75"/>
      <c r="AO573" s="75"/>
      <c r="AP573" s="75"/>
      <c r="AQ573" s="75"/>
      <c r="AR573" s="75"/>
      <c r="AS573" s="75"/>
      <c r="AT573" s="75"/>
      <c r="AU573" s="75"/>
      <c r="AV573" s="75"/>
      <c r="AW573" s="75"/>
      <c r="AX573" s="75"/>
    </row>
    <row r="574" ht="15.75" customHeight="1">
      <c r="A574" s="298" t="s">
        <v>133</v>
      </c>
      <c r="B574" s="299" t="s">
        <v>5020</v>
      </c>
      <c r="C574" s="147"/>
      <c r="D574" s="147"/>
      <c r="E574" s="147"/>
      <c r="F574" s="312"/>
      <c r="G574" s="312"/>
      <c r="H574" s="312"/>
      <c r="I574" s="312"/>
      <c r="J574" s="314" t="s">
        <v>1982</v>
      </c>
      <c r="K574" s="312"/>
      <c r="L574" s="312"/>
      <c r="M574" s="313"/>
      <c r="N574" s="313"/>
      <c r="O574" s="313"/>
      <c r="P574" s="312"/>
      <c r="Q574" s="312"/>
      <c r="R574" s="312"/>
      <c r="S574" s="312"/>
      <c r="T574" s="312"/>
      <c r="U574" s="312"/>
      <c r="V574" s="312"/>
      <c r="W574" s="312"/>
      <c r="X574" s="312"/>
      <c r="Y574" s="312"/>
      <c r="Z574" s="312"/>
      <c r="AA574" s="312"/>
      <c r="AB574" s="312"/>
      <c r="AC574" s="312"/>
      <c r="AD574" s="75"/>
      <c r="AE574" s="75"/>
      <c r="AF574" s="75"/>
      <c r="AG574" s="75"/>
      <c r="AH574" s="75"/>
      <c r="AI574" s="75"/>
      <c r="AJ574" s="75"/>
      <c r="AK574" s="75"/>
      <c r="AL574" s="75"/>
      <c r="AM574" s="75"/>
      <c r="AN574" s="75"/>
      <c r="AO574" s="75"/>
      <c r="AP574" s="75"/>
      <c r="AQ574" s="75"/>
      <c r="AR574" s="75"/>
      <c r="AS574" s="75"/>
      <c r="AT574" s="75"/>
      <c r="AU574" s="75"/>
      <c r="AV574" s="75"/>
      <c r="AW574" s="75"/>
      <c r="AX574" s="75"/>
    </row>
    <row r="575" ht="15.75" customHeight="1">
      <c r="A575" s="280" t="s">
        <v>1306</v>
      </c>
      <c r="B575" s="281" t="s">
        <v>5030</v>
      </c>
      <c r="C575" s="27" t="s">
        <v>5545</v>
      </c>
      <c r="D575" s="27" t="s">
        <v>5548</v>
      </c>
      <c r="E575" s="27" t="s">
        <v>5550</v>
      </c>
      <c r="F575" s="45"/>
      <c r="G575" s="45"/>
      <c r="H575" s="45"/>
      <c r="I575" s="286"/>
      <c r="J575" s="297" t="s">
        <v>8</v>
      </c>
      <c r="K575" s="286"/>
      <c r="L575" s="286"/>
      <c r="M575" s="286"/>
      <c r="N575" s="286"/>
      <c r="O575" s="286"/>
      <c r="P575" s="286"/>
      <c r="Q575" s="286"/>
      <c r="R575" s="286"/>
      <c r="S575" s="286"/>
      <c r="T575" s="286"/>
      <c r="U575" s="286"/>
      <c r="V575" s="286"/>
      <c r="W575" s="286"/>
      <c r="X575" s="286"/>
      <c r="Y575" s="286"/>
      <c r="Z575" s="286"/>
      <c r="AA575" s="286"/>
      <c r="AB575" s="286"/>
      <c r="AC575" s="286"/>
      <c r="AD575" s="75"/>
      <c r="AE575" s="75"/>
      <c r="AF575" s="75"/>
      <c r="AG575" s="75"/>
      <c r="AH575" s="75"/>
      <c r="AI575" s="75"/>
      <c r="AJ575" s="75"/>
      <c r="AK575" s="75"/>
      <c r="AL575" s="75"/>
      <c r="AM575" s="75"/>
      <c r="AN575" s="75"/>
      <c r="AO575" s="75"/>
      <c r="AP575" s="75"/>
      <c r="AQ575" s="75"/>
      <c r="AR575" s="75"/>
      <c r="AS575" s="75"/>
      <c r="AT575" s="75"/>
      <c r="AU575" s="75"/>
      <c r="AV575" s="75"/>
      <c r="AW575" s="75"/>
      <c r="AX575" s="75"/>
    </row>
    <row r="576" ht="15.75" customHeight="1">
      <c r="A576" s="280" t="s">
        <v>1306</v>
      </c>
      <c r="B576" s="281" t="s">
        <v>5037</v>
      </c>
      <c r="C576" s="27" t="s">
        <v>5557</v>
      </c>
      <c r="D576" s="27" t="s">
        <v>5558</v>
      </c>
      <c r="E576" s="27" t="s">
        <v>5559</v>
      </c>
      <c r="F576" s="45"/>
      <c r="G576" s="45"/>
      <c r="H576" s="45"/>
      <c r="I576" s="286"/>
      <c r="J576" s="297" t="s">
        <v>2000</v>
      </c>
      <c r="K576" s="286"/>
      <c r="L576" s="286"/>
      <c r="M576" s="286"/>
      <c r="N576" s="286"/>
      <c r="O576" s="286"/>
      <c r="P576" s="286"/>
      <c r="Q576" s="290" t="s">
        <v>150</v>
      </c>
      <c r="R576" s="286"/>
      <c r="S576" s="286"/>
      <c r="T576" s="286"/>
      <c r="U576" s="286"/>
      <c r="V576" s="286"/>
      <c r="W576" s="286"/>
      <c r="X576" s="286"/>
      <c r="Y576" s="286"/>
      <c r="Z576" s="286"/>
      <c r="AA576" s="286"/>
      <c r="AB576" s="286"/>
      <c r="AC576" s="286"/>
      <c r="AD576" s="75"/>
      <c r="AE576" s="75"/>
      <c r="AF576" s="75"/>
      <c r="AG576" s="75"/>
      <c r="AH576" s="75"/>
      <c r="AI576" s="75"/>
      <c r="AJ576" s="75"/>
      <c r="AK576" s="75"/>
      <c r="AL576" s="75"/>
      <c r="AM576" s="75"/>
      <c r="AN576" s="75"/>
      <c r="AO576" s="75"/>
      <c r="AP576" s="75"/>
      <c r="AQ576" s="75"/>
      <c r="AR576" s="75"/>
      <c r="AS576" s="75"/>
      <c r="AT576" s="75"/>
      <c r="AU576" s="75"/>
      <c r="AV576" s="75"/>
      <c r="AW576" s="75"/>
      <c r="AX576" s="75"/>
    </row>
    <row r="577" ht="15.75" customHeight="1">
      <c r="A577" s="280" t="s">
        <v>1306</v>
      </c>
      <c r="B577" s="281" t="s">
        <v>5047</v>
      </c>
      <c r="C577" s="27" t="s">
        <v>5566</v>
      </c>
      <c r="D577" s="27" t="s">
        <v>5567</v>
      </c>
      <c r="E577" s="27" t="s">
        <v>5568</v>
      </c>
      <c r="F577" s="45"/>
      <c r="G577" s="45"/>
      <c r="H577" s="45"/>
      <c r="I577" s="286"/>
      <c r="J577" s="297" t="s">
        <v>2000</v>
      </c>
      <c r="K577" s="286"/>
      <c r="L577" s="286"/>
      <c r="M577" s="286"/>
      <c r="N577" s="286"/>
      <c r="O577" s="286"/>
      <c r="P577" s="286"/>
      <c r="Q577" s="290" t="s">
        <v>150</v>
      </c>
      <c r="R577" s="286"/>
      <c r="S577" s="286"/>
      <c r="T577" s="286"/>
      <c r="U577" s="286"/>
      <c r="V577" s="286"/>
      <c r="W577" s="286"/>
      <c r="X577" s="286"/>
      <c r="Y577" s="286"/>
      <c r="Z577" s="286"/>
      <c r="AA577" s="286"/>
      <c r="AB577" s="286"/>
      <c r="AC577" s="286"/>
      <c r="AD577" s="75"/>
      <c r="AE577" s="75"/>
      <c r="AF577" s="75"/>
      <c r="AG577" s="75"/>
      <c r="AH577" s="75"/>
      <c r="AI577" s="75"/>
      <c r="AJ577" s="75"/>
      <c r="AK577" s="75"/>
      <c r="AL577" s="75"/>
      <c r="AM577" s="75"/>
      <c r="AN577" s="75"/>
      <c r="AO577" s="75"/>
      <c r="AP577" s="75"/>
      <c r="AQ577" s="75"/>
      <c r="AR577" s="75"/>
      <c r="AS577" s="75"/>
      <c r="AT577" s="75"/>
      <c r="AU577" s="75"/>
      <c r="AV577" s="75"/>
      <c r="AW577" s="75"/>
      <c r="AX577" s="75"/>
    </row>
    <row r="578" ht="15.75" customHeight="1">
      <c r="A578" s="280" t="s">
        <v>1306</v>
      </c>
      <c r="B578" s="281" t="s">
        <v>5051</v>
      </c>
      <c r="C578" s="27" t="s">
        <v>5574</v>
      </c>
      <c r="D578" s="27" t="s">
        <v>5575</v>
      </c>
      <c r="E578" s="27" t="s">
        <v>5576</v>
      </c>
      <c r="F578" s="45"/>
      <c r="G578" s="45"/>
      <c r="H578" s="45"/>
      <c r="I578" s="286"/>
      <c r="J578" s="297" t="s">
        <v>2000</v>
      </c>
      <c r="K578" s="286"/>
      <c r="L578" s="286"/>
      <c r="M578" s="286"/>
      <c r="N578" s="286"/>
      <c r="O578" s="286"/>
      <c r="P578" s="286"/>
      <c r="Q578" s="290" t="s">
        <v>150</v>
      </c>
      <c r="R578" s="286"/>
      <c r="S578" s="286"/>
      <c r="T578" s="286"/>
      <c r="U578" s="286"/>
      <c r="V578" s="286"/>
      <c r="W578" s="286"/>
      <c r="X578" s="286"/>
      <c r="Y578" s="286"/>
      <c r="Z578" s="286"/>
      <c r="AA578" s="286"/>
      <c r="AB578" s="286"/>
      <c r="AC578" s="286"/>
      <c r="AD578" s="75"/>
      <c r="AE578" s="75"/>
      <c r="AF578" s="75"/>
      <c r="AG578" s="75"/>
      <c r="AH578" s="75"/>
      <c r="AI578" s="75"/>
      <c r="AJ578" s="75"/>
      <c r="AK578" s="75"/>
      <c r="AL578" s="75"/>
      <c r="AM578" s="75"/>
      <c r="AN578" s="75"/>
      <c r="AO578" s="75"/>
      <c r="AP578" s="75"/>
      <c r="AQ578" s="75"/>
      <c r="AR578" s="75"/>
      <c r="AS578" s="75"/>
      <c r="AT578" s="75"/>
      <c r="AU578" s="75"/>
      <c r="AV578" s="75"/>
      <c r="AW578" s="75"/>
      <c r="AX578" s="75"/>
    </row>
    <row r="579" ht="15.75" customHeight="1">
      <c r="A579" s="280" t="s">
        <v>1306</v>
      </c>
      <c r="B579" s="281" t="s">
        <v>5057</v>
      </c>
      <c r="C579" s="27" t="s">
        <v>5582</v>
      </c>
      <c r="D579" s="27" t="s">
        <v>5583</v>
      </c>
      <c r="E579" s="27" t="s">
        <v>5584</v>
      </c>
      <c r="F579" s="45"/>
      <c r="G579" s="45"/>
      <c r="H579" s="45"/>
      <c r="I579" s="286"/>
      <c r="J579" s="297" t="s">
        <v>2000</v>
      </c>
      <c r="K579" s="286"/>
      <c r="L579" s="286"/>
      <c r="M579" s="286"/>
      <c r="N579" s="286"/>
      <c r="O579" s="286"/>
      <c r="P579" s="286"/>
      <c r="Q579" s="290" t="s">
        <v>150</v>
      </c>
      <c r="R579" s="286"/>
      <c r="S579" s="286"/>
      <c r="T579" s="288"/>
      <c r="U579" s="286"/>
      <c r="V579" s="286"/>
      <c r="W579" s="286"/>
      <c r="X579" s="286"/>
      <c r="Y579" s="286"/>
      <c r="Z579" s="286"/>
      <c r="AA579" s="286"/>
      <c r="AB579" s="286"/>
      <c r="AC579" s="286"/>
      <c r="AD579" s="75"/>
      <c r="AE579" s="75"/>
      <c r="AF579" s="75"/>
      <c r="AG579" s="75"/>
      <c r="AH579" s="75"/>
      <c r="AI579" s="75"/>
      <c r="AJ579" s="75"/>
      <c r="AK579" s="75"/>
      <c r="AL579" s="75"/>
      <c r="AM579" s="75"/>
      <c r="AN579" s="75"/>
      <c r="AO579" s="75"/>
      <c r="AP579" s="75"/>
      <c r="AQ579" s="75"/>
      <c r="AR579" s="75"/>
      <c r="AS579" s="75"/>
      <c r="AT579" s="75"/>
      <c r="AU579" s="75"/>
      <c r="AV579" s="75"/>
      <c r="AW579" s="75"/>
      <c r="AX579" s="75"/>
    </row>
    <row r="580" ht="15.75" customHeight="1">
      <c r="A580" s="298" t="s">
        <v>237</v>
      </c>
      <c r="B580" s="310" t="s">
        <v>5020</v>
      </c>
      <c r="C580" s="226"/>
      <c r="D580" s="226"/>
      <c r="E580" s="226"/>
      <c r="F580" s="312"/>
      <c r="G580" s="312"/>
      <c r="H580" s="312"/>
      <c r="I580" s="312"/>
      <c r="J580" s="312"/>
      <c r="K580" s="312"/>
      <c r="L580" s="312"/>
      <c r="M580" s="312"/>
      <c r="N580" s="312"/>
      <c r="O580" s="312"/>
      <c r="P580" s="312"/>
      <c r="Q580" s="312"/>
      <c r="R580" s="312"/>
      <c r="S580" s="312"/>
      <c r="T580" s="312"/>
      <c r="U580" s="312"/>
      <c r="V580" s="312"/>
      <c r="W580" s="312"/>
      <c r="X580" s="312"/>
      <c r="Y580" s="312"/>
      <c r="Z580" s="312"/>
      <c r="AA580" s="312"/>
      <c r="AB580" s="312"/>
      <c r="AC580" s="312"/>
      <c r="AD580" s="75"/>
      <c r="AE580" s="75"/>
      <c r="AF580" s="75"/>
      <c r="AG580" s="75"/>
      <c r="AH580" s="75"/>
      <c r="AI580" s="75"/>
      <c r="AJ580" s="75"/>
      <c r="AK580" s="75"/>
      <c r="AL580" s="75"/>
      <c r="AM580" s="75"/>
      <c r="AN580" s="75"/>
      <c r="AO580" s="75"/>
      <c r="AP580" s="75"/>
      <c r="AQ580" s="75"/>
      <c r="AR580" s="75"/>
      <c r="AS580" s="75"/>
      <c r="AT580" s="75"/>
      <c r="AU580" s="75"/>
      <c r="AV580" s="75"/>
      <c r="AW580" s="75"/>
      <c r="AX580" s="75"/>
    </row>
    <row r="581" ht="15.75" customHeight="1">
      <c r="A581" s="280" t="s">
        <v>5066</v>
      </c>
      <c r="B581" s="281" t="s">
        <v>5067</v>
      </c>
      <c r="C581" s="27" t="s">
        <v>5596</v>
      </c>
      <c r="D581" s="27" t="s">
        <v>5598</v>
      </c>
      <c r="E581" s="27" t="s">
        <v>5599</v>
      </c>
      <c r="F581" s="45" t="s">
        <v>1920</v>
      </c>
      <c r="G581" s="45" t="s">
        <v>5602</v>
      </c>
      <c r="H581" s="45" t="s">
        <v>5603</v>
      </c>
      <c r="I581" s="286"/>
      <c r="J581" s="287"/>
      <c r="K581" s="290" t="s">
        <v>4695</v>
      </c>
      <c r="L581" s="286"/>
      <c r="M581" s="286"/>
      <c r="N581" s="286"/>
      <c r="O581" s="286"/>
      <c r="P581" s="286"/>
      <c r="Q581" s="290" t="s">
        <v>150</v>
      </c>
      <c r="R581" s="286"/>
      <c r="S581" s="286"/>
      <c r="T581" s="286"/>
      <c r="U581" s="286"/>
      <c r="V581" s="286"/>
      <c r="W581" s="286"/>
      <c r="X581" s="286"/>
      <c r="Y581" s="286"/>
      <c r="Z581" s="286"/>
      <c r="AA581" s="286"/>
      <c r="AB581" s="286"/>
      <c r="AC581" s="286"/>
      <c r="AD581" s="75"/>
      <c r="AE581" s="75"/>
      <c r="AF581" s="75"/>
      <c r="AG581" s="75"/>
      <c r="AH581" s="75"/>
      <c r="AI581" s="75"/>
      <c r="AJ581" s="75"/>
      <c r="AK581" s="75"/>
      <c r="AL581" s="75"/>
      <c r="AM581" s="75"/>
      <c r="AN581" s="75"/>
      <c r="AO581" s="75"/>
      <c r="AP581" s="75"/>
      <c r="AQ581" s="75"/>
      <c r="AR581" s="75"/>
      <c r="AS581" s="75"/>
      <c r="AT581" s="75"/>
      <c r="AU581" s="75"/>
      <c r="AV581" s="75"/>
      <c r="AW581" s="75"/>
      <c r="AX581" s="75"/>
    </row>
    <row r="582" ht="15.75" customHeight="1">
      <c r="A582" s="282" t="s">
        <v>252</v>
      </c>
      <c r="B582" s="283" t="s">
        <v>5073</v>
      </c>
      <c r="C582" s="27" t="s">
        <v>5609</v>
      </c>
      <c r="D582" s="27" t="s">
        <v>5610</v>
      </c>
      <c r="E582" s="27" t="s">
        <v>5611</v>
      </c>
      <c r="F582" s="45"/>
      <c r="G582" s="45"/>
      <c r="H582" s="45"/>
      <c r="I582" s="293"/>
      <c r="J582" s="294"/>
      <c r="K582" s="293"/>
      <c r="L582" s="293"/>
      <c r="M582" s="293"/>
      <c r="N582" s="293"/>
      <c r="O582" s="296" t="s">
        <v>5612</v>
      </c>
      <c r="P582" s="293"/>
      <c r="Q582" s="296" t="s">
        <v>150</v>
      </c>
      <c r="R582" s="293"/>
      <c r="S582" s="293"/>
      <c r="T582" s="293"/>
      <c r="U582" s="293"/>
      <c r="V582" s="293"/>
      <c r="W582" s="293"/>
      <c r="X582" s="293"/>
      <c r="Y582" s="293"/>
      <c r="Z582" s="293"/>
      <c r="AA582" s="293"/>
      <c r="AB582" s="293"/>
      <c r="AC582" s="293"/>
      <c r="AD582" s="75"/>
      <c r="AE582" s="75"/>
      <c r="AF582" s="75"/>
      <c r="AG582" s="75"/>
      <c r="AH582" s="75"/>
      <c r="AI582" s="75"/>
      <c r="AJ582" s="75"/>
      <c r="AK582" s="75"/>
      <c r="AL582" s="75"/>
      <c r="AM582" s="75"/>
      <c r="AN582" s="75"/>
      <c r="AO582" s="75"/>
      <c r="AP582" s="75"/>
      <c r="AQ582" s="75"/>
      <c r="AR582" s="75"/>
      <c r="AS582" s="75"/>
      <c r="AT582" s="75"/>
      <c r="AU582" s="75"/>
      <c r="AV582" s="75"/>
      <c r="AW582" s="75"/>
      <c r="AX582" s="75"/>
    </row>
    <row r="583" ht="15.75" customHeight="1">
      <c r="A583" s="298" t="s">
        <v>237</v>
      </c>
      <c r="B583" s="310" t="s">
        <v>3612</v>
      </c>
      <c r="C583" s="226"/>
      <c r="D583" s="226"/>
      <c r="E583" s="226"/>
      <c r="F583" s="312"/>
      <c r="G583" s="312"/>
      <c r="H583" s="312"/>
      <c r="I583" s="312"/>
      <c r="J583" s="312"/>
      <c r="K583" s="312"/>
      <c r="L583" s="312"/>
      <c r="M583" s="312"/>
      <c r="N583" s="312"/>
      <c r="O583" s="312"/>
      <c r="P583" s="312"/>
      <c r="Q583" s="312"/>
      <c r="R583" s="312"/>
      <c r="S583" s="312"/>
      <c r="T583" s="312"/>
      <c r="U583" s="312"/>
      <c r="V583" s="312"/>
      <c r="W583" s="312"/>
      <c r="X583" s="312"/>
      <c r="Y583" s="312"/>
      <c r="Z583" s="312"/>
      <c r="AA583" s="312"/>
      <c r="AB583" s="312"/>
      <c r="AC583" s="312"/>
      <c r="AD583" s="75"/>
      <c r="AE583" s="75"/>
      <c r="AF583" s="75"/>
      <c r="AG583" s="75"/>
      <c r="AH583" s="75"/>
      <c r="AI583" s="75"/>
      <c r="AJ583" s="75"/>
      <c r="AK583" s="75"/>
      <c r="AL583" s="75"/>
      <c r="AM583" s="75"/>
      <c r="AN583" s="75"/>
      <c r="AO583" s="75"/>
      <c r="AP583" s="75"/>
      <c r="AQ583" s="75"/>
      <c r="AR583" s="75"/>
      <c r="AS583" s="75"/>
      <c r="AT583" s="75"/>
      <c r="AU583" s="75"/>
      <c r="AV583" s="75"/>
      <c r="AW583" s="75"/>
      <c r="AX583" s="75"/>
    </row>
    <row r="584" ht="15.75" customHeight="1">
      <c r="A584" s="168" t="s">
        <v>127</v>
      </c>
      <c r="B584" s="71" t="s">
        <v>5082</v>
      </c>
      <c r="C584" s="72"/>
      <c r="D584" s="72"/>
      <c r="E584" s="72"/>
      <c r="F584" s="73"/>
      <c r="G584" s="73"/>
      <c r="H584" s="73"/>
      <c r="I584" s="73"/>
      <c r="J584" s="73"/>
      <c r="K584" s="73"/>
      <c r="L584" s="73"/>
      <c r="M584" s="73"/>
      <c r="N584" s="73"/>
      <c r="O584" s="73"/>
      <c r="P584" s="73"/>
      <c r="Q584" s="73"/>
      <c r="R584" s="73"/>
      <c r="S584" s="73"/>
      <c r="T584" s="74" t="s">
        <v>129</v>
      </c>
      <c r="U584" s="73"/>
      <c r="V584" s="73"/>
      <c r="W584" s="73"/>
      <c r="X584" s="73"/>
      <c r="Y584" s="73"/>
      <c r="Z584" s="73"/>
      <c r="AA584" s="73"/>
      <c r="AB584" s="73"/>
      <c r="AC584" s="73"/>
      <c r="AD584" s="75"/>
      <c r="AE584" s="75"/>
      <c r="AF584" s="75"/>
      <c r="AG584" s="75"/>
      <c r="AH584" s="75"/>
      <c r="AI584" s="75"/>
      <c r="AJ584" s="75"/>
      <c r="AK584" s="75"/>
      <c r="AL584" s="75"/>
      <c r="AM584" s="75"/>
      <c r="AN584" s="75"/>
      <c r="AO584" s="75"/>
      <c r="AP584" s="75"/>
      <c r="AQ584" s="75"/>
      <c r="AR584" s="75"/>
      <c r="AS584" s="75"/>
      <c r="AT584" s="75"/>
      <c r="AU584" s="75"/>
      <c r="AV584" s="75"/>
      <c r="AW584" s="75"/>
      <c r="AX584" s="75"/>
    </row>
    <row r="585" ht="15.75" customHeight="1">
      <c r="A585" s="168" t="s">
        <v>68</v>
      </c>
      <c r="B585" s="71" t="s">
        <v>5086</v>
      </c>
      <c r="C585" s="72"/>
      <c r="D585" s="72"/>
      <c r="E585" s="72"/>
      <c r="F585" s="73"/>
      <c r="G585" s="73"/>
      <c r="H585" s="73"/>
      <c r="I585" s="73"/>
      <c r="J585" s="73"/>
      <c r="K585" s="73"/>
      <c r="L585" s="73"/>
      <c r="M585" s="73"/>
      <c r="N585" s="73"/>
      <c r="O585" s="73"/>
      <c r="P585" s="73"/>
      <c r="Q585" s="73"/>
      <c r="R585" s="73"/>
      <c r="S585" s="73"/>
      <c r="T585" s="74" t="s">
        <v>5642</v>
      </c>
      <c r="U585" s="73"/>
      <c r="V585" s="73"/>
      <c r="W585" s="73"/>
      <c r="X585" s="73"/>
      <c r="Y585" s="73"/>
      <c r="Z585" s="73"/>
      <c r="AA585" s="73"/>
      <c r="AB585" s="73"/>
      <c r="AC585" s="73"/>
      <c r="AD585" s="75"/>
      <c r="AE585" s="75"/>
      <c r="AF585" s="75"/>
      <c r="AG585" s="75"/>
      <c r="AH585" s="75"/>
      <c r="AI585" s="75"/>
      <c r="AJ585" s="75"/>
      <c r="AK585" s="75"/>
      <c r="AL585" s="75"/>
      <c r="AM585" s="75"/>
      <c r="AN585" s="75"/>
      <c r="AO585" s="75"/>
      <c r="AP585" s="75"/>
      <c r="AQ585" s="75"/>
      <c r="AR585" s="75"/>
      <c r="AS585" s="75"/>
      <c r="AT585" s="75"/>
      <c r="AU585" s="75"/>
      <c r="AV585" s="75"/>
      <c r="AW585" s="75"/>
      <c r="AX585" s="75"/>
    </row>
    <row r="586" ht="15.75" customHeight="1">
      <c r="A586" s="298" t="s">
        <v>133</v>
      </c>
      <c r="B586" s="299" t="s">
        <v>5092</v>
      </c>
      <c r="C586" s="147"/>
      <c r="D586" s="147"/>
      <c r="E586" s="147"/>
      <c r="F586" s="312"/>
      <c r="G586" s="312"/>
      <c r="H586" s="312"/>
      <c r="I586" s="312"/>
      <c r="J586" s="314" t="s">
        <v>1982</v>
      </c>
      <c r="K586" s="312"/>
      <c r="L586" s="312"/>
      <c r="M586" s="313"/>
      <c r="N586" s="313"/>
      <c r="O586" s="313"/>
      <c r="P586" s="312"/>
      <c r="Q586" s="312"/>
      <c r="R586" s="312"/>
      <c r="S586" s="312"/>
      <c r="T586" s="312"/>
      <c r="U586" s="312"/>
      <c r="V586" s="312"/>
      <c r="W586" s="312"/>
      <c r="X586" s="312"/>
      <c r="Y586" s="312"/>
      <c r="Z586" s="312"/>
      <c r="AA586" s="312"/>
      <c r="AB586" s="312"/>
      <c r="AC586" s="312"/>
      <c r="AD586" s="75"/>
      <c r="AE586" s="75"/>
      <c r="AF586" s="75"/>
      <c r="AG586" s="75"/>
      <c r="AH586" s="75"/>
      <c r="AI586" s="75"/>
      <c r="AJ586" s="75"/>
      <c r="AK586" s="75"/>
      <c r="AL586" s="75"/>
      <c r="AM586" s="75"/>
      <c r="AN586" s="75"/>
      <c r="AO586" s="75"/>
      <c r="AP586" s="75"/>
      <c r="AQ586" s="75"/>
      <c r="AR586" s="75"/>
      <c r="AS586" s="75"/>
      <c r="AT586" s="75"/>
      <c r="AU586" s="75"/>
      <c r="AV586" s="75"/>
      <c r="AW586" s="75"/>
      <c r="AX586" s="75"/>
    </row>
    <row r="587" ht="15.75" customHeight="1">
      <c r="A587" s="280" t="s">
        <v>1306</v>
      </c>
      <c r="B587" s="281" t="s">
        <v>5099</v>
      </c>
      <c r="C587" s="27" t="s">
        <v>5657</v>
      </c>
      <c r="D587" s="27" t="s">
        <v>5658</v>
      </c>
      <c r="E587" s="27" t="s">
        <v>5659</v>
      </c>
      <c r="F587" s="45"/>
      <c r="G587" s="45"/>
      <c r="H587" s="45"/>
      <c r="I587" s="286"/>
      <c r="J587" s="297" t="s">
        <v>8</v>
      </c>
      <c r="K587" s="286"/>
      <c r="L587" s="286"/>
      <c r="M587" s="286"/>
      <c r="N587" s="286"/>
      <c r="O587" s="286"/>
      <c r="P587" s="286"/>
      <c r="Q587" s="286"/>
      <c r="R587" s="286"/>
      <c r="S587" s="286"/>
      <c r="T587" s="286"/>
      <c r="U587" s="286"/>
      <c r="V587" s="286"/>
      <c r="W587" s="286"/>
      <c r="X587" s="286"/>
      <c r="Y587" s="286"/>
      <c r="Z587" s="286"/>
      <c r="AA587" s="286"/>
      <c r="AB587" s="286"/>
      <c r="AC587" s="286"/>
      <c r="AD587" s="75"/>
      <c r="AE587" s="75"/>
      <c r="AF587" s="75"/>
      <c r="AG587" s="75"/>
      <c r="AH587" s="75"/>
      <c r="AI587" s="75"/>
      <c r="AJ587" s="75"/>
      <c r="AK587" s="75"/>
      <c r="AL587" s="75"/>
      <c r="AM587" s="75"/>
      <c r="AN587" s="75"/>
      <c r="AO587" s="75"/>
      <c r="AP587" s="75"/>
      <c r="AQ587" s="75"/>
      <c r="AR587" s="75"/>
      <c r="AS587" s="75"/>
      <c r="AT587" s="75"/>
      <c r="AU587" s="75"/>
      <c r="AV587" s="75"/>
      <c r="AW587" s="75"/>
      <c r="AX587" s="75"/>
    </row>
    <row r="588" ht="15.75" customHeight="1">
      <c r="A588" s="280" t="s">
        <v>1306</v>
      </c>
      <c r="B588" s="281" t="s">
        <v>5105</v>
      </c>
      <c r="C588" s="27" t="s">
        <v>5668</v>
      </c>
      <c r="D588" s="27" t="s">
        <v>5669</v>
      </c>
      <c r="E588" s="27" t="s">
        <v>5670</v>
      </c>
      <c r="F588" s="45"/>
      <c r="G588" s="45"/>
      <c r="H588" s="45"/>
      <c r="I588" s="286"/>
      <c r="J588" s="297" t="s">
        <v>2000</v>
      </c>
      <c r="K588" s="286"/>
      <c r="L588" s="286"/>
      <c r="M588" s="286"/>
      <c r="N588" s="286"/>
      <c r="O588" s="286"/>
      <c r="P588" s="286"/>
      <c r="Q588" s="290" t="s">
        <v>150</v>
      </c>
      <c r="R588" s="286"/>
      <c r="S588" s="286"/>
      <c r="T588" s="286"/>
      <c r="U588" s="286"/>
      <c r="V588" s="286"/>
      <c r="W588" s="286"/>
      <c r="X588" s="286"/>
      <c r="Y588" s="286"/>
      <c r="Z588" s="286"/>
      <c r="AA588" s="286"/>
      <c r="AB588" s="286"/>
      <c r="AC588" s="286"/>
      <c r="AD588" s="75"/>
      <c r="AE588" s="75"/>
      <c r="AF588" s="75"/>
      <c r="AG588" s="75"/>
      <c r="AH588" s="75"/>
      <c r="AI588" s="75"/>
      <c r="AJ588" s="75"/>
      <c r="AK588" s="75"/>
      <c r="AL588" s="75"/>
      <c r="AM588" s="75"/>
      <c r="AN588" s="75"/>
      <c r="AO588" s="75"/>
      <c r="AP588" s="75"/>
      <c r="AQ588" s="75"/>
      <c r="AR588" s="75"/>
      <c r="AS588" s="75"/>
      <c r="AT588" s="75"/>
      <c r="AU588" s="75"/>
      <c r="AV588" s="75"/>
      <c r="AW588" s="75"/>
      <c r="AX588" s="75"/>
    </row>
    <row r="589" ht="15.75" customHeight="1">
      <c r="A589" s="280" t="s">
        <v>1306</v>
      </c>
      <c r="B589" s="281" t="s">
        <v>5106</v>
      </c>
      <c r="C589" s="27" t="s">
        <v>5677</v>
      </c>
      <c r="D589" s="27" t="s">
        <v>5678</v>
      </c>
      <c r="E589" s="27" t="s">
        <v>5679</v>
      </c>
      <c r="F589" s="45"/>
      <c r="G589" s="45"/>
      <c r="H589" s="45"/>
      <c r="I589" s="286"/>
      <c r="J589" s="297" t="s">
        <v>2000</v>
      </c>
      <c r="K589" s="286"/>
      <c r="L589" s="286"/>
      <c r="M589" s="286"/>
      <c r="N589" s="286"/>
      <c r="O589" s="286"/>
      <c r="P589" s="286"/>
      <c r="Q589" s="290" t="s">
        <v>150</v>
      </c>
      <c r="R589" s="286"/>
      <c r="S589" s="286"/>
      <c r="T589" s="286"/>
      <c r="U589" s="286"/>
      <c r="V589" s="286"/>
      <c r="W589" s="286"/>
      <c r="X589" s="286"/>
      <c r="Y589" s="286"/>
      <c r="Z589" s="286"/>
      <c r="AA589" s="286"/>
      <c r="AB589" s="286"/>
      <c r="AC589" s="286"/>
      <c r="AD589" s="75"/>
      <c r="AE589" s="75"/>
      <c r="AF589" s="75"/>
      <c r="AG589" s="75"/>
      <c r="AH589" s="75"/>
      <c r="AI589" s="75"/>
      <c r="AJ589" s="75"/>
      <c r="AK589" s="75"/>
      <c r="AL589" s="75"/>
      <c r="AM589" s="75"/>
      <c r="AN589" s="75"/>
      <c r="AO589" s="75"/>
      <c r="AP589" s="75"/>
      <c r="AQ589" s="75"/>
      <c r="AR589" s="75"/>
      <c r="AS589" s="75"/>
      <c r="AT589" s="75"/>
      <c r="AU589" s="75"/>
      <c r="AV589" s="75"/>
      <c r="AW589" s="75"/>
      <c r="AX589" s="75"/>
    </row>
    <row r="590" ht="15.75" customHeight="1">
      <c r="A590" s="298" t="s">
        <v>237</v>
      </c>
      <c r="B590" s="310" t="s">
        <v>5092</v>
      </c>
      <c r="C590" s="226"/>
      <c r="D590" s="226"/>
      <c r="E590" s="226"/>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75"/>
      <c r="AE590" s="75"/>
      <c r="AF590" s="75"/>
      <c r="AG590" s="75"/>
      <c r="AH590" s="75"/>
      <c r="AI590" s="75"/>
      <c r="AJ590" s="75"/>
      <c r="AK590" s="75"/>
      <c r="AL590" s="75"/>
      <c r="AM590" s="75"/>
      <c r="AN590" s="75"/>
      <c r="AO590" s="75"/>
      <c r="AP590" s="75"/>
      <c r="AQ590" s="75"/>
      <c r="AR590" s="75"/>
      <c r="AS590" s="75"/>
      <c r="AT590" s="75"/>
      <c r="AU590" s="75"/>
      <c r="AV590" s="75"/>
      <c r="AW590" s="75"/>
      <c r="AX590" s="75"/>
    </row>
    <row r="591" ht="15.75" customHeight="1">
      <c r="A591" s="302"/>
      <c r="B591" s="300"/>
      <c r="C591" s="147"/>
      <c r="D591" s="226"/>
      <c r="E591" s="226"/>
      <c r="F591" s="312"/>
      <c r="G591" s="312"/>
      <c r="H591" s="312"/>
      <c r="I591" s="312"/>
      <c r="J591" s="313"/>
      <c r="K591" s="312"/>
      <c r="L591" s="312"/>
      <c r="M591" s="313"/>
      <c r="N591" s="313"/>
      <c r="O591" s="313"/>
      <c r="P591" s="312"/>
      <c r="Q591" s="312"/>
      <c r="R591" s="312"/>
      <c r="S591" s="312"/>
      <c r="T591" s="312"/>
      <c r="U591" s="312"/>
      <c r="V591" s="312"/>
      <c r="W591" s="312"/>
      <c r="X591" s="312"/>
      <c r="Y591" s="312"/>
      <c r="Z591" s="312"/>
      <c r="AA591" s="312"/>
      <c r="AB591" s="312"/>
      <c r="AC591" s="312"/>
      <c r="AD591" s="75"/>
      <c r="AE591" s="75"/>
      <c r="AF591" s="75"/>
      <c r="AG591" s="75"/>
      <c r="AH591" s="75"/>
      <c r="AI591" s="75"/>
      <c r="AJ591" s="75"/>
      <c r="AK591" s="75"/>
      <c r="AL591" s="75"/>
      <c r="AM591" s="75"/>
      <c r="AN591" s="75"/>
      <c r="AO591" s="75"/>
      <c r="AP591" s="75"/>
      <c r="AQ591" s="75"/>
      <c r="AR591" s="75"/>
      <c r="AS591" s="75"/>
      <c r="AT591" s="75"/>
      <c r="AU591" s="75"/>
      <c r="AV591" s="75"/>
      <c r="AW591" s="75"/>
      <c r="AX591" s="75"/>
    </row>
    <row r="592" ht="15.75" customHeight="1">
      <c r="A592" s="320"/>
      <c r="B592" s="321"/>
      <c r="C592" s="191"/>
      <c r="D592" s="191"/>
      <c r="E592" s="191"/>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row>
    <row r="593" ht="15.75" customHeight="1">
      <c r="A593" s="298" t="s">
        <v>133</v>
      </c>
      <c r="B593" s="299" t="s">
        <v>5128</v>
      </c>
      <c r="C593" s="147"/>
      <c r="D593" s="147"/>
      <c r="E593" s="147"/>
      <c r="F593" s="312"/>
      <c r="G593" s="312"/>
      <c r="H593" s="312"/>
      <c r="I593" s="312"/>
      <c r="J593" s="313"/>
      <c r="K593" s="312"/>
      <c r="L593" s="312"/>
      <c r="M593" s="313"/>
      <c r="N593" s="313"/>
      <c r="O593" s="314" t="s">
        <v>5204</v>
      </c>
      <c r="P593" s="312"/>
      <c r="Q593" s="312"/>
      <c r="R593" s="312"/>
      <c r="S593" s="312"/>
      <c r="T593" s="312"/>
      <c r="U593" s="312"/>
      <c r="V593" s="312"/>
      <c r="W593" s="312"/>
      <c r="X593" s="312"/>
      <c r="Y593" s="312"/>
      <c r="Z593" s="312"/>
      <c r="AA593" s="312"/>
      <c r="AB593" s="312"/>
      <c r="AC593" s="312"/>
      <c r="AD593" s="75"/>
      <c r="AE593" s="75"/>
      <c r="AF593" s="75"/>
      <c r="AG593" s="75"/>
      <c r="AH593" s="75"/>
      <c r="AI593" s="75"/>
      <c r="AJ593" s="75"/>
      <c r="AK593" s="75"/>
      <c r="AL593" s="75"/>
      <c r="AM593" s="75"/>
      <c r="AN593" s="75"/>
      <c r="AO593" s="75"/>
      <c r="AP593" s="75"/>
      <c r="AQ593" s="75"/>
      <c r="AR593" s="75"/>
      <c r="AS593" s="75"/>
      <c r="AT593" s="75"/>
      <c r="AU593" s="75"/>
      <c r="AV593" s="75"/>
      <c r="AW593" s="75"/>
      <c r="AX593" s="75"/>
    </row>
    <row r="594" ht="15.75" customHeight="1">
      <c r="A594" s="298" t="s">
        <v>133</v>
      </c>
      <c r="B594" s="299" t="s">
        <v>5135</v>
      </c>
      <c r="C594" s="147"/>
      <c r="D594" s="147"/>
      <c r="E594" s="147"/>
      <c r="F594" s="312"/>
      <c r="G594" s="312"/>
      <c r="H594" s="312"/>
      <c r="I594" s="312"/>
      <c r="J594" s="314" t="s">
        <v>1982</v>
      </c>
      <c r="K594" s="312"/>
      <c r="L594" s="312"/>
      <c r="M594" s="313"/>
      <c r="N594" s="313"/>
      <c r="O594" s="313"/>
      <c r="P594" s="312"/>
      <c r="Q594" s="312"/>
      <c r="R594" s="312"/>
      <c r="S594" s="312"/>
      <c r="T594" s="312"/>
      <c r="U594" s="312"/>
      <c r="V594" s="312"/>
      <c r="W594" s="312"/>
      <c r="X594" s="312"/>
      <c r="Y594" s="312"/>
      <c r="Z594" s="312"/>
      <c r="AA594" s="312"/>
      <c r="AB594" s="312"/>
      <c r="AC594" s="312"/>
      <c r="AD594" s="75"/>
      <c r="AE594" s="75"/>
      <c r="AF594" s="75"/>
      <c r="AG594" s="75"/>
      <c r="AH594" s="75"/>
      <c r="AI594" s="75"/>
      <c r="AJ594" s="75"/>
      <c r="AK594" s="75"/>
      <c r="AL594" s="75"/>
      <c r="AM594" s="75"/>
      <c r="AN594" s="75"/>
      <c r="AO594" s="75"/>
      <c r="AP594" s="75"/>
      <c r="AQ594" s="75"/>
      <c r="AR594" s="75"/>
      <c r="AS594" s="75"/>
      <c r="AT594" s="75"/>
      <c r="AU594" s="75"/>
      <c r="AV594" s="75"/>
      <c r="AW594" s="75"/>
      <c r="AX594" s="75"/>
    </row>
    <row r="595" ht="15.75" customHeight="1">
      <c r="A595" s="278" t="s">
        <v>38</v>
      </c>
      <c r="B595" s="279" t="s">
        <v>5139</v>
      </c>
      <c r="C595" s="27" t="s">
        <v>5732</v>
      </c>
      <c r="D595" s="27" t="s">
        <v>5734</v>
      </c>
      <c r="E595" s="27" t="s">
        <v>5736</v>
      </c>
      <c r="F595" s="45"/>
      <c r="G595" s="45"/>
      <c r="H595" s="45"/>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75"/>
      <c r="AE595" s="75"/>
      <c r="AF595" s="75"/>
      <c r="AG595" s="75"/>
      <c r="AH595" s="75"/>
      <c r="AI595" s="75"/>
      <c r="AJ595" s="75"/>
      <c r="AK595" s="75"/>
      <c r="AL595" s="75"/>
      <c r="AM595" s="75"/>
      <c r="AN595" s="75"/>
      <c r="AO595" s="75"/>
      <c r="AP595" s="75"/>
      <c r="AQ595" s="75"/>
      <c r="AR595" s="75"/>
      <c r="AS595" s="75"/>
      <c r="AT595" s="75"/>
      <c r="AU595" s="75"/>
      <c r="AV595" s="75"/>
      <c r="AW595" s="75"/>
      <c r="AX595" s="75"/>
    </row>
    <row r="596" ht="15.75" customHeight="1">
      <c r="A596" s="280" t="s">
        <v>1988</v>
      </c>
      <c r="B596" s="281" t="s">
        <v>5144</v>
      </c>
      <c r="C596" s="27" t="s">
        <v>5738</v>
      </c>
      <c r="D596" s="27" t="s">
        <v>5740</v>
      </c>
      <c r="E596" s="27" t="s">
        <v>5741</v>
      </c>
      <c r="F596" s="45"/>
      <c r="G596" s="45"/>
      <c r="H596" s="45"/>
      <c r="I596" s="286"/>
      <c r="J596" s="297" t="s">
        <v>8</v>
      </c>
      <c r="K596" s="286"/>
      <c r="L596" s="286"/>
      <c r="M596" s="286"/>
      <c r="N596" s="286"/>
      <c r="O596" s="286"/>
      <c r="P596" s="286"/>
      <c r="Q596" s="286"/>
      <c r="R596" s="286"/>
      <c r="S596" s="286"/>
      <c r="T596" s="286"/>
      <c r="U596" s="286"/>
      <c r="V596" s="286"/>
      <c r="W596" s="286"/>
      <c r="X596" s="286"/>
      <c r="Y596" s="286"/>
      <c r="Z596" s="286"/>
      <c r="AA596" s="286"/>
      <c r="AB596" s="286"/>
      <c r="AC596" s="286"/>
      <c r="AD596" s="75"/>
      <c r="AE596" s="75"/>
      <c r="AF596" s="75"/>
      <c r="AG596" s="75"/>
      <c r="AH596" s="75"/>
      <c r="AI596" s="75"/>
      <c r="AJ596" s="75"/>
      <c r="AK596" s="75"/>
      <c r="AL596" s="75"/>
      <c r="AM596" s="75"/>
      <c r="AN596" s="75"/>
      <c r="AO596" s="75"/>
      <c r="AP596" s="75"/>
      <c r="AQ596" s="75"/>
      <c r="AR596" s="75"/>
      <c r="AS596" s="75"/>
      <c r="AT596" s="75"/>
      <c r="AU596" s="75"/>
      <c r="AV596" s="75"/>
      <c r="AW596" s="75"/>
      <c r="AX596" s="75"/>
    </row>
    <row r="597" ht="15.75" customHeight="1">
      <c r="A597" s="280" t="s">
        <v>1988</v>
      </c>
      <c r="B597" s="281" t="s">
        <v>5145</v>
      </c>
      <c r="C597" s="27" t="s">
        <v>5751</v>
      </c>
      <c r="D597" s="27" t="s">
        <v>5752</v>
      </c>
      <c r="E597" s="27" t="s">
        <v>5753</v>
      </c>
      <c r="F597" s="45"/>
      <c r="G597" s="45"/>
      <c r="H597" s="45"/>
      <c r="I597" s="286"/>
      <c r="J597" s="297" t="s">
        <v>2000</v>
      </c>
      <c r="K597" s="286"/>
      <c r="L597" s="286"/>
      <c r="M597" s="286"/>
      <c r="N597" s="286"/>
      <c r="O597" s="286"/>
      <c r="P597" s="286"/>
      <c r="Q597" s="290" t="s">
        <v>150</v>
      </c>
      <c r="R597" s="286"/>
      <c r="S597" s="286"/>
      <c r="T597" s="286"/>
      <c r="U597" s="286"/>
      <c r="V597" s="286"/>
      <c r="W597" s="286"/>
      <c r="X597" s="286"/>
      <c r="Y597" s="286"/>
      <c r="Z597" s="286"/>
      <c r="AA597" s="286"/>
      <c r="AB597" s="286"/>
      <c r="AC597" s="286"/>
      <c r="AD597" s="75"/>
      <c r="AE597" s="75"/>
      <c r="AF597" s="75"/>
      <c r="AG597" s="75"/>
      <c r="AH597" s="75"/>
      <c r="AI597" s="75"/>
      <c r="AJ597" s="75"/>
      <c r="AK597" s="75"/>
      <c r="AL597" s="75"/>
      <c r="AM597" s="75"/>
      <c r="AN597" s="75"/>
      <c r="AO597" s="75"/>
      <c r="AP597" s="75"/>
      <c r="AQ597" s="75"/>
      <c r="AR597" s="75"/>
      <c r="AS597" s="75"/>
      <c r="AT597" s="75"/>
      <c r="AU597" s="75"/>
      <c r="AV597" s="75"/>
      <c r="AW597" s="75"/>
      <c r="AX597" s="75"/>
    </row>
    <row r="598" ht="15.75" customHeight="1">
      <c r="A598" s="280" t="s">
        <v>1988</v>
      </c>
      <c r="B598" s="281" t="s">
        <v>5150</v>
      </c>
      <c r="C598" s="27" t="s">
        <v>5763</v>
      </c>
      <c r="D598" s="27" t="s">
        <v>5765</v>
      </c>
      <c r="E598" s="27" t="s">
        <v>5766</v>
      </c>
      <c r="F598" s="45"/>
      <c r="G598" s="45"/>
      <c r="H598" s="45"/>
      <c r="I598" s="286"/>
      <c r="J598" s="297" t="s">
        <v>2000</v>
      </c>
      <c r="K598" s="286"/>
      <c r="L598" s="286"/>
      <c r="M598" s="286"/>
      <c r="N598" s="286"/>
      <c r="O598" s="286"/>
      <c r="P598" s="286"/>
      <c r="Q598" s="290" t="s">
        <v>150</v>
      </c>
      <c r="R598" s="286"/>
      <c r="S598" s="286"/>
      <c r="T598" s="286"/>
      <c r="U598" s="286"/>
      <c r="V598" s="286"/>
      <c r="W598" s="286"/>
      <c r="X598" s="286"/>
      <c r="Y598" s="286"/>
      <c r="Z598" s="286"/>
      <c r="AA598" s="286"/>
      <c r="AB598" s="286"/>
      <c r="AC598" s="286"/>
      <c r="AD598" s="75"/>
      <c r="AE598" s="75"/>
      <c r="AF598" s="75"/>
      <c r="AG598" s="75"/>
      <c r="AH598" s="75"/>
      <c r="AI598" s="75"/>
      <c r="AJ598" s="75"/>
      <c r="AK598" s="75"/>
      <c r="AL598" s="75"/>
      <c r="AM598" s="75"/>
      <c r="AN598" s="75"/>
      <c r="AO598" s="75"/>
      <c r="AP598" s="75"/>
      <c r="AQ598" s="75"/>
      <c r="AR598" s="75"/>
      <c r="AS598" s="75"/>
      <c r="AT598" s="75"/>
      <c r="AU598" s="75"/>
      <c r="AV598" s="75"/>
      <c r="AW598" s="75"/>
      <c r="AX598" s="75"/>
    </row>
    <row r="599" ht="15.75" customHeight="1">
      <c r="A599" s="298" t="s">
        <v>237</v>
      </c>
      <c r="B599" s="310" t="s">
        <v>5135</v>
      </c>
      <c r="C599" s="226"/>
      <c r="D599" s="226"/>
      <c r="E599" s="226"/>
      <c r="F599" s="312"/>
      <c r="G599" s="312"/>
      <c r="H599" s="312"/>
      <c r="I599" s="312"/>
      <c r="J599" s="312"/>
      <c r="K599" s="312"/>
      <c r="L599" s="312"/>
      <c r="M599" s="312"/>
      <c r="N599" s="312"/>
      <c r="O599" s="312"/>
      <c r="P599" s="312"/>
      <c r="Q599" s="312"/>
      <c r="R599" s="312"/>
      <c r="S599" s="312"/>
      <c r="T599" s="312"/>
      <c r="U599" s="312"/>
      <c r="V599" s="312"/>
      <c r="W599" s="312"/>
      <c r="X599" s="312"/>
      <c r="Y599" s="312"/>
      <c r="Z599" s="312"/>
      <c r="AA599" s="312"/>
      <c r="AB599" s="312"/>
      <c r="AC599" s="312"/>
      <c r="AD599" s="75"/>
      <c r="AE599" s="75"/>
      <c r="AF599" s="75"/>
      <c r="AG599" s="75"/>
      <c r="AH599" s="75"/>
      <c r="AI599" s="75"/>
      <c r="AJ599" s="75"/>
      <c r="AK599" s="75"/>
      <c r="AL599" s="75"/>
      <c r="AM599" s="75"/>
      <c r="AN599" s="75"/>
      <c r="AO599" s="75"/>
      <c r="AP599" s="75"/>
      <c r="AQ599" s="75"/>
      <c r="AR599" s="75"/>
      <c r="AS599" s="75"/>
      <c r="AT599" s="75"/>
      <c r="AU599" s="75"/>
      <c r="AV599" s="75"/>
      <c r="AW599" s="75"/>
      <c r="AX599" s="75"/>
    </row>
    <row r="600" ht="15.75" customHeight="1">
      <c r="A600" s="298" t="s">
        <v>133</v>
      </c>
      <c r="B600" s="299" t="s">
        <v>5161</v>
      </c>
      <c r="C600" s="147"/>
      <c r="D600" s="147"/>
      <c r="E600" s="147"/>
      <c r="F600" s="312"/>
      <c r="G600" s="312"/>
      <c r="H600" s="312"/>
      <c r="I600" s="312"/>
      <c r="J600" s="314" t="s">
        <v>1982</v>
      </c>
      <c r="K600" s="312"/>
      <c r="L600" s="312"/>
      <c r="M600" s="313"/>
      <c r="N600" s="313"/>
      <c r="O600" s="313"/>
      <c r="P600" s="312"/>
      <c r="Q600" s="312"/>
      <c r="R600" s="312"/>
      <c r="S600" s="312"/>
      <c r="T600" s="312"/>
      <c r="U600" s="312"/>
      <c r="V600" s="312"/>
      <c r="W600" s="312"/>
      <c r="X600" s="312"/>
      <c r="Y600" s="312"/>
      <c r="Z600" s="312"/>
      <c r="AA600" s="312"/>
      <c r="AB600" s="312"/>
      <c r="AC600" s="312"/>
      <c r="AD600" s="75"/>
      <c r="AE600" s="75"/>
      <c r="AF600" s="75"/>
      <c r="AG600" s="75"/>
      <c r="AH600" s="75"/>
      <c r="AI600" s="75"/>
      <c r="AJ600" s="75"/>
      <c r="AK600" s="75"/>
      <c r="AL600" s="75"/>
      <c r="AM600" s="75"/>
      <c r="AN600" s="75"/>
      <c r="AO600" s="75"/>
      <c r="AP600" s="75"/>
      <c r="AQ600" s="75"/>
      <c r="AR600" s="75"/>
      <c r="AS600" s="75"/>
      <c r="AT600" s="75"/>
      <c r="AU600" s="75"/>
      <c r="AV600" s="75"/>
      <c r="AW600" s="75"/>
      <c r="AX600" s="75"/>
    </row>
    <row r="601" ht="15.75" customHeight="1">
      <c r="A601" s="280" t="s">
        <v>2509</v>
      </c>
      <c r="B601" s="281" t="s">
        <v>5165</v>
      </c>
      <c r="C601" s="27" t="s">
        <v>5780</v>
      </c>
      <c r="D601" s="27" t="s">
        <v>5782</v>
      </c>
      <c r="E601" s="27" t="s">
        <v>5784</v>
      </c>
      <c r="F601" s="45"/>
      <c r="G601" s="45"/>
      <c r="H601" s="45"/>
      <c r="I601" s="286"/>
      <c r="J601" s="297" t="s">
        <v>8</v>
      </c>
      <c r="K601" s="286"/>
      <c r="L601" s="286"/>
      <c r="M601" s="286"/>
      <c r="N601" s="286"/>
      <c r="O601" s="286"/>
      <c r="P601" s="286"/>
      <c r="Q601" s="286"/>
      <c r="R601" s="286"/>
      <c r="S601" s="286"/>
      <c r="T601" s="286"/>
      <c r="U601" s="286"/>
      <c r="V601" s="286"/>
      <c r="W601" s="286"/>
      <c r="X601" s="286"/>
      <c r="Y601" s="286"/>
      <c r="Z601" s="286"/>
      <c r="AA601" s="286"/>
      <c r="AB601" s="286"/>
      <c r="AC601" s="286"/>
      <c r="AD601" s="75"/>
      <c r="AE601" s="75"/>
      <c r="AF601" s="75"/>
      <c r="AG601" s="75"/>
      <c r="AH601" s="75"/>
      <c r="AI601" s="75"/>
      <c r="AJ601" s="75"/>
      <c r="AK601" s="75"/>
      <c r="AL601" s="75"/>
      <c r="AM601" s="75"/>
      <c r="AN601" s="75"/>
      <c r="AO601" s="75"/>
      <c r="AP601" s="75"/>
      <c r="AQ601" s="75"/>
      <c r="AR601" s="75"/>
      <c r="AS601" s="75"/>
      <c r="AT601" s="75"/>
      <c r="AU601" s="75"/>
      <c r="AV601" s="75"/>
      <c r="AW601" s="75"/>
      <c r="AX601" s="75"/>
    </row>
    <row r="602" ht="15.75" customHeight="1">
      <c r="A602" s="280" t="s">
        <v>2509</v>
      </c>
      <c r="B602" s="281" t="s">
        <v>5174</v>
      </c>
      <c r="C602" s="27" t="s">
        <v>5788</v>
      </c>
      <c r="D602" s="27" t="s">
        <v>5790</v>
      </c>
      <c r="E602" s="27" t="s">
        <v>5791</v>
      </c>
      <c r="F602" s="45"/>
      <c r="G602" s="45"/>
      <c r="H602" s="45"/>
      <c r="I602" s="286"/>
      <c r="J602" s="297" t="s">
        <v>2000</v>
      </c>
      <c r="K602" s="286"/>
      <c r="L602" s="286"/>
      <c r="M602" s="286"/>
      <c r="N602" s="286"/>
      <c r="O602" s="286"/>
      <c r="P602" s="286"/>
      <c r="Q602" s="290" t="s">
        <v>150</v>
      </c>
      <c r="R602" s="286"/>
      <c r="S602" s="286"/>
      <c r="T602" s="286"/>
      <c r="U602" s="286"/>
      <c r="V602" s="286"/>
      <c r="W602" s="286"/>
      <c r="X602" s="286"/>
      <c r="Y602" s="286"/>
      <c r="Z602" s="286"/>
      <c r="AA602" s="286"/>
      <c r="AB602" s="286"/>
      <c r="AC602" s="286"/>
      <c r="AD602" s="75"/>
      <c r="AE602" s="75"/>
      <c r="AF602" s="75"/>
      <c r="AG602" s="75"/>
      <c r="AH602" s="75"/>
      <c r="AI602" s="75"/>
      <c r="AJ602" s="75"/>
      <c r="AK602" s="75"/>
      <c r="AL602" s="75"/>
      <c r="AM602" s="75"/>
      <c r="AN602" s="75"/>
      <c r="AO602" s="75"/>
      <c r="AP602" s="75"/>
      <c r="AQ602" s="75"/>
      <c r="AR602" s="75"/>
      <c r="AS602" s="75"/>
      <c r="AT602" s="75"/>
      <c r="AU602" s="75"/>
      <c r="AV602" s="75"/>
      <c r="AW602" s="75"/>
      <c r="AX602" s="75"/>
    </row>
    <row r="603" ht="15.75" customHeight="1">
      <c r="A603" s="280" t="s">
        <v>2509</v>
      </c>
      <c r="B603" s="281" t="s">
        <v>5176</v>
      </c>
      <c r="C603" s="27" t="s">
        <v>5804</v>
      </c>
      <c r="D603" s="27" t="s">
        <v>5805</v>
      </c>
      <c r="E603" s="27" t="s">
        <v>5806</v>
      </c>
      <c r="F603" s="45"/>
      <c r="G603" s="45"/>
      <c r="H603" s="45"/>
      <c r="I603" s="286"/>
      <c r="J603" s="297" t="s">
        <v>2000</v>
      </c>
      <c r="K603" s="286"/>
      <c r="L603" s="286"/>
      <c r="M603" s="286"/>
      <c r="N603" s="286"/>
      <c r="O603" s="286"/>
      <c r="P603" s="286"/>
      <c r="Q603" s="290" t="s">
        <v>150</v>
      </c>
      <c r="R603" s="286"/>
      <c r="S603" s="286"/>
      <c r="T603" s="286"/>
      <c r="U603" s="286"/>
      <c r="V603" s="286"/>
      <c r="W603" s="286"/>
      <c r="X603" s="286"/>
      <c r="Y603" s="286"/>
      <c r="Z603" s="286"/>
      <c r="AA603" s="286"/>
      <c r="AB603" s="286"/>
      <c r="AC603" s="286"/>
      <c r="AD603" s="75"/>
      <c r="AE603" s="75"/>
      <c r="AF603" s="75"/>
      <c r="AG603" s="75"/>
      <c r="AH603" s="75"/>
      <c r="AI603" s="75"/>
      <c r="AJ603" s="75"/>
      <c r="AK603" s="75"/>
      <c r="AL603" s="75"/>
      <c r="AM603" s="75"/>
      <c r="AN603" s="75"/>
      <c r="AO603" s="75"/>
      <c r="AP603" s="75"/>
      <c r="AQ603" s="75"/>
      <c r="AR603" s="75"/>
      <c r="AS603" s="75"/>
      <c r="AT603" s="75"/>
      <c r="AU603" s="75"/>
      <c r="AV603" s="75"/>
      <c r="AW603" s="75"/>
      <c r="AX603" s="75"/>
    </row>
    <row r="604" ht="15.75" customHeight="1">
      <c r="A604" s="280" t="s">
        <v>2509</v>
      </c>
      <c r="B604" s="281" t="s">
        <v>5208</v>
      </c>
      <c r="C604" s="27" t="s">
        <v>5813</v>
      </c>
      <c r="D604" s="27" t="s">
        <v>5814</v>
      </c>
      <c r="E604" s="27" t="s">
        <v>5815</v>
      </c>
      <c r="F604" s="45"/>
      <c r="G604" s="45"/>
      <c r="H604" s="45"/>
      <c r="I604" s="286"/>
      <c r="J604" s="297" t="s">
        <v>2000</v>
      </c>
      <c r="K604" s="286"/>
      <c r="L604" s="286"/>
      <c r="M604" s="286"/>
      <c r="N604" s="286"/>
      <c r="O604" s="286"/>
      <c r="P604" s="286"/>
      <c r="Q604" s="290" t="s">
        <v>150</v>
      </c>
      <c r="R604" s="286"/>
      <c r="S604" s="286"/>
      <c r="T604" s="286"/>
      <c r="U604" s="286"/>
      <c r="V604" s="286"/>
      <c r="W604" s="286"/>
      <c r="X604" s="286"/>
      <c r="Y604" s="286"/>
      <c r="Z604" s="286"/>
      <c r="AA604" s="286"/>
      <c r="AB604" s="286"/>
      <c r="AC604" s="286"/>
      <c r="AD604" s="75"/>
      <c r="AE604" s="75"/>
      <c r="AF604" s="75"/>
      <c r="AG604" s="75"/>
      <c r="AH604" s="75"/>
      <c r="AI604" s="75"/>
      <c r="AJ604" s="75"/>
      <c r="AK604" s="75"/>
      <c r="AL604" s="75"/>
      <c r="AM604" s="75"/>
      <c r="AN604" s="75"/>
      <c r="AO604" s="75"/>
      <c r="AP604" s="75"/>
      <c r="AQ604" s="75"/>
      <c r="AR604" s="75"/>
      <c r="AS604" s="75"/>
      <c r="AT604" s="75"/>
      <c r="AU604" s="75"/>
      <c r="AV604" s="75"/>
      <c r="AW604" s="75"/>
      <c r="AX604" s="75"/>
    </row>
    <row r="605" ht="15.75" customHeight="1">
      <c r="A605" s="298" t="s">
        <v>237</v>
      </c>
      <c r="B605" s="310" t="s">
        <v>5161</v>
      </c>
      <c r="C605" s="226"/>
      <c r="D605" s="226"/>
      <c r="E605" s="226"/>
      <c r="F605" s="312"/>
      <c r="G605" s="312"/>
      <c r="H605" s="312"/>
      <c r="I605" s="312"/>
      <c r="J605" s="312"/>
      <c r="K605" s="312"/>
      <c r="L605" s="312"/>
      <c r="M605" s="312"/>
      <c r="N605" s="312"/>
      <c r="O605" s="312"/>
      <c r="P605" s="312"/>
      <c r="Q605" s="312"/>
      <c r="R605" s="312"/>
      <c r="S605" s="312"/>
      <c r="T605" s="312"/>
      <c r="U605" s="312"/>
      <c r="V605" s="312"/>
      <c r="W605" s="312"/>
      <c r="X605" s="312"/>
      <c r="Y605" s="312"/>
      <c r="Z605" s="312"/>
      <c r="AA605" s="312"/>
      <c r="AB605" s="312"/>
      <c r="AC605" s="312"/>
      <c r="AD605" s="75"/>
      <c r="AE605" s="75"/>
      <c r="AF605" s="75"/>
      <c r="AG605" s="75"/>
      <c r="AH605" s="75"/>
      <c r="AI605" s="75"/>
      <c r="AJ605" s="75"/>
      <c r="AK605" s="75"/>
      <c r="AL605" s="75"/>
      <c r="AM605" s="75"/>
      <c r="AN605" s="75"/>
      <c r="AO605" s="75"/>
      <c r="AP605" s="75"/>
      <c r="AQ605" s="75"/>
      <c r="AR605" s="75"/>
      <c r="AS605" s="75"/>
      <c r="AT605" s="75"/>
      <c r="AU605" s="75"/>
      <c r="AV605" s="75"/>
      <c r="AW605" s="75"/>
      <c r="AX605" s="75"/>
    </row>
    <row r="606" ht="15.75" customHeight="1">
      <c r="A606" s="298" t="s">
        <v>133</v>
      </c>
      <c r="B606" s="299" t="s">
        <v>5216</v>
      </c>
      <c r="C606" s="147"/>
      <c r="D606" s="147"/>
      <c r="E606" s="147"/>
      <c r="F606" s="312"/>
      <c r="G606" s="312"/>
      <c r="H606" s="312"/>
      <c r="I606" s="312"/>
      <c r="J606" s="314" t="s">
        <v>1982</v>
      </c>
      <c r="K606" s="312"/>
      <c r="L606" s="312"/>
      <c r="M606" s="313"/>
      <c r="N606" s="313"/>
      <c r="O606" s="313"/>
      <c r="P606" s="312"/>
      <c r="Q606" s="312"/>
      <c r="R606" s="312"/>
      <c r="S606" s="312"/>
      <c r="T606" s="312"/>
      <c r="U606" s="312"/>
      <c r="V606" s="312"/>
      <c r="W606" s="312"/>
      <c r="X606" s="312"/>
      <c r="Y606" s="312"/>
      <c r="Z606" s="312"/>
      <c r="AA606" s="312"/>
      <c r="AB606" s="312"/>
      <c r="AC606" s="312"/>
      <c r="AD606" s="75"/>
      <c r="AE606" s="75"/>
      <c r="AF606" s="75"/>
      <c r="AG606" s="75"/>
      <c r="AH606" s="75"/>
      <c r="AI606" s="75"/>
      <c r="AJ606" s="75"/>
      <c r="AK606" s="75"/>
      <c r="AL606" s="75"/>
      <c r="AM606" s="75"/>
      <c r="AN606" s="75"/>
      <c r="AO606" s="75"/>
      <c r="AP606" s="75"/>
      <c r="AQ606" s="75"/>
      <c r="AR606" s="75"/>
      <c r="AS606" s="75"/>
      <c r="AT606" s="75"/>
      <c r="AU606" s="75"/>
      <c r="AV606" s="75"/>
      <c r="AW606" s="75"/>
      <c r="AX606" s="75"/>
    </row>
    <row r="607" ht="15.75" customHeight="1">
      <c r="A607" s="280" t="s">
        <v>1306</v>
      </c>
      <c r="B607" s="281" t="s">
        <v>5217</v>
      </c>
      <c r="C607" s="27" t="s">
        <v>5833</v>
      </c>
      <c r="D607" s="27" t="s">
        <v>5834</v>
      </c>
      <c r="E607" s="27" t="s">
        <v>5835</v>
      </c>
      <c r="F607" s="45"/>
      <c r="G607" s="45"/>
      <c r="H607" s="45"/>
      <c r="I607" s="286"/>
      <c r="J607" s="297" t="s">
        <v>8</v>
      </c>
      <c r="K607" s="286"/>
      <c r="L607" s="286"/>
      <c r="M607" s="286"/>
      <c r="N607" s="286"/>
      <c r="O607" s="286"/>
      <c r="P607" s="286"/>
      <c r="Q607" s="286"/>
      <c r="R607" s="286"/>
      <c r="S607" s="286"/>
      <c r="T607" s="286"/>
      <c r="U607" s="286"/>
      <c r="V607" s="286"/>
      <c r="W607" s="286"/>
      <c r="X607" s="286"/>
      <c r="Y607" s="286"/>
      <c r="Z607" s="286"/>
      <c r="AA607" s="286"/>
      <c r="AB607" s="286"/>
      <c r="AC607" s="286"/>
      <c r="AD607" s="75"/>
      <c r="AE607" s="75"/>
      <c r="AF607" s="75"/>
      <c r="AG607" s="75"/>
      <c r="AH607" s="75"/>
      <c r="AI607" s="75"/>
      <c r="AJ607" s="75"/>
      <c r="AK607" s="75"/>
      <c r="AL607" s="75"/>
      <c r="AM607" s="75"/>
      <c r="AN607" s="75"/>
      <c r="AO607" s="75"/>
      <c r="AP607" s="75"/>
      <c r="AQ607" s="75"/>
      <c r="AR607" s="75"/>
      <c r="AS607" s="75"/>
      <c r="AT607" s="75"/>
      <c r="AU607" s="75"/>
      <c r="AV607" s="75"/>
      <c r="AW607" s="75"/>
      <c r="AX607" s="75"/>
    </row>
    <row r="608" ht="15.75" customHeight="1">
      <c r="A608" s="280" t="s">
        <v>1306</v>
      </c>
      <c r="B608" s="281" t="s">
        <v>5221</v>
      </c>
      <c r="C608" s="27" t="s">
        <v>5838</v>
      </c>
      <c r="D608" s="27" t="s">
        <v>5839</v>
      </c>
      <c r="E608" s="27" t="s">
        <v>5840</v>
      </c>
      <c r="F608" s="45"/>
      <c r="G608" s="45"/>
      <c r="H608" s="45"/>
      <c r="I608" s="286"/>
      <c r="J608" s="297" t="s">
        <v>2000</v>
      </c>
      <c r="K608" s="286"/>
      <c r="L608" s="286"/>
      <c r="M608" s="286"/>
      <c r="N608" s="286"/>
      <c r="O608" s="286"/>
      <c r="P608" s="286"/>
      <c r="Q608" s="290" t="s">
        <v>150</v>
      </c>
      <c r="R608" s="286"/>
      <c r="S608" s="286"/>
      <c r="T608" s="286"/>
      <c r="U608" s="286"/>
      <c r="V608" s="286"/>
      <c r="W608" s="286"/>
      <c r="X608" s="286"/>
      <c r="Y608" s="286"/>
      <c r="Z608" s="286"/>
      <c r="AA608" s="286"/>
      <c r="AB608" s="286"/>
      <c r="AC608" s="286"/>
      <c r="AD608" s="75"/>
      <c r="AE608" s="75"/>
      <c r="AF608" s="75"/>
      <c r="AG608" s="75"/>
      <c r="AH608" s="75"/>
      <c r="AI608" s="75"/>
      <c r="AJ608" s="75"/>
      <c r="AK608" s="75"/>
      <c r="AL608" s="75"/>
      <c r="AM608" s="75"/>
      <c r="AN608" s="75"/>
      <c r="AO608" s="75"/>
      <c r="AP608" s="75"/>
      <c r="AQ608" s="75"/>
      <c r="AR608" s="75"/>
      <c r="AS608" s="75"/>
      <c r="AT608" s="75"/>
      <c r="AU608" s="75"/>
      <c r="AV608" s="75"/>
      <c r="AW608" s="75"/>
      <c r="AX608" s="75"/>
    </row>
    <row r="609" ht="15.75" customHeight="1">
      <c r="A609" s="280" t="s">
        <v>1306</v>
      </c>
      <c r="B609" s="281" t="s">
        <v>5222</v>
      </c>
      <c r="C609" s="27" t="s">
        <v>5844</v>
      </c>
      <c r="D609" s="27" t="s">
        <v>5845</v>
      </c>
      <c r="E609" s="27" t="s">
        <v>5846</v>
      </c>
      <c r="F609" s="45"/>
      <c r="G609" s="45"/>
      <c r="H609" s="45"/>
      <c r="I609" s="286"/>
      <c r="J609" s="297" t="s">
        <v>2000</v>
      </c>
      <c r="K609" s="286"/>
      <c r="L609" s="286"/>
      <c r="M609" s="286"/>
      <c r="N609" s="286"/>
      <c r="O609" s="286"/>
      <c r="P609" s="286"/>
      <c r="Q609" s="290" t="s">
        <v>150</v>
      </c>
      <c r="R609" s="286"/>
      <c r="S609" s="286"/>
      <c r="T609" s="286"/>
      <c r="U609" s="286"/>
      <c r="V609" s="286"/>
      <c r="W609" s="286"/>
      <c r="X609" s="286"/>
      <c r="Y609" s="286"/>
      <c r="Z609" s="286"/>
      <c r="AA609" s="286"/>
      <c r="AB609" s="286"/>
      <c r="AC609" s="286"/>
      <c r="AD609" s="75"/>
      <c r="AE609" s="75"/>
      <c r="AF609" s="75"/>
      <c r="AG609" s="75"/>
      <c r="AH609" s="75"/>
      <c r="AI609" s="75"/>
      <c r="AJ609" s="75"/>
      <c r="AK609" s="75"/>
      <c r="AL609" s="75"/>
      <c r="AM609" s="75"/>
      <c r="AN609" s="75"/>
      <c r="AO609" s="75"/>
      <c r="AP609" s="75"/>
      <c r="AQ609" s="75"/>
      <c r="AR609" s="75"/>
      <c r="AS609" s="75"/>
      <c r="AT609" s="75"/>
      <c r="AU609" s="75"/>
      <c r="AV609" s="75"/>
      <c r="AW609" s="75"/>
      <c r="AX609" s="75"/>
    </row>
    <row r="610" ht="15.75" customHeight="1">
      <c r="A610" s="280" t="s">
        <v>1306</v>
      </c>
      <c r="B610" s="281" t="s">
        <v>5232</v>
      </c>
      <c r="C610" s="27" t="s">
        <v>5851</v>
      </c>
      <c r="D610" s="27" t="s">
        <v>5853</v>
      </c>
      <c r="E610" s="27" t="s">
        <v>5854</v>
      </c>
      <c r="F610" s="45"/>
      <c r="G610" s="45"/>
      <c r="H610" s="45"/>
      <c r="I610" s="286"/>
      <c r="J610" s="297" t="s">
        <v>2000</v>
      </c>
      <c r="K610" s="286"/>
      <c r="L610" s="286"/>
      <c r="M610" s="286"/>
      <c r="N610" s="286"/>
      <c r="O610" s="286"/>
      <c r="P610" s="286"/>
      <c r="Q610" s="290" t="s">
        <v>150</v>
      </c>
      <c r="R610" s="286"/>
      <c r="S610" s="286"/>
      <c r="T610" s="286"/>
      <c r="U610" s="286"/>
      <c r="V610" s="286"/>
      <c r="W610" s="286"/>
      <c r="X610" s="286"/>
      <c r="Y610" s="286"/>
      <c r="Z610" s="286"/>
      <c r="AA610" s="286"/>
      <c r="AB610" s="286"/>
      <c r="AC610" s="286"/>
      <c r="AD610" s="75"/>
      <c r="AE610" s="75"/>
      <c r="AF610" s="75"/>
      <c r="AG610" s="75"/>
      <c r="AH610" s="75"/>
      <c r="AI610" s="75"/>
      <c r="AJ610" s="75"/>
      <c r="AK610" s="75"/>
      <c r="AL610" s="75"/>
      <c r="AM610" s="75"/>
      <c r="AN610" s="75"/>
      <c r="AO610" s="75"/>
      <c r="AP610" s="75"/>
      <c r="AQ610" s="75"/>
      <c r="AR610" s="75"/>
      <c r="AS610" s="75"/>
      <c r="AT610" s="75"/>
      <c r="AU610" s="75"/>
      <c r="AV610" s="75"/>
      <c r="AW610" s="75"/>
      <c r="AX610" s="75"/>
    </row>
    <row r="611" ht="15.75" customHeight="1">
      <c r="A611" s="280" t="s">
        <v>1306</v>
      </c>
      <c r="B611" s="281" t="s">
        <v>5236</v>
      </c>
      <c r="C611" s="27" t="s">
        <v>5858</v>
      </c>
      <c r="D611" s="27" t="s">
        <v>5859</v>
      </c>
      <c r="E611" s="27" t="s">
        <v>5860</v>
      </c>
      <c r="F611" s="45"/>
      <c r="G611" s="45"/>
      <c r="H611" s="45"/>
      <c r="I611" s="286"/>
      <c r="J611" s="297" t="s">
        <v>2000</v>
      </c>
      <c r="K611" s="286"/>
      <c r="L611" s="286"/>
      <c r="M611" s="286"/>
      <c r="N611" s="286"/>
      <c r="O611" s="286"/>
      <c r="P611" s="286"/>
      <c r="Q611" s="290" t="s">
        <v>150</v>
      </c>
      <c r="R611" s="286"/>
      <c r="S611" s="286"/>
      <c r="T611" s="286"/>
      <c r="U611" s="286"/>
      <c r="V611" s="286"/>
      <c r="W611" s="286"/>
      <c r="X611" s="286"/>
      <c r="Y611" s="286"/>
      <c r="Z611" s="286"/>
      <c r="AA611" s="286"/>
      <c r="AB611" s="286"/>
      <c r="AC611" s="286"/>
      <c r="AD611" s="75"/>
      <c r="AE611" s="75"/>
      <c r="AF611" s="75"/>
      <c r="AG611" s="75"/>
      <c r="AH611" s="75"/>
      <c r="AI611" s="75"/>
      <c r="AJ611" s="75"/>
      <c r="AK611" s="75"/>
      <c r="AL611" s="75"/>
      <c r="AM611" s="75"/>
      <c r="AN611" s="75"/>
      <c r="AO611" s="75"/>
      <c r="AP611" s="75"/>
      <c r="AQ611" s="75"/>
      <c r="AR611" s="75"/>
      <c r="AS611" s="75"/>
      <c r="AT611" s="75"/>
      <c r="AU611" s="75"/>
      <c r="AV611" s="75"/>
      <c r="AW611" s="75"/>
      <c r="AX611" s="75"/>
    </row>
    <row r="612" ht="15.75" customHeight="1">
      <c r="A612" s="280" t="s">
        <v>1306</v>
      </c>
      <c r="B612" s="281" t="s">
        <v>5246</v>
      </c>
      <c r="C612" s="27" t="s">
        <v>5876</v>
      </c>
      <c r="D612" s="27" t="s">
        <v>5877</v>
      </c>
      <c r="E612" s="27" t="s">
        <v>5878</v>
      </c>
      <c r="F612" s="45"/>
      <c r="G612" s="45"/>
      <c r="H612" s="45"/>
      <c r="I612" s="286"/>
      <c r="J612" s="297" t="s">
        <v>2000</v>
      </c>
      <c r="K612" s="286"/>
      <c r="L612" s="286"/>
      <c r="M612" s="286"/>
      <c r="N612" s="286"/>
      <c r="O612" s="286"/>
      <c r="P612" s="286"/>
      <c r="Q612" s="290" t="s">
        <v>150</v>
      </c>
      <c r="R612" s="286"/>
      <c r="S612" s="286"/>
      <c r="T612" s="286"/>
      <c r="U612" s="286"/>
      <c r="V612" s="286"/>
      <c r="W612" s="286"/>
      <c r="X612" s="286"/>
      <c r="Y612" s="286"/>
      <c r="Z612" s="286"/>
      <c r="AA612" s="286"/>
      <c r="AB612" s="286"/>
      <c r="AC612" s="286"/>
      <c r="AD612" s="75"/>
      <c r="AE612" s="75"/>
      <c r="AF612" s="75"/>
      <c r="AG612" s="75"/>
      <c r="AH612" s="75"/>
      <c r="AI612" s="75"/>
      <c r="AJ612" s="75"/>
      <c r="AK612" s="75"/>
      <c r="AL612" s="75"/>
      <c r="AM612" s="75"/>
      <c r="AN612" s="75"/>
      <c r="AO612" s="75"/>
      <c r="AP612" s="75"/>
      <c r="AQ612" s="75"/>
      <c r="AR612" s="75"/>
      <c r="AS612" s="75"/>
      <c r="AT612" s="75"/>
      <c r="AU612" s="75"/>
      <c r="AV612" s="75"/>
      <c r="AW612" s="75"/>
      <c r="AX612" s="75"/>
    </row>
    <row r="613" ht="15.75" customHeight="1">
      <c r="A613" s="280" t="s">
        <v>1306</v>
      </c>
      <c r="B613" s="281" t="s">
        <v>5250</v>
      </c>
      <c r="C613" s="27" t="s">
        <v>5888</v>
      </c>
      <c r="D613" s="27" t="s">
        <v>5889</v>
      </c>
      <c r="E613" s="27" t="s">
        <v>5890</v>
      </c>
      <c r="F613" s="45"/>
      <c r="G613" s="45"/>
      <c r="H613" s="45"/>
      <c r="I613" s="286"/>
      <c r="J613" s="297" t="s">
        <v>2000</v>
      </c>
      <c r="K613" s="286"/>
      <c r="L613" s="286"/>
      <c r="M613" s="286"/>
      <c r="N613" s="286"/>
      <c r="O613" s="286"/>
      <c r="P613" s="286"/>
      <c r="Q613" s="290" t="s">
        <v>150</v>
      </c>
      <c r="R613" s="286"/>
      <c r="S613" s="286"/>
      <c r="T613" s="286"/>
      <c r="U613" s="286"/>
      <c r="V613" s="286"/>
      <c r="W613" s="286"/>
      <c r="X613" s="286"/>
      <c r="Y613" s="286"/>
      <c r="Z613" s="286"/>
      <c r="AA613" s="286"/>
      <c r="AB613" s="286"/>
      <c r="AC613" s="286"/>
      <c r="AD613" s="75"/>
      <c r="AE613" s="75"/>
      <c r="AF613" s="75"/>
      <c r="AG613" s="75"/>
      <c r="AH613" s="75"/>
      <c r="AI613" s="75"/>
      <c r="AJ613" s="75"/>
      <c r="AK613" s="75"/>
      <c r="AL613" s="75"/>
      <c r="AM613" s="75"/>
      <c r="AN613" s="75"/>
      <c r="AO613" s="75"/>
      <c r="AP613" s="75"/>
      <c r="AQ613" s="75"/>
      <c r="AR613" s="75"/>
      <c r="AS613" s="75"/>
      <c r="AT613" s="75"/>
      <c r="AU613" s="75"/>
      <c r="AV613" s="75"/>
      <c r="AW613" s="75"/>
      <c r="AX613" s="75"/>
    </row>
    <row r="614" ht="15.75" customHeight="1">
      <c r="A614" s="280" t="s">
        <v>1306</v>
      </c>
      <c r="B614" s="281" t="s">
        <v>5260</v>
      </c>
      <c r="C614" s="27" t="s">
        <v>5897</v>
      </c>
      <c r="D614" s="27" t="s">
        <v>5898</v>
      </c>
      <c r="E614" s="27" t="s">
        <v>5899</v>
      </c>
      <c r="F614" s="45"/>
      <c r="G614" s="45"/>
      <c r="H614" s="45"/>
      <c r="I614" s="286"/>
      <c r="J614" s="297" t="s">
        <v>2000</v>
      </c>
      <c r="K614" s="286"/>
      <c r="L614" s="286"/>
      <c r="M614" s="286"/>
      <c r="N614" s="286"/>
      <c r="O614" s="286"/>
      <c r="P614" s="286"/>
      <c r="Q614" s="290" t="s">
        <v>150</v>
      </c>
      <c r="R614" s="286"/>
      <c r="S614" s="286"/>
      <c r="T614" s="286"/>
      <c r="U614" s="286"/>
      <c r="V614" s="286"/>
      <c r="W614" s="286"/>
      <c r="X614" s="286"/>
      <c r="Y614" s="286"/>
      <c r="Z614" s="286"/>
      <c r="AA614" s="286"/>
      <c r="AB614" s="286"/>
      <c r="AC614" s="286"/>
      <c r="AD614" s="75"/>
      <c r="AE614" s="75"/>
      <c r="AF614" s="75"/>
      <c r="AG614" s="75"/>
      <c r="AH614" s="75"/>
      <c r="AI614" s="75"/>
      <c r="AJ614" s="75"/>
      <c r="AK614" s="75"/>
      <c r="AL614" s="75"/>
      <c r="AM614" s="75"/>
      <c r="AN614" s="75"/>
      <c r="AO614" s="75"/>
      <c r="AP614" s="75"/>
      <c r="AQ614" s="75"/>
      <c r="AR614" s="75"/>
      <c r="AS614" s="75"/>
      <c r="AT614" s="75"/>
      <c r="AU614" s="75"/>
      <c r="AV614" s="75"/>
      <c r="AW614" s="75"/>
      <c r="AX614" s="75"/>
    </row>
    <row r="615" ht="15.75" customHeight="1">
      <c r="A615" s="280" t="s">
        <v>1306</v>
      </c>
      <c r="B615" s="281" t="s">
        <v>5267</v>
      </c>
      <c r="C615" s="27" t="s">
        <v>5905</v>
      </c>
      <c r="D615" s="27" t="s">
        <v>5907</v>
      </c>
      <c r="E615" s="27" t="s">
        <v>5909</v>
      </c>
      <c r="F615" s="45"/>
      <c r="G615" s="45"/>
      <c r="H615" s="45"/>
      <c r="I615" s="286"/>
      <c r="J615" s="297" t="s">
        <v>2000</v>
      </c>
      <c r="K615" s="286"/>
      <c r="L615" s="286"/>
      <c r="M615" s="286"/>
      <c r="N615" s="286"/>
      <c r="O615" s="286"/>
      <c r="P615" s="286"/>
      <c r="Q615" s="290" t="s">
        <v>150</v>
      </c>
      <c r="R615" s="286"/>
      <c r="S615" s="286"/>
      <c r="T615" s="286"/>
      <c r="U615" s="286"/>
      <c r="V615" s="286"/>
      <c r="W615" s="286"/>
      <c r="X615" s="286"/>
      <c r="Y615" s="286"/>
      <c r="Z615" s="286"/>
      <c r="AA615" s="286"/>
      <c r="AB615" s="286"/>
      <c r="AC615" s="286"/>
      <c r="AD615" s="75"/>
      <c r="AE615" s="75"/>
      <c r="AF615" s="75"/>
      <c r="AG615" s="75"/>
      <c r="AH615" s="75"/>
      <c r="AI615" s="75"/>
      <c r="AJ615" s="75"/>
      <c r="AK615" s="75"/>
      <c r="AL615" s="75"/>
      <c r="AM615" s="75"/>
      <c r="AN615" s="75"/>
      <c r="AO615" s="75"/>
      <c r="AP615" s="75"/>
      <c r="AQ615" s="75"/>
      <c r="AR615" s="75"/>
      <c r="AS615" s="75"/>
      <c r="AT615" s="75"/>
      <c r="AU615" s="75"/>
      <c r="AV615" s="75"/>
      <c r="AW615" s="75"/>
      <c r="AX615" s="75"/>
    </row>
    <row r="616" ht="15.75" customHeight="1">
      <c r="A616" s="280" t="s">
        <v>1306</v>
      </c>
      <c r="B616" s="281" t="s">
        <v>5277</v>
      </c>
      <c r="C616" s="27" t="s">
        <v>5915</v>
      </c>
      <c r="D616" s="27" t="s">
        <v>5917</v>
      </c>
      <c r="E616" s="27" t="s">
        <v>5918</v>
      </c>
      <c r="F616" s="45"/>
      <c r="G616" s="45"/>
      <c r="H616" s="45"/>
      <c r="I616" s="286"/>
      <c r="J616" s="297" t="s">
        <v>2000</v>
      </c>
      <c r="K616" s="286"/>
      <c r="L616" s="286"/>
      <c r="M616" s="286"/>
      <c r="N616" s="286"/>
      <c r="O616" s="286"/>
      <c r="P616" s="286"/>
      <c r="Q616" s="290" t="s">
        <v>150</v>
      </c>
      <c r="R616" s="286"/>
      <c r="S616" s="286"/>
      <c r="T616" s="286"/>
      <c r="U616" s="286"/>
      <c r="V616" s="286"/>
      <c r="W616" s="286"/>
      <c r="X616" s="286"/>
      <c r="Y616" s="286"/>
      <c r="Z616" s="286"/>
      <c r="AA616" s="286"/>
      <c r="AB616" s="286"/>
      <c r="AC616" s="286"/>
      <c r="AD616" s="75"/>
      <c r="AE616" s="75"/>
      <c r="AF616" s="75"/>
      <c r="AG616" s="75"/>
      <c r="AH616" s="75"/>
      <c r="AI616" s="75"/>
      <c r="AJ616" s="75"/>
      <c r="AK616" s="75"/>
      <c r="AL616" s="75"/>
      <c r="AM616" s="75"/>
      <c r="AN616" s="75"/>
      <c r="AO616" s="75"/>
      <c r="AP616" s="75"/>
      <c r="AQ616" s="75"/>
      <c r="AR616" s="75"/>
      <c r="AS616" s="75"/>
      <c r="AT616" s="75"/>
      <c r="AU616" s="75"/>
      <c r="AV616" s="75"/>
      <c r="AW616" s="75"/>
      <c r="AX616" s="75"/>
    </row>
    <row r="617" ht="15.75" customHeight="1">
      <c r="A617" s="280" t="s">
        <v>1306</v>
      </c>
      <c r="B617" s="281" t="s">
        <v>5281</v>
      </c>
      <c r="C617" s="27" t="s">
        <v>5925</v>
      </c>
      <c r="D617" s="27" t="s">
        <v>5926</v>
      </c>
      <c r="E617" s="27" t="s">
        <v>5927</v>
      </c>
      <c r="F617" s="45"/>
      <c r="G617" s="45"/>
      <c r="H617" s="45"/>
      <c r="I617" s="286"/>
      <c r="J617" s="297" t="s">
        <v>2000</v>
      </c>
      <c r="K617" s="286"/>
      <c r="L617" s="286"/>
      <c r="M617" s="286"/>
      <c r="N617" s="290" t="s">
        <v>5928</v>
      </c>
      <c r="O617" s="286"/>
      <c r="P617" s="286"/>
      <c r="Q617" s="290" t="s">
        <v>150</v>
      </c>
      <c r="R617" s="286"/>
      <c r="S617" s="286"/>
      <c r="T617" s="286"/>
      <c r="U617" s="286"/>
      <c r="V617" s="286"/>
      <c r="W617" s="286"/>
      <c r="X617" s="286"/>
      <c r="Y617" s="286"/>
      <c r="Z617" s="286"/>
      <c r="AA617" s="286"/>
      <c r="AB617" s="286"/>
      <c r="AC617" s="286"/>
      <c r="AD617" s="75"/>
      <c r="AE617" s="75"/>
      <c r="AF617" s="75"/>
      <c r="AG617" s="75"/>
      <c r="AH617" s="75"/>
      <c r="AI617" s="75"/>
      <c r="AJ617" s="75"/>
      <c r="AK617" s="75"/>
      <c r="AL617" s="75"/>
      <c r="AM617" s="75"/>
      <c r="AN617" s="75"/>
      <c r="AO617" s="75"/>
      <c r="AP617" s="75"/>
      <c r="AQ617" s="75"/>
      <c r="AR617" s="75"/>
      <c r="AS617" s="75"/>
      <c r="AT617" s="75"/>
      <c r="AU617" s="75"/>
      <c r="AV617" s="75"/>
      <c r="AW617" s="75"/>
      <c r="AX617" s="75"/>
    </row>
    <row r="618" ht="15.75" customHeight="1">
      <c r="A618" s="298" t="s">
        <v>237</v>
      </c>
      <c r="B618" s="310" t="s">
        <v>5216</v>
      </c>
      <c r="C618" s="226"/>
      <c r="D618" s="226"/>
      <c r="E618" s="226"/>
      <c r="F618" s="312"/>
      <c r="G618" s="312"/>
      <c r="H618" s="312"/>
      <c r="I618" s="312"/>
      <c r="J618" s="312"/>
      <c r="K618" s="312"/>
      <c r="L618" s="312"/>
      <c r="M618" s="312"/>
      <c r="N618" s="312"/>
      <c r="O618" s="312"/>
      <c r="P618" s="312"/>
      <c r="Q618" s="312"/>
      <c r="R618" s="312"/>
      <c r="S618" s="312"/>
      <c r="T618" s="312"/>
      <c r="U618" s="312"/>
      <c r="V618" s="312"/>
      <c r="W618" s="312"/>
      <c r="X618" s="312"/>
      <c r="Y618" s="312"/>
      <c r="Z618" s="312"/>
      <c r="AA618" s="312"/>
      <c r="AB618" s="312"/>
      <c r="AC618" s="312"/>
      <c r="AD618" s="75"/>
      <c r="AE618" s="75"/>
      <c r="AF618" s="75"/>
      <c r="AG618" s="75"/>
      <c r="AH618" s="75"/>
      <c r="AI618" s="75"/>
      <c r="AJ618" s="75"/>
      <c r="AK618" s="75"/>
      <c r="AL618" s="75"/>
      <c r="AM618" s="75"/>
      <c r="AN618" s="75"/>
      <c r="AO618" s="75"/>
      <c r="AP618" s="75"/>
      <c r="AQ618" s="75"/>
      <c r="AR618" s="75"/>
      <c r="AS618" s="75"/>
      <c r="AT618" s="75"/>
      <c r="AU618" s="75"/>
      <c r="AV618" s="75"/>
      <c r="AW618" s="75"/>
      <c r="AX618" s="75"/>
    </row>
    <row r="619" ht="15.75" customHeight="1">
      <c r="A619" s="298" t="s">
        <v>237</v>
      </c>
      <c r="B619" s="310" t="s">
        <v>5128</v>
      </c>
      <c r="C619" s="226"/>
      <c r="D619" s="226"/>
      <c r="E619" s="226"/>
      <c r="F619" s="312"/>
      <c r="G619" s="312"/>
      <c r="H619" s="312"/>
      <c r="I619" s="312"/>
      <c r="J619" s="312"/>
      <c r="K619" s="312"/>
      <c r="L619" s="312"/>
      <c r="M619" s="312"/>
      <c r="N619" s="312"/>
      <c r="O619" s="312"/>
      <c r="P619" s="312"/>
      <c r="Q619" s="312"/>
      <c r="R619" s="312"/>
      <c r="S619" s="312"/>
      <c r="T619" s="312"/>
      <c r="U619" s="312"/>
      <c r="V619" s="312"/>
      <c r="W619" s="312"/>
      <c r="X619" s="312"/>
      <c r="Y619" s="312"/>
      <c r="Z619" s="312"/>
      <c r="AA619" s="312"/>
      <c r="AB619" s="312"/>
      <c r="AC619" s="312"/>
      <c r="AD619" s="75"/>
      <c r="AE619" s="75"/>
      <c r="AF619" s="75"/>
      <c r="AG619" s="75"/>
      <c r="AH619" s="75"/>
      <c r="AI619" s="75"/>
      <c r="AJ619" s="75"/>
      <c r="AK619" s="75"/>
      <c r="AL619" s="75"/>
      <c r="AM619" s="75"/>
      <c r="AN619" s="75"/>
      <c r="AO619" s="75"/>
      <c r="AP619" s="75"/>
      <c r="AQ619" s="75"/>
      <c r="AR619" s="75"/>
      <c r="AS619" s="75"/>
      <c r="AT619" s="75"/>
      <c r="AU619" s="75"/>
      <c r="AV619" s="75"/>
      <c r="AW619" s="75"/>
      <c r="AX619" s="75"/>
    </row>
    <row r="620" ht="15.75" customHeight="1">
      <c r="A620" s="323" t="s">
        <v>38</v>
      </c>
      <c r="B620" s="279" t="s">
        <v>5294</v>
      </c>
      <c r="C620" s="27" t="s">
        <v>5957</v>
      </c>
      <c r="D620" s="27" t="s">
        <v>5958</v>
      </c>
      <c r="E620" s="27" t="s">
        <v>5959</v>
      </c>
      <c r="F620" s="45"/>
      <c r="G620" s="45"/>
      <c r="H620" s="45"/>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75"/>
      <c r="AE620" s="75"/>
      <c r="AF620" s="75"/>
      <c r="AG620" s="75"/>
      <c r="AH620" s="75"/>
      <c r="AI620" s="75"/>
      <c r="AJ620" s="75"/>
      <c r="AK620" s="75"/>
      <c r="AL620" s="75"/>
      <c r="AM620" s="75"/>
      <c r="AN620" s="75"/>
      <c r="AO620" s="75"/>
      <c r="AP620" s="75"/>
      <c r="AQ620" s="75"/>
      <c r="AR620" s="75"/>
      <c r="AS620" s="75"/>
      <c r="AT620" s="75"/>
      <c r="AU620" s="75"/>
      <c r="AV620" s="75"/>
      <c r="AW620" s="75"/>
      <c r="AX620" s="75"/>
    </row>
    <row r="621" ht="15.75" customHeight="1">
      <c r="A621" s="298" t="s">
        <v>237</v>
      </c>
      <c r="B621" s="310" t="s">
        <v>3228</v>
      </c>
      <c r="C621" s="226" t="s">
        <v>3229</v>
      </c>
      <c r="D621" s="226"/>
      <c r="E621" s="226"/>
      <c r="F621" s="312"/>
      <c r="G621" s="312"/>
      <c r="H621" s="312"/>
      <c r="I621" s="312"/>
      <c r="J621" s="312"/>
      <c r="K621" s="312"/>
      <c r="L621" s="312"/>
      <c r="M621" s="312"/>
      <c r="N621" s="312"/>
      <c r="O621" s="302"/>
      <c r="P621" s="312"/>
      <c r="Q621" s="312"/>
      <c r="R621" s="312"/>
      <c r="S621" s="312"/>
      <c r="T621" s="312"/>
      <c r="U621" s="312"/>
      <c r="V621" s="312"/>
      <c r="W621" s="312"/>
      <c r="X621" s="312"/>
      <c r="Y621" s="312"/>
      <c r="Z621" s="312"/>
      <c r="AA621" s="312"/>
      <c r="AB621" s="312"/>
      <c r="AC621" s="312"/>
      <c r="AD621" s="75"/>
      <c r="AE621" s="75"/>
      <c r="AF621" s="75"/>
      <c r="AG621" s="75"/>
      <c r="AH621" s="75"/>
      <c r="AI621" s="75"/>
      <c r="AJ621" s="75"/>
      <c r="AK621" s="75"/>
      <c r="AL621" s="75"/>
      <c r="AM621" s="75"/>
      <c r="AN621" s="75"/>
      <c r="AO621" s="75"/>
      <c r="AP621" s="75"/>
      <c r="AQ621" s="75"/>
      <c r="AR621" s="75"/>
      <c r="AS621" s="75"/>
      <c r="AT621" s="75"/>
      <c r="AU621" s="75"/>
      <c r="AV621" s="75"/>
      <c r="AW621" s="75"/>
      <c r="AX621" s="75"/>
    </row>
    <row r="622" ht="15.75" customHeight="1">
      <c r="A622" s="70" t="s">
        <v>127</v>
      </c>
      <c r="B622" s="71" t="s">
        <v>5298</v>
      </c>
      <c r="C622" s="72"/>
      <c r="D622" s="72"/>
      <c r="E622" s="72"/>
      <c r="F622" s="73"/>
      <c r="G622" s="73"/>
      <c r="H622" s="73"/>
      <c r="I622" s="73"/>
      <c r="J622" s="73"/>
      <c r="K622" s="73"/>
      <c r="L622" s="73"/>
      <c r="M622" s="73"/>
      <c r="N622" s="73"/>
      <c r="O622" s="73"/>
      <c r="P622" s="73"/>
      <c r="Q622" s="73"/>
      <c r="R622" s="73"/>
      <c r="S622" s="73"/>
      <c r="T622" s="74" t="s">
        <v>129</v>
      </c>
      <c r="U622" s="73"/>
      <c r="V622" s="73"/>
      <c r="W622" s="73"/>
      <c r="X622" s="73"/>
      <c r="Y622" s="73"/>
      <c r="Z622" s="73"/>
      <c r="AA622" s="73"/>
      <c r="AB622" s="73"/>
      <c r="AC622" s="73"/>
      <c r="AD622" s="75"/>
      <c r="AE622" s="75"/>
      <c r="AF622" s="75"/>
      <c r="AG622" s="75"/>
      <c r="AH622" s="75"/>
      <c r="AI622" s="75"/>
      <c r="AJ622" s="75"/>
      <c r="AK622" s="75"/>
      <c r="AL622" s="75"/>
      <c r="AM622" s="75"/>
      <c r="AN622" s="75"/>
      <c r="AO622" s="75"/>
      <c r="AP622" s="75"/>
      <c r="AQ622" s="75"/>
      <c r="AR622" s="75"/>
      <c r="AS622" s="75"/>
      <c r="AT622" s="75"/>
      <c r="AU622" s="75"/>
      <c r="AV622" s="75"/>
      <c r="AW622" s="75"/>
      <c r="AX622" s="75"/>
    </row>
    <row r="623" ht="15.75" customHeight="1">
      <c r="A623" s="168" t="s">
        <v>68</v>
      </c>
      <c r="B623" s="71" t="s">
        <v>5303</v>
      </c>
      <c r="C623" s="72"/>
      <c r="D623" s="72"/>
      <c r="E623" s="72"/>
      <c r="F623" s="73"/>
      <c r="G623" s="73"/>
      <c r="H623" s="73"/>
      <c r="I623" s="73"/>
      <c r="J623" s="73"/>
      <c r="K623" s="73"/>
      <c r="L623" s="73"/>
      <c r="M623" s="73"/>
      <c r="N623" s="73"/>
      <c r="O623" s="223"/>
      <c r="P623" s="73"/>
      <c r="Q623" s="73"/>
      <c r="R623" s="73"/>
      <c r="S623" s="73"/>
      <c r="T623" s="74" t="s">
        <v>5979</v>
      </c>
      <c r="U623" s="73"/>
      <c r="V623" s="73"/>
      <c r="W623" s="73"/>
      <c r="X623" s="73"/>
      <c r="Y623" s="73"/>
      <c r="Z623" s="73"/>
      <c r="AA623" s="73"/>
      <c r="AB623" s="73"/>
      <c r="AC623" s="73"/>
      <c r="AD623" s="75"/>
      <c r="AE623" s="75"/>
      <c r="AF623" s="75"/>
      <c r="AG623" s="75"/>
      <c r="AH623" s="75"/>
      <c r="AI623" s="75"/>
      <c r="AJ623" s="75"/>
      <c r="AK623" s="75"/>
      <c r="AL623" s="75"/>
      <c r="AM623" s="75"/>
      <c r="AN623" s="75"/>
      <c r="AO623" s="75"/>
      <c r="AP623" s="75"/>
      <c r="AQ623" s="75"/>
      <c r="AR623" s="75"/>
      <c r="AS623" s="75"/>
      <c r="AT623" s="75"/>
      <c r="AU623" s="75"/>
      <c r="AV623" s="75"/>
      <c r="AW623" s="75"/>
      <c r="AX623" s="75"/>
    </row>
    <row r="624" ht="15.75" customHeight="1">
      <c r="A624" s="61"/>
      <c r="B624" s="61"/>
      <c r="C624" s="63"/>
      <c r="D624" s="28"/>
      <c r="E624" s="28"/>
      <c r="F624" s="25"/>
      <c r="G624" s="25"/>
      <c r="H624" s="25"/>
      <c r="I624" s="25"/>
      <c r="J624" s="25"/>
      <c r="K624" s="25"/>
      <c r="L624" s="25"/>
      <c r="M624" s="25"/>
      <c r="N624" s="25"/>
      <c r="O624" s="61"/>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row>
    <row r="625" ht="15.75" customHeight="1">
      <c r="A625" s="168" t="s">
        <v>127</v>
      </c>
      <c r="B625" s="71" t="s">
        <v>5306</v>
      </c>
      <c r="C625" s="72"/>
      <c r="D625" s="72"/>
      <c r="E625" s="72"/>
      <c r="F625" s="73"/>
      <c r="G625" s="73"/>
      <c r="H625" s="73"/>
      <c r="I625" s="73"/>
      <c r="J625" s="73"/>
      <c r="K625" s="73"/>
      <c r="L625" s="73"/>
      <c r="M625" s="73"/>
      <c r="N625" s="73"/>
      <c r="O625" s="73"/>
      <c r="P625" s="73"/>
      <c r="Q625" s="73"/>
      <c r="R625" s="73"/>
      <c r="S625" s="73"/>
      <c r="T625" s="74" t="s">
        <v>129</v>
      </c>
      <c r="U625" s="73"/>
      <c r="V625" s="73"/>
      <c r="W625" s="73"/>
      <c r="X625" s="73"/>
      <c r="Y625" s="73"/>
      <c r="Z625" s="73"/>
      <c r="AA625" s="73"/>
      <c r="AB625" s="73"/>
      <c r="AC625" s="73"/>
      <c r="AD625" s="75"/>
      <c r="AE625" s="75"/>
      <c r="AF625" s="75"/>
      <c r="AG625" s="75"/>
      <c r="AH625" s="75"/>
      <c r="AI625" s="75"/>
      <c r="AJ625" s="75"/>
      <c r="AK625" s="75"/>
      <c r="AL625" s="75"/>
      <c r="AM625" s="75"/>
      <c r="AN625" s="75"/>
      <c r="AO625" s="75"/>
      <c r="AP625" s="75"/>
      <c r="AQ625" s="75"/>
      <c r="AR625" s="75"/>
      <c r="AS625" s="75"/>
      <c r="AT625" s="75"/>
      <c r="AU625" s="75"/>
      <c r="AV625" s="75"/>
      <c r="AW625" s="75"/>
      <c r="AX625" s="75"/>
    </row>
    <row r="626" ht="15.75" customHeight="1">
      <c r="A626" s="61" t="s">
        <v>133</v>
      </c>
      <c r="B626" s="61" t="s">
        <v>5307</v>
      </c>
      <c r="C626" s="63" t="s">
        <v>5308</v>
      </c>
      <c r="D626" s="28"/>
      <c r="E626" s="28"/>
      <c r="F626" s="25"/>
      <c r="G626" s="25"/>
      <c r="H626" s="25"/>
      <c r="I626" s="25"/>
      <c r="J626" s="25"/>
      <c r="K626" s="25"/>
      <c r="L626" s="25"/>
      <c r="M626" s="25"/>
      <c r="N626" s="259"/>
      <c r="O626" s="61" t="s">
        <v>6006</v>
      </c>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row>
    <row r="627" ht="15.75" customHeight="1">
      <c r="A627" s="278" t="s">
        <v>38</v>
      </c>
      <c r="B627" s="279" t="s">
        <v>5309</v>
      </c>
      <c r="C627" s="27" t="s">
        <v>6016</v>
      </c>
      <c r="D627" s="27" t="s">
        <v>6017</v>
      </c>
      <c r="E627" s="27" t="s">
        <v>6018</v>
      </c>
      <c r="F627" s="45"/>
      <c r="G627" s="45"/>
      <c r="H627" s="45"/>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75"/>
      <c r="AE627" s="75"/>
      <c r="AF627" s="75"/>
      <c r="AG627" s="75"/>
      <c r="AH627" s="75"/>
      <c r="AI627" s="75"/>
      <c r="AJ627" s="75"/>
      <c r="AK627" s="75"/>
      <c r="AL627" s="75"/>
      <c r="AM627" s="75"/>
      <c r="AN627" s="75"/>
      <c r="AO627" s="75"/>
      <c r="AP627" s="75"/>
      <c r="AQ627" s="75"/>
      <c r="AR627" s="75"/>
      <c r="AS627" s="75"/>
      <c r="AT627" s="75"/>
      <c r="AU627" s="75"/>
      <c r="AV627" s="75"/>
      <c r="AW627" s="75"/>
      <c r="AX627" s="75"/>
    </row>
    <row r="628">
      <c r="A628" s="259"/>
      <c r="B628" s="259"/>
      <c r="C628" s="158"/>
      <c r="D628" s="158"/>
      <c r="E628" s="158"/>
      <c r="F628" s="259"/>
      <c r="G628" s="259"/>
      <c r="H628" s="259"/>
      <c r="I628" s="259"/>
      <c r="J628" s="259"/>
      <c r="K628" s="259"/>
      <c r="L628" s="259"/>
      <c r="M628" s="259"/>
      <c r="N628" s="259"/>
      <c r="O628" s="259"/>
      <c r="P628" s="259"/>
      <c r="Q628" s="259"/>
      <c r="R628" s="259"/>
      <c r="S628" s="259"/>
      <c r="T628" s="259"/>
      <c r="U628" s="259"/>
      <c r="V628" s="259"/>
      <c r="W628" s="259"/>
      <c r="X628" s="259"/>
      <c r="Y628" s="259"/>
      <c r="Z628" s="259"/>
      <c r="AA628" s="259"/>
      <c r="AB628" s="259"/>
      <c r="AC628" s="259"/>
      <c r="AD628" s="259"/>
      <c r="AE628" s="259"/>
      <c r="AF628" s="259"/>
      <c r="AG628" s="259"/>
      <c r="AH628" s="259"/>
      <c r="AI628" s="259"/>
      <c r="AJ628" s="259"/>
      <c r="AK628" s="259"/>
      <c r="AL628" s="259"/>
      <c r="AM628" s="259"/>
      <c r="AN628" s="259"/>
      <c r="AO628" s="259"/>
      <c r="AP628" s="259"/>
      <c r="AQ628" s="259"/>
      <c r="AR628" s="259"/>
      <c r="AS628" s="259"/>
      <c r="AT628" s="259"/>
      <c r="AU628" s="259"/>
      <c r="AV628" s="259"/>
      <c r="AW628" s="259"/>
      <c r="AX628" s="259"/>
    </row>
    <row r="629" ht="15.75" customHeight="1">
      <c r="A629" s="168" t="s">
        <v>127</v>
      </c>
      <c r="B629" s="71" t="s">
        <v>5318</v>
      </c>
      <c r="C629" s="72"/>
      <c r="D629" s="72"/>
      <c r="E629" s="72"/>
      <c r="F629" s="73"/>
      <c r="G629" s="73"/>
      <c r="H629" s="73"/>
      <c r="I629" s="73"/>
      <c r="J629" s="73"/>
      <c r="K629" s="73"/>
      <c r="L629" s="73"/>
      <c r="M629" s="73"/>
      <c r="N629" s="73"/>
      <c r="O629" s="73"/>
      <c r="P629" s="73"/>
      <c r="Q629" s="73"/>
      <c r="R629" s="73"/>
      <c r="S629" s="73"/>
      <c r="T629" s="74" t="s">
        <v>129</v>
      </c>
      <c r="U629" s="73"/>
      <c r="V629" s="73"/>
      <c r="W629" s="73"/>
      <c r="X629" s="73"/>
      <c r="Y629" s="73"/>
      <c r="Z629" s="73"/>
      <c r="AA629" s="73"/>
      <c r="AB629" s="73"/>
      <c r="AC629" s="73"/>
      <c r="AD629" s="75"/>
      <c r="AE629" s="75"/>
      <c r="AF629" s="75"/>
      <c r="AG629" s="75"/>
      <c r="AH629" s="75"/>
      <c r="AI629" s="75"/>
      <c r="AJ629" s="75"/>
      <c r="AK629" s="75"/>
      <c r="AL629" s="75"/>
      <c r="AM629" s="75"/>
      <c r="AN629" s="75"/>
      <c r="AO629" s="75"/>
      <c r="AP629" s="75"/>
      <c r="AQ629" s="75"/>
      <c r="AR629" s="75"/>
      <c r="AS629" s="75"/>
      <c r="AT629" s="75"/>
      <c r="AU629" s="75"/>
      <c r="AV629" s="75"/>
      <c r="AW629" s="75"/>
      <c r="AX629" s="75"/>
    </row>
    <row r="630" ht="15.75" customHeight="1">
      <c r="A630" s="278" t="s">
        <v>38</v>
      </c>
      <c r="B630" s="279" t="s">
        <v>5322</v>
      </c>
      <c r="C630" s="27" t="s">
        <v>6036</v>
      </c>
      <c r="D630" s="27" t="s">
        <v>6037</v>
      </c>
      <c r="E630" s="27" t="s">
        <v>6039</v>
      </c>
      <c r="F630" s="45"/>
      <c r="G630" s="45"/>
      <c r="H630" s="45"/>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312"/>
      <c r="AE630" s="312"/>
      <c r="AF630" s="312"/>
      <c r="AG630" s="312"/>
      <c r="AH630" s="312"/>
      <c r="AI630" s="312"/>
      <c r="AJ630" s="312"/>
      <c r="AK630" s="312"/>
      <c r="AL630" s="312"/>
      <c r="AM630" s="312"/>
      <c r="AN630" s="312"/>
      <c r="AO630" s="75"/>
      <c r="AP630" s="75"/>
      <c r="AQ630" s="75"/>
      <c r="AR630" s="75"/>
      <c r="AS630" s="75"/>
      <c r="AT630" s="75"/>
      <c r="AU630" s="75"/>
      <c r="AV630" s="75"/>
      <c r="AW630" s="75"/>
      <c r="AX630" s="75"/>
    </row>
    <row r="631" ht="15.75" customHeight="1">
      <c r="A631" s="280" t="s">
        <v>1306</v>
      </c>
      <c r="B631" s="281" t="s">
        <v>5327</v>
      </c>
      <c r="C631" s="27" t="s">
        <v>6049</v>
      </c>
      <c r="D631" s="27" t="s">
        <v>6051</v>
      </c>
      <c r="E631" s="27" t="s">
        <v>6054</v>
      </c>
      <c r="F631" s="45"/>
      <c r="G631" s="45" t="s">
        <v>6057</v>
      </c>
      <c r="H631" s="45" t="s">
        <v>6058</v>
      </c>
      <c r="I631" s="290" t="s">
        <v>6058</v>
      </c>
      <c r="J631" s="287"/>
      <c r="K631" s="286"/>
      <c r="L631" s="286"/>
      <c r="M631" s="286"/>
      <c r="N631" s="286"/>
      <c r="O631" s="286"/>
      <c r="P631" s="286"/>
      <c r="Q631" s="290" t="s">
        <v>150</v>
      </c>
      <c r="R631" s="286"/>
      <c r="S631" s="286"/>
      <c r="T631" s="286"/>
      <c r="U631" s="286"/>
      <c r="V631" s="286"/>
      <c r="W631" s="286"/>
      <c r="X631" s="286"/>
      <c r="Y631" s="286"/>
      <c r="Z631" s="286"/>
      <c r="AA631" s="286"/>
      <c r="AB631" s="286"/>
      <c r="AC631" s="286"/>
      <c r="AD631" s="312"/>
      <c r="AE631" s="312"/>
      <c r="AF631" s="312"/>
      <c r="AG631" s="312"/>
      <c r="AH631" s="312"/>
      <c r="AI631" s="312"/>
      <c r="AJ631" s="312"/>
      <c r="AK631" s="312"/>
      <c r="AL631" s="312"/>
      <c r="AM631" s="312"/>
      <c r="AN631" s="312"/>
      <c r="AO631" s="75"/>
      <c r="AP631" s="75"/>
      <c r="AQ631" s="75"/>
      <c r="AR631" s="75"/>
      <c r="AS631" s="75"/>
      <c r="AT631" s="75"/>
      <c r="AU631" s="75"/>
      <c r="AV631" s="75"/>
      <c r="AW631" s="75"/>
      <c r="AX631" s="75"/>
    </row>
    <row r="632" ht="15.75" customHeight="1">
      <c r="A632" s="291" t="s">
        <v>268</v>
      </c>
      <c r="B632" s="292" t="s">
        <v>5334</v>
      </c>
      <c r="C632" s="27" t="s">
        <v>6067</v>
      </c>
      <c r="D632" s="27" t="s">
        <v>6068</v>
      </c>
      <c r="E632" s="27" t="s">
        <v>6069</v>
      </c>
      <c r="F632" s="45"/>
      <c r="G632" s="45"/>
      <c r="H632" s="45"/>
      <c r="I632" s="306"/>
      <c r="J632" s="306"/>
      <c r="K632" s="307" t="s">
        <v>1760</v>
      </c>
      <c r="L632" s="307" t="s">
        <v>6072</v>
      </c>
      <c r="M632" s="306"/>
      <c r="N632" s="306"/>
      <c r="O632" s="309" t="s">
        <v>6074</v>
      </c>
      <c r="P632" s="306"/>
      <c r="Q632" s="309" t="s">
        <v>150</v>
      </c>
      <c r="R632" s="306"/>
      <c r="S632" s="306"/>
      <c r="T632" s="306"/>
      <c r="U632" s="306"/>
      <c r="V632" s="306"/>
      <c r="W632" s="306"/>
      <c r="X632" s="306"/>
      <c r="Y632" s="306"/>
      <c r="Z632" s="306"/>
      <c r="AA632" s="306"/>
      <c r="AB632" s="306"/>
      <c r="AC632" s="306"/>
      <c r="AD632" s="312"/>
      <c r="AE632" s="312"/>
      <c r="AF632" s="312"/>
      <c r="AG632" s="312"/>
      <c r="AH632" s="312"/>
      <c r="AI632" s="312"/>
      <c r="AJ632" s="312"/>
      <c r="AK632" s="312"/>
      <c r="AL632" s="312"/>
      <c r="AM632" s="312"/>
      <c r="AN632" s="312"/>
      <c r="AO632" s="75"/>
      <c r="AP632" s="75"/>
      <c r="AQ632" s="75"/>
      <c r="AR632" s="75"/>
      <c r="AS632" s="75"/>
      <c r="AT632" s="75"/>
      <c r="AU632" s="75"/>
      <c r="AV632" s="75"/>
      <c r="AW632" s="75"/>
      <c r="AX632" s="75"/>
    </row>
    <row r="633">
      <c r="A633" s="259"/>
      <c r="B633" s="259"/>
      <c r="C633" s="158"/>
      <c r="D633" s="158"/>
      <c r="E633" s="158"/>
      <c r="F633" s="259"/>
      <c r="G633" s="259"/>
      <c r="H633" s="259"/>
      <c r="I633" s="259"/>
      <c r="J633" s="259"/>
      <c r="K633" s="259"/>
      <c r="L633" s="259"/>
      <c r="M633" s="259"/>
      <c r="N633" s="259"/>
      <c r="O633" s="259"/>
      <c r="P633" s="259"/>
      <c r="Q633" s="259"/>
      <c r="R633" s="259"/>
      <c r="S633" s="259"/>
      <c r="T633" s="259"/>
      <c r="U633" s="259"/>
      <c r="V633" s="259"/>
      <c r="W633" s="259"/>
      <c r="X633" s="259"/>
      <c r="Y633" s="259"/>
      <c r="Z633" s="259"/>
      <c r="AA633" s="259"/>
      <c r="AB633" s="259"/>
      <c r="AC633" s="259"/>
      <c r="AD633" s="259"/>
      <c r="AE633" s="259"/>
      <c r="AF633" s="259"/>
      <c r="AG633" s="259"/>
      <c r="AH633" s="259"/>
      <c r="AI633" s="259"/>
      <c r="AJ633" s="259"/>
      <c r="AK633" s="259"/>
      <c r="AL633" s="259"/>
      <c r="AM633" s="259"/>
      <c r="AN633" s="259"/>
      <c r="AO633" s="259"/>
      <c r="AP633" s="259"/>
      <c r="AQ633" s="259"/>
      <c r="AR633" s="259"/>
      <c r="AS633" s="259"/>
      <c r="AT633" s="259"/>
      <c r="AU633" s="259"/>
      <c r="AV633" s="259"/>
      <c r="AW633" s="259"/>
      <c r="AX633" s="259"/>
    </row>
    <row r="634" ht="15.75" customHeight="1">
      <c r="A634" s="285" t="s">
        <v>426</v>
      </c>
      <c r="B634" s="171" t="s">
        <v>5339</v>
      </c>
      <c r="C634" s="172" t="s">
        <v>5340</v>
      </c>
      <c r="D634" s="172"/>
      <c r="E634" s="172"/>
      <c r="F634" s="304"/>
      <c r="G634" s="304"/>
      <c r="H634" s="304"/>
      <c r="I634" s="304"/>
      <c r="J634" s="304"/>
      <c r="K634" s="304"/>
      <c r="L634" s="304"/>
      <c r="M634" s="305"/>
      <c r="N634" s="305"/>
      <c r="O634" s="176" t="s">
        <v>6074</v>
      </c>
      <c r="P634" s="304"/>
      <c r="Q634" s="304"/>
      <c r="R634" s="304"/>
      <c r="S634" s="304"/>
      <c r="T634" s="304"/>
      <c r="U634" s="171" t="s">
        <v>6089</v>
      </c>
      <c r="V634" s="304"/>
      <c r="W634" s="304"/>
      <c r="X634" s="304"/>
      <c r="Y634" s="304"/>
      <c r="Z634" s="304"/>
      <c r="AA634" s="304"/>
      <c r="AB634" s="304"/>
      <c r="AC634" s="304"/>
      <c r="AD634" s="312"/>
      <c r="AE634" s="312"/>
      <c r="AF634" s="312"/>
      <c r="AG634" s="312"/>
      <c r="AH634" s="312"/>
      <c r="AI634" s="312"/>
      <c r="AJ634" s="312"/>
      <c r="AK634" s="312"/>
      <c r="AL634" s="312"/>
      <c r="AM634" s="312"/>
      <c r="AN634" s="312"/>
      <c r="AO634" s="75"/>
      <c r="AP634" s="75"/>
      <c r="AQ634" s="75"/>
      <c r="AR634" s="75"/>
      <c r="AS634" s="75"/>
      <c r="AT634" s="75"/>
      <c r="AU634" s="75"/>
      <c r="AV634" s="75"/>
      <c r="AW634" s="75"/>
      <c r="AX634" s="75"/>
    </row>
    <row r="635" ht="15.75" customHeight="1">
      <c r="A635" s="168" t="s">
        <v>68</v>
      </c>
      <c r="B635" s="71" t="s">
        <v>5341</v>
      </c>
      <c r="C635" s="72" t="s">
        <v>5343</v>
      </c>
      <c r="D635" s="72"/>
      <c r="E635" s="72"/>
      <c r="F635" s="73"/>
      <c r="G635" s="73"/>
      <c r="H635" s="73"/>
      <c r="I635" s="73"/>
      <c r="J635" s="73"/>
      <c r="K635" s="73"/>
      <c r="L635" s="73"/>
      <c r="M635" s="73"/>
      <c r="N635" s="73"/>
      <c r="O635" s="73"/>
      <c r="P635" s="73"/>
      <c r="Q635" s="73"/>
      <c r="R635" s="73"/>
      <c r="S635" s="73"/>
      <c r="T635" s="74" t="s">
        <v>440</v>
      </c>
      <c r="U635" s="73"/>
      <c r="V635" s="73"/>
      <c r="W635" s="73"/>
      <c r="X635" s="73"/>
      <c r="Y635" s="73"/>
      <c r="Z635" s="73"/>
      <c r="AA635" s="73"/>
      <c r="AB635" s="73"/>
      <c r="AC635" s="73"/>
      <c r="AD635" s="75"/>
      <c r="AE635" s="75"/>
      <c r="AF635" s="75"/>
      <c r="AG635" s="75"/>
      <c r="AH635" s="75"/>
      <c r="AI635" s="75"/>
      <c r="AJ635" s="75"/>
      <c r="AK635" s="75"/>
      <c r="AL635" s="312"/>
      <c r="AM635" s="312"/>
      <c r="AN635" s="312"/>
      <c r="AO635" s="75"/>
      <c r="AP635" s="75"/>
      <c r="AQ635" s="75"/>
      <c r="AR635" s="75"/>
      <c r="AS635" s="75"/>
      <c r="AT635" s="75"/>
      <c r="AU635" s="75"/>
      <c r="AV635" s="75"/>
      <c r="AW635" s="75"/>
      <c r="AX635" s="75"/>
    </row>
    <row r="636" ht="15.75" customHeight="1">
      <c r="A636" s="168" t="s">
        <v>68</v>
      </c>
      <c r="B636" s="71" t="s">
        <v>5346</v>
      </c>
      <c r="C636" s="72"/>
      <c r="D636" s="72"/>
      <c r="E636" s="72"/>
      <c r="F636" s="73"/>
      <c r="G636" s="73"/>
      <c r="H636" s="73"/>
      <c r="I636" s="73"/>
      <c r="J636" s="73"/>
      <c r="K636" s="73"/>
      <c r="L636" s="73"/>
      <c r="M636" s="73"/>
      <c r="N636" s="73"/>
      <c r="O636" s="73"/>
      <c r="P636" s="73"/>
      <c r="Q636" s="73"/>
      <c r="R636" s="73"/>
      <c r="S636" s="73"/>
      <c r="T636" s="74" t="s">
        <v>6106</v>
      </c>
      <c r="U636" s="73"/>
      <c r="V636" s="73"/>
      <c r="W636" s="73"/>
      <c r="X636" s="73"/>
      <c r="Y636" s="73"/>
      <c r="Z636" s="73"/>
      <c r="AA636" s="73"/>
      <c r="AB636" s="73"/>
      <c r="AC636" s="73"/>
      <c r="AD636" s="75"/>
      <c r="AE636" s="75"/>
      <c r="AF636" s="75"/>
      <c r="AG636" s="75"/>
      <c r="AH636" s="75"/>
      <c r="AI636" s="75"/>
      <c r="AJ636" s="75"/>
      <c r="AK636" s="75"/>
      <c r="AL636" s="312"/>
      <c r="AM636" s="312"/>
      <c r="AN636" s="312"/>
      <c r="AO636" s="75"/>
      <c r="AP636" s="75"/>
      <c r="AQ636" s="75"/>
      <c r="AR636" s="75"/>
      <c r="AS636" s="75"/>
      <c r="AT636" s="75"/>
      <c r="AU636" s="75"/>
      <c r="AV636" s="75"/>
      <c r="AW636" s="75"/>
      <c r="AX636" s="75"/>
    </row>
    <row r="637" ht="15.75" customHeight="1">
      <c r="A637" s="168" t="s">
        <v>68</v>
      </c>
      <c r="B637" s="71" t="s">
        <v>5347</v>
      </c>
      <c r="C637" s="72"/>
      <c r="D637" s="72"/>
      <c r="E637" s="72"/>
      <c r="F637" s="73"/>
      <c r="G637" s="73"/>
      <c r="H637" s="73"/>
      <c r="I637" s="73"/>
      <c r="J637" s="73"/>
      <c r="K637" s="73"/>
      <c r="L637" s="73"/>
      <c r="M637" s="73"/>
      <c r="N637" s="73"/>
      <c r="O637" s="73"/>
      <c r="P637" s="73"/>
      <c r="Q637" s="73"/>
      <c r="R637" s="73"/>
      <c r="S637" s="73"/>
      <c r="T637" s="74" t="s">
        <v>6117</v>
      </c>
      <c r="U637" s="73"/>
      <c r="V637" s="73"/>
      <c r="W637" s="73"/>
      <c r="X637" s="73"/>
      <c r="Y637" s="73"/>
      <c r="Z637" s="73"/>
      <c r="AA637" s="73"/>
      <c r="AB637" s="73"/>
      <c r="AC637" s="73"/>
      <c r="AD637" s="75"/>
      <c r="AE637" s="75"/>
      <c r="AF637" s="75"/>
      <c r="AG637" s="75"/>
      <c r="AH637" s="75"/>
      <c r="AI637" s="75"/>
      <c r="AJ637" s="75"/>
      <c r="AK637" s="75"/>
      <c r="AL637" s="312"/>
      <c r="AM637" s="312"/>
      <c r="AN637" s="312"/>
      <c r="AO637" s="75"/>
      <c r="AP637" s="75"/>
      <c r="AQ637" s="75"/>
      <c r="AR637" s="75"/>
      <c r="AS637" s="75"/>
      <c r="AT637" s="75"/>
      <c r="AU637" s="75"/>
      <c r="AV637" s="75"/>
      <c r="AW637" s="75"/>
      <c r="AX637" s="75"/>
    </row>
    <row r="638" ht="15.75" customHeight="1">
      <c r="A638" s="168" t="s">
        <v>68</v>
      </c>
      <c r="B638" s="71" t="s">
        <v>5348</v>
      </c>
      <c r="C638" s="72"/>
      <c r="D638" s="72"/>
      <c r="E638" s="72"/>
      <c r="F638" s="73"/>
      <c r="G638" s="73"/>
      <c r="H638" s="73"/>
      <c r="I638" s="73"/>
      <c r="J638" s="73"/>
      <c r="K638" s="73"/>
      <c r="L638" s="73"/>
      <c r="M638" s="73"/>
      <c r="N638" s="73"/>
      <c r="O638" s="73"/>
      <c r="P638" s="73"/>
      <c r="Q638" s="73"/>
      <c r="R638" s="73"/>
      <c r="S638" s="73"/>
      <c r="T638" s="74" t="s">
        <v>6126</v>
      </c>
      <c r="U638" s="73"/>
      <c r="V638" s="73"/>
      <c r="W638" s="73"/>
      <c r="X638" s="73"/>
      <c r="Y638" s="73"/>
      <c r="Z638" s="73"/>
      <c r="AA638" s="73"/>
      <c r="AB638" s="73"/>
      <c r="AC638" s="73"/>
      <c r="AD638" s="75"/>
      <c r="AE638" s="75"/>
      <c r="AF638" s="75"/>
      <c r="AG638" s="75"/>
      <c r="AH638" s="75"/>
      <c r="AI638" s="75"/>
      <c r="AJ638" s="75"/>
      <c r="AK638" s="75"/>
      <c r="AL638" s="312"/>
      <c r="AM638" s="312"/>
      <c r="AN638" s="312"/>
      <c r="AO638" s="75"/>
      <c r="AP638" s="75"/>
      <c r="AQ638" s="75"/>
      <c r="AR638" s="75"/>
      <c r="AS638" s="75"/>
      <c r="AT638" s="75"/>
      <c r="AU638" s="75"/>
      <c r="AV638" s="75"/>
      <c r="AW638" s="75"/>
      <c r="AX638" s="75"/>
    </row>
    <row r="639" ht="15.75" customHeight="1">
      <c r="A639" s="298" t="s">
        <v>133</v>
      </c>
      <c r="B639" s="299" t="s">
        <v>5349</v>
      </c>
      <c r="C639" s="147" t="s">
        <v>5350</v>
      </c>
      <c r="D639" s="147"/>
      <c r="E639" s="147"/>
      <c r="F639" s="312"/>
      <c r="G639" s="312"/>
      <c r="H639" s="312"/>
      <c r="I639" s="312"/>
      <c r="J639" s="314" t="s">
        <v>1982</v>
      </c>
      <c r="K639" s="312"/>
      <c r="L639" s="312"/>
      <c r="M639" s="313"/>
      <c r="N639" s="313"/>
      <c r="O639" s="313"/>
      <c r="P639" s="312"/>
      <c r="Q639" s="312"/>
      <c r="R639" s="312"/>
      <c r="S639" s="312"/>
      <c r="T639" s="312"/>
      <c r="U639" s="312"/>
      <c r="V639" s="312"/>
      <c r="W639" s="312"/>
      <c r="X639" s="312"/>
      <c r="Y639" s="312"/>
      <c r="Z639" s="312"/>
      <c r="AA639" s="312"/>
      <c r="AB639" s="312"/>
      <c r="AC639" s="312"/>
      <c r="AD639" s="75"/>
      <c r="AE639" s="75"/>
      <c r="AF639" s="75"/>
      <c r="AG639" s="75"/>
      <c r="AH639" s="75"/>
      <c r="AI639" s="75"/>
      <c r="AJ639" s="75"/>
      <c r="AK639" s="75"/>
      <c r="AL639" s="312"/>
      <c r="AM639" s="312"/>
      <c r="AN639" s="312"/>
      <c r="AO639" s="75"/>
      <c r="AP639" s="75"/>
      <c r="AQ639" s="75"/>
      <c r="AR639" s="75"/>
      <c r="AS639" s="75"/>
      <c r="AT639" s="75"/>
      <c r="AU639" s="75"/>
      <c r="AV639" s="75"/>
      <c r="AW639" s="75"/>
      <c r="AX639" s="75"/>
    </row>
    <row r="640" ht="15.75" customHeight="1">
      <c r="A640" s="282" t="s">
        <v>252</v>
      </c>
      <c r="B640" s="283" t="s">
        <v>5351</v>
      </c>
      <c r="C640" s="27" t="s">
        <v>6137</v>
      </c>
      <c r="D640" s="27" t="s">
        <v>6138</v>
      </c>
      <c r="E640" s="27" t="s">
        <v>6139</v>
      </c>
      <c r="F640" s="45"/>
      <c r="G640" s="45"/>
      <c r="H640" s="45"/>
      <c r="I640" s="293"/>
      <c r="J640" s="294"/>
      <c r="K640" s="293"/>
      <c r="L640" s="293"/>
      <c r="M640" s="293"/>
      <c r="N640" s="293"/>
      <c r="O640" s="293"/>
      <c r="P640" s="293"/>
      <c r="Q640" s="296" t="s">
        <v>150</v>
      </c>
      <c r="R640" s="293"/>
      <c r="S640" s="293"/>
      <c r="T640" s="293"/>
      <c r="U640" s="293"/>
      <c r="V640" s="293"/>
      <c r="W640" s="293"/>
      <c r="X640" s="293"/>
      <c r="Y640" s="293"/>
      <c r="Z640" s="293"/>
      <c r="AA640" s="293"/>
      <c r="AB640" s="293"/>
      <c r="AC640" s="293"/>
      <c r="AD640" s="75"/>
      <c r="AE640" s="75"/>
      <c r="AF640" s="75"/>
      <c r="AG640" s="75"/>
      <c r="AH640" s="75"/>
      <c r="AI640" s="75"/>
      <c r="AJ640" s="75"/>
      <c r="AK640" s="75"/>
      <c r="AL640" s="312"/>
      <c r="AM640" s="312"/>
      <c r="AN640" s="312"/>
      <c r="AO640" s="75"/>
      <c r="AP640" s="75"/>
      <c r="AQ640" s="75"/>
      <c r="AR640" s="75"/>
      <c r="AS640" s="75"/>
      <c r="AT640" s="75"/>
      <c r="AU640" s="75"/>
      <c r="AV640" s="75"/>
      <c r="AW640" s="75"/>
      <c r="AX640" s="75"/>
    </row>
    <row r="641" ht="15.75" customHeight="1">
      <c r="A641" s="282" t="s">
        <v>252</v>
      </c>
      <c r="B641" s="283" t="s">
        <v>5358</v>
      </c>
      <c r="C641" s="27" t="s">
        <v>6146</v>
      </c>
      <c r="D641" s="27" t="s">
        <v>6147</v>
      </c>
      <c r="E641" s="27" t="s">
        <v>6148</v>
      </c>
      <c r="F641" s="45"/>
      <c r="G641" s="45"/>
      <c r="H641" s="45"/>
      <c r="I641" s="293"/>
      <c r="J641" s="294"/>
      <c r="K641" s="293"/>
      <c r="L641" s="293"/>
      <c r="M641" s="293"/>
      <c r="N641" s="293"/>
      <c r="O641" s="293"/>
      <c r="P641" s="293"/>
      <c r="Q641" s="296" t="s">
        <v>150</v>
      </c>
      <c r="R641" s="293"/>
      <c r="S641" s="293"/>
      <c r="T641" s="293"/>
      <c r="U641" s="293"/>
      <c r="V641" s="293"/>
      <c r="W641" s="293"/>
      <c r="X641" s="293"/>
      <c r="Y641" s="293"/>
      <c r="Z641" s="293"/>
      <c r="AA641" s="293"/>
      <c r="AB641" s="293"/>
      <c r="AC641" s="293"/>
      <c r="AD641" s="75"/>
      <c r="AE641" s="75"/>
      <c r="AF641" s="75"/>
      <c r="AG641" s="75"/>
      <c r="AH641" s="75"/>
      <c r="AI641" s="75"/>
      <c r="AJ641" s="75"/>
      <c r="AK641" s="75"/>
      <c r="AL641" s="312"/>
      <c r="AM641" s="312"/>
      <c r="AN641" s="312"/>
      <c r="AO641" s="75"/>
      <c r="AP641" s="75"/>
      <c r="AQ641" s="75"/>
      <c r="AR641" s="75"/>
      <c r="AS641" s="75"/>
      <c r="AT641" s="75"/>
      <c r="AU641" s="75"/>
      <c r="AV641" s="75"/>
      <c r="AW641" s="75"/>
      <c r="AX641" s="75"/>
    </row>
    <row r="642" ht="15.75" customHeight="1">
      <c r="A642" s="298" t="s">
        <v>237</v>
      </c>
      <c r="B642" s="310" t="s">
        <v>5349</v>
      </c>
      <c r="C642" s="226"/>
      <c r="D642" s="226"/>
      <c r="E642" s="226"/>
      <c r="F642" s="312"/>
      <c r="G642" s="312"/>
      <c r="H642" s="312"/>
      <c r="I642" s="312"/>
      <c r="J642" s="312"/>
      <c r="K642" s="312"/>
      <c r="L642" s="312"/>
      <c r="M642" s="312"/>
      <c r="N642" s="312"/>
      <c r="O642" s="312"/>
      <c r="P642" s="312"/>
      <c r="Q642" s="312"/>
      <c r="R642" s="312"/>
      <c r="S642" s="312"/>
      <c r="T642" s="312"/>
      <c r="U642" s="312"/>
      <c r="V642" s="312"/>
      <c r="W642" s="312"/>
      <c r="X642" s="312"/>
      <c r="Y642" s="312"/>
      <c r="Z642" s="312"/>
      <c r="AA642" s="312"/>
      <c r="AB642" s="312"/>
      <c r="AC642" s="312"/>
      <c r="AD642" s="75"/>
      <c r="AE642" s="75"/>
      <c r="AF642" s="75"/>
      <c r="AG642" s="75"/>
      <c r="AH642" s="75"/>
      <c r="AI642" s="75"/>
      <c r="AJ642" s="75"/>
      <c r="AK642" s="75"/>
      <c r="AL642" s="312"/>
      <c r="AM642" s="312"/>
      <c r="AN642" s="312"/>
      <c r="AO642" s="75"/>
      <c r="AP642" s="75"/>
      <c r="AQ642" s="75"/>
      <c r="AR642" s="75"/>
      <c r="AS642" s="75"/>
      <c r="AT642" s="75"/>
      <c r="AU642" s="75"/>
      <c r="AV642" s="75"/>
      <c r="AW642" s="75"/>
      <c r="AX642" s="75"/>
    </row>
    <row r="643" ht="15.75" customHeight="1">
      <c r="A643" s="168" t="s">
        <v>68</v>
      </c>
      <c r="B643" s="71" t="s">
        <v>5368</v>
      </c>
      <c r="C643" s="72"/>
      <c r="D643" s="72"/>
      <c r="E643" s="72"/>
      <c r="F643" s="73"/>
      <c r="G643" s="73"/>
      <c r="H643" s="73"/>
      <c r="I643" s="73"/>
      <c r="J643" s="73"/>
      <c r="K643" s="73"/>
      <c r="L643" s="73"/>
      <c r="M643" s="73"/>
      <c r="N643" s="73"/>
      <c r="O643" s="73"/>
      <c r="P643" s="73"/>
      <c r="Q643" s="73"/>
      <c r="R643" s="73"/>
      <c r="S643" s="73"/>
      <c r="T643" s="74" t="s">
        <v>6161</v>
      </c>
      <c r="U643" s="73"/>
      <c r="V643" s="73"/>
      <c r="W643" s="73"/>
      <c r="X643" s="73"/>
      <c r="Y643" s="73"/>
      <c r="Z643" s="73"/>
      <c r="AA643" s="73"/>
      <c r="AB643" s="73"/>
      <c r="AC643" s="73"/>
      <c r="AD643" s="75"/>
      <c r="AE643" s="75"/>
      <c r="AF643" s="75"/>
      <c r="AG643" s="75"/>
      <c r="AH643" s="75"/>
      <c r="AI643" s="75"/>
      <c r="AJ643" s="75"/>
      <c r="AK643" s="75"/>
      <c r="AL643" s="312"/>
      <c r="AM643" s="312"/>
      <c r="AN643" s="312"/>
      <c r="AO643" s="75"/>
      <c r="AP643" s="75"/>
      <c r="AQ643" s="75"/>
      <c r="AR643" s="75"/>
      <c r="AS643" s="75"/>
      <c r="AT643" s="75"/>
      <c r="AU643" s="75"/>
      <c r="AV643" s="75"/>
      <c r="AW643" s="75"/>
      <c r="AX643" s="75"/>
    </row>
    <row r="644" ht="15.75" customHeight="1">
      <c r="A644" s="280" t="s">
        <v>5369</v>
      </c>
      <c r="B644" s="281" t="s">
        <v>5370</v>
      </c>
      <c r="C644" s="27" t="s">
        <v>6180</v>
      </c>
      <c r="D644" s="27" t="s">
        <v>6181</v>
      </c>
      <c r="E644" s="27" t="s">
        <v>6182</v>
      </c>
      <c r="F644" s="45" t="s">
        <v>1920</v>
      </c>
      <c r="G644" s="45" t="s">
        <v>6183</v>
      </c>
      <c r="H644" s="45" t="s">
        <v>1922</v>
      </c>
      <c r="I644" s="286"/>
      <c r="J644" s="287"/>
      <c r="K644" s="286"/>
      <c r="L644" s="286"/>
      <c r="M644" s="286"/>
      <c r="N644" s="286"/>
      <c r="O644" s="286"/>
      <c r="P644" s="286"/>
      <c r="Q644" s="290" t="s">
        <v>150</v>
      </c>
      <c r="R644" s="286"/>
      <c r="S644" s="286"/>
      <c r="T644" s="286"/>
      <c r="U644" s="286"/>
      <c r="V644" s="286"/>
      <c r="W644" s="286"/>
      <c r="X644" s="286"/>
      <c r="Y644" s="286"/>
      <c r="Z644" s="286"/>
      <c r="AA644" s="286"/>
      <c r="AB644" s="286"/>
      <c r="AC644" s="286"/>
      <c r="AD644" s="75"/>
      <c r="AE644" s="75"/>
      <c r="AF644" s="75"/>
      <c r="AG644" s="75"/>
      <c r="AH644" s="75"/>
      <c r="AI644" s="75"/>
      <c r="AJ644" s="75"/>
      <c r="AK644" s="75"/>
      <c r="AL644" s="312"/>
      <c r="AM644" s="312"/>
      <c r="AN644" s="312"/>
      <c r="AO644" s="75"/>
      <c r="AP644" s="75"/>
      <c r="AQ644" s="75"/>
      <c r="AR644" s="75"/>
      <c r="AS644" s="75"/>
      <c r="AT644" s="75"/>
      <c r="AU644" s="75"/>
      <c r="AV644" s="75"/>
      <c r="AW644" s="75"/>
      <c r="AX644" s="75"/>
    </row>
    <row r="645" ht="15.75" customHeight="1">
      <c r="A645" s="280" t="s">
        <v>5379</v>
      </c>
      <c r="B645" s="281" t="s">
        <v>5381</v>
      </c>
      <c r="C645" s="27" t="s">
        <v>6198</v>
      </c>
      <c r="D645" s="27" t="s">
        <v>6199</v>
      </c>
      <c r="E645" s="27" t="s">
        <v>6200</v>
      </c>
      <c r="F645" s="45"/>
      <c r="G645" s="45"/>
      <c r="H645" s="45"/>
      <c r="I645" s="286"/>
      <c r="J645" s="287"/>
      <c r="K645" s="286"/>
      <c r="L645" s="286"/>
      <c r="M645" s="286"/>
      <c r="N645" s="286"/>
      <c r="O645" s="286"/>
      <c r="P645" s="286"/>
      <c r="Q645" s="290" t="s">
        <v>150</v>
      </c>
      <c r="R645" s="286"/>
      <c r="S645" s="286"/>
      <c r="T645" s="286"/>
      <c r="U645" s="286"/>
      <c r="V645" s="286"/>
      <c r="W645" s="286"/>
      <c r="X645" s="286"/>
      <c r="Y645" s="286"/>
      <c r="Z645" s="286"/>
      <c r="AA645" s="286"/>
      <c r="AB645" s="286"/>
      <c r="AC645" s="286"/>
      <c r="AD645" s="75"/>
      <c r="AE645" s="75"/>
      <c r="AF645" s="75"/>
      <c r="AG645" s="75"/>
      <c r="AH645" s="75"/>
      <c r="AI645" s="75"/>
      <c r="AJ645" s="75"/>
      <c r="AK645" s="75"/>
      <c r="AL645" s="312"/>
      <c r="AM645" s="312"/>
      <c r="AN645" s="312"/>
      <c r="AO645" s="75"/>
      <c r="AP645" s="75"/>
      <c r="AQ645" s="75"/>
      <c r="AR645" s="75"/>
      <c r="AS645" s="75"/>
      <c r="AT645" s="75"/>
      <c r="AU645" s="75"/>
      <c r="AV645" s="75"/>
      <c r="AW645" s="75"/>
      <c r="AX645" s="75"/>
    </row>
    <row r="646" ht="15.75" customHeight="1">
      <c r="A646" s="291" t="s">
        <v>268</v>
      </c>
      <c r="B646" s="292" t="s">
        <v>5385</v>
      </c>
      <c r="C646" s="27" t="s">
        <v>6209</v>
      </c>
      <c r="D646" s="27" t="s">
        <v>6210</v>
      </c>
      <c r="E646" s="27" t="s">
        <v>6211</v>
      </c>
      <c r="F646" s="45"/>
      <c r="G646" s="45"/>
      <c r="H646" s="45"/>
      <c r="I646" s="306"/>
      <c r="J646" s="306"/>
      <c r="K646" s="307" t="s">
        <v>2895</v>
      </c>
      <c r="L646" s="308"/>
      <c r="M646" s="306"/>
      <c r="N646" s="306"/>
      <c r="O646" s="306"/>
      <c r="P646" s="306"/>
      <c r="Q646" s="309" t="s">
        <v>150</v>
      </c>
      <c r="R646" s="306"/>
      <c r="S646" s="306"/>
      <c r="T646" s="306"/>
      <c r="U646" s="306"/>
      <c r="V646" s="306"/>
      <c r="W646" s="306"/>
      <c r="X646" s="306"/>
      <c r="Y646" s="306"/>
      <c r="Z646" s="306"/>
      <c r="AA646" s="306"/>
      <c r="AB646" s="306"/>
      <c r="AC646" s="306"/>
      <c r="AD646" s="75"/>
      <c r="AE646" s="75"/>
      <c r="AF646" s="75"/>
      <c r="AG646" s="75"/>
      <c r="AH646" s="75"/>
      <c r="AI646" s="75"/>
      <c r="AJ646" s="75"/>
      <c r="AK646" s="75"/>
      <c r="AL646" s="312"/>
      <c r="AM646" s="312"/>
      <c r="AN646" s="312"/>
      <c r="AO646" s="75"/>
      <c r="AP646" s="75"/>
      <c r="AQ646" s="75"/>
      <c r="AR646" s="75"/>
      <c r="AS646" s="75"/>
      <c r="AT646" s="75"/>
      <c r="AU646" s="75"/>
      <c r="AV646" s="75"/>
      <c r="AW646" s="75"/>
      <c r="AX646" s="75"/>
    </row>
    <row r="647" ht="15.75" customHeight="1">
      <c r="A647" s="285" t="s">
        <v>468</v>
      </c>
      <c r="B647" s="185" t="s">
        <v>5339</v>
      </c>
      <c r="C647" s="186" t="s">
        <v>5340</v>
      </c>
      <c r="D647" s="186"/>
      <c r="E647" s="186"/>
      <c r="F647" s="304"/>
      <c r="G647" s="304"/>
      <c r="H647" s="304"/>
      <c r="I647" s="304"/>
      <c r="J647" s="304"/>
      <c r="K647" s="304"/>
      <c r="L647" s="304"/>
      <c r="M647" s="304"/>
      <c r="N647" s="304"/>
      <c r="O647" s="304"/>
      <c r="P647" s="304"/>
      <c r="Q647" s="304"/>
      <c r="R647" s="304"/>
      <c r="S647" s="304"/>
      <c r="T647" s="304"/>
      <c r="U647" s="304"/>
      <c r="V647" s="304"/>
      <c r="W647" s="304"/>
      <c r="X647" s="304"/>
      <c r="Y647" s="304"/>
      <c r="Z647" s="304"/>
      <c r="AA647" s="304"/>
      <c r="AB647" s="304"/>
      <c r="AC647" s="304"/>
      <c r="AD647" s="312"/>
      <c r="AE647" s="312"/>
      <c r="AF647" s="312"/>
      <c r="AG647" s="312"/>
      <c r="AH647" s="312"/>
      <c r="AI647" s="312"/>
      <c r="AJ647" s="312"/>
      <c r="AK647" s="312"/>
      <c r="AL647" s="312"/>
      <c r="AM647" s="312"/>
      <c r="AN647" s="312"/>
      <c r="AO647" s="75"/>
      <c r="AP647" s="75"/>
      <c r="AQ647" s="75"/>
      <c r="AR647" s="75"/>
      <c r="AS647" s="75"/>
      <c r="AT647" s="75"/>
      <c r="AU647" s="75"/>
      <c r="AV647" s="75"/>
      <c r="AW647" s="75"/>
      <c r="AX647" s="75"/>
    </row>
    <row r="648" ht="15.75" customHeight="1">
      <c r="A648" s="168" t="s">
        <v>127</v>
      </c>
      <c r="B648" s="71" t="s">
        <v>5392</v>
      </c>
      <c r="C648" s="72"/>
      <c r="D648" s="72"/>
      <c r="E648" s="72"/>
      <c r="F648" s="73"/>
      <c r="G648" s="73"/>
      <c r="H648" s="73"/>
      <c r="I648" s="73"/>
      <c r="J648" s="73"/>
      <c r="K648" s="73"/>
      <c r="L648" s="73"/>
      <c r="M648" s="73"/>
      <c r="N648" s="73"/>
      <c r="O648" s="73"/>
      <c r="P648" s="73"/>
      <c r="Q648" s="73"/>
      <c r="R648" s="73"/>
      <c r="S648" s="73"/>
      <c r="T648" s="74" t="s">
        <v>129</v>
      </c>
      <c r="U648" s="73"/>
      <c r="V648" s="73"/>
      <c r="W648" s="73"/>
      <c r="X648" s="73"/>
      <c r="Y648" s="73"/>
      <c r="Z648" s="73"/>
      <c r="AA648" s="73"/>
      <c r="AB648" s="73"/>
      <c r="AC648" s="73"/>
      <c r="AD648" s="75"/>
      <c r="AE648" s="75"/>
      <c r="AF648" s="75"/>
      <c r="AG648" s="75"/>
      <c r="AH648" s="75"/>
      <c r="AI648" s="75"/>
      <c r="AJ648" s="75"/>
      <c r="AK648" s="75"/>
      <c r="AL648" s="75"/>
      <c r="AM648" s="75"/>
      <c r="AN648" s="75"/>
      <c r="AO648" s="75"/>
      <c r="AP648" s="75"/>
      <c r="AQ648" s="75"/>
      <c r="AR648" s="75"/>
      <c r="AS648" s="75"/>
      <c r="AT648" s="75"/>
      <c r="AU648" s="75"/>
      <c r="AV648" s="75"/>
      <c r="AW648" s="75"/>
      <c r="AX648" s="75"/>
    </row>
    <row r="649" ht="15.75" customHeight="1">
      <c r="A649" s="168" t="s">
        <v>68</v>
      </c>
      <c r="B649" s="71" t="s">
        <v>5394</v>
      </c>
      <c r="C649" s="72"/>
      <c r="D649" s="72"/>
      <c r="E649" s="72"/>
      <c r="F649" s="73"/>
      <c r="G649" s="73"/>
      <c r="H649" s="73"/>
      <c r="I649" s="73"/>
      <c r="J649" s="73"/>
      <c r="K649" s="73"/>
      <c r="L649" s="73"/>
      <c r="M649" s="73"/>
      <c r="N649" s="73"/>
      <c r="O649" s="73"/>
      <c r="P649" s="73"/>
      <c r="Q649" s="73"/>
      <c r="R649" s="73"/>
      <c r="S649" s="73"/>
      <c r="T649" s="74" t="s">
        <v>6247</v>
      </c>
      <c r="U649" s="73"/>
      <c r="V649" s="73"/>
      <c r="W649" s="73"/>
      <c r="X649" s="73"/>
      <c r="Y649" s="73"/>
      <c r="Z649" s="73"/>
      <c r="AA649" s="73"/>
      <c r="AB649" s="73"/>
      <c r="AC649" s="73"/>
      <c r="AD649" s="75"/>
      <c r="AE649" s="75"/>
      <c r="AF649" s="75"/>
      <c r="AG649" s="75"/>
      <c r="AH649" s="75"/>
      <c r="AI649" s="75"/>
      <c r="AJ649" s="75"/>
      <c r="AK649" s="75"/>
      <c r="AL649" s="75"/>
      <c r="AM649" s="75"/>
      <c r="AN649" s="75"/>
      <c r="AO649" s="75"/>
      <c r="AP649" s="75"/>
      <c r="AQ649" s="75"/>
      <c r="AR649" s="75"/>
      <c r="AS649" s="75"/>
      <c r="AT649" s="75"/>
      <c r="AU649" s="75"/>
      <c r="AV649" s="75"/>
      <c r="AW649" s="75"/>
      <c r="AX649" s="75"/>
    </row>
    <row r="650" ht="15.75" customHeight="1">
      <c r="A650" s="168" t="s">
        <v>68</v>
      </c>
      <c r="B650" s="71" t="s">
        <v>5396</v>
      </c>
      <c r="C650" s="72"/>
      <c r="D650" s="72"/>
      <c r="E650" s="72"/>
      <c r="F650" s="73"/>
      <c r="G650" s="73"/>
      <c r="H650" s="73"/>
      <c r="I650" s="73"/>
      <c r="J650" s="73"/>
      <c r="K650" s="73"/>
      <c r="L650" s="73"/>
      <c r="M650" s="73"/>
      <c r="N650" s="73"/>
      <c r="O650" s="73"/>
      <c r="P650" s="73"/>
      <c r="Q650" s="73"/>
      <c r="R650" s="73"/>
      <c r="S650" s="73"/>
      <c r="T650" s="74" t="s">
        <v>6253</v>
      </c>
      <c r="U650" s="73"/>
      <c r="V650" s="73"/>
      <c r="W650" s="73"/>
      <c r="X650" s="73"/>
      <c r="Y650" s="73"/>
      <c r="Z650" s="73"/>
      <c r="AA650" s="73"/>
      <c r="AB650" s="73"/>
      <c r="AC650" s="73"/>
      <c r="AD650" s="284"/>
      <c r="AE650" s="284"/>
      <c r="AF650" s="284"/>
      <c r="AG650" s="284"/>
      <c r="AH650" s="284"/>
      <c r="AI650" s="284"/>
      <c r="AJ650" s="284"/>
      <c r="AK650" s="284"/>
      <c r="AL650" s="284"/>
      <c r="AM650" s="284"/>
      <c r="AN650" s="284"/>
      <c r="AO650" s="75"/>
      <c r="AP650" s="75"/>
      <c r="AQ650" s="75"/>
      <c r="AR650" s="75"/>
      <c r="AS650" s="75"/>
      <c r="AT650" s="75"/>
      <c r="AU650" s="75"/>
      <c r="AV650" s="75"/>
      <c r="AW650" s="75"/>
      <c r="AX650" s="75"/>
    </row>
    <row r="651" ht="15.75" customHeight="1">
      <c r="A651" s="278" t="s">
        <v>38</v>
      </c>
      <c r="B651" s="279" t="s">
        <v>5398</v>
      </c>
      <c r="C651" s="27" t="s">
        <v>6265</v>
      </c>
      <c r="D651" s="27" t="s">
        <v>6266</v>
      </c>
      <c r="E651" s="27" t="s">
        <v>6267</v>
      </c>
      <c r="F651" s="45"/>
      <c r="G651" s="45"/>
      <c r="H651" s="45"/>
      <c r="I651" s="284"/>
      <c r="J651" s="284"/>
      <c r="K651" s="284"/>
      <c r="L651" s="284"/>
      <c r="M651" s="284"/>
      <c r="N651" s="284"/>
      <c r="O651" s="284"/>
      <c r="P651" s="284"/>
      <c r="Q651" s="284"/>
      <c r="R651" s="284"/>
      <c r="S651" s="284"/>
      <c r="T651" s="284"/>
      <c r="U651" s="354"/>
      <c r="V651" s="284"/>
      <c r="W651" s="284"/>
      <c r="X651" s="284"/>
      <c r="Y651" s="284"/>
      <c r="Z651" s="284"/>
      <c r="AA651" s="284"/>
      <c r="AB651" s="284"/>
      <c r="AC651" s="284"/>
      <c r="AD651" s="284"/>
      <c r="AE651" s="284"/>
      <c r="AF651" s="284"/>
      <c r="AG651" s="284"/>
      <c r="AH651" s="284"/>
      <c r="AI651" s="284"/>
      <c r="AJ651" s="284"/>
      <c r="AK651" s="284"/>
      <c r="AL651" s="284"/>
      <c r="AM651" s="284"/>
      <c r="AN651" s="284"/>
      <c r="AO651" s="75"/>
      <c r="AP651" s="75"/>
      <c r="AQ651" s="75"/>
      <c r="AR651" s="75"/>
      <c r="AS651" s="75"/>
      <c r="AT651" s="75"/>
      <c r="AU651" s="75"/>
      <c r="AV651" s="75"/>
      <c r="AW651" s="75"/>
      <c r="AX651" s="75"/>
    </row>
    <row r="652">
      <c r="A652" s="259"/>
      <c r="B652" s="259"/>
      <c r="C652" s="158"/>
      <c r="D652" s="158"/>
      <c r="E652" s="158"/>
      <c r="F652" s="259"/>
      <c r="G652" s="259"/>
      <c r="H652" s="259"/>
      <c r="I652" s="259"/>
      <c r="J652" s="259"/>
      <c r="K652" s="259"/>
      <c r="L652" s="259"/>
      <c r="M652" s="259"/>
      <c r="N652" s="259"/>
      <c r="O652" s="259"/>
      <c r="P652" s="259"/>
      <c r="Q652" s="259"/>
      <c r="R652" s="259"/>
      <c r="S652" s="259"/>
      <c r="T652" s="259"/>
      <c r="U652" s="259"/>
      <c r="V652" s="259"/>
      <c r="W652" s="259"/>
      <c r="X652" s="259"/>
      <c r="Y652" s="259"/>
      <c r="Z652" s="259"/>
      <c r="AA652" s="259"/>
      <c r="AB652" s="259"/>
      <c r="AC652" s="259"/>
      <c r="AD652" s="259"/>
      <c r="AE652" s="259"/>
      <c r="AF652" s="259"/>
      <c r="AG652" s="259"/>
      <c r="AH652" s="259"/>
      <c r="AI652" s="259"/>
      <c r="AJ652" s="259"/>
      <c r="AK652" s="259"/>
      <c r="AL652" s="259"/>
      <c r="AM652" s="259"/>
      <c r="AN652" s="259"/>
      <c r="AO652" s="259"/>
      <c r="AP652" s="259"/>
      <c r="AQ652" s="259"/>
      <c r="AR652" s="259"/>
      <c r="AS652" s="259"/>
      <c r="AT652" s="259"/>
      <c r="AU652" s="259"/>
      <c r="AV652" s="259"/>
      <c r="AW652" s="259"/>
      <c r="AX652" s="259"/>
    </row>
    <row r="653" ht="15.75" customHeight="1">
      <c r="A653" s="285" t="s">
        <v>426</v>
      </c>
      <c r="B653" s="171" t="s">
        <v>5405</v>
      </c>
      <c r="C653" s="172" t="s">
        <v>5406</v>
      </c>
      <c r="D653" s="172"/>
      <c r="E653" s="172"/>
      <c r="F653" s="304"/>
      <c r="G653" s="304"/>
      <c r="H653" s="304"/>
      <c r="I653" s="304"/>
      <c r="J653" s="304"/>
      <c r="K653" s="304"/>
      <c r="L653" s="304"/>
      <c r="M653" s="305"/>
      <c r="N653" s="305"/>
      <c r="O653" s="305"/>
      <c r="P653" s="304"/>
      <c r="Q653" s="304"/>
      <c r="R653" s="304"/>
      <c r="S653" s="304"/>
      <c r="T653" s="304"/>
      <c r="U653" s="176" t="s">
        <v>6291</v>
      </c>
      <c r="V653" s="304"/>
      <c r="W653" s="304"/>
      <c r="X653" s="304"/>
      <c r="Y653" s="304"/>
      <c r="Z653" s="304"/>
      <c r="AA653" s="304"/>
      <c r="AB653" s="304"/>
      <c r="AC653" s="304"/>
      <c r="AD653" s="304"/>
      <c r="AE653" s="304"/>
      <c r="AF653" s="304"/>
      <c r="AG653" s="304"/>
      <c r="AH653" s="304"/>
      <c r="AI653" s="304"/>
      <c r="AJ653" s="304"/>
      <c r="AK653" s="304"/>
      <c r="AL653" s="304"/>
      <c r="AM653" s="304"/>
      <c r="AN653" s="304"/>
      <c r="AO653" s="75"/>
      <c r="AP653" s="75"/>
      <c r="AQ653" s="75"/>
      <c r="AR653" s="75"/>
      <c r="AS653" s="75"/>
      <c r="AT653" s="75"/>
      <c r="AU653" s="75"/>
      <c r="AV653" s="75"/>
      <c r="AW653" s="75"/>
      <c r="AX653" s="75"/>
    </row>
    <row r="654" ht="15.75" customHeight="1">
      <c r="A654" s="168" t="s">
        <v>127</v>
      </c>
      <c r="B654" s="71" t="s">
        <v>5407</v>
      </c>
      <c r="C654" s="72"/>
      <c r="D654" s="72"/>
      <c r="E654" s="72"/>
      <c r="F654" s="73"/>
      <c r="G654" s="73"/>
      <c r="H654" s="73"/>
      <c r="I654" s="73"/>
      <c r="J654" s="73"/>
      <c r="K654" s="73"/>
      <c r="L654" s="73"/>
      <c r="M654" s="73"/>
      <c r="N654" s="73"/>
      <c r="O654" s="73"/>
      <c r="P654" s="73"/>
      <c r="Q654" s="73"/>
      <c r="R654" s="73"/>
      <c r="S654" s="73"/>
      <c r="T654" s="74" t="s">
        <v>129</v>
      </c>
      <c r="U654" s="73"/>
      <c r="V654" s="73"/>
      <c r="W654" s="73"/>
      <c r="X654" s="73"/>
      <c r="Y654" s="73"/>
      <c r="Z654" s="73"/>
      <c r="AA654" s="73"/>
      <c r="AB654" s="73"/>
      <c r="AC654" s="73"/>
      <c r="AD654" s="75"/>
      <c r="AE654" s="75"/>
      <c r="AF654" s="75"/>
      <c r="AG654" s="75"/>
      <c r="AH654" s="75"/>
      <c r="AI654" s="75"/>
      <c r="AJ654" s="75"/>
      <c r="AK654" s="75"/>
      <c r="AL654" s="75"/>
      <c r="AM654" s="75"/>
      <c r="AN654" s="75"/>
      <c r="AO654" s="75"/>
      <c r="AP654" s="75"/>
      <c r="AQ654" s="75"/>
      <c r="AR654" s="75"/>
      <c r="AS654" s="75"/>
      <c r="AT654" s="75"/>
      <c r="AU654" s="75"/>
      <c r="AV654" s="75"/>
      <c r="AW654" s="75"/>
      <c r="AX654" s="75"/>
    </row>
    <row r="655" ht="15.75" customHeight="1">
      <c r="A655" s="168" t="s">
        <v>68</v>
      </c>
      <c r="B655" s="71" t="s">
        <v>5410</v>
      </c>
      <c r="C655" s="72"/>
      <c r="D655" s="72"/>
      <c r="E655" s="72"/>
      <c r="F655" s="73"/>
      <c r="G655" s="73"/>
      <c r="H655" s="73"/>
      <c r="I655" s="73"/>
      <c r="J655" s="73"/>
      <c r="K655" s="73"/>
      <c r="L655" s="73"/>
      <c r="M655" s="73"/>
      <c r="N655" s="73"/>
      <c r="O655" s="73"/>
      <c r="P655" s="73"/>
      <c r="Q655" s="73"/>
      <c r="R655" s="73"/>
      <c r="S655" s="73"/>
      <c r="T655" s="74" t="s">
        <v>440</v>
      </c>
      <c r="U655" s="200"/>
      <c r="V655" s="73"/>
      <c r="W655" s="73"/>
      <c r="X655" s="73"/>
      <c r="Y655" s="73"/>
      <c r="Z655" s="73"/>
      <c r="AA655" s="73"/>
      <c r="AB655" s="73"/>
      <c r="AC655" s="73"/>
      <c r="AD655" s="73"/>
      <c r="AE655" s="73"/>
      <c r="AF655" s="73"/>
      <c r="AG655" s="73"/>
      <c r="AH655" s="73"/>
      <c r="AI655" s="73"/>
      <c r="AJ655" s="73"/>
      <c r="AK655" s="73"/>
      <c r="AL655" s="73"/>
      <c r="AM655" s="73"/>
      <c r="AN655" s="73"/>
      <c r="AO655" s="75"/>
      <c r="AP655" s="75"/>
      <c r="AQ655" s="75"/>
      <c r="AR655" s="75"/>
      <c r="AS655" s="75"/>
      <c r="AT655" s="75"/>
      <c r="AU655" s="75"/>
      <c r="AV655" s="75"/>
      <c r="AW655" s="75"/>
      <c r="AX655" s="75"/>
    </row>
    <row r="656" ht="15.75" customHeight="1">
      <c r="A656" s="168" t="s">
        <v>68</v>
      </c>
      <c r="B656" s="71" t="s">
        <v>5412</v>
      </c>
      <c r="C656" s="72" t="s">
        <v>5413</v>
      </c>
      <c r="D656" s="72"/>
      <c r="E656" s="72"/>
      <c r="F656" s="73"/>
      <c r="G656" s="73"/>
      <c r="H656" s="73"/>
      <c r="I656" s="73"/>
      <c r="J656" s="73"/>
      <c r="K656" s="73"/>
      <c r="L656" s="73"/>
      <c r="M656" s="73"/>
      <c r="N656" s="73"/>
      <c r="O656" s="73"/>
      <c r="P656" s="73"/>
      <c r="Q656" s="73"/>
      <c r="R656" s="73"/>
      <c r="S656" s="73"/>
      <c r="T656" s="169" t="s">
        <v>6313</v>
      </c>
      <c r="U656" s="73"/>
      <c r="V656" s="73"/>
      <c r="W656" s="73"/>
      <c r="X656" s="73"/>
      <c r="Y656" s="73"/>
      <c r="Z656" s="73"/>
      <c r="AA656" s="73"/>
      <c r="AB656" s="73"/>
      <c r="AC656" s="73"/>
      <c r="AD656" s="73"/>
      <c r="AE656" s="73"/>
      <c r="AF656" s="73"/>
      <c r="AG656" s="73"/>
      <c r="AH656" s="73"/>
      <c r="AI656" s="73"/>
      <c r="AJ656" s="73"/>
      <c r="AK656" s="73"/>
      <c r="AL656" s="73"/>
      <c r="AM656" s="73"/>
      <c r="AN656" s="73"/>
      <c r="AO656" s="75"/>
      <c r="AP656" s="75"/>
      <c r="AQ656" s="75"/>
      <c r="AR656" s="75"/>
      <c r="AS656" s="75"/>
      <c r="AT656" s="75"/>
      <c r="AU656" s="75"/>
      <c r="AV656" s="75"/>
      <c r="AW656" s="75"/>
      <c r="AX656" s="75"/>
    </row>
    <row r="657" ht="15.75" customHeight="1">
      <c r="A657" s="168" t="s">
        <v>68</v>
      </c>
      <c r="B657" s="71" t="s">
        <v>5417</v>
      </c>
      <c r="C657" s="72" t="s">
        <v>5418</v>
      </c>
      <c r="D657" s="72"/>
      <c r="E657" s="72"/>
      <c r="F657" s="73"/>
      <c r="G657" s="73"/>
      <c r="H657" s="73"/>
      <c r="I657" s="73"/>
      <c r="J657" s="73"/>
      <c r="K657" s="73"/>
      <c r="L657" s="73"/>
      <c r="M657" s="73"/>
      <c r="N657" s="73"/>
      <c r="O657" s="73"/>
      <c r="P657" s="73"/>
      <c r="Q657" s="73"/>
      <c r="R657" s="73"/>
      <c r="S657" s="73"/>
      <c r="T657" s="169" t="s">
        <v>6322</v>
      </c>
      <c r="U657" s="73"/>
      <c r="V657" s="73"/>
      <c r="W657" s="73"/>
      <c r="X657" s="73"/>
      <c r="Y657" s="73"/>
      <c r="Z657" s="73"/>
      <c r="AA657" s="73"/>
      <c r="AB657" s="73"/>
      <c r="AC657" s="73"/>
      <c r="AD657" s="73"/>
      <c r="AE657" s="73"/>
      <c r="AF657" s="73"/>
      <c r="AG657" s="73"/>
      <c r="AH657" s="73"/>
      <c r="AI657" s="73"/>
      <c r="AJ657" s="73"/>
      <c r="AK657" s="73"/>
      <c r="AL657" s="73"/>
      <c r="AM657" s="73"/>
      <c r="AN657" s="73"/>
      <c r="AO657" s="75"/>
      <c r="AP657" s="75"/>
      <c r="AQ657" s="75"/>
      <c r="AR657" s="75"/>
      <c r="AS657" s="75"/>
      <c r="AT657" s="75"/>
      <c r="AU657" s="75"/>
      <c r="AV657" s="75"/>
      <c r="AW657" s="75"/>
      <c r="AX657" s="75"/>
    </row>
    <row r="658" ht="15.75" customHeight="1">
      <c r="A658" s="168" t="s">
        <v>68</v>
      </c>
      <c r="B658" s="71" t="s">
        <v>5419</v>
      </c>
      <c r="C658" s="72" t="s">
        <v>5420</v>
      </c>
      <c r="D658" s="72"/>
      <c r="E658" s="72"/>
      <c r="F658" s="73"/>
      <c r="G658" s="73"/>
      <c r="H658" s="73"/>
      <c r="I658" s="73"/>
      <c r="J658" s="73"/>
      <c r="K658" s="73"/>
      <c r="L658" s="73"/>
      <c r="M658" s="73"/>
      <c r="N658" s="73"/>
      <c r="O658" s="73"/>
      <c r="P658" s="73"/>
      <c r="Q658" s="73"/>
      <c r="R658" s="73"/>
      <c r="S658" s="73"/>
      <c r="T658" s="169" t="s">
        <v>6325</v>
      </c>
      <c r="U658" s="73"/>
      <c r="V658" s="73"/>
      <c r="W658" s="73"/>
      <c r="X658" s="73"/>
      <c r="Y658" s="73"/>
      <c r="Z658" s="73"/>
      <c r="AA658" s="73"/>
      <c r="AB658" s="73"/>
      <c r="AC658" s="73"/>
      <c r="AD658" s="73"/>
      <c r="AE658" s="73"/>
      <c r="AF658" s="73"/>
      <c r="AG658" s="73"/>
      <c r="AH658" s="73"/>
      <c r="AI658" s="73"/>
      <c r="AJ658" s="73"/>
      <c r="AK658" s="73"/>
      <c r="AL658" s="73"/>
      <c r="AM658" s="73"/>
      <c r="AN658" s="73"/>
      <c r="AO658" s="75"/>
      <c r="AP658" s="75"/>
      <c r="AQ658" s="75"/>
      <c r="AR658" s="75"/>
      <c r="AS658" s="75"/>
      <c r="AT658" s="75"/>
      <c r="AU658" s="75"/>
      <c r="AV658" s="75"/>
      <c r="AW658" s="75"/>
      <c r="AX658" s="75"/>
    </row>
    <row r="659" ht="15.75" customHeight="1">
      <c r="A659" s="168" t="s">
        <v>68</v>
      </c>
      <c r="B659" s="71" t="s">
        <v>5421</v>
      </c>
      <c r="C659" s="72"/>
      <c r="D659" s="72"/>
      <c r="E659" s="72"/>
      <c r="F659" s="73"/>
      <c r="G659" s="73"/>
      <c r="H659" s="73"/>
      <c r="I659" s="73"/>
      <c r="J659" s="73"/>
      <c r="K659" s="73"/>
      <c r="L659" s="73"/>
      <c r="M659" s="73"/>
      <c r="N659" s="73"/>
      <c r="O659" s="289" t="s">
        <v>6326</v>
      </c>
      <c r="P659" s="73"/>
      <c r="Q659" s="73"/>
      <c r="R659" s="73"/>
      <c r="S659" s="73"/>
      <c r="T659" s="74" t="s">
        <v>6327</v>
      </c>
      <c r="U659" s="73"/>
      <c r="V659" s="73"/>
      <c r="W659" s="73"/>
      <c r="X659" s="73"/>
      <c r="Y659" s="73"/>
      <c r="Z659" s="73"/>
      <c r="AA659" s="73"/>
      <c r="AB659" s="73"/>
      <c r="AC659" s="73"/>
      <c r="AD659" s="284"/>
      <c r="AE659" s="284"/>
      <c r="AF659" s="284"/>
      <c r="AG659" s="284"/>
      <c r="AH659" s="284"/>
      <c r="AI659" s="284"/>
      <c r="AJ659" s="284"/>
      <c r="AK659" s="284"/>
      <c r="AL659" s="284"/>
      <c r="AM659" s="284"/>
      <c r="AN659" s="284"/>
      <c r="AO659" s="75"/>
      <c r="AP659" s="75"/>
      <c r="AQ659" s="75"/>
      <c r="AR659" s="75"/>
      <c r="AS659" s="75"/>
      <c r="AT659" s="75"/>
      <c r="AU659" s="75"/>
      <c r="AV659" s="75"/>
      <c r="AW659" s="75"/>
      <c r="AX659" s="75"/>
    </row>
    <row r="660" ht="15.75" customHeight="1">
      <c r="A660" s="168" t="s">
        <v>68</v>
      </c>
      <c r="B660" s="71" t="s">
        <v>5422</v>
      </c>
      <c r="C660" s="72" t="s">
        <v>5423</v>
      </c>
      <c r="D660" s="72"/>
      <c r="E660" s="72"/>
      <c r="F660" s="73"/>
      <c r="G660" s="73"/>
      <c r="H660" s="73"/>
      <c r="I660" s="73"/>
      <c r="J660" s="73"/>
      <c r="K660" s="73"/>
      <c r="L660" s="73"/>
      <c r="M660" s="73"/>
      <c r="N660" s="73"/>
      <c r="O660" s="289" t="s">
        <v>6326</v>
      </c>
      <c r="P660" s="73"/>
      <c r="Q660" s="73"/>
      <c r="R660" s="73"/>
      <c r="S660" s="73"/>
      <c r="T660" s="74" t="s">
        <v>6328</v>
      </c>
      <c r="U660" s="73"/>
      <c r="V660" s="73"/>
      <c r="W660" s="73"/>
      <c r="X660" s="73"/>
      <c r="Y660" s="73"/>
      <c r="Z660" s="73"/>
      <c r="AA660" s="73"/>
      <c r="AB660" s="73"/>
      <c r="AC660" s="73"/>
      <c r="AD660" s="284"/>
      <c r="AE660" s="284"/>
      <c r="AF660" s="284"/>
      <c r="AG660" s="284"/>
      <c r="AH660" s="284"/>
      <c r="AI660" s="284"/>
      <c r="AJ660" s="284"/>
      <c r="AK660" s="284"/>
      <c r="AL660" s="284"/>
      <c r="AM660" s="284"/>
      <c r="AN660" s="284"/>
      <c r="AO660" s="75"/>
      <c r="AP660" s="75"/>
      <c r="AQ660" s="75"/>
      <c r="AR660" s="75"/>
      <c r="AS660" s="75"/>
      <c r="AT660" s="75"/>
      <c r="AU660" s="75"/>
      <c r="AV660" s="75"/>
      <c r="AW660" s="75"/>
      <c r="AX660" s="75"/>
    </row>
    <row r="661" ht="15.75" customHeight="1">
      <c r="A661" s="168" t="s">
        <v>68</v>
      </c>
      <c r="B661" s="71" t="s">
        <v>5426</v>
      </c>
      <c r="C661" s="72" t="s">
        <v>5428</v>
      </c>
      <c r="D661" s="72"/>
      <c r="E661" s="72"/>
      <c r="F661" s="73"/>
      <c r="G661" s="73"/>
      <c r="H661" s="73"/>
      <c r="I661" s="73"/>
      <c r="J661" s="73"/>
      <c r="K661" s="73"/>
      <c r="L661" s="73"/>
      <c r="M661" s="73"/>
      <c r="N661" s="73"/>
      <c r="O661" s="289" t="s">
        <v>6326</v>
      </c>
      <c r="P661" s="73"/>
      <c r="Q661" s="73"/>
      <c r="R661" s="73"/>
      <c r="S661" s="73"/>
      <c r="T661" s="74" t="s">
        <v>6329</v>
      </c>
      <c r="U661" s="73"/>
      <c r="V661" s="73"/>
      <c r="W661" s="73"/>
      <c r="X661" s="73"/>
      <c r="Y661" s="73"/>
      <c r="Z661" s="73"/>
      <c r="AA661" s="73"/>
      <c r="AB661" s="73"/>
      <c r="AC661" s="73"/>
      <c r="AD661" s="284"/>
      <c r="AE661" s="284"/>
      <c r="AF661" s="284"/>
      <c r="AG661" s="284"/>
      <c r="AH661" s="284"/>
      <c r="AI661" s="284"/>
      <c r="AJ661" s="284"/>
      <c r="AK661" s="284"/>
      <c r="AL661" s="284"/>
      <c r="AM661" s="284"/>
      <c r="AN661" s="284"/>
      <c r="AO661" s="75"/>
      <c r="AP661" s="75"/>
      <c r="AQ661" s="75"/>
      <c r="AR661" s="75"/>
      <c r="AS661" s="75"/>
      <c r="AT661" s="75"/>
      <c r="AU661" s="75"/>
      <c r="AV661" s="75"/>
      <c r="AW661" s="75"/>
      <c r="AX661" s="75"/>
    </row>
    <row r="662" ht="15.75" customHeight="1">
      <c r="A662" s="168" t="s">
        <v>68</v>
      </c>
      <c r="B662" s="71" t="s">
        <v>5429</v>
      </c>
      <c r="C662" s="72" t="s">
        <v>5430</v>
      </c>
      <c r="D662" s="72"/>
      <c r="E662" s="72"/>
      <c r="F662" s="73"/>
      <c r="G662" s="73"/>
      <c r="H662" s="73"/>
      <c r="I662" s="73"/>
      <c r="J662" s="73"/>
      <c r="K662" s="73"/>
      <c r="L662" s="73"/>
      <c r="M662" s="73"/>
      <c r="N662" s="73"/>
      <c r="O662" s="289" t="s">
        <v>6326</v>
      </c>
      <c r="P662" s="73"/>
      <c r="Q662" s="73"/>
      <c r="R662" s="73"/>
      <c r="S662" s="73"/>
      <c r="T662" s="74" t="s">
        <v>6330</v>
      </c>
      <c r="U662" s="73"/>
      <c r="V662" s="73"/>
      <c r="W662" s="73"/>
      <c r="X662" s="73"/>
      <c r="Y662" s="73"/>
      <c r="Z662" s="73"/>
      <c r="AA662" s="73"/>
      <c r="AB662" s="73"/>
      <c r="AC662" s="73"/>
      <c r="AD662" s="284"/>
      <c r="AE662" s="284"/>
      <c r="AF662" s="284"/>
      <c r="AG662" s="284"/>
      <c r="AH662" s="284"/>
      <c r="AI662" s="284"/>
      <c r="AJ662" s="284"/>
      <c r="AK662" s="284"/>
      <c r="AL662" s="284"/>
      <c r="AM662" s="284"/>
      <c r="AN662" s="284"/>
      <c r="AO662" s="75"/>
      <c r="AP662" s="75"/>
      <c r="AQ662" s="75"/>
      <c r="AR662" s="75"/>
      <c r="AS662" s="75"/>
      <c r="AT662" s="75"/>
      <c r="AU662" s="75"/>
      <c r="AV662" s="75"/>
      <c r="AW662" s="75"/>
      <c r="AX662" s="75"/>
    </row>
    <row r="663" ht="15.75" customHeight="1">
      <c r="A663" s="168" t="s">
        <v>68</v>
      </c>
      <c r="B663" s="71" t="s">
        <v>5431</v>
      </c>
      <c r="C663" s="72"/>
      <c r="D663" s="72"/>
      <c r="E663" s="72"/>
      <c r="F663" s="73"/>
      <c r="G663" s="73"/>
      <c r="H663" s="73"/>
      <c r="I663" s="73"/>
      <c r="J663" s="73"/>
      <c r="K663" s="73"/>
      <c r="L663" s="73"/>
      <c r="M663" s="73"/>
      <c r="N663" s="73"/>
      <c r="O663" s="73"/>
      <c r="P663" s="73"/>
      <c r="Q663" s="73"/>
      <c r="R663" s="73"/>
      <c r="S663" s="73"/>
      <c r="T663" s="74" t="s">
        <v>6331</v>
      </c>
      <c r="U663" s="73"/>
      <c r="V663" s="73"/>
      <c r="W663" s="73"/>
      <c r="X663" s="73"/>
      <c r="Y663" s="73"/>
      <c r="Z663" s="73"/>
      <c r="AA663" s="73"/>
      <c r="AB663" s="73"/>
      <c r="AC663" s="73"/>
      <c r="AD663" s="284"/>
      <c r="AE663" s="284"/>
      <c r="AF663" s="284"/>
      <c r="AG663" s="284"/>
      <c r="AH663" s="284"/>
      <c r="AI663" s="284"/>
      <c r="AJ663" s="284"/>
      <c r="AK663" s="284"/>
      <c r="AL663" s="284"/>
      <c r="AM663" s="284"/>
      <c r="AN663" s="284"/>
      <c r="AO663" s="75"/>
      <c r="AP663" s="75"/>
      <c r="AQ663" s="75"/>
      <c r="AR663" s="75"/>
      <c r="AS663" s="75"/>
      <c r="AT663" s="75"/>
      <c r="AU663" s="75"/>
      <c r="AV663" s="75"/>
      <c r="AW663" s="75"/>
      <c r="AX663" s="75"/>
    </row>
    <row r="664" ht="15.75" customHeight="1">
      <c r="A664" s="168" t="s">
        <v>68</v>
      </c>
      <c r="B664" s="71" t="s">
        <v>5435</v>
      </c>
      <c r="C664" s="72"/>
      <c r="D664" s="72"/>
      <c r="E664" s="72"/>
      <c r="F664" s="73"/>
      <c r="G664" s="73"/>
      <c r="H664" s="73"/>
      <c r="I664" s="73"/>
      <c r="J664" s="73"/>
      <c r="K664" s="73"/>
      <c r="L664" s="73"/>
      <c r="M664" s="73"/>
      <c r="N664" s="73"/>
      <c r="O664" s="73"/>
      <c r="P664" s="73"/>
      <c r="Q664" s="73"/>
      <c r="R664" s="73"/>
      <c r="S664" s="73"/>
      <c r="T664" s="74" t="s">
        <v>6332</v>
      </c>
      <c r="U664" s="73"/>
      <c r="V664" s="73"/>
      <c r="W664" s="73"/>
      <c r="X664" s="73"/>
      <c r="Y664" s="73"/>
      <c r="Z664" s="73"/>
      <c r="AA664" s="73"/>
      <c r="AB664" s="73"/>
      <c r="AC664" s="73"/>
      <c r="AD664" s="284"/>
      <c r="AE664" s="284"/>
      <c r="AF664" s="284"/>
      <c r="AG664" s="284"/>
      <c r="AH664" s="284"/>
      <c r="AI664" s="284"/>
      <c r="AJ664" s="284"/>
      <c r="AK664" s="284"/>
      <c r="AL664" s="284"/>
      <c r="AM664" s="284"/>
      <c r="AN664" s="284"/>
      <c r="AO664" s="75"/>
      <c r="AP664" s="75"/>
      <c r="AQ664" s="75"/>
      <c r="AR664" s="75"/>
      <c r="AS664" s="75"/>
      <c r="AT664" s="75"/>
      <c r="AU664" s="75"/>
      <c r="AV664" s="75"/>
      <c r="AW664" s="75"/>
      <c r="AX664" s="75"/>
    </row>
    <row r="665" ht="15.75" customHeight="1">
      <c r="A665" s="168" t="s">
        <v>68</v>
      </c>
      <c r="B665" s="71" t="s">
        <v>5438</v>
      </c>
      <c r="C665" s="72"/>
      <c r="D665" s="72"/>
      <c r="E665" s="72"/>
      <c r="F665" s="73"/>
      <c r="G665" s="73"/>
      <c r="H665" s="73"/>
      <c r="I665" s="73"/>
      <c r="J665" s="73"/>
      <c r="K665" s="73"/>
      <c r="L665" s="73"/>
      <c r="M665" s="73"/>
      <c r="N665" s="73"/>
      <c r="O665" s="73"/>
      <c r="P665" s="73"/>
      <c r="Q665" s="73"/>
      <c r="R665" s="73"/>
      <c r="S665" s="73"/>
      <c r="T665" s="74" t="s">
        <v>6333</v>
      </c>
      <c r="U665" s="73"/>
      <c r="V665" s="73"/>
      <c r="W665" s="73"/>
      <c r="X665" s="73"/>
      <c r="Y665" s="73"/>
      <c r="Z665" s="73"/>
      <c r="AA665" s="73"/>
      <c r="AB665" s="73"/>
      <c r="AC665" s="73"/>
      <c r="AD665" s="284"/>
      <c r="AE665" s="284"/>
      <c r="AF665" s="284"/>
      <c r="AG665" s="284"/>
      <c r="AH665" s="284"/>
      <c r="AI665" s="284"/>
      <c r="AJ665" s="284"/>
      <c r="AK665" s="284"/>
      <c r="AL665" s="284"/>
      <c r="AM665" s="284"/>
      <c r="AN665" s="284"/>
      <c r="AO665" s="75"/>
      <c r="AP665" s="75"/>
      <c r="AQ665" s="75"/>
      <c r="AR665" s="75"/>
      <c r="AS665" s="75"/>
      <c r="AT665" s="75"/>
      <c r="AU665" s="75"/>
      <c r="AV665" s="75"/>
      <c r="AW665" s="75"/>
      <c r="AX665" s="75"/>
    </row>
    <row r="666" ht="15.75" customHeight="1">
      <c r="A666" s="278" t="s">
        <v>38</v>
      </c>
      <c r="B666" s="279" t="s">
        <v>5440</v>
      </c>
      <c r="C666" s="27" t="s">
        <v>6334</v>
      </c>
      <c r="D666" s="27" t="s">
        <v>6334</v>
      </c>
      <c r="E666" s="27" t="s">
        <v>6334</v>
      </c>
      <c r="F666" s="45"/>
      <c r="G666" s="45"/>
      <c r="H666" s="45"/>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75"/>
      <c r="AP666" s="75"/>
      <c r="AQ666" s="75"/>
      <c r="AR666" s="75"/>
      <c r="AS666" s="75"/>
      <c r="AT666" s="75"/>
      <c r="AU666" s="75"/>
      <c r="AV666" s="75"/>
      <c r="AW666" s="75"/>
      <c r="AX666" s="75"/>
    </row>
    <row r="667" ht="15.75" customHeight="1">
      <c r="A667" s="280" t="s">
        <v>2509</v>
      </c>
      <c r="B667" s="281" t="s">
        <v>5446</v>
      </c>
      <c r="C667" s="27" t="s">
        <v>6335</v>
      </c>
      <c r="D667" s="27" t="s">
        <v>6336</v>
      </c>
      <c r="E667" s="27" t="s">
        <v>6337</v>
      </c>
      <c r="F667" s="45"/>
      <c r="G667" s="45"/>
      <c r="H667" s="45"/>
      <c r="I667" s="286"/>
      <c r="J667" s="287"/>
      <c r="K667" s="286"/>
      <c r="L667" s="286"/>
      <c r="M667" s="286"/>
      <c r="N667" s="286"/>
      <c r="O667" s="290" t="s">
        <v>6326</v>
      </c>
      <c r="P667" s="286"/>
      <c r="Q667" s="290" t="s">
        <v>150</v>
      </c>
      <c r="R667" s="286"/>
      <c r="S667" s="286"/>
      <c r="T667" s="286"/>
      <c r="U667" s="286"/>
      <c r="V667" s="286"/>
      <c r="W667" s="286"/>
      <c r="X667" s="286"/>
      <c r="Y667" s="286"/>
      <c r="Z667" s="286"/>
      <c r="AA667" s="286"/>
      <c r="AB667" s="286"/>
      <c r="AC667" s="286"/>
      <c r="AD667" s="75"/>
      <c r="AE667" s="75"/>
      <c r="AF667" s="75"/>
      <c r="AG667" s="75"/>
      <c r="AH667" s="75"/>
      <c r="AI667" s="75"/>
      <c r="AJ667" s="75"/>
      <c r="AK667" s="75"/>
      <c r="AL667" s="312"/>
      <c r="AM667" s="312"/>
      <c r="AN667" s="312"/>
      <c r="AO667" s="75"/>
      <c r="AP667" s="75"/>
      <c r="AQ667" s="75"/>
      <c r="AR667" s="75"/>
      <c r="AS667" s="75"/>
      <c r="AT667" s="75"/>
      <c r="AU667" s="75"/>
      <c r="AV667" s="75"/>
      <c r="AW667" s="75"/>
      <c r="AX667" s="75"/>
    </row>
    <row r="668" ht="15.75" customHeight="1">
      <c r="A668" s="280" t="s">
        <v>2520</v>
      </c>
      <c r="B668" s="281" t="s">
        <v>5449</v>
      </c>
      <c r="C668" s="27" t="s">
        <v>6338</v>
      </c>
      <c r="D668" s="27" t="s">
        <v>6339</v>
      </c>
      <c r="E668" s="27" t="s">
        <v>6340</v>
      </c>
      <c r="F668" s="45"/>
      <c r="G668" s="45"/>
      <c r="H668" s="45"/>
      <c r="I668" s="286"/>
      <c r="J668" s="287"/>
      <c r="K668" s="286"/>
      <c r="L668" s="286"/>
      <c r="M668" s="286"/>
      <c r="N668" s="286"/>
      <c r="O668" s="290" t="s">
        <v>6341</v>
      </c>
      <c r="P668" s="286"/>
      <c r="Q668" s="290" t="s">
        <v>150</v>
      </c>
      <c r="R668" s="286"/>
      <c r="S668" s="286"/>
      <c r="T668" s="286"/>
      <c r="U668" s="286"/>
      <c r="V668" s="286"/>
      <c r="W668" s="286"/>
      <c r="X668" s="286"/>
      <c r="Y668" s="290" t="s">
        <v>6342</v>
      </c>
      <c r="Z668" s="286"/>
      <c r="AA668" s="286"/>
      <c r="AB668" s="286"/>
      <c r="AC668" s="286"/>
      <c r="AD668" s="286"/>
      <c r="AE668" s="286"/>
      <c r="AF668" s="286"/>
      <c r="AG668" s="286"/>
      <c r="AH668" s="286"/>
      <c r="AI668" s="286"/>
      <c r="AJ668" s="286"/>
      <c r="AK668" s="286"/>
      <c r="AL668" s="286"/>
      <c r="AM668" s="286"/>
      <c r="AN668" s="286"/>
      <c r="AO668" s="75"/>
      <c r="AP668" s="75"/>
      <c r="AQ668" s="75"/>
      <c r="AR668" s="75"/>
      <c r="AS668" s="75"/>
      <c r="AT668" s="75"/>
      <c r="AU668" s="75"/>
      <c r="AV668" s="75"/>
      <c r="AW668" s="75"/>
      <c r="AX668" s="75"/>
    </row>
    <row r="669" ht="15.75" customHeight="1">
      <c r="A669" s="282" t="s">
        <v>252</v>
      </c>
      <c r="B669" s="283" t="s">
        <v>5454</v>
      </c>
      <c r="C669" s="27" t="s">
        <v>6343</v>
      </c>
      <c r="D669" s="27" t="s">
        <v>6344</v>
      </c>
      <c r="E669" s="27" t="s">
        <v>6345</v>
      </c>
      <c r="F669" s="45"/>
      <c r="G669" s="45"/>
      <c r="H669" s="45"/>
      <c r="I669" s="293"/>
      <c r="J669" s="294"/>
      <c r="K669" s="293"/>
      <c r="L669" s="293"/>
      <c r="M669" s="293"/>
      <c r="N669" s="293"/>
      <c r="O669" s="296" t="s">
        <v>6346</v>
      </c>
      <c r="P669" s="293"/>
      <c r="Q669" s="296" t="s">
        <v>150</v>
      </c>
      <c r="R669" s="293"/>
      <c r="S669" s="293"/>
      <c r="T669" s="293"/>
      <c r="U669" s="293"/>
      <c r="V669" s="293"/>
      <c r="W669" s="293"/>
      <c r="X669" s="293"/>
      <c r="Y669" s="293"/>
      <c r="Z669" s="293"/>
      <c r="AA669" s="293"/>
      <c r="AB669" s="293"/>
      <c r="AC669" s="293"/>
      <c r="AD669" s="286"/>
      <c r="AE669" s="286"/>
      <c r="AF669" s="286"/>
      <c r="AG669" s="286"/>
      <c r="AH669" s="286"/>
      <c r="AI669" s="286"/>
      <c r="AJ669" s="286"/>
      <c r="AK669" s="286"/>
      <c r="AL669" s="286"/>
      <c r="AM669" s="286"/>
      <c r="AN669" s="286"/>
      <c r="AO669" s="75"/>
      <c r="AP669" s="75"/>
      <c r="AQ669" s="75"/>
      <c r="AR669" s="75"/>
      <c r="AS669" s="75"/>
      <c r="AT669" s="75"/>
      <c r="AU669" s="75"/>
      <c r="AV669" s="75"/>
      <c r="AW669" s="75"/>
      <c r="AX669" s="75"/>
    </row>
    <row r="670" ht="15.75" customHeight="1">
      <c r="A670" s="280" t="s">
        <v>1306</v>
      </c>
      <c r="B670" s="281" t="s">
        <v>5455</v>
      </c>
      <c r="C670" s="27" t="s">
        <v>6347</v>
      </c>
      <c r="D670" s="27" t="s">
        <v>6348</v>
      </c>
      <c r="E670" s="27" t="s">
        <v>6349</v>
      </c>
      <c r="F670" s="45"/>
      <c r="G670" s="45" t="s">
        <v>6057</v>
      </c>
      <c r="H670" s="45" t="s">
        <v>6058</v>
      </c>
      <c r="I670" s="286"/>
      <c r="J670" s="287"/>
      <c r="K670" s="286"/>
      <c r="L670" s="286"/>
      <c r="M670" s="286"/>
      <c r="N670" s="286"/>
      <c r="O670" s="290" t="s">
        <v>6350</v>
      </c>
      <c r="P670" s="286"/>
      <c r="Q670" s="290" t="s">
        <v>150</v>
      </c>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75"/>
      <c r="AP670" s="75"/>
      <c r="AQ670" s="75"/>
      <c r="AR670" s="75"/>
      <c r="AS670" s="75"/>
      <c r="AT670" s="75"/>
      <c r="AU670" s="75"/>
      <c r="AV670" s="75"/>
      <c r="AW670" s="75"/>
      <c r="AX670" s="75"/>
    </row>
    <row r="671" ht="15.75" customHeight="1">
      <c r="A671" s="280" t="s">
        <v>5459</v>
      </c>
      <c r="B671" s="281" t="s">
        <v>5460</v>
      </c>
      <c r="C671" s="27" t="s">
        <v>6351</v>
      </c>
      <c r="D671" s="27" t="s">
        <v>6352</v>
      </c>
      <c r="E671" s="27" t="s">
        <v>6353</v>
      </c>
      <c r="F671" s="45"/>
      <c r="G671" s="45"/>
      <c r="H671" s="45"/>
      <c r="I671" s="286"/>
      <c r="J671" s="287"/>
      <c r="K671" s="286"/>
      <c r="L671" s="286"/>
      <c r="M671" s="286"/>
      <c r="N671" s="286"/>
      <c r="O671" s="290" t="s">
        <v>6354</v>
      </c>
      <c r="P671" s="286"/>
      <c r="Q671" s="290" t="s">
        <v>150</v>
      </c>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75"/>
      <c r="AP671" s="75"/>
      <c r="AQ671" s="75"/>
      <c r="AR671" s="75"/>
      <c r="AS671" s="75"/>
      <c r="AT671" s="75"/>
      <c r="AU671" s="75"/>
      <c r="AV671" s="75"/>
      <c r="AW671" s="75"/>
      <c r="AX671" s="75"/>
    </row>
    <row r="672" ht="15.75" customHeight="1">
      <c r="A672" s="282" t="s">
        <v>252</v>
      </c>
      <c r="B672" s="283" t="s">
        <v>5461</v>
      </c>
      <c r="C672" s="27" t="s">
        <v>6355</v>
      </c>
      <c r="D672" s="27" t="s">
        <v>6356</v>
      </c>
      <c r="E672" s="27" t="s">
        <v>6357</v>
      </c>
      <c r="F672" s="45"/>
      <c r="G672" s="45"/>
      <c r="H672" s="45"/>
      <c r="I672" s="293"/>
      <c r="J672" s="294"/>
      <c r="K672" s="293"/>
      <c r="L672" s="293"/>
      <c r="M672" s="293"/>
      <c r="N672" s="293"/>
      <c r="O672" s="296" t="s">
        <v>6358</v>
      </c>
      <c r="P672" s="293"/>
      <c r="Q672" s="296" t="s">
        <v>150</v>
      </c>
      <c r="R672" s="293"/>
      <c r="S672" s="293"/>
      <c r="T672" s="293"/>
      <c r="U672" s="293"/>
      <c r="V672" s="293"/>
      <c r="W672" s="293"/>
      <c r="X672" s="293"/>
      <c r="Y672" s="293"/>
      <c r="Z672" s="293"/>
      <c r="AA672" s="293"/>
      <c r="AB672" s="293"/>
      <c r="AC672" s="293"/>
      <c r="AD672" s="286"/>
      <c r="AE672" s="286"/>
      <c r="AF672" s="286"/>
      <c r="AG672" s="286"/>
      <c r="AH672" s="286"/>
      <c r="AI672" s="286"/>
      <c r="AJ672" s="286"/>
      <c r="AK672" s="286"/>
      <c r="AL672" s="286"/>
      <c r="AM672" s="286"/>
      <c r="AN672" s="286"/>
      <c r="AO672" s="75"/>
      <c r="AP672" s="75"/>
      <c r="AQ672" s="75"/>
      <c r="AR672" s="75"/>
      <c r="AS672" s="75"/>
      <c r="AT672" s="75"/>
      <c r="AU672" s="75"/>
      <c r="AV672" s="75"/>
      <c r="AW672" s="75"/>
      <c r="AX672" s="75"/>
    </row>
    <row r="673" ht="15.75" customHeight="1">
      <c r="A673" s="355" t="s">
        <v>5369</v>
      </c>
      <c r="B673" s="356" t="s">
        <v>6359</v>
      </c>
      <c r="C673" s="198" t="s">
        <v>6360</v>
      </c>
      <c r="D673" s="228" t="s">
        <v>6361</v>
      </c>
      <c r="E673" s="228" t="s">
        <v>6362</v>
      </c>
      <c r="F673" s="45"/>
      <c r="G673" s="45"/>
      <c r="H673" s="45"/>
      <c r="I673" s="293"/>
      <c r="J673" s="294"/>
      <c r="K673" s="293"/>
      <c r="L673" s="293"/>
      <c r="M673" s="293"/>
      <c r="N673" s="293"/>
      <c r="O673" s="296" t="s">
        <v>6363</v>
      </c>
      <c r="P673" s="293"/>
      <c r="Q673" s="296" t="s">
        <v>150</v>
      </c>
      <c r="R673" s="293"/>
      <c r="S673" s="293"/>
      <c r="T673" s="293"/>
      <c r="U673" s="293"/>
      <c r="V673" s="293"/>
      <c r="W673" s="293"/>
      <c r="X673" s="293"/>
      <c r="Y673" s="293"/>
      <c r="Z673" s="293"/>
      <c r="AA673" s="293"/>
      <c r="AB673" s="293"/>
      <c r="AC673" s="293"/>
      <c r="AD673" s="286"/>
      <c r="AE673" s="286"/>
      <c r="AF673" s="286"/>
      <c r="AG673" s="286"/>
      <c r="AH673" s="286"/>
      <c r="AI673" s="286"/>
      <c r="AJ673" s="286"/>
      <c r="AK673" s="286"/>
      <c r="AL673" s="286"/>
      <c r="AM673" s="286"/>
      <c r="AN673" s="286"/>
      <c r="AO673" s="75"/>
      <c r="AP673" s="75"/>
      <c r="AQ673" s="75"/>
      <c r="AR673" s="75"/>
      <c r="AS673" s="75"/>
      <c r="AT673" s="75"/>
      <c r="AU673" s="75"/>
      <c r="AV673" s="75"/>
      <c r="AW673" s="75"/>
      <c r="AX673" s="75"/>
    </row>
    <row r="674" ht="15.75" customHeight="1">
      <c r="A674" s="282" t="s">
        <v>252</v>
      </c>
      <c r="B674" s="283" t="s">
        <v>5465</v>
      </c>
      <c r="C674" s="27" t="s">
        <v>6364</v>
      </c>
      <c r="D674" s="27" t="s">
        <v>6365</v>
      </c>
      <c r="E674" s="27" t="s">
        <v>6365</v>
      </c>
      <c r="F674" s="45"/>
      <c r="G674" s="45"/>
      <c r="H674" s="45"/>
      <c r="I674" s="293"/>
      <c r="J674" s="294"/>
      <c r="K674" s="293"/>
      <c r="L674" s="293"/>
      <c r="M674" s="293"/>
      <c r="N674" s="293"/>
      <c r="O674" s="296" t="s">
        <v>6363</v>
      </c>
      <c r="P674" s="293"/>
      <c r="Q674" s="296" t="s">
        <v>150</v>
      </c>
      <c r="R674" s="293"/>
      <c r="S674" s="293"/>
      <c r="T674" s="293"/>
      <c r="U674" s="293"/>
      <c r="V674" s="293"/>
      <c r="W674" s="293"/>
      <c r="X674" s="293"/>
      <c r="Y674" s="293"/>
      <c r="Z674" s="293"/>
      <c r="AA674" s="293"/>
      <c r="AB674" s="293"/>
      <c r="AC674" s="293"/>
      <c r="AD674" s="286"/>
      <c r="AE674" s="286"/>
      <c r="AF674" s="286"/>
      <c r="AG674" s="286"/>
      <c r="AH674" s="286"/>
      <c r="AI674" s="286"/>
      <c r="AJ674" s="286"/>
      <c r="AK674" s="286"/>
      <c r="AL674" s="286"/>
      <c r="AM674" s="286"/>
      <c r="AN674" s="286"/>
      <c r="AO674" s="75"/>
      <c r="AP674" s="75"/>
      <c r="AQ674" s="75"/>
      <c r="AR674" s="75"/>
      <c r="AS674" s="75"/>
      <c r="AT674" s="75"/>
      <c r="AU674" s="75"/>
      <c r="AV674" s="75"/>
      <c r="AW674" s="75"/>
      <c r="AX674" s="75"/>
    </row>
    <row r="675" ht="15.75" customHeight="1">
      <c r="A675" s="280" t="s">
        <v>1306</v>
      </c>
      <c r="B675" s="281" t="s">
        <v>5468</v>
      </c>
      <c r="C675" s="27" t="s">
        <v>6366</v>
      </c>
      <c r="D675" s="27" t="s">
        <v>6367</v>
      </c>
      <c r="E675" s="27" t="s">
        <v>6368</v>
      </c>
      <c r="F675" s="45"/>
      <c r="G675" s="45"/>
      <c r="H675" s="45"/>
      <c r="I675" s="286"/>
      <c r="J675" s="287"/>
      <c r="K675" s="286"/>
      <c r="L675" s="286"/>
      <c r="M675" s="286"/>
      <c r="N675" s="286"/>
      <c r="O675" s="357" t="s">
        <v>6369</v>
      </c>
      <c r="P675" s="286"/>
      <c r="Q675" s="290" t="s">
        <v>150</v>
      </c>
      <c r="R675" s="286"/>
      <c r="S675" s="286"/>
      <c r="T675" s="286"/>
      <c r="U675" s="286"/>
      <c r="V675" s="286"/>
      <c r="W675" s="286"/>
      <c r="X675" s="286"/>
      <c r="Y675" s="286"/>
      <c r="Z675" s="286"/>
      <c r="AA675" s="286"/>
      <c r="AB675" s="286"/>
      <c r="AC675" s="286"/>
      <c r="AD675" s="75"/>
      <c r="AE675" s="75"/>
      <c r="AF675" s="75"/>
      <c r="AG675" s="75"/>
      <c r="AH675" s="75"/>
      <c r="AI675" s="75"/>
      <c r="AJ675" s="75"/>
      <c r="AK675" s="75"/>
      <c r="AL675" s="312"/>
      <c r="AM675" s="312"/>
      <c r="AN675" s="312"/>
      <c r="AO675" s="75"/>
      <c r="AP675" s="75"/>
      <c r="AQ675" s="75"/>
      <c r="AR675" s="75"/>
      <c r="AS675" s="75"/>
      <c r="AT675" s="75"/>
      <c r="AU675" s="75"/>
      <c r="AV675" s="75"/>
      <c r="AW675" s="75"/>
      <c r="AX675" s="75"/>
    </row>
    <row r="676" ht="15.75" customHeight="1">
      <c r="A676" s="280" t="s">
        <v>2509</v>
      </c>
      <c r="B676" s="281" t="s">
        <v>5476</v>
      </c>
      <c r="C676" s="27" t="s">
        <v>6370</v>
      </c>
      <c r="D676" s="27" t="s">
        <v>6371</v>
      </c>
      <c r="E676" s="27" t="s">
        <v>6372</v>
      </c>
      <c r="F676" s="45"/>
      <c r="G676" s="45"/>
      <c r="H676" s="45"/>
      <c r="I676" s="286"/>
      <c r="J676" s="287"/>
      <c r="K676" s="286"/>
      <c r="L676" s="286"/>
      <c r="M676" s="286"/>
      <c r="N676" s="286"/>
      <c r="O676" s="357" t="s">
        <v>6373</v>
      </c>
      <c r="P676" s="286"/>
      <c r="Q676" s="290" t="s">
        <v>150</v>
      </c>
      <c r="R676" s="286"/>
      <c r="S676" s="286"/>
      <c r="T676" s="286"/>
      <c r="U676" s="286"/>
      <c r="V676" s="286"/>
      <c r="W676" s="286"/>
      <c r="X676" s="286"/>
      <c r="Y676" s="286"/>
      <c r="Z676" s="286"/>
      <c r="AA676" s="286"/>
      <c r="AB676" s="286"/>
      <c r="AC676" s="286"/>
      <c r="AD676" s="75"/>
      <c r="AE676" s="75"/>
      <c r="AF676" s="75"/>
      <c r="AG676" s="75"/>
      <c r="AH676" s="75"/>
      <c r="AI676" s="75"/>
      <c r="AJ676" s="75"/>
      <c r="AK676" s="75"/>
      <c r="AL676" s="312"/>
      <c r="AM676" s="312"/>
      <c r="AN676" s="312"/>
      <c r="AO676" s="75"/>
      <c r="AP676" s="75"/>
      <c r="AQ676" s="75"/>
      <c r="AR676" s="75"/>
      <c r="AS676" s="75"/>
      <c r="AT676" s="75"/>
      <c r="AU676" s="75"/>
      <c r="AV676" s="75"/>
      <c r="AW676" s="75"/>
      <c r="AX676" s="75"/>
    </row>
    <row r="677" ht="15.75" customHeight="1">
      <c r="A677" s="280" t="s">
        <v>1573</v>
      </c>
      <c r="B677" s="281" t="s">
        <v>5486</v>
      </c>
      <c r="C677" s="27" t="s">
        <v>6386</v>
      </c>
      <c r="D677" s="27" t="s">
        <v>6387</v>
      </c>
      <c r="E677" s="27" t="s">
        <v>6388</v>
      </c>
      <c r="F677" s="45"/>
      <c r="G677" s="45"/>
      <c r="H677" s="45"/>
      <c r="I677" s="286"/>
      <c r="J677" s="287"/>
      <c r="K677" s="286"/>
      <c r="L677" s="286"/>
      <c r="M677" s="286"/>
      <c r="N677" s="286"/>
      <c r="O677" s="357" t="s">
        <v>6389</v>
      </c>
      <c r="P677" s="286"/>
      <c r="Q677" s="290" t="s">
        <v>150</v>
      </c>
      <c r="R677" s="286"/>
      <c r="S677" s="286"/>
      <c r="T677" s="286"/>
      <c r="U677" s="286"/>
      <c r="V677" s="286"/>
      <c r="W677" s="286"/>
      <c r="X677" s="286"/>
      <c r="Y677" s="286"/>
      <c r="Z677" s="286"/>
      <c r="AA677" s="286"/>
      <c r="AB677" s="286"/>
      <c r="AC677" s="286"/>
      <c r="AD677" s="75"/>
      <c r="AE677" s="75"/>
      <c r="AF677" s="75"/>
      <c r="AG677" s="75"/>
      <c r="AH677" s="75"/>
      <c r="AI677" s="75"/>
      <c r="AJ677" s="75"/>
      <c r="AK677" s="75"/>
      <c r="AL677" s="312"/>
      <c r="AM677" s="312"/>
      <c r="AN677" s="312"/>
      <c r="AO677" s="75"/>
      <c r="AP677" s="75"/>
      <c r="AQ677" s="75"/>
      <c r="AR677" s="75"/>
      <c r="AS677" s="75"/>
      <c r="AT677" s="75"/>
      <c r="AU677" s="75"/>
      <c r="AV677" s="75"/>
      <c r="AW677" s="75"/>
      <c r="AX677" s="75"/>
    </row>
    <row r="678" ht="15.75" customHeight="1">
      <c r="A678" s="280" t="s">
        <v>1586</v>
      </c>
      <c r="B678" s="281" t="s">
        <v>5490</v>
      </c>
      <c r="C678" s="27" t="s">
        <v>6394</v>
      </c>
      <c r="D678" s="27" t="s">
        <v>6395</v>
      </c>
      <c r="E678" s="27" t="s">
        <v>6396</v>
      </c>
      <c r="F678" s="45" t="s">
        <v>1920</v>
      </c>
      <c r="G678" s="45" t="s">
        <v>6183</v>
      </c>
      <c r="H678" s="45" t="s">
        <v>1922</v>
      </c>
      <c r="I678" s="286"/>
      <c r="J678" s="287"/>
      <c r="K678" s="286"/>
      <c r="L678" s="286"/>
      <c r="M678" s="286"/>
      <c r="N678" s="286"/>
      <c r="O678" s="357" t="s">
        <v>6397</v>
      </c>
      <c r="P678" s="286"/>
      <c r="Q678" s="290" t="s">
        <v>150</v>
      </c>
      <c r="R678" s="286"/>
      <c r="S678" s="286"/>
      <c r="T678" s="286"/>
      <c r="U678" s="286"/>
      <c r="V678" s="286"/>
      <c r="W678" s="286"/>
      <c r="X678" s="286"/>
      <c r="Y678" s="290" t="s">
        <v>6398</v>
      </c>
      <c r="Z678" s="286"/>
      <c r="AA678" s="286"/>
      <c r="AB678" s="286"/>
      <c r="AC678" s="286"/>
      <c r="AD678" s="75"/>
      <c r="AE678" s="75"/>
      <c r="AF678" s="75"/>
      <c r="AG678" s="75"/>
      <c r="AH678" s="75"/>
      <c r="AI678" s="75"/>
      <c r="AJ678" s="75"/>
      <c r="AK678" s="75"/>
      <c r="AL678" s="312"/>
      <c r="AM678" s="312"/>
      <c r="AN678" s="312"/>
      <c r="AO678" s="75"/>
      <c r="AP678" s="75"/>
      <c r="AQ678" s="75"/>
      <c r="AR678" s="75"/>
      <c r="AS678" s="75"/>
      <c r="AT678" s="75"/>
      <c r="AU678" s="75"/>
      <c r="AV678" s="75"/>
      <c r="AW678" s="75"/>
      <c r="AX678" s="75"/>
    </row>
    <row r="679" ht="15.75" customHeight="1">
      <c r="A679" s="282" t="s">
        <v>252</v>
      </c>
      <c r="B679" s="283" t="s">
        <v>5500</v>
      </c>
      <c r="C679" s="27" t="s">
        <v>6400</v>
      </c>
      <c r="D679" s="27" t="s">
        <v>6401</v>
      </c>
      <c r="E679" s="27" t="s">
        <v>6402</v>
      </c>
      <c r="F679" s="45"/>
      <c r="G679" s="45"/>
      <c r="H679" s="45"/>
      <c r="I679" s="293"/>
      <c r="J679" s="294"/>
      <c r="K679" s="293"/>
      <c r="L679" s="293"/>
      <c r="M679" s="293"/>
      <c r="N679" s="293"/>
      <c r="O679" s="296" t="s">
        <v>6403</v>
      </c>
      <c r="P679" s="293"/>
      <c r="Q679" s="296" t="s">
        <v>150</v>
      </c>
      <c r="R679" s="293"/>
      <c r="S679" s="293"/>
      <c r="T679" s="293"/>
      <c r="U679" s="293"/>
      <c r="V679" s="293"/>
      <c r="W679" s="293"/>
      <c r="X679" s="293"/>
      <c r="Y679" s="293"/>
      <c r="Z679" s="293"/>
      <c r="AA679" s="293"/>
      <c r="AB679" s="293"/>
      <c r="AC679" s="293"/>
      <c r="AD679" s="75"/>
      <c r="AE679" s="75"/>
      <c r="AF679" s="75"/>
      <c r="AG679" s="75"/>
      <c r="AH679" s="75"/>
      <c r="AI679" s="75"/>
      <c r="AJ679" s="75"/>
      <c r="AK679" s="75"/>
      <c r="AL679" s="312"/>
      <c r="AM679" s="312"/>
      <c r="AN679" s="312"/>
      <c r="AO679" s="75"/>
      <c r="AP679" s="75"/>
      <c r="AQ679" s="75"/>
      <c r="AR679" s="75"/>
      <c r="AS679" s="75"/>
      <c r="AT679" s="75"/>
      <c r="AU679" s="75"/>
      <c r="AV679" s="75"/>
      <c r="AW679" s="75"/>
      <c r="AX679" s="75"/>
    </row>
    <row r="680" ht="15.75" customHeight="1">
      <c r="A680" s="280" t="s">
        <v>1624</v>
      </c>
      <c r="B680" s="281" t="s">
        <v>5504</v>
      </c>
      <c r="C680" s="27" t="s">
        <v>6407</v>
      </c>
      <c r="D680" s="27" t="s">
        <v>6408</v>
      </c>
      <c r="E680" s="27" t="s">
        <v>6410</v>
      </c>
      <c r="F680" s="45"/>
      <c r="G680" s="45"/>
      <c r="H680" s="45"/>
      <c r="I680" s="286"/>
      <c r="J680" s="297" t="s">
        <v>6411</v>
      </c>
      <c r="K680" s="286"/>
      <c r="L680" s="286"/>
      <c r="M680" s="286"/>
      <c r="N680" s="286"/>
      <c r="O680" s="290" t="s">
        <v>6412</v>
      </c>
      <c r="P680" s="286"/>
      <c r="Q680" s="290" t="s">
        <v>150</v>
      </c>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75"/>
      <c r="AP680" s="75"/>
      <c r="AQ680" s="75"/>
      <c r="AR680" s="75"/>
      <c r="AS680" s="75"/>
      <c r="AT680" s="75"/>
      <c r="AU680" s="75"/>
      <c r="AV680" s="75"/>
      <c r="AW680" s="75"/>
      <c r="AX680" s="75"/>
    </row>
    <row r="681" ht="15.75" customHeight="1">
      <c r="A681" s="282" t="s">
        <v>252</v>
      </c>
      <c r="B681" s="283" t="s">
        <v>5511</v>
      </c>
      <c r="C681" s="27" t="s">
        <v>6414</v>
      </c>
      <c r="D681" s="27" t="s">
        <v>6415</v>
      </c>
      <c r="E681" s="27" t="s">
        <v>6416</v>
      </c>
      <c r="F681" s="45"/>
      <c r="G681" s="45"/>
      <c r="H681" s="45"/>
      <c r="I681" s="293"/>
      <c r="J681" s="294"/>
      <c r="K681" s="293"/>
      <c r="L681" s="293"/>
      <c r="M681" s="293"/>
      <c r="N681" s="293"/>
      <c r="O681" s="358" t="s">
        <v>6417</v>
      </c>
      <c r="P681" s="293"/>
      <c r="Q681" s="296" t="s">
        <v>150</v>
      </c>
      <c r="R681" s="293"/>
      <c r="S681" s="293"/>
      <c r="T681" s="293"/>
      <c r="U681" s="293"/>
      <c r="V681" s="293"/>
      <c r="W681" s="293"/>
      <c r="X681" s="293"/>
      <c r="Y681" s="293"/>
      <c r="Z681" s="293"/>
      <c r="AA681" s="293"/>
      <c r="AB681" s="293"/>
      <c r="AC681" s="293"/>
      <c r="AD681" s="286"/>
      <c r="AE681" s="286"/>
      <c r="AF681" s="286"/>
      <c r="AG681" s="286"/>
      <c r="AH681" s="286"/>
      <c r="AI681" s="286"/>
      <c r="AJ681" s="286"/>
      <c r="AK681" s="286"/>
      <c r="AL681" s="286"/>
      <c r="AM681" s="286"/>
      <c r="AN681" s="286"/>
      <c r="AO681" s="75"/>
      <c r="AP681" s="75"/>
      <c r="AQ681" s="75"/>
      <c r="AR681" s="75"/>
      <c r="AS681" s="75"/>
      <c r="AT681" s="75"/>
      <c r="AU681" s="75"/>
      <c r="AV681" s="75"/>
      <c r="AW681" s="75"/>
      <c r="AX681" s="75"/>
    </row>
    <row r="682" ht="15.75" customHeight="1">
      <c r="A682" s="298" t="s">
        <v>133</v>
      </c>
      <c r="B682" s="299" t="s">
        <v>5518</v>
      </c>
      <c r="C682" s="147"/>
      <c r="D682" s="147"/>
      <c r="E682" s="147"/>
      <c r="F682" s="312"/>
      <c r="G682" s="312"/>
      <c r="H682" s="312"/>
      <c r="I682" s="312"/>
      <c r="J682" s="313"/>
      <c r="K682" s="312"/>
      <c r="L682" s="312"/>
      <c r="M682" s="313"/>
      <c r="N682" s="313"/>
      <c r="O682" s="299" t="s">
        <v>6425</v>
      </c>
      <c r="P682" s="312"/>
      <c r="Q682" s="312"/>
      <c r="R682" s="312"/>
      <c r="S682" s="312"/>
      <c r="T682" s="312"/>
      <c r="U682" s="312"/>
      <c r="V682" s="312"/>
      <c r="W682" s="312"/>
      <c r="X682" s="312"/>
      <c r="Y682" s="312"/>
      <c r="Z682" s="312"/>
      <c r="AA682" s="312"/>
      <c r="AB682" s="312"/>
      <c r="AC682" s="312"/>
      <c r="AD682" s="286"/>
      <c r="AE682" s="286"/>
      <c r="AF682" s="286"/>
      <c r="AG682" s="286"/>
      <c r="AH682" s="286"/>
      <c r="AI682" s="286"/>
      <c r="AJ682" s="286"/>
      <c r="AK682" s="286"/>
      <c r="AL682" s="286"/>
      <c r="AM682" s="286"/>
      <c r="AN682" s="286"/>
      <c r="AO682" s="75"/>
      <c r="AP682" s="75"/>
      <c r="AQ682" s="75"/>
      <c r="AR682" s="75"/>
      <c r="AS682" s="75"/>
      <c r="AT682" s="75"/>
      <c r="AU682" s="75"/>
      <c r="AV682" s="75"/>
      <c r="AW682" s="75"/>
      <c r="AX682" s="75"/>
    </row>
    <row r="683" ht="15.75" customHeight="1">
      <c r="A683" s="280" t="s">
        <v>1306</v>
      </c>
      <c r="B683" s="281" t="s">
        <v>5519</v>
      </c>
      <c r="C683" s="27" t="s">
        <v>6434</v>
      </c>
      <c r="D683" s="27" t="s">
        <v>6436</v>
      </c>
      <c r="E683" s="27" t="s">
        <v>6444</v>
      </c>
      <c r="F683" s="45"/>
      <c r="G683" s="45"/>
      <c r="H683" s="45"/>
      <c r="I683" s="286"/>
      <c r="J683" s="287"/>
      <c r="K683" s="286"/>
      <c r="L683" s="286"/>
      <c r="M683" s="286"/>
      <c r="N683" s="286"/>
      <c r="O683" s="357" t="s">
        <v>6445</v>
      </c>
      <c r="P683" s="286"/>
      <c r="Q683" s="290" t="s">
        <v>150</v>
      </c>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75"/>
      <c r="AP683" s="75"/>
      <c r="AQ683" s="75"/>
      <c r="AR683" s="75"/>
      <c r="AS683" s="75"/>
      <c r="AT683" s="75"/>
      <c r="AU683" s="75"/>
      <c r="AV683" s="75"/>
      <c r="AW683" s="75"/>
      <c r="AX683" s="75"/>
    </row>
    <row r="684" ht="15.75" customHeight="1">
      <c r="A684" s="280" t="s">
        <v>3649</v>
      </c>
      <c r="B684" s="281" t="s">
        <v>5529</v>
      </c>
      <c r="C684" s="27" t="s">
        <v>6450</v>
      </c>
      <c r="D684" s="27" t="s">
        <v>6451</v>
      </c>
      <c r="E684" s="27" t="s">
        <v>6452</v>
      </c>
      <c r="F684" s="45"/>
      <c r="G684" s="45"/>
      <c r="H684" s="45"/>
      <c r="I684" s="286"/>
      <c r="J684" s="287"/>
      <c r="K684" s="286"/>
      <c r="L684" s="286"/>
      <c r="M684" s="286"/>
      <c r="N684" s="286"/>
      <c r="O684" s="357" t="s">
        <v>6454</v>
      </c>
      <c r="P684" s="286"/>
      <c r="Q684" s="290" t="s">
        <v>150</v>
      </c>
      <c r="R684" s="286"/>
      <c r="S684" s="286"/>
      <c r="T684" s="286"/>
      <c r="U684" s="286"/>
      <c r="V684" s="286"/>
      <c r="W684" s="286"/>
      <c r="X684" s="286"/>
      <c r="Y684" s="286"/>
      <c r="Z684" s="286"/>
      <c r="AA684" s="286"/>
      <c r="AB684" s="286"/>
      <c r="AC684" s="286"/>
      <c r="AD684" s="284"/>
      <c r="AE684" s="284"/>
      <c r="AF684" s="284"/>
      <c r="AG684" s="284"/>
      <c r="AH684" s="284"/>
      <c r="AI684" s="284"/>
      <c r="AJ684" s="284"/>
      <c r="AK684" s="284"/>
      <c r="AL684" s="284"/>
      <c r="AM684" s="284"/>
      <c r="AN684" s="284"/>
      <c r="AO684" s="75"/>
      <c r="AP684" s="75"/>
      <c r="AQ684" s="75"/>
      <c r="AR684" s="75"/>
      <c r="AS684" s="75"/>
      <c r="AT684" s="75"/>
      <c r="AU684" s="75"/>
      <c r="AV684" s="75"/>
      <c r="AW684" s="75"/>
      <c r="AX684" s="75"/>
    </row>
    <row r="685" ht="15.75" customHeight="1">
      <c r="A685" s="282" t="s">
        <v>252</v>
      </c>
      <c r="B685" s="283" t="s">
        <v>5533</v>
      </c>
      <c r="C685" s="27" t="s">
        <v>6456</v>
      </c>
      <c r="D685" s="27" t="s">
        <v>6457</v>
      </c>
      <c r="E685" s="27" t="s">
        <v>6458</v>
      </c>
      <c r="F685" s="45"/>
      <c r="G685" s="45"/>
      <c r="H685" s="45"/>
      <c r="I685" s="293"/>
      <c r="J685" s="294"/>
      <c r="K685" s="293"/>
      <c r="L685" s="293"/>
      <c r="M685" s="293"/>
      <c r="N685" s="293"/>
      <c r="O685" s="296" t="s">
        <v>6460</v>
      </c>
      <c r="P685" s="293"/>
      <c r="Q685" s="293"/>
      <c r="R685" s="293"/>
      <c r="S685" s="293"/>
      <c r="T685" s="293"/>
      <c r="U685" s="293"/>
      <c r="V685" s="293"/>
      <c r="W685" s="293"/>
      <c r="X685" s="293"/>
      <c r="Y685" s="293"/>
      <c r="Z685" s="293"/>
      <c r="AA685" s="293"/>
      <c r="AB685" s="293"/>
      <c r="AC685" s="293"/>
      <c r="AD685" s="284"/>
      <c r="AE685" s="284"/>
      <c r="AF685" s="284"/>
      <c r="AG685" s="284"/>
      <c r="AH685" s="284"/>
      <c r="AI685" s="284"/>
      <c r="AJ685" s="284"/>
      <c r="AK685" s="284"/>
      <c r="AL685" s="284"/>
      <c r="AM685" s="284"/>
      <c r="AN685" s="284"/>
      <c r="AO685" s="75"/>
      <c r="AP685" s="75"/>
      <c r="AQ685" s="75"/>
      <c r="AR685" s="75"/>
      <c r="AS685" s="75"/>
      <c r="AT685" s="75"/>
      <c r="AU685" s="75"/>
      <c r="AV685" s="75"/>
      <c r="AW685" s="75"/>
      <c r="AX685" s="75"/>
    </row>
    <row r="686" ht="15.75" customHeight="1">
      <c r="A686" s="280" t="s">
        <v>1306</v>
      </c>
      <c r="B686" s="281" t="s">
        <v>5540</v>
      </c>
      <c r="C686" s="27" t="s">
        <v>6465</v>
      </c>
      <c r="D686" s="27" t="s">
        <v>6466</v>
      </c>
      <c r="E686" s="27" t="s">
        <v>6467</v>
      </c>
      <c r="F686" s="45"/>
      <c r="G686" s="45"/>
      <c r="H686" s="45"/>
      <c r="I686" s="286"/>
      <c r="J686" s="287"/>
      <c r="K686" s="286"/>
      <c r="L686" s="286"/>
      <c r="M686" s="286"/>
      <c r="N686" s="286"/>
      <c r="O686" s="290" t="s">
        <v>6469</v>
      </c>
      <c r="P686" s="286"/>
      <c r="Q686" s="290" t="s">
        <v>150</v>
      </c>
      <c r="R686" s="286"/>
      <c r="S686" s="286"/>
      <c r="T686" s="286"/>
      <c r="U686" s="286"/>
      <c r="V686" s="286"/>
      <c r="W686" s="286"/>
      <c r="X686" s="286"/>
      <c r="Y686" s="286"/>
      <c r="Z686" s="286"/>
      <c r="AA686" s="286"/>
      <c r="AB686" s="286"/>
      <c r="AC686" s="286"/>
      <c r="AD686" s="75"/>
      <c r="AE686" s="75"/>
      <c r="AF686" s="75"/>
      <c r="AG686" s="75"/>
      <c r="AH686" s="75"/>
      <c r="AI686" s="75"/>
      <c r="AJ686" s="75"/>
      <c r="AK686" s="75"/>
      <c r="AL686" s="312"/>
      <c r="AM686" s="312"/>
      <c r="AN686" s="312"/>
      <c r="AO686" s="75"/>
      <c r="AP686" s="75"/>
      <c r="AQ686" s="75"/>
      <c r="AR686" s="75"/>
      <c r="AS686" s="75"/>
      <c r="AT686" s="75"/>
      <c r="AU686" s="75"/>
      <c r="AV686" s="75"/>
      <c r="AW686" s="75"/>
      <c r="AX686" s="75"/>
    </row>
    <row r="687" ht="15.75" customHeight="1">
      <c r="A687" s="291" t="s">
        <v>268</v>
      </c>
      <c r="B687" s="292" t="s">
        <v>5544</v>
      </c>
      <c r="C687" s="27" t="s">
        <v>6474</v>
      </c>
      <c r="D687" s="27" t="s">
        <v>6475</v>
      </c>
      <c r="E687" s="27" t="s">
        <v>6476</v>
      </c>
      <c r="F687" s="45"/>
      <c r="G687" s="45"/>
      <c r="H687" s="45"/>
      <c r="I687" s="306"/>
      <c r="J687" s="306"/>
      <c r="K687" s="307" t="s">
        <v>2550</v>
      </c>
      <c r="L687" s="308"/>
      <c r="M687" s="306"/>
      <c r="N687" s="306"/>
      <c r="O687" s="309" t="s">
        <v>6479</v>
      </c>
      <c r="P687" s="306"/>
      <c r="Q687" s="309" t="s">
        <v>150</v>
      </c>
      <c r="R687" s="306"/>
      <c r="S687" s="306"/>
      <c r="T687" s="306"/>
      <c r="U687" s="306"/>
      <c r="V687" s="306"/>
      <c r="W687" s="306"/>
      <c r="X687" s="306"/>
      <c r="Y687" s="306"/>
      <c r="Z687" s="306"/>
      <c r="AA687" s="306"/>
      <c r="AB687" s="306"/>
      <c r="AC687" s="306"/>
      <c r="AD687" s="75"/>
      <c r="AE687" s="75"/>
      <c r="AF687" s="75"/>
      <c r="AG687" s="75"/>
      <c r="AH687" s="75"/>
      <c r="AI687" s="75"/>
      <c r="AJ687" s="75"/>
      <c r="AK687" s="75"/>
      <c r="AL687" s="312"/>
      <c r="AM687" s="312"/>
      <c r="AN687" s="312"/>
      <c r="AO687" s="75"/>
      <c r="AP687" s="75"/>
      <c r="AQ687" s="75"/>
      <c r="AR687" s="75"/>
      <c r="AS687" s="75"/>
      <c r="AT687" s="75"/>
      <c r="AU687" s="75"/>
      <c r="AV687" s="75"/>
      <c r="AW687" s="75"/>
      <c r="AX687" s="75"/>
    </row>
    <row r="688" ht="15.75" customHeight="1">
      <c r="A688" s="280" t="s">
        <v>5551</v>
      </c>
      <c r="B688" s="281" t="s">
        <v>5552</v>
      </c>
      <c r="C688" s="27" t="s">
        <v>6481</v>
      </c>
      <c r="D688" s="27" t="s">
        <v>6482</v>
      </c>
      <c r="E688" s="27" t="s">
        <v>6483</v>
      </c>
      <c r="F688" s="45" t="s">
        <v>1920</v>
      </c>
      <c r="G688" s="45" t="s">
        <v>6183</v>
      </c>
      <c r="H688" s="45" t="s">
        <v>1922</v>
      </c>
      <c r="I688" s="286"/>
      <c r="J688" s="287"/>
      <c r="K688" s="286"/>
      <c r="L688" s="286"/>
      <c r="M688" s="286"/>
      <c r="N688" s="286"/>
      <c r="O688" s="290" t="s">
        <v>6512</v>
      </c>
      <c r="P688" s="290" t="s">
        <v>150</v>
      </c>
      <c r="Q688" s="290" t="s">
        <v>150</v>
      </c>
      <c r="R688" s="286"/>
      <c r="S688" s="286"/>
      <c r="T688" s="286"/>
      <c r="U688" s="286"/>
      <c r="V688" s="286"/>
      <c r="W688" s="286"/>
      <c r="X688" s="286"/>
      <c r="Y688" s="286"/>
      <c r="Z688" s="286"/>
      <c r="AA688" s="286"/>
      <c r="AB688" s="286"/>
      <c r="AC688" s="286"/>
      <c r="AD688" s="75"/>
      <c r="AE688" s="75"/>
      <c r="AF688" s="75"/>
      <c r="AG688" s="75"/>
      <c r="AH688" s="75"/>
      <c r="AI688" s="75"/>
      <c r="AJ688" s="75"/>
      <c r="AK688" s="75"/>
      <c r="AL688" s="312"/>
      <c r="AM688" s="312"/>
      <c r="AN688" s="312"/>
      <c r="AO688" s="75"/>
      <c r="AP688" s="75"/>
      <c r="AQ688" s="75"/>
      <c r="AR688" s="75"/>
      <c r="AS688" s="75"/>
      <c r="AT688" s="75"/>
      <c r="AU688" s="75"/>
      <c r="AV688" s="75"/>
      <c r="AW688" s="75"/>
      <c r="AX688" s="75"/>
    </row>
    <row r="689" ht="15.75" customHeight="1">
      <c r="A689" s="280" t="s">
        <v>1306</v>
      </c>
      <c r="B689" s="281" t="s">
        <v>5556</v>
      </c>
      <c r="C689" s="27" t="s">
        <v>6514</v>
      </c>
      <c r="D689" s="27" t="s">
        <v>6515</v>
      </c>
      <c r="E689" s="27" t="s">
        <v>6516</v>
      </c>
      <c r="F689" s="45"/>
      <c r="G689" s="45"/>
      <c r="H689" s="45"/>
      <c r="I689" s="286"/>
      <c r="J689" s="287"/>
      <c r="K689" s="286"/>
      <c r="L689" s="286"/>
      <c r="M689" s="286"/>
      <c r="N689" s="286"/>
      <c r="O689" s="290" t="s">
        <v>6521</v>
      </c>
      <c r="P689" s="286"/>
      <c r="Q689" s="290" t="s">
        <v>150</v>
      </c>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75"/>
      <c r="AP689" s="75"/>
      <c r="AQ689" s="75"/>
      <c r="AR689" s="75"/>
      <c r="AS689" s="75"/>
      <c r="AT689" s="75"/>
      <c r="AU689" s="75"/>
      <c r="AV689" s="75"/>
      <c r="AW689" s="75"/>
      <c r="AX689" s="75"/>
    </row>
    <row r="690" ht="15.75" customHeight="1">
      <c r="A690" s="280" t="s">
        <v>5560</v>
      </c>
      <c r="B690" s="281" t="s">
        <v>5561</v>
      </c>
      <c r="C690" s="27" t="s">
        <v>6536</v>
      </c>
      <c r="D690" s="27" t="s">
        <v>6537</v>
      </c>
      <c r="E690" s="27" t="s">
        <v>6538</v>
      </c>
      <c r="F690" s="45"/>
      <c r="G690" s="45"/>
      <c r="H690" s="45"/>
      <c r="I690" s="286"/>
      <c r="J690" s="287"/>
      <c r="K690" s="286"/>
      <c r="L690" s="286"/>
      <c r="M690" s="286"/>
      <c r="N690" s="286"/>
      <c r="O690" s="290" t="s">
        <v>6540</v>
      </c>
      <c r="P690" s="286"/>
      <c r="Q690" s="290" t="s">
        <v>150</v>
      </c>
      <c r="R690" s="286"/>
      <c r="S690" s="286"/>
      <c r="T690" s="286"/>
      <c r="U690" s="286"/>
      <c r="V690" s="286"/>
      <c r="W690" s="286"/>
      <c r="X690" s="286"/>
      <c r="Y690" s="286"/>
      <c r="Z690" s="286"/>
      <c r="AA690" s="286"/>
      <c r="AB690" s="286"/>
      <c r="AC690" s="286"/>
      <c r="AD690" s="286"/>
      <c r="AE690" s="286"/>
      <c r="AF690" s="286"/>
      <c r="AG690" s="286"/>
      <c r="AH690" s="286"/>
      <c r="AI690" s="286"/>
      <c r="AJ690" s="286"/>
      <c r="AK690" s="286"/>
      <c r="AL690" s="286"/>
      <c r="AM690" s="286"/>
      <c r="AN690" s="286"/>
      <c r="AO690" s="75"/>
      <c r="AP690" s="75"/>
      <c r="AQ690" s="75"/>
      <c r="AR690" s="75"/>
      <c r="AS690" s="75"/>
      <c r="AT690" s="75"/>
      <c r="AU690" s="75"/>
      <c r="AV690" s="75"/>
      <c r="AW690" s="75"/>
      <c r="AX690" s="75"/>
    </row>
    <row r="691" ht="15.75" customHeight="1">
      <c r="A691" s="291" t="s">
        <v>268</v>
      </c>
      <c r="B691" s="292" t="s">
        <v>5565</v>
      </c>
      <c r="C691" s="27" t="s">
        <v>6544</v>
      </c>
      <c r="D691" s="27" t="s">
        <v>6545</v>
      </c>
      <c r="E691" s="27" t="s">
        <v>6546</v>
      </c>
      <c r="F691" s="45"/>
      <c r="G691" s="45"/>
      <c r="H691" s="45"/>
      <c r="I691" s="306"/>
      <c r="J691" s="306"/>
      <c r="K691" s="307" t="s">
        <v>6547</v>
      </c>
      <c r="L691" s="308"/>
      <c r="M691" s="306"/>
      <c r="N691" s="306"/>
      <c r="O691" s="309" t="s">
        <v>6548</v>
      </c>
      <c r="P691" s="306"/>
      <c r="Q691" s="309" t="s">
        <v>150</v>
      </c>
      <c r="R691" s="306"/>
      <c r="S691" s="306"/>
      <c r="T691" s="306"/>
      <c r="U691" s="306"/>
      <c r="V691" s="306"/>
      <c r="W691" s="306"/>
      <c r="X691" s="306"/>
      <c r="Y691" s="359"/>
      <c r="Z691" s="306"/>
      <c r="AA691" s="306"/>
      <c r="AB691" s="306"/>
      <c r="AC691" s="306"/>
      <c r="AD691" s="75"/>
      <c r="AE691" s="75"/>
      <c r="AF691" s="75"/>
      <c r="AG691" s="75"/>
      <c r="AH691" s="75"/>
      <c r="AI691" s="75"/>
      <c r="AJ691" s="75"/>
      <c r="AK691" s="75"/>
      <c r="AL691" s="306"/>
      <c r="AM691" s="306"/>
      <c r="AN691" s="306"/>
      <c r="AO691" s="75"/>
      <c r="AP691" s="75"/>
      <c r="AQ691" s="75"/>
      <c r="AR691" s="75"/>
      <c r="AS691" s="75"/>
      <c r="AT691" s="75"/>
      <c r="AU691" s="75"/>
      <c r="AV691" s="75"/>
      <c r="AW691" s="75"/>
      <c r="AX691" s="75"/>
    </row>
    <row r="692" ht="15.75" customHeight="1">
      <c r="A692" s="291" t="s">
        <v>268</v>
      </c>
      <c r="B692" s="292" t="s">
        <v>5569</v>
      </c>
      <c r="C692" s="27" t="s">
        <v>6553</v>
      </c>
      <c r="D692" s="27" t="s">
        <v>6554</v>
      </c>
      <c r="E692" s="27" t="s">
        <v>6555</v>
      </c>
      <c r="F692" s="45"/>
      <c r="G692" s="45"/>
      <c r="H692" s="45"/>
      <c r="I692" s="306"/>
      <c r="J692" s="306"/>
      <c r="K692" s="307" t="s">
        <v>6556</v>
      </c>
      <c r="L692" s="307" t="s">
        <v>6557</v>
      </c>
      <c r="M692" s="306"/>
      <c r="N692" s="306"/>
      <c r="O692" s="309" t="s">
        <v>6540</v>
      </c>
      <c r="P692" s="306"/>
      <c r="Q692" s="309" t="s">
        <v>150</v>
      </c>
      <c r="R692" s="306"/>
      <c r="S692" s="306"/>
      <c r="T692" s="306"/>
      <c r="U692" s="306"/>
      <c r="V692" s="306"/>
      <c r="W692" s="306"/>
      <c r="X692" s="306"/>
      <c r="Y692" s="306"/>
      <c r="Z692" s="306"/>
      <c r="AA692" s="306"/>
      <c r="AB692" s="306"/>
      <c r="AC692" s="306"/>
      <c r="AD692" s="306"/>
      <c r="AE692" s="306"/>
      <c r="AF692" s="306"/>
      <c r="AG692" s="306"/>
      <c r="AH692" s="306"/>
      <c r="AI692" s="306"/>
      <c r="AJ692" s="306"/>
      <c r="AK692" s="306"/>
      <c r="AL692" s="306"/>
      <c r="AM692" s="306"/>
      <c r="AN692" s="306"/>
      <c r="AO692" s="75"/>
      <c r="AP692" s="75"/>
      <c r="AQ692" s="75"/>
      <c r="AR692" s="75"/>
      <c r="AS692" s="75"/>
      <c r="AT692" s="75"/>
      <c r="AU692" s="75"/>
      <c r="AV692" s="75"/>
      <c r="AW692" s="75"/>
      <c r="AX692" s="75"/>
    </row>
    <row r="693" ht="15.75" customHeight="1">
      <c r="A693" s="291" t="s">
        <v>268</v>
      </c>
      <c r="B693" s="292" t="s">
        <v>5573</v>
      </c>
      <c r="C693" s="27" t="s">
        <v>6559</v>
      </c>
      <c r="D693" s="27" t="s">
        <v>6560</v>
      </c>
      <c r="E693" s="27" t="s">
        <v>6561</v>
      </c>
      <c r="F693" s="45"/>
      <c r="G693" s="45"/>
      <c r="H693" s="45"/>
      <c r="I693" s="306"/>
      <c r="J693" s="306"/>
      <c r="K693" s="307" t="s">
        <v>6556</v>
      </c>
      <c r="L693" s="307" t="s">
        <v>6557</v>
      </c>
      <c r="M693" s="306"/>
      <c r="N693" s="306"/>
      <c r="O693" s="309" t="s">
        <v>6540</v>
      </c>
      <c r="P693" s="306"/>
      <c r="Q693" s="309" t="s">
        <v>150</v>
      </c>
      <c r="R693" s="306"/>
      <c r="S693" s="306"/>
      <c r="T693" s="306"/>
      <c r="U693" s="306"/>
      <c r="V693" s="306"/>
      <c r="W693" s="306"/>
      <c r="X693" s="306"/>
      <c r="Y693" s="306"/>
      <c r="Z693" s="306"/>
      <c r="AA693" s="306"/>
      <c r="AB693" s="306"/>
      <c r="AC693" s="306"/>
      <c r="AD693" s="306"/>
      <c r="AE693" s="306"/>
      <c r="AF693" s="306"/>
      <c r="AG693" s="306"/>
      <c r="AH693" s="306"/>
      <c r="AI693" s="306"/>
      <c r="AJ693" s="306"/>
      <c r="AK693" s="306"/>
      <c r="AL693" s="306"/>
      <c r="AM693" s="306"/>
      <c r="AN693" s="306"/>
      <c r="AO693" s="75"/>
      <c r="AP693" s="75"/>
      <c r="AQ693" s="75"/>
      <c r="AR693" s="75"/>
      <c r="AS693" s="75"/>
      <c r="AT693" s="75"/>
      <c r="AU693" s="75"/>
      <c r="AV693" s="75"/>
      <c r="AW693" s="75"/>
      <c r="AX693" s="75"/>
    </row>
    <row r="694" ht="15.75" customHeight="1">
      <c r="A694" s="280" t="s">
        <v>2509</v>
      </c>
      <c r="B694" s="281" t="s">
        <v>5580</v>
      </c>
      <c r="C694" s="27" t="s">
        <v>6570</v>
      </c>
      <c r="D694" s="27" t="s">
        <v>6571</v>
      </c>
      <c r="E694" s="27" t="s">
        <v>6572</v>
      </c>
      <c r="F694" s="45"/>
      <c r="G694" s="45"/>
      <c r="H694" s="45"/>
      <c r="I694" s="286"/>
      <c r="J694" s="287"/>
      <c r="K694" s="286"/>
      <c r="L694" s="286"/>
      <c r="M694" s="286"/>
      <c r="N694" s="286"/>
      <c r="O694" s="280" t="s">
        <v>6577</v>
      </c>
      <c r="P694" s="286"/>
      <c r="Q694" s="290" t="s">
        <v>150</v>
      </c>
      <c r="R694" s="286"/>
      <c r="S694" s="286"/>
      <c r="T694" s="286"/>
      <c r="U694" s="286"/>
      <c r="V694" s="286"/>
      <c r="W694" s="286"/>
      <c r="X694" s="286"/>
      <c r="Y694" s="286"/>
      <c r="Z694" s="286"/>
      <c r="AA694" s="286"/>
      <c r="AB694" s="286"/>
      <c r="AC694" s="286"/>
      <c r="AD694" s="75"/>
      <c r="AE694" s="75"/>
      <c r="AF694" s="75"/>
      <c r="AG694" s="75"/>
      <c r="AH694" s="75"/>
      <c r="AI694" s="75"/>
      <c r="AJ694" s="75"/>
      <c r="AK694" s="75"/>
      <c r="AL694" s="312"/>
      <c r="AM694" s="312"/>
      <c r="AN694" s="312"/>
      <c r="AO694" s="75"/>
      <c r="AP694" s="75"/>
      <c r="AQ694" s="75"/>
      <c r="AR694" s="75"/>
      <c r="AS694" s="75"/>
      <c r="AT694" s="75"/>
      <c r="AU694" s="75"/>
      <c r="AV694" s="75"/>
      <c r="AW694" s="75"/>
      <c r="AX694" s="75"/>
    </row>
    <row r="695" ht="15.75" customHeight="1">
      <c r="A695" s="291" t="s">
        <v>268</v>
      </c>
      <c r="B695" s="292" t="s">
        <v>5581</v>
      </c>
      <c r="C695" s="27" t="s">
        <v>6580</v>
      </c>
      <c r="D695" s="27" t="s">
        <v>6581</v>
      </c>
      <c r="E695" s="27" t="s">
        <v>6582</v>
      </c>
      <c r="F695" s="45"/>
      <c r="G695" s="45"/>
      <c r="H695" s="45"/>
      <c r="I695" s="306"/>
      <c r="J695" s="306"/>
      <c r="K695" s="307" t="s">
        <v>6584</v>
      </c>
      <c r="L695" s="308"/>
      <c r="M695" s="306"/>
      <c r="N695" s="306"/>
      <c r="O695" s="309" t="s">
        <v>6587</v>
      </c>
      <c r="P695" s="306"/>
      <c r="Q695" s="309" t="s">
        <v>150</v>
      </c>
      <c r="R695" s="306"/>
      <c r="S695" s="306"/>
      <c r="T695" s="306"/>
      <c r="U695" s="306"/>
      <c r="V695" s="306"/>
      <c r="W695" s="306"/>
      <c r="X695" s="306"/>
      <c r="Y695" s="306"/>
      <c r="Z695" s="306"/>
      <c r="AA695" s="306"/>
      <c r="AB695" s="306"/>
      <c r="AC695" s="306"/>
      <c r="AD695" s="75"/>
      <c r="AE695" s="75"/>
      <c r="AF695" s="75"/>
      <c r="AG695" s="75"/>
      <c r="AH695" s="75"/>
      <c r="AI695" s="75"/>
      <c r="AJ695" s="75"/>
      <c r="AK695" s="75"/>
      <c r="AL695" s="312"/>
      <c r="AM695" s="312"/>
      <c r="AN695" s="312"/>
      <c r="AO695" s="75"/>
      <c r="AP695" s="75"/>
      <c r="AQ695" s="75"/>
      <c r="AR695" s="75"/>
      <c r="AS695" s="75"/>
      <c r="AT695" s="75"/>
      <c r="AU695" s="75"/>
      <c r="AV695" s="75"/>
      <c r="AW695" s="75"/>
      <c r="AX695" s="75"/>
    </row>
    <row r="696" ht="15.75" customHeight="1">
      <c r="A696" s="298" t="s">
        <v>237</v>
      </c>
      <c r="B696" s="310" t="s">
        <v>5588</v>
      </c>
      <c r="C696" s="226"/>
      <c r="D696" s="226"/>
      <c r="E696" s="226"/>
      <c r="F696" s="312"/>
      <c r="G696" s="312"/>
      <c r="H696" s="312"/>
      <c r="I696" s="312"/>
      <c r="J696" s="312"/>
      <c r="K696" s="312"/>
      <c r="L696" s="312"/>
      <c r="M696" s="312"/>
      <c r="N696" s="312"/>
      <c r="O696" s="312"/>
      <c r="P696" s="312"/>
      <c r="Q696" s="312"/>
      <c r="R696" s="312"/>
      <c r="S696" s="312"/>
      <c r="T696" s="312"/>
      <c r="U696" s="312"/>
      <c r="V696" s="312"/>
      <c r="W696" s="312"/>
      <c r="X696" s="312"/>
      <c r="Y696" s="312"/>
      <c r="Z696" s="312"/>
      <c r="AA696" s="312"/>
      <c r="AB696" s="312"/>
      <c r="AC696" s="312"/>
      <c r="AD696" s="75"/>
      <c r="AE696" s="75"/>
      <c r="AF696" s="75"/>
      <c r="AG696" s="75"/>
      <c r="AH696" s="75"/>
      <c r="AI696" s="75"/>
      <c r="AJ696" s="75"/>
      <c r="AK696" s="75"/>
      <c r="AL696" s="75"/>
      <c r="AM696" s="75"/>
      <c r="AN696" s="75"/>
      <c r="AO696" s="75"/>
      <c r="AP696" s="75"/>
      <c r="AQ696" s="75"/>
      <c r="AR696" s="75"/>
      <c r="AS696" s="75"/>
      <c r="AT696" s="75"/>
      <c r="AU696" s="75"/>
      <c r="AV696" s="75"/>
      <c r="AW696" s="75"/>
      <c r="AX696" s="75"/>
    </row>
    <row r="697" ht="15.75" customHeight="1">
      <c r="A697" s="320"/>
      <c r="B697" s="321"/>
      <c r="C697" s="191"/>
      <c r="D697" s="191"/>
      <c r="E697" s="191"/>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row>
    <row r="698" ht="15.75" customHeight="1">
      <c r="A698" s="298" t="s">
        <v>133</v>
      </c>
      <c r="B698" s="299" t="s">
        <v>5592</v>
      </c>
      <c r="C698" s="147" t="s">
        <v>5593</v>
      </c>
      <c r="D698" s="147"/>
      <c r="E698" s="147"/>
      <c r="F698" s="312"/>
      <c r="G698" s="312"/>
      <c r="H698" s="312"/>
      <c r="I698" s="312"/>
      <c r="J698" s="313"/>
      <c r="K698" s="312"/>
      <c r="L698" s="312"/>
      <c r="M698" s="313"/>
      <c r="N698" s="313"/>
      <c r="O698" s="314" t="s">
        <v>6606</v>
      </c>
      <c r="P698" s="312"/>
      <c r="Q698" s="312"/>
      <c r="R698" s="312"/>
      <c r="S698" s="312"/>
      <c r="T698" s="312"/>
      <c r="U698" s="312"/>
      <c r="V698" s="312"/>
      <c r="W698" s="312"/>
      <c r="X698" s="312"/>
      <c r="Y698" s="312"/>
      <c r="Z698" s="312"/>
      <c r="AA698" s="312"/>
      <c r="AB698" s="312"/>
      <c r="AC698" s="312"/>
      <c r="AD698" s="75"/>
      <c r="AE698" s="75"/>
      <c r="AF698" s="75"/>
      <c r="AG698" s="75"/>
      <c r="AH698" s="75"/>
      <c r="AI698" s="75"/>
      <c r="AJ698" s="75"/>
      <c r="AK698" s="75"/>
      <c r="AL698" s="75"/>
      <c r="AM698" s="75"/>
      <c r="AN698" s="75"/>
      <c r="AO698" s="75"/>
      <c r="AP698" s="75"/>
      <c r="AQ698" s="75"/>
      <c r="AR698" s="75"/>
      <c r="AS698" s="75"/>
      <c r="AT698" s="75"/>
      <c r="AU698" s="75"/>
      <c r="AV698" s="75"/>
      <c r="AW698" s="75"/>
      <c r="AX698" s="75"/>
    </row>
    <row r="699" ht="15.75" customHeight="1">
      <c r="A699" s="278" t="s">
        <v>38</v>
      </c>
      <c r="B699" s="279" t="s">
        <v>5594</v>
      </c>
      <c r="C699" s="27" t="s">
        <v>6611</v>
      </c>
      <c r="D699" s="27" t="s">
        <v>6612</v>
      </c>
      <c r="E699" s="27" t="s">
        <v>6613</v>
      </c>
      <c r="F699" s="45"/>
      <c r="G699" s="45"/>
      <c r="H699" s="45"/>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75"/>
      <c r="AE699" s="75"/>
      <c r="AF699" s="75"/>
      <c r="AG699" s="75"/>
      <c r="AH699" s="75"/>
      <c r="AI699" s="75"/>
      <c r="AJ699" s="75"/>
      <c r="AK699" s="75"/>
      <c r="AL699" s="75"/>
      <c r="AM699" s="75"/>
      <c r="AN699" s="75"/>
      <c r="AO699" s="75"/>
      <c r="AP699" s="75"/>
      <c r="AQ699" s="75"/>
      <c r="AR699" s="75"/>
      <c r="AS699" s="75"/>
      <c r="AT699" s="75"/>
      <c r="AU699" s="75"/>
      <c r="AV699" s="75"/>
      <c r="AW699" s="75"/>
      <c r="AX699" s="75"/>
    </row>
    <row r="700" ht="15.75" customHeight="1">
      <c r="A700" s="280" t="s">
        <v>2509</v>
      </c>
      <c r="B700" s="281" t="s">
        <v>5595</v>
      </c>
      <c r="C700" s="63" t="s">
        <v>6619</v>
      </c>
      <c r="D700" s="63" t="s">
        <v>6620</v>
      </c>
      <c r="E700" s="63" t="s">
        <v>6621</v>
      </c>
      <c r="F700" s="45" t="s">
        <v>6622</v>
      </c>
      <c r="G700" s="45" t="s">
        <v>6623</v>
      </c>
      <c r="H700" s="45"/>
      <c r="I700" s="286"/>
      <c r="J700" s="287"/>
      <c r="K700" s="286"/>
      <c r="L700" s="286"/>
      <c r="M700" s="286"/>
      <c r="N700" s="286"/>
      <c r="O700" s="286"/>
      <c r="P700" s="286"/>
      <c r="Q700" s="290" t="s">
        <v>150</v>
      </c>
      <c r="R700" s="286"/>
      <c r="S700" s="286"/>
      <c r="T700" s="286"/>
      <c r="U700" s="286"/>
      <c r="V700" s="286"/>
      <c r="W700" s="286"/>
      <c r="X700" s="286"/>
      <c r="Y700" s="286"/>
      <c r="Z700" s="286"/>
      <c r="AA700" s="286"/>
      <c r="AB700" s="286"/>
      <c r="AC700" s="286"/>
      <c r="AD700" s="75"/>
      <c r="AE700" s="75"/>
      <c r="AF700" s="75"/>
      <c r="AG700" s="75"/>
      <c r="AH700" s="75"/>
      <c r="AI700" s="75"/>
      <c r="AJ700" s="75"/>
      <c r="AK700" s="75"/>
      <c r="AL700" s="75"/>
      <c r="AM700" s="75"/>
      <c r="AN700" s="75"/>
      <c r="AO700" s="75"/>
      <c r="AP700" s="75"/>
      <c r="AQ700" s="75"/>
      <c r="AR700" s="75"/>
      <c r="AS700" s="75"/>
      <c r="AT700" s="75"/>
      <c r="AU700" s="75"/>
      <c r="AV700" s="75"/>
      <c r="AW700" s="75"/>
      <c r="AX700" s="75"/>
    </row>
    <row r="701" ht="15.75" customHeight="1">
      <c r="A701" s="280" t="s">
        <v>5604</v>
      </c>
      <c r="B701" s="281" t="s">
        <v>5605</v>
      </c>
      <c r="C701" s="63" t="s">
        <v>6629</v>
      </c>
      <c r="D701" s="63" t="s">
        <v>6630</v>
      </c>
      <c r="E701" s="63" t="s">
        <v>6631</v>
      </c>
      <c r="F701" s="45" t="s">
        <v>1920</v>
      </c>
      <c r="G701" s="45" t="s">
        <v>6183</v>
      </c>
      <c r="H701" s="45" t="s">
        <v>1922</v>
      </c>
      <c r="I701" s="286"/>
      <c r="J701" s="287"/>
      <c r="K701" s="290" t="s">
        <v>6636</v>
      </c>
      <c r="L701" s="286"/>
      <c r="M701" s="286"/>
      <c r="N701" s="286"/>
      <c r="O701" s="280" t="s">
        <v>6637</v>
      </c>
      <c r="P701" s="286"/>
      <c r="Q701" s="290" t="s">
        <v>150</v>
      </c>
      <c r="R701" s="286"/>
      <c r="S701" s="286"/>
      <c r="T701" s="286"/>
      <c r="U701" s="286"/>
      <c r="V701" s="286"/>
      <c r="W701" s="286"/>
      <c r="X701" s="286"/>
      <c r="Y701" s="290" t="s">
        <v>6638</v>
      </c>
      <c r="Z701" s="286"/>
      <c r="AA701" s="286"/>
      <c r="AB701" s="286"/>
      <c r="AC701" s="286"/>
      <c r="AD701" s="75"/>
      <c r="AE701" s="75"/>
      <c r="AF701" s="75"/>
      <c r="AG701" s="75"/>
      <c r="AH701" s="75"/>
      <c r="AI701" s="75"/>
      <c r="AJ701" s="75"/>
      <c r="AK701" s="75"/>
      <c r="AL701" s="75"/>
      <c r="AM701" s="75"/>
      <c r="AN701" s="75"/>
      <c r="AO701" s="75"/>
      <c r="AP701" s="75"/>
      <c r="AQ701" s="75"/>
      <c r="AR701" s="75"/>
      <c r="AS701" s="75"/>
      <c r="AT701" s="75"/>
      <c r="AU701" s="75"/>
      <c r="AV701" s="75"/>
      <c r="AW701" s="75"/>
      <c r="AX701" s="75"/>
    </row>
    <row r="702" ht="15.75" customHeight="1">
      <c r="A702" s="282" t="s">
        <v>252</v>
      </c>
      <c r="B702" s="283" t="s">
        <v>5613</v>
      </c>
      <c r="C702" s="27" t="s">
        <v>5654</v>
      </c>
      <c r="D702" s="27" t="s">
        <v>5655</v>
      </c>
      <c r="E702" s="27" t="s">
        <v>5656</v>
      </c>
      <c r="F702" s="45"/>
      <c r="G702" s="45"/>
      <c r="H702" s="45"/>
      <c r="I702" s="293"/>
      <c r="J702" s="294"/>
      <c r="K702" s="293"/>
      <c r="L702" s="293"/>
      <c r="M702" s="293"/>
      <c r="N702" s="293"/>
      <c r="O702" s="296" t="s">
        <v>6647</v>
      </c>
      <c r="P702" s="293"/>
      <c r="Q702" s="296" t="s">
        <v>150</v>
      </c>
      <c r="R702" s="293"/>
      <c r="S702" s="293"/>
      <c r="T702" s="293"/>
      <c r="U702" s="293"/>
      <c r="V702" s="293"/>
      <c r="W702" s="293"/>
      <c r="X702" s="293"/>
      <c r="Y702" s="293"/>
      <c r="Z702" s="293"/>
      <c r="AA702" s="293"/>
      <c r="AB702" s="293"/>
      <c r="AC702" s="293"/>
      <c r="AD702" s="75"/>
      <c r="AE702" s="75"/>
      <c r="AF702" s="75"/>
      <c r="AG702" s="75"/>
      <c r="AH702" s="75"/>
      <c r="AI702" s="75"/>
      <c r="AJ702" s="75"/>
      <c r="AK702" s="75"/>
      <c r="AL702" s="75"/>
      <c r="AM702" s="75"/>
      <c r="AN702" s="75"/>
      <c r="AO702" s="75"/>
      <c r="AP702" s="75"/>
      <c r="AQ702" s="75"/>
      <c r="AR702" s="75"/>
      <c r="AS702" s="75"/>
      <c r="AT702" s="75"/>
      <c r="AU702" s="75"/>
      <c r="AV702" s="75"/>
      <c r="AW702" s="75"/>
      <c r="AX702" s="75"/>
    </row>
    <row r="703" ht="15.75" customHeight="1">
      <c r="A703" s="168" t="s">
        <v>68</v>
      </c>
      <c r="B703" s="71" t="s">
        <v>5617</v>
      </c>
      <c r="C703" s="72"/>
      <c r="D703" s="72"/>
      <c r="E703" s="72"/>
      <c r="F703" s="73"/>
      <c r="G703" s="73"/>
      <c r="H703" s="73"/>
      <c r="I703" s="73"/>
      <c r="J703" s="73"/>
      <c r="K703" s="73"/>
      <c r="L703" s="73"/>
      <c r="M703" s="73"/>
      <c r="N703" s="73"/>
      <c r="O703" s="73"/>
      <c r="P703" s="73"/>
      <c r="Q703" s="73"/>
      <c r="R703" s="73"/>
      <c r="S703" s="73"/>
      <c r="T703" s="74" t="s">
        <v>6652</v>
      </c>
      <c r="U703" s="73"/>
      <c r="V703" s="73"/>
      <c r="W703" s="73"/>
      <c r="X703" s="73"/>
      <c r="Y703" s="73"/>
      <c r="Z703" s="73"/>
      <c r="AA703" s="73"/>
      <c r="AB703" s="73"/>
      <c r="AC703" s="73"/>
      <c r="AD703" s="75"/>
      <c r="AE703" s="75"/>
      <c r="AF703" s="75"/>
      <c r="AG703" s="75"/>
      <c r="AH703" s="75"/>
      <c r="AI703" s="75"/>
      <c r="AJ703" s="75"/>
      <c r="AK703" s="75"/>
      <c r="AL703" s="75"/>
      <c r="AM703" s="75"/>
      <c r="AN703" s="75"/>
      <c r="AO703" s="75"/>
      <c r="AP703" s="75"/>
      <c r="AQ703" s="75"/>
      <c r="AR703" s="75"/>
      <c r="AS703" s="75"/>
      <c r="AT703" s="75"/>
      <c r="AU703" s="75"/>
      <c r="AV703" s="75"/>
      <c r="AW703" s="75"/>
      <c r="AX703" s="75"/>
    </row>
    <row r="704" ht="15.75" customHeight="1">
      <c r="A704" s="168" t="s">
        <v>68</v>
      </c>
      <c r="B704" s="71" t="s">
        <v>5618</v>
      </c>
      <c r="C704" s="72"/>
      <c r="D704" s="72"/>
      <c r="E704" s="72"/>
      <c r="F704" s="73"/>
      <c r="G704" s="73"/>
      <c r="H704" s="73"/>
      <c r="I704" s="73"/>
      <c r="J704" s="73"/>
      <c r="K704" s="73"/>
      <c r="L704" s="73"/>
      <c r="M704" s="73"/>
      <c r="N704" s="73"/>
      <c r="O704" s="73"/>
      <c r="P704" s="73"/>
      <c r="Q704" s="73"/>
      <c r="R704" s="73"/>
      <c r="S704" s="73"/>
      <c r="T704" s="74" t="s">
        <v>6660</v>
      </c>
      <c r="U704" s="73"/>
      <c r="V704" s="73"/>
      <c r="W704" s="73"/>
      <c r="X704" s="73"/>
      <c r="Y704" s="73"/>
      <c r="Z704" s="73"/>
      <c r="AA704" s="73"/>
      <c r="AB704" s="73"/>
      <c r="AC704" s="73"/>
      <c r="AD704" s="75"/>
      <c r="AE704" s="75"/>
      <c r="AF704" s="75"/>
      <c r="AG704" s="75"/>
      <c r="AH704" s="75"/>
      <c r="AI704" s="75"/>
      <c r="AJ704" s="75"/>
      <c r="AK704" s="75"/>
      <c r="AL704" s="75"/>
      <c r="AM704" s="75"/>
      <c r="AN704" s="75"/>
      <c r="AO704" s="75"/>
      <c r="AP704" s="75"/>
      <c r="AQ704" s="75"/>
      <c r="AR704" s="75"/>
      <c r="AS704" s="75"/>
      <c r="AT704" s="75"/>
      <c r="AU704" s="75"/>
      <c r="AV704" s="75"/>
      <c r="AW704" s="75"/>
      <c r="AX704" s="75"/>
    </row>
    <row r="705" ht="15.75" customHeight="1">
      <c r="A705" s="168" t="s">
        <v>68</v>
      </c>
      <c r="B705" s="71" t="s">
        <v>5619</v>
      </c>
      <c r="C705" s="72" t="s">
        <v>5620</v>
      </c>
      <c r="D705" s="72"/>
      <c r="E705" s="72"/>
      <c r="F705" s="73"/>
      <c r="G705" s="73"/>
      <c r="H705" s="73"/>
      <c r="I705" s="73"/>
      <c r="J705" s="73"/>
      <c r="K705" s="73"/>
      <c r="L705" s="73"/>
      <c r="M705" s="73"/>
      <c r="N705" s="73"/>
      <c r="O705" s="73"/>
      <c r="P705" s="73"/>
      <c r="Q705" s="73"/>
      <c r="R705" s="73"/>
      <c r="S705" s="73"/>
      <c r="T705" s="74" t="s">
        <v>6669</v>
      </c>
      <c r="U705" s="73"/>
      <c r="V705" s="73"/>
      <c r="W705" s="73"/>
      <c r="X705" s="73"/>
      <c r="Y705" s="73"/>
      <c r="Z705" s="73"/>
      <c r="AA705" s="73"/>
      <c r="AB705" s="73"/>
      <c r="AC705" s="73"/>
      <c r="AD705" s="75"/>
      <c r="AE705" s="75"/>
      <c r="AF705" s="75"/>
      <c r="AG705" s="75"/>
      <c r="AH705" s="75"/>
      <c r="AI705" s="75"/>
      <c r="AJ705" s="75"/>
      <c r="AK705" s="75"/>
      <c r="AL705" s="75"/>
      <c r="AM705" s="75"/>
      <c r="AN705" s="75"/>
      <c r="AO705" s="75"/>
      <c r="AP705" s="75"/>
      <c r="AQ705" s="75"/>
      <c r="AR705" s="75"/>
      <c r="AS705" s="75"/>
      <c r="AT705" s="75"/>
      <c r="AU705" s="75"/>
      <c r="AV705" s="75"/>
      <c r="AW705" s="75"/>
      <c r="AX705" s="75"/>
    </row>
    <row r="706" ht="15.75" customHeight="1">
      <c r="A706" s="168" t="s">
        <v>68</v>
      </c>
      <c r="B706" s="71" t="s">
        <v>5621</v>
      </c>
      <c r="C706" s="72"/>
      <c r="D706" s="72"/>
      <c r="E706" s="72"/>
      <c r="F706" s="73"/>
      <c r="G706" s="73"/>
      <c r="H706" s="73"/>
      <c r="I706" s="73"/>
      <c r="J706" s="73"/>
      <c r="K706" s="73"/>
      <c r="L706" s="73"/>
      <c r="M706" s="73"/>
      <c r="N706" s="73"/>
      <c r="O706" s="73"/>
      <c r="P706" s="73"/>
      <c r="Q706" s="73"/>
      <c r="R706" s="73"/>
      <c r="S706" s="73"/>
      <c r="T706" s="74" t="s">
        <v>6675</v>
      </c>
      <c r="U706" s="73"/>
      <c r="V706" s="73"/>
      <c r="W706" s="73"/>
      <c r="X706" s="73"/>
      <c r="Y706" s="73"/>
      <c r="Z706" s="73"/>
      <c r="AA706" s="73"/>
      <c r="AB706" s="73"/>
      <c r="AC706" s="73"/>
      <c r="AD706" s="75"/>
      <c r="AE706" s="75"/>
      <c r="AF706" s="75"/>
      <c r="AG706" s="75"/>
      <c r="AH706" s="75"/>
      <c r="AI706" s="75"/>
      <c r="AJ706" s="75"/>
      <c r="AK706" s="75"/>
      <c r="AL706" s="75"/>
      <c r="AM706" s="75"/>
      <c r="AN706" s="75"/>
      <c r="AO706" s="75"/>
      <c r="AP706" s="75"/>
      <c r="AQ706" s="75"/>
      <c r="AR706" s="75"/>
      <c r="AS706" s="75"/>
      <c r="AT706" s="75"/>
      <c r="AU706" s="75"/>
      <c r="AV706" s="75"/>
      <c r="AW706" s="75"/>
      <c r="AX706" s="75"/>
    </row>
    <row r="707" ht="15.75" customHeight="1">
      <c r="A707" s="168" t="s">
        <v>127</v>
      </c>
      <c r="B707" s="71" t="s">
        <v>5622</v>
      </c>
      <c r="C707" s="72"/>
      <c r="D707" s="72"/>
      <c r="E707" s="72"/>
      <c r="F707" s="73"/>
      <c r="G707" s="73"/>
      <c r="H707" s="73"/>
      <c r="I707" s="73"/>
      <c r="J707" s="73"/>
      <c r="K707" s="73"/>
      <c r="L707" s="73"/>
      <c r="M707" s="73"/>
      <c r="N707" s="73"/>
      <c r="O707" s="73"/>
      <c r="P707" s="73"/>
      <c r="Q707" s="73"/>
      <c r="R707" s="73"/>
      <c r="S707" s="73"/>
      <c r="T707" s="74" t="s">
        <v>129</v>
      </c>
      <c r="U707" s="73"/>
      <c r="V707" s="73"/>
      <c r="W707" s="73"/>
      <c r="X707" s="73"/>
      <c r="Y707" s="73"/>
      <c r="Z707" s="73"/>
      <c r="AA707" s="73"/>
      <c r="AB707" s="73"/>
      <c r="AC707" s="73"/>
      <c r="AD707" s="75"/>
      <c r="AE707" s="75"/>
      <c r="AF707" s="75"/>
      <c r="AG707" s="75"/>
      <c r="AH707" s="75"/>
      <c r="AI707" s="75"/>
      <c r="AJ707" s="75"/>
      <c r="AK707" s="75"/>
      <c r="AL707" s="75"/>
      <c r="AM707" s="75"/>
      <c r="AN707" s="75"/>
      <c r="AO707" s="75"/>
      <c r="AP707" s="75"/>
      <c r="AQ707" s="75"/>
      <c r="AR707" s="75"/>
      <c r="AS707" s="75"/>
      <c r="AT707" s="75"/>
      <c r="AU707" s="75"/>
      <c r="AV707" s="75"/>
      <c r="AW707" s="75"/>
      <c r="AX707" s="75"/>
    </row>
    <row r="708" ht="15.75" customHeight="1">
      <c r="A708" s="285" t="s">
        <v>426</v>
      </c>
      <c r="B708" s="171" t="s">
        <v>5624</v>
      </c>
      <c r="C708" s="172" t="s">
        <v>5625</v>
      </c>
      <c r="D708" s="172"/>
      <c r="E708" s="172"/>
      <c r="F708" s="304"/>
      <c r="G708" s="304"/>
      <c r="H708" s="304"/>
      <c r="I708" s="304"/>
      <c r="J708" s="304"/>
      <c r="K708" s="304"/>
      <c r="L708" s="304"/>
      <c r="M708" s="305"/>
      <c r="N708" s="305"/>
      <c r="O708" s="176" t="s">
        <v>6716</v>
      </c>
      <c r="P708" s="304"/>
      <c r="Q708" s="304"/>
      <c r="R708" s="304"/>
      <c r="S708" s="304"/>
      <c r="T708" s="304"/>
      <c r="U708" s="176" t="s">
        <v>6717</v>
      </c>
      <c r="V708" s="304"/>
      <c r="W708" s="304"/>
      <c r="X708" s="304"/>
      <c r="Y708" s="304"/>
      <c r="Z708" s="304"/>
      <c r="AA708" s="304"/>
      <c r="AB708" s="304"/>
      <c r="AC708" s="304"/>
      <c r="AD708" s="75"/>
      <c r="AE708" s="75"/>
      <c r="AF708" s="75"/>
      <c r="AG708" s="75"/>
      <c r="AH708" s="75"/>
      <c r="AI708" s="75"/>
      <c r="AJ708" s="75"/>
      <c r="AK708" s="75"/>
      <c r="AL708" s="75"/>
      <c r="AM708" s="75"/>
      <c r="AN708" s="75"/>
      <c r="AO708" s="75"/>
      <c r="AP708" s="75"/>
      <c r="AQ708" s="75"/>
      <c r="AR708" s="75"/>
      <c r="AS708" s="75"/>
      <c r="AT708" s="75"/>
      <c r="AU708" s="75"/>
      <c r="AV708" s="75"/>
      <c r="AW708" s="75"/>
      <c r="AX708" s="75"/>
    </row>
    <row r="709" ht="15.75" customHeight="1">
      <c r="A709" s="168" t="s">
        <v>68</v>
      </c>
      <c r="B709" s="71" t="s">
        <v>5626</v>
      </c>
      <c r="C709" s="72" t="s">
        <v>5627</v>
      </c>
      <c r="D709" s="72"/>
      <c r="E709" s="72"/>
      <c r="F709" s="73"/>
      <c r="G709" s="73"/>
      <c r="H709" s="73"/>
      <c r="I709" s="73"/>
      <c r="J709" s="73"/>
      <c r="K709" s="73"/>
      <c r="L709" s="73"/>
      <c r="M709" s="73"/>
      <c r="N709" s="73"/>
      <c r="O709" s="73"/>
      <c r="P709" s="73"/>
      <c r="Q709" s="73"/>
      <c r="R709" s="73"/>
      <c r="S709" s="73"/>
      <c r="T709" s="74" t="s">
        <v>440</v>
      </c>
      <c r="U709" s="73"/>
      <c r="V709" s="73"/>
      <c r="W709" s="73"/>
      <c r="X709" s="73"/>
      <c r="Y709" s="73"/>
      <c r="Z709" s="73"/>
      <c r="AA709" s="73"/>
      <c r="AB709" s="73"/>
      <c r="AC709" s="73"/>
      <c r="AD709" s="75"/>
      <c r="AE709" s="75"/>
      <c r="AF709" s="75"/>
      <c r="AG709" s="75"/>
      <c r="AH709" s="75"/>
      <c r="AI709" s="75"/>
      <c r="AJ709" s="75"/>
      <c r="AK709" s="75"/>
      <c r="AL709" s="75"/>
      <c r="AM709" s="75"/>
      <c r="AN709" s="75"/>
      <c r="AO709" s="75"/>
      <c r="AP709" s="75"/>
      <c r="AQ709" s="75"/>
      <c r="AR709" s="75"/>
      <c r="AS709" s="75"/>
      <c r="AT709" s="75"/>
      <c r="AU709" s="75"/>
      <c r="AV709" s="75"/>
      <c r="AW709" s="75"/>
      <c r="AX709" s="75"/>
    </row>
    <row r="710" ht="15.75" customHeight="1">
      <c r="A710" s="168" t="s">
        <v>68</v>
      </c>
      <c r="B710" s="71" t="s">
        <v>5629</v>
      </c>
      <c r="C710" s="72" t="s">
        <v>5630</v>
      </c>
      <c r="D710" s="72"/>
      <c r="E710" s="72"/>
      <c r="F710" s="73"/>
      <c r="G710" s="73"/>
      <c r="H710" s="73"/>
      <c r="I710" s="73"/>
      <c r="J710" s="73"/>
      <c r="K710" s="73"/>
      <c r="L710" s="73"/>
      <c r="M710" s="73"/>
      <c r="N710" s="73"/>
      <c r="O710" s="73"/>
      <c r="P710" s="73"/>
      <c r="Q710" s="73"/>
      <c r="R710" s="73"/>
      <c r="S710" s="73"/>
      <c r="T710" s="74" t="s">
        <v>6734</v>
      </c>
      <c r="U710" s="73"/>
      <c r="V710" s="73"/>
      <c r="W710" s="73"/>
      <c r="X710" s="73"/>
      <c r="Y710" s="73"/>
      <c r="Z710" s="73"/>
      <c r="AA710" s="73"/>
      <c r="AB710" s="73"/>
      <c r="AC710" s="73"/>
      <c r="AD710" s="75"/>
      <c r="AE710" s="75"/>
      <c r="AF710" s="75"/>
      <c r="AG710" s="75"/>
      <c r="AH710" s="75"/>
      <c r="AI710" s="75"/>
      <c r="AJ710" s="75"/>
      <c r="AK710" s="75"/>
      <c r="AL710" s="75"/>
      <c r="AM710" s="75"/>
      <c r="AN710" s="75"/>
      <c r="AO710" s="75"/>
      <c r="AP710" s="75"/>
      <c r="AQ710" s="75"/>
      <c r="AR710" s="75"/>
      <c r="AS710" s="75"/>
      <c r="AT710" s="75"/>
      <c r="AU710" s="75"/>
      <c r="AV710" s="75"/>
      <c r="AW710" s="75"/>
      <c r="AX710" s="75"/>
    </row>
    <row r="711" ht="15.75" customHeight="1">
      <c r="A711" s="168" t="s">
        <v>68</v>
      </c>
      <c r="B711" s="71" t="s">
        <v>5632</v>
      </c>
      <c r="C711" s="72" t="s">
        <v>5633</v>
      </c>
      <c r="D711" s="72"/>
      <c r="E711" s="72"/>
      <c r="F711" s="73"/>
      <c r="G711" s="73"/>
      <c r="H711" s="73"/>
      <c r="I711" s="73"/>
      <c r="J711" s="73"/>
      <c r="K711" s="73"/>
      <c r="L711" s="73"/>
      <c r="M711" s="73"/>
      <c r="N711" s="73"/>
      <c r="O711" s="73"/>
      <c r="P711" s="73"/>
      <c r="Q711" s="73"/>
      <c r="R711" s="73"/>
      <c r="S711" s="73"/>
      <c r="T711" s="74" t="s">
        <v>6740</v>
      </c>
      <c r="U711" s="73"/>
      <c r="V711" s="73"/>
      <c r="W711" s="73"/>
      <c r="X711" s="73"/>
      <c r="Y711" s="73"/>
      <c r="Z711" s="73"/>
      <c r="AA711" s="73"/>
      <c r="AB711" s="73"/>
      <c r="AC711" s="73"/>
      <c r="AD711" s="75"/>
      <c r="AE711" s="75"/>
      <c r="AF711" s="75"/>
      <c r="AG711" s="75"/>
      <c r="AH711" s="75"/>
      <c r="AI711" s="75"/>
      <c r="AJ711" s="75"/>
      <c r="AK711" s="75"/>
      <c r="AL711" s="75"/>
      <c r="AM711" s="75"/>
      <c r="AN711" s="75"/>
      <c r="AO711" s="75"/>
      <c r="AP711" s="75"/>
      <c r="AQ711" s="75"/>
      <c r="AR711" s="75"/>
      <c r="AS711" s="75"/>
      <c r="AT711" s="75"/>
      <c r="AU711" s="75"/>
      <c r="AV711" s="75"/>
      <c r="AW711" s="75"/>
      <c r="AX711" s="75"/>
    </row>
    <row r="712" ht="15.75" customHeight="1">
      <c r="A712" s="280" t="s">
        <v>5635</v>
      </c>
      <c r="B712" s="281" t="s">
        <v>5636</v>
      </c>
      <c r="C712" s="27" t="s">
        <v>6754</v>
      </c>
      <c r="D712" s="27" t="s">
        <v>6755</v>
      </c>
      <c r="E712" s="27" t="s">
        <v>6756</v>
      </c>
      <c r="F712" s="45"/>
      <c r="G712" s="45"/>
      <c r="H712" s="45"/>
      <c r="I712" s="286"/>
      <c r="J712" s="297" t="s">
        <v>6757</v>
      </c>
      <c r="K712" s="286"/>
      <c r="L712" s="286"/>
      <c r="M712" s="286"/>
      <c r="N712" s="286"/>
      <c r="O712" s="290" t="s">
        <v>6758</v>
      </c>
      <c r="P712" s="286"/>
      <c r="Q712" s="290" t="s">
        <v>150</v>
      </c>
      <c r="R712" s="286"/>
      <c r="S712" s="286"/>
      <c r="T712" s="286"/>
      <c r="U712" s="286"/>
      <c r="V712" s="286"/>
      <c r="W712" s="286"/>
      <c r="X712" s="286"/>
      <c r="Y712" s="286"/>
      <c r="Z712" s="286"/>
      <c r="AA712" s="286"/>
      <c r="AB712" s="286"/>
      <c r="AC712" s="286"/>
      <c r="AD712" s="75"/>
      <c r="AE712" s="75"/>
      <c r="AF712" s="75"/>
      <c r="AG712" s="75"/>
      <c r="AH712" s="75"/>
      <c r="AI712" s="75"/>
      <c r="AJ712" s="75"/>
      <c r="AK712" s="75"/>
      <c r="AL712" s="75"/>
      <c r="AM712" s="75"/>
      <c r="AN712" s="75"/>
      <c r="AO712" s="75"/>
      <c r="AP712" s="75"/>
      <c r="AQ712" s="75"/>
      <c r="AR712" s="75"/>
      <c r="AS712" s="75"/>
      <c r="AT712" s="75"/>
      <c r="AU712" s="75"/>
      <c r="AV712" s="75"/>
      <c r="AW712" s="75"/>
      <c r="AX712" s="75"/>
    </row>
    <row r="713" ht="15.75" customHeight="1">
      <c r="A713" s="282" t="s">
        <v>252</v>
      </c>
      <c r="B713" s="283" t="s">
        <v>5640</v>
      </c>
      <c r="C713" s="27" t="s">
        <v>6765</v>
      </c>
      <c r="D713" s="27" t="s">
        <v>6766</v>
      </c>
      <c r="E713" s="27" t="s">
        <v>6767</v>
      </c>
      <c r="F713" s="45"/>
      <c r="G713" s="45"/>
      <c r="H713" s="45"/>
      <c r="I713" s="293"/>
      <c r="J713" s="294"/>
      <c r="K713" s="293"/>
      <c r="L713" s="293"/>
      <c r="M713" s="293"/>
      <c r="N713" s="293"/>
      <c r="O713" s="296" t="s">
        <v>6768</v>
      </c>
      <c r="P713" s="293"/>
      <c r="Q713" s="296" t="s">
        <v>150</v>
      </c>
      <c r="R713" s="293"/>
      <c r="S713" s="293"/>
      <c r="T713" s="293"/>
      <c r="U713" s="293"/>
      <c r="V713" s="293"/>
      <c r="W713" s="293"/>
      <c r="X713" s="293"/>
      <c r="Y713" s="293"/>
      <c r="Z713" s="293"/>
      <c r="AA713" s="293"/>
      <c r="AB713" s="293"/>
      <c r="AC713" s="293"/>
      <c r="AD713" s="75"/>
      <c r="AE713" s="75"/>
      <c r="AF713" s="75"/>
      <c r="AG713" s="75"/>
      <c r="AH713" s="75"/>
      <c r="AI713" s="75"/>
      <c r="AJ713" s="75"/>
      <c r="AK713" s="75"/>
      <c r="AL713" s="75"/>
      <c r="AM713" s="75"/>
      <c r="AN713" s="75"/>
      <c r="AO713" s="75"/>
      <c r="AP713" s="75"/>
      <c r="AQ713" s="75"/>
      <c r="AR713" s="75"/>
      <c r="AS713" s="75"/>
      <c r="AT713" s="75"/>
      <c r="AU713" s="75"/>
      <c r="AV713" s="75"/>
      <c r="AW713" s="75"/>
      <c r="AX713" s="75"/>
    </row>
    <row r="714" ht="15.75" customHeight="1">
      <c r="A714" s="280" t="s">
        <v>5645</v>
      </c>
      <c r="B714" s="281" t="s">
        <v>5646</v>
      </c>
      <c r="C714" s="27" t="s">
        <v>6774</v>
      </c>
      <c r="D714" s="27" t="s">
        <v>6775</v>
      </c>
      <c r="E714" s="27" t="s">
        <v>6776</v>
      </c>
      <c r="F714" s="45"/>
      <c r="G714" s="45"/>
      <c r="H714" s="45"/>
      <c r="I714" s="286"/>
      <c r="J714" s="287"/>
      <c r="K714" s="286"/>
      <c r="L714" s="286"/>
      <c r="M714" s="286"/>
      <c r="N714" s="286"/>
      <c r="O714" s="290" t="s">
        <v>6777</v>
      </c>
      <c r="P714" s="286"/>
      <c r="Q714" s="290" t="s">
        <v>150</v>
      </c>
      <c r="R714" s="286"/>
      <c r="S714" s="286"/>
      <c r="T714" s="286"/>
      <c r="U714" s="286"/>
      <c r="V714" s="286"/>
      <c r="W714" s="286"/>
      <c r="X714" s="286"/>
      <c r="Y714" s="286"/>
      <c r="Z714" s="286"/>
      <c r="AA714" s="286"/>
      <c r="AB714" s="286"/>
      <c r="AC714" s="286"/>
      <c r="AD714" s="75"/>
      <c r="AE714" s="75"/>
      <c r="AF714" s="75"/>
      <c r="AG714" s="75"/>
      <c r="AH714" s="75"/>
      <c r="AI714" s="75"/>
      <c r="AJ714" s="75"/>
      <c r="AK714" s="75"/>
      <c r="AL714" s="75"/>
      <c r="AM714" s="75"/>
      <c r="AN714" s="75"/>
      <c r="AO714" s="75"/>
      <c r="AP714" s="75"/>
      <c r="AQ714" s="75"/>
      <c r="AR714" s="75"/>
      <c r="AS714" s="75"/>
      <c r="AT714" s="75"/>
      <c r="AU714" s="75"/>
      <c r="AV714" s="75"/>
      <c r="AW714" s="75"/>
      <c r="AX714" s="75"/>
    </row>
    <row r="715" ht="15.75" customHeight="1">
      <c r="A715" s="282" t="s">
        <v>252</v>
      </c>
      <c r="B715" s="283" t="s">
        <v>5653</v>
      </c>
      <c r="C715" s="27" t="s">
        <v>5687</v>
      </c>
      <c r="D715" s="27" t="s">
        <v>5688</v>
      </c>
      <c r="E715" s="27" t="s">
        <v>5689</v>
      </c>
      <c r="F715" s="45"/>
      <c r="G715" s="45"/>
      <c r="H715" s="45"/>
      <c r="I715" s="293"/>
      <c r="J715" s="294"/>
      <c r="K715" s="293"/>
      <c r="L715" s="293"/>
      <c r="M715" s="293"/>
      <c r="N715" s="293"/>
      <c r="O715" s="296" t="s">
        <v>6786</v>
      </c>
      <c r="P715" s="293"/>
      <c r="Q715" s="296" t="s">
        <v>150</v>
      </c>
      <c r="R715" s="293"/>
      <c r="S715" s="293"/>
      <c r="T715" s="293"/>
      <c r="U715" s="293"/>
      <c r="V715" s="293"/>
      <c r="W715" s="293"/>
      <c r="X715" s="293"/>
      <c r="Y715" s="293"/>
      <c r="Z715" s="293"/>
      <c r="AA715" s="293"/>
      <c r="AB715" s="293"/>
      <c r="AC715" s="293"/>
      <c r="AD715" s="75"/>
      <c r="AE715" s="75"/>
      <c r="AF715" s="75"/>
      <c r="AG715" s="75"/>
      <c r="AH715" s="75"/>
      <c r="AI715" s="75"/>
      <c r="AJ715" s="75"/>
      <c r="AK715" s="75"/>
      <c r="AL715" s="75"/>
      <c r="AM715" s="75"/>
      <c r="AN715" s="75"/>
      <c r="AO715" s="75"/>
      <c r="AP715" s="75"/>
      <c r="AQ715" s="75"/>
      <c r="AR715" s="75"/>
      <c r="AS715" s="75"/>
      <c r="AT715" s="75"/>
      <c r="AU715" s="75"/>
      <c r="AV715" s="75"/>
      <c r="AW715" s="75"/>
      <c r="AX715" s="75"/>
    </row>
    <row r="716" ht="15.75" customHeight="1">
      <c r="A716" s="291" t="s">
        <v>268</v>
      </c>
      <c r="B716" s="292" t="s">
        <v>5660</v>
      </c>
      <c r="C716" s="27" t="s">
        <v>6793</v>
      </c>
      <c r="D716" s="27" t="s">
        <v>6795</v>
      </c>
      <c r="E716" s="27" t="s">
        <v>6797</v>
      </c>
      <c r="F716" s="45"/>
      <c r="G716" s="45"/>
      <c r="H716" s="45"/>
      <c r="I716" s="306"/>
      <c r="J716" s="306"/>
      <c r="K716" s="308"/>
      <c r="L716" s="308"/>
      <c r="M716" s="306"/>
      <c r="N716" s="306"/>
      <c r="O716" s="309" t="s">
        <v>6798</v>
      </c>
      <c r="P716" s="306"/>
      <c r="Q716" s="309" t="s">
        <v>150</v>
      </c>
      <c r="R716" s="306"/>
      <c r="S716" s="306"/>
      <c r="T716" s="306"/>
      <c r="U716" s="306"/>
      <c r="V716" s="306"/>
      <c r="W716" s="306"/>
      <c r="X716" s="306"/>
      <c r="Y716" s="306"/>
      <c r="Z716" s="306"/>
      <c r="AA716" s="306"/>
      <c r="AB716" s="306"/>
      <c r="AC716" s="306"/>
      <c r="AD716" s="75"/>
      <c r="AE716" s="75"/>
      <c r="AF716" s="75"/>
      <c r="AG716" s="75"/>
      <c r="AH716" s="75"/>
      <c r="AI716" s="75"/>
      <c r="AJ716" s="75"/>
      <c r="AK716" s="75"/>
      <c r="AL716" s="75"/>
      <c r="AM716" s="75"/>
      <c r="AN716" s="75"/>
      <c r="AO716" s="75"/>
      <c r="AP716" s="75"/>
      <c r="AQ716" s="75"/>
      <c r="AR716" s="75"/>
      <c r="AS716" s="75"/>
      <c r="AT716" s="75"/>
      <c r="AU716" s="75"/>
      <c r="AV716" s="75"/>
      <c r="AW716" s="75"/>
      <c r="AX716" s="75"/>
    </row>
    <row r="717" ht="15.75" customHeight="1">
      <c r="A717" s="285" t="s">
        <v>468</v>
      </c>
      <c r="B717" s="285" t="s">
        <v>5624</v>
      </c>
      <c r="C717" s="186" t="s">
        <v>5665</v>
      </c>
      <c r="D717" s="186"/>
      <c r="E717" s="186"/>
      <c r="F717" s="304"/>
      <c r="G717" s="304"/>
      <c r="H717" s="304"/>
      <c r="I717" s="304"/>
      <c r="J717" s="304"/>
      <c r="K717" s="304"/>
      <c r="L717" s="304"/>
      <c r="M717" s="304"/>
      <c r="N717" s="304"/>
      <c r="O717" s="304"/>
      <c r="P717" s="304"/>
      <c r="Q717" s="304"/>
      <c r="R717" s="304"/>
      <c r="S717" s="304"/>
      <c r="T717" s="304"/>
      <c r="U717" s="304"/>
      <c r="V717" s="304"/>
      <c r="W717" s="304"/>
      <c r="X717" s="304"/>
      <c r="Y717" s="304"/>
      <c r="Z717" s="304"/>
      <c r="AA717" s="304"/>
      <c r="AB717" s="304"/>
      <c r="AC717" s="304"/>
      <c r="AD717" s="75"/>
      <c r="AE717" s="75"/>
      <c r="AF717" s="75"/>
      <c r="AG717" s="75"/>
      <c r="AH717" s="75"/>
      <c r="AI717" s="75"/>
      <c r="AJ717" s="75"/>
      <c r="AK717" s="75"/>
      <c r="AL717" s="75"/>
      <c r="AM717" s="75"/>
      <c r="AN717" s="75"/>
      <c r="AO717" s="75"/>
      <c r="AP717" s="75"/>
      <c r="AQ717" s="75"/>
      <c r="AR717" s="75"/>
      <c r="AS717" s="75"/>
      <c r="AT717" s="75"/>
      <c r="AU717" s="75"/>
      <c r="AV717" s="75"/>
      <c r="AW717" s="75"/>
      <c r="AX717" s="75"/>
    </row>
    <row r="718" ht="15.75" customHeight="1">
      <c r="A718" s="168" t="s">
        <v>127</v>
      </c>
      <c r="B718" s="71" t="s">
        <v>5671</v>
      </c>
      <c r="C718" s="72"/>
      <c r="D718" s="72"/>
      <c r="E718" s="72"/>
      <c r="F718" s="73"/>
      <c r="G718" s="73"/>
      <c r="H718" s="73"/>
      <c r="I718" s="73"/>
      <c r="J718" s="73"/>
      <c r="K718" s="73"/>
      <c r="L718" s="73"/>
      <c r="M718" s="73"/>
      <c r="N718" s="73"/>
      <c r="O718" s="73"/>
      <c r="P718" s="73"/>
      <c r="Q718" s="73"/>
      <c r="R718" s="73"/>
      <c r="S718" s="73"/>
      <c r="T718" s="74" t="s">
        <v>129</v>
      </c>
      <c r="U718" s="73"/>
      <c r="V718" s="73"/>
      <c r="W718" s="73"/>
      <c r="X718" s="73"/>
      <c r="Y718" s="73"/>
      <c r="Z718" s="73"/>
      <c r="AA718" s="73"/>
      <c r="AB718" s="73"/>
      <c r="AC718" s="73"/>
      <c r="AD718" s="75"/>
      <c r="AE718" s="75"/>
      <c r="AF718" s="75"/>
      <c r="AG718" s="75"/>
      <c r="AH718" s="75"/>
      <c r="AI718" s="75"/>
      <c r="AJ718" s="75"/>
      <c r="AK718" s="75"/>
      <c r="AL718" s="75"/>
      <c r="AM718" s="75"/>
      <c r="AN718" s="75"/>
      <c r="AO718" s="75"/>
      <c r="AP718" s="75"/>
      <c r="AQ718" s="75"/>
      <c r="AR718" s="75"/>
      <c r="AS718" s="75"/>
      <c r="AT718" s="75"/>
      <c r="AU718" s="75"/>
      <c r="AV718" s="75"/>
      <c r="AW718" s="75"/>
      <c r="AX718" s="75"/>
    </row>
    <row r="719" ht="15.75" customHeight="1">
      <c r="A719" s="168" t="s">
        <v>68</v>
      </c>
      <c r="B719" s="71" t="s">
        <v>5672</v>
      </c>
      <c r="C719" s="72"/>
      <c r="D719" s="72"/>
      <c r="E719" s="72"/>
      <c r="F719" s="73"/>
      <c r="G719" s="73"/>
      <c r="H719" s="73"/>
      <c r="I719" s="73"/>
      <c r="J719" s="73"/>
      <c r="K719" s="73"/>
      <c r="L719" s="73"/>
      <c r="M719" s="73"/>
      <c r="N719" s="73"/>
      <c r="O719" s="73"/>
      <c r="P719" s="73"/>
      <c r="Q719" s="73"/>
      <c r="R719" s="73"/>
      <c r="S719" s="73"/>
      <c r="T719" s="74" t="s">
        <v>6832</v>
      </c>
      <c r="U719" s="73"/>
      <c r="V719" s="73"/>
      <c r="W719" s="73"/>
      <c r="X719" s="73"/>
      <c r="Y719" s="73"/>
      <c r="Z719" s="73"/>
      <c r="AA719" s="73"/>
      <c r="AB719" s="73"/>
      <c r="AC719" s="73"/>
      <c r="AD719" s="75"/>
      <c r="AE719" s="75"/>
      <c r="AF719" s="75"/>
      <c r="AG719" s="75"/>
      <c r="AH719" s="75"/>
      <c r="AI719" s="75"/>
      <c r="AJ719" s="75"/>
      <c r="AK719" s="75"/>
      <c r="AL719" s="75"/>
      <c r="AM719" s="75"/>
      <c r="AN719" s="75"/>
      <c r="AO719" s="75"/>
      <c r="AP719" s="75"/>
      <c r="AQ719" s="75"/>
      <c r="AR719" s="75"/>
      <c r="AS719" s="75"/>
      <c r="AT719" s="75"/>
      <c r="AU719" s="75"/>
      <c r="AV719" s="75"/>
      <c r="AW719" s="75"/>
      <c r="AX719" s="75"/>
    </row>
    <row r="720" ht="15.75" customHeight="1">
      <c r="A720" s="280" t="s">
        <v>2509</v>
      </c>
      <c r="B720" s="281" t="s">
        <v>5673</v>
      </c>
      <c r="C720" s="63" t="s">
        <v>6837</v>
      </c>
      <c r="D720" s="63" t="s">
        <v>6838</v>
      </c>
      <c r="E720" s="63" t="s">
        <v>6839</v>
      </c>
      <c r="F720" s="45"/>
      <c r="G720" s="45"/>
      <c r="H720" s="45"/>
      <c r="I720" s="286"/>
      <c r="J720" s="287"/>
      <c r="K720" s="286"/>
      <c r="L720" s="286"/>
      <c r="M720" s="286"/>
      <c r="N720" s="286"/>
      <c r="O720" s="290" t="s">
        <v>6606</v>
      </c>
      <c r="P720" s="286"/>
      <c r="Q720" s="290" t="s">
        <v>150</v>
      </c>
      <c r="R720" s="286"/>
      <c r="S720" s="286"/>
      <c r="T720" s="286"/>
      <c r="U720" s="286"/>
      <c r="V720" s="286"/>
      <c r="W720" s="286"/>
      <c r="X720" s="286"/>
      <c r="Y720" s="286"/>
      <c r="Z720" s="286"/>
      <c r="AA720" s="286"/>
      <c r="AB720" s="286"/>
      <c r="AC720" s="286"/>
      <c r="AD720" s="75"/>
      <c r="AE720" s="75"/>
      <c r="AF720" s="75"/>
      <c r="AG720" s="75"/>
      <c r="AH720" s="75"/>
      <c r="AI720" s="75"/>
      <c r="AJ720" s="75"/>
      <c r="AK720" s="75"/>
      <c r="AL720" s="75"/>
      <c r="AM720" s="75"/>
      <c r="AN720" s="75"/>
      <c r="AO720" s="75"/>
      <c r="AP720" s="75"/>
      <c r="AQ720" s="75"/>
      <c r="AR720" s="75"/>
      <c r="AS720" s="75"/>
      <c r="AT720" s="75"/>
      <c r="AU720" s="75"/>
      <c r="AV720" s="75"/>
      <c r="AW720" s="75"/>
      <c r="AX720" s="75"/>
    </row>
    <row r="721" ht="15.75" customHeight="1">
      <c r="A721" s="280" t="s">
        <v>5604</v>
      </c>
      <c r="B721" s="281" t="s">
        <v>5680</v>
      </c>
      <c r="C721" s="27" t="s">
        <v>6845</v>
      </c>
      <c r="D721" s="27" t="s">
        <v>6846</v>
      </c>
      <c r="E721" s="27" t="s">
        <v>6847</v>
      </c>
      <c r="F721" s="45"/>
      <c r="G721" s="45"/>
      <c r="H721" s="45"/>
      <c r="I721" s="286"/>
      <c r="J721" s="287"/>
      <c r="K721" s="290" t="s">
        <v>6636</v>
      </c>
      <c r="L721" s="286"/>
      <c r="M721" s="286"/>
      <c r="N721" s="286"/>
      <c r="O721" s="290" t="s">
        <v>6848</v>
      </c>
      <c r="P721" s="286"/>
      <c r="Q721" s="290" t="s">
        <v>150</v>
      </c>
      <c r="R721" s="286"/>
      <c r="S721" s="286"/>
      <c r="T721" s="286"/>
      <c r="U721" s="286"/>
      <c r="V721" s="286"/>
      <c r="W721" s="286"/>
      <c r="X721" s="286"/>
      <c r="Y721" s="290" t="s">
        <v>6638</v>
      </c>
      <c r="Z721" s="286"/>
      <c r="AA721" s="286"/>
      <c r="AB721" s="286"/>
      <c r="AC721" s="286"/>
      <c r="AD721" s="75"/>
      <c r="AE721" s="75"/>
      <c r="AF721" s="75"/>
      <c r="AG721" s="75"/>
      <c r="AH721" s="75"/>
      <c r="AI721" s="75"/>
      <c r="AJ721" s="75"/>
      <c r="AK721" s="75"/>
      <c r="AL721" s="75"/>
      <c r="AM721" s="75"/>
      <c r="AN721" s="75"/>
      <c r="AO721" s="75"/>
      <c r="AP721" s="75"/>
      <c r="AQ721" s="75"/>
      <c r="AR721" s="75"/>
      <c r="AS721" s="75"/>
      <c r="AT721" s="75"/>
      <c r="AU721" s="75"/>
      <c r="AV721" s="75"/>
      <c r="AW721" s="75"/>
      <c r="AX721" s="75"/>
    </row>
    <row r="722" ht="15.75" customHeight="1">
      <c r="A722" s="282" t="s">
        <v>252</v>
      </c>
      <c r="B722" s="283" t="s">
        <v>5686</v>
      </c>
      <c r="C722" s="27" t="s">
        <v>5717</v>
      </c>
      <c r="D722" s="27" t="s">
        <v>5718</v>
      </c>
      <c r="E722" s="27" t="s">
        <v>5720</v>
      </c>
      <c r="F722" s="45"/>
      <c r="G722" s="45"/>
      <c r="H722" s="45"/>
      <c r="I722" s="293"/>
      <c r="J722" s="294"/>
      <c r="K722" s="293"/>
      <c r="L722" s="293"/>
      <c r="M722" s="293"/>
      <c r="N722" s="293"/>
      <c r="O722" s="296" t="s">
        <v>6881</v>
      </c>
      <c r="P722" s="293"/>
      <c r="Q722" s="296" t="s">
        <v>150</v>
      </c>
      <c r="R722" s="293"/>
      <c r="S722" s="293"/>
      <c r="T722" s="293"/>
      <c r="U722" s="293"/>
      <c r="V722" s="293"/>
      <c r="W722" s="293"/>
      <c r="X722" s="293"/>
      <c r="Y722" s="293"/>
      <c r="Z722" s="293"/>
      <c r="AA722" s="293"/>
      <c r="AB722" s="293"/>
      <c r="AC722" s="293"/>
      <c r="AD722" s="75"/>
      <c r="AE722" s="75"/>
      <c r="AF722" s="75"/>
      <c r="AG722" s="75"/>
      <c r="AH722" s="75"/>
      <c r="AI722" s="75"/>
      <c r="AJ722" s="75"/>
      <c r="AK722" s="75"/>
      <c r="AL722" s="75"/>
      <c r="AM722" s="75"/>
      <c r="AN722" s="75"/>
      <c r="AO722" s="75"/>
      <c r="AP722" s="75"/>
      <c r="AQ722" s="75"/>
      <c r="AR722" s="75"/>
      <c r="AS722" s="75"/>
      <c r="AT722" s="75"/>
      <c r="AU722" s="75"/>
      <c r="AV722" s="75"/>
      <c r="AW722" s="75"/>
      <c r="AX722" s="75"/>
    </row>
    <row r="723" ht="15.75" customHeight="1">
      <c r="A723" s="285" t="s">
        <v>426</v>
      </c>
      <c r="B723" s="171" t="s">
        <v>5691</v>
      </c>
      <c r="C723" s="172" t="s">
        <v>5692</v>
      </c>
      <c r="D723" s="172"/>
      <c r="E723" s="172"/>
      <c r="F723" s="304"/>
      <c r="G723" s="304"/>
      <c r="H723" s="304"/>
      <c r="I723" s="304"/>
      <c r="J723" s="304"/>
      <c r="K723" s="304"/>
      <c r="L723" s="304"/>
      <c r="M723" s="305"/>
      <c r="N723" s="305"/>
      <c r="O723" s="176" t="s">
        <v>6848</v>
      </c>
      <c r="P723" s="304"/>
      <c r="Q723" s="304"/>
      <c r="R723" s="304"/>
      <c r="S723" s="304"/>
      <c r="T723" s="304"/>
      <c r="U723" s="176" t="s">
        <v>6888</v>
      </c>
      <c r="V723" s="304"/>
      <c r="W723" s="304"/>
      <c r="X723" s="304"/>
      <c r="Y723" s="304"/>
      <c r="Z723" s="304"/>
      <c r="AA723" s="304"/>
      <c r="AB723" s="304"/>
      <c r="AC723" s="304"/>
      <c r="AD723" s="75"/>
      <c r="AE723" s="75"/>
      <c r="AF723" s="75"/>
      <c r="AG723" s="75"/>
      <c r="AH723" s="75"/>
      <c r="AI723" s="75"/>
      <c r="AJ723" s="75"/>
      <c r="AK723" s="75"/>
      <c r="AL723" s="75"/>
      <c r="AM723" s="75"/>
      <c r="AN723" s="75"/>
      <c r="AO723" s="75"/>
      <c r="AP723" s="75"/>
      <c r="AQ723" s="75"/>
      <c r="AR723" s="75"/>
      <c r="AS723" s="75"/>
      <c r="AT723" s="75"/>
      <c r="AU723" s="75"/>
      <c r="AV723" s="75"/>
      <c r="AW723" s="75"/>
      <c r="AX723" s="75"/>
    </row>
    <row r="724" ht="15.75" customHeight="1">
      <c r="A724" s="168" t="s">
        <v>68</v>
      </c>
      <c r="B724" s="71" t="s">
        <v>5693</v>
      </c>
      <c r="C724" s="72"/>
      <c r="D724" s="72"/>
      <c r="E724" s="72"/>
      <c r="F724" s="73"/>
      <c r="G724" s="73"/>
      <c r="H724" s="73"/>
      <c r="I724" s="73"/>
      <c r="J724" s="73"/>
      <c r="K724" s="73"/>
      <c r="L724" s="73"/>
      <c r="M724" s="73"/>
      <c r="N724" s="73"/>
      <c r="O724" s="73"/>
      <c r="P724" s="73"/>
      <c r="Q724" s="73"/>
      <c r="R724" s="73"/>
      <c r="S724" s="73"/>
      <c r="T724" s="74" t="s">
        <v>440</v>
      </c>
      <c r="U724" s="73"/>
      <c r="V724" s="73"/>
      <c r="W724" s="73"/>
      <c r="X724" s="73"/>
      <c r="Y724" s="73"/>
      <c r="Z724" s="73"/>
      <c r="AA724" s="73"/>
      <c r="AB724" s="73"/>
      <c r="AC724" s="73"/>
      <c r="AD724" s="75"/>
      <c r="AE724" s="75"/>
      <c r="AF724" s="75"/>
      <c r="AG724" s="75"/>
      <c r="AH724" s="75"/>
      <c r="AI724" s="75"/>
      <c r="AJ724" s="75"/>
      <c r="AK724" s="75"/>
      <c r="AL724" s="75"/>
      <c r="AM724" s="75"/>
      <c r="AN724" s="75"/>
      <c r="AO724" s="75"/>
      <c r="AP724" s="75"/>
      <c r="AQ724" s="75"/>
      <c r="AR724" s="75"/>
      <c r="AS724" s="75"/>
      <c r="AT724" s="75"/>
      <c r="AU724" s="75"/>
      <c r="AV724" s="75"/>
      <c r="AW724" s="75"/>
      <c r="AX724" s="75"/>
    </row>
    <row r="725" ht="15.75" customHeight="1">
      <c r="A725" s="168" t="s">
        <v>68</v>
      </c>
      <c r="B725" s="71" t="s">
        <v>5694</v>
      </c>
      <c r="C725" s="72"/>
      <c r="D725" s="72"/>
      <c r="E725" s="72"/>
      <c r="F725" s="73"/>
      <c r="G725" s="73"/>
      <c r="H725" s="73"/>
      <c r="I725" s="73"/>
      <c r="J725" s="73"/>
      <c r="K725" s="73"/>
      <c r="L725" s="73"/>
      <c r="M725" s="73"/>
      <c r="N725" s="73"/>
      <c r="O725" s="73"/>
      <c r="P725" s="73"/>
      <c r="Q725" s="73"/>
      <c r="R725" s="73"/>
      <c r="S725" s="73"/>
      <c r="T725" s="74" t="s">
        <v>6894</v>
      </c>
      <c r="U725" s="73"/>
      <c r="V725" s="73"/>
      <c r="W725" s="73"/>
      <c r="X725" s="73"/>
      <c r="Y725" s="73"/>
      <c r="Z725" s="73"/>
      <c r="AA725" s="73"/>
      <c r="AB725" s="73"/>
      <c r="AC725" s="73"/>
      <c r="AD725" s="75"/>
      <c r="AE725" s="75"/>
      <c r="AF725" s="75"/>
      <c r="AG725" s="75"/>
      <c r="AH725" s="75"/>
      <c r="AI725" s="75"/>
      <c r="AJ725" s="75"/>
      <c r="AK725" s="75"/>
      <c r="AL725" s="75"/>
      <c r="AM725" s="75"/>
      <c r="AN725" s="75"/>
      <c r="AO725" s="75"/>
      <c r="AP725" s="75"/>
      <c r="AQ725" s="75"/>
      <c r="AR725" s="75"/>
      <c r="AS725" s="75"/>
      <c r="AT725" s="75"/>
      <c r="AU725" s="75"/>
      <c r="AV725" s="75"/>
      <c r="AW725" s="75"/>
      <c r="AX725" s="75"/>
    </row>
    <row r="726" ht="15.75" customHeight="1">
      <c r="A726" s="168" t="s">
        <v>68</v>
      </c>
      <c r="B726" s="177" t="s">
        <v>5695</v>
      </c>
      <c r="C726" s="72" t="s">
        <v>5633</v>
      </c>
      <c r="D726" s="72"/>
      <c r="E726" s="72"/>
      <c r="F726" s="73"/>
      <c r="G726" s="73"/>
      <c r="H726" s="73"/>
      <c r="I726" s="73"/>
      <c r="J726" s="73"/>
      <c r="K726" s="73"/>
      <c r="L726" s="73"/>
      <c r="M726" s="73"/>
      <c r="N726" s="73"/>
      <c r="O726" s="73"/>
      <c r="P726" s="73"/>
      <c r="Q726" s="73"/>
      <c r="R726" s="73"/>
      <c r="S726" s="73"/>
      <c r="T726" s="74" t="s">
        <v>6908</v>
      </c>
      <c r="U726" s="73"/>
      <c r="V726" s="73"/>
      <c r="W726" s="73"/>
      <c r="X726" s="73"/>
      <c r="Y726" s="73"/>
      <c r="Z726" s="73"/>
      <c r="AA726" s="73"/>
      <c r="AB726" s="73"/>
      <c r="AC726" s="73"/>
      <c r="AD726" s="75"/>
      <c r="AE726" s="75"/>
      <c r="AF726" s="75"/>
      <c r="AG726" s="75"/>
      <c r="AH726" s="75"/>
      <c r="AI726" s="75"/>
      <c r="AJ726" s="75"/>
      <c r="AK726" s="75"/>
      <c r="AL726" s="75"/>
      <c r="AM726" s="75"/>
      <c r="AN726" s="75"/>
      <c r="AO726" s="75"/>
      <c r="AP726" s="75"/>
      <c r="AQ726" s="75"/>
      <c r="AR726" s="75"/>
      <c r="AS726" s="75"/>
      <c r="AT726" s="75"/>
      <c r="AU726" s="75"/>
      <c r="AV726" s="75"/>
      <c r="AW726" s="75"/>
      <c r="AX726" s="75"/>
    </row>
    <row r="727" ht="15.75" customHeight="1">
      <c r="A727" s="280" t="s">
        <v>5635</v>
      </c>
      <c r="B727" s="338" t="s">
        <v>5696</v>
      </c>
      <c r="C727" s="27" t="s">
        <v>6912</v>
      </c>
      <c r="D727" s="27" t="s">
        <v>6913</v>
      </c>
      <c r="E727" s="27" t="s">
        <v>6914</v>
      </c>
      <c r="F727" s="45"/>
      <c r="G727" s="45"/>
      <c r="H727" s="45"/>
      <c r="I727" s="286"/>
      <c r="J727" s="297" t="s">
        <v>6915</v>
      </c>
      <c r="K727" s="286"/>
      <c r="L727" s="286"/>
      <c r="M727" s="286"/>
      <c r="N727" s="286"/>
      <c r="O727" s="290" t="s">
        <v>6917</v>
      </c>
      <c r="P727" s="286"/>
      <c r="Q727" s="290" t="s">
        <v>150</v>
      </c>
      <c r="R727" s="286"/>
      <c r="S727" s="286"/>
      <c r="T727" s="286"/>
      <c r="U727" s="286"/>
      <c r="V727" s="286"/>
      <c r="W727" s="286"/>
      <c r="X727" s="286"/>
      <c r="Y727" s="286"/>
      <c r="Z727" s="286"/>
      <c r="AA727" s="286"/>
      <c r="AB727" s="286"/>
      <c r="AC727" s="286"/>
      <c r="AD727" s="75"/>
      <c r="AE727" s="75"/>
      <c r="AF727" s="75"/>
      <c r="AG727" s="75"/>
      <c r="AH727" s="75"/>
      <c r="AI727" s="75"/>
      <c r="AJ727" s="75"/>
      <c r="AK727" s="75"/>
      <c r="AL727" s="75"/>
      <c r="AM727" s="75"/>
      <c r="AN727" s="75"/>
      <c r="AO727" s="75"/>
      <c r="AP727" s="75"/>
      <c r="AQ727" s="75"/>
      <c r="AR727" s="75"/>
      <c r="AS727" s="75"/>
      <c r="AT727" s="75"/>
      <c r="AU727" s="75"/>
      <c r="AV727" s="75"/>
      <c r="AW727" s="75"/>
      <c r="AX727" s="75"/>
    </row>
    <row r="728" ht="15.75" customHeight="1">
      <c r="A728" s="282" t="s">
        <v>252</v>
      </c>
      <c r="B728" s="283" t="s">
        <v>5703</v>
      </c>
      <c r="C728" s="27" t="s">
        <v>6920</v>
      </c>
      <c r="D728" s="27" t="s">
        <v>6921</v>
      </c>
      <c r="E728" s="27" t="s">
        <v>6922</v>
      </c>
      <c r="F728" s="45"/>
      <c r="G728" s="45"/>
      <c r="H728" s="45"/>
      <c r="I728" s="293"/>
      <c r="J728" s="294"/>
      <c r="K728" s="293"/>
      <c r="L728" s="293"/>
      <c r="M728" s="293"/>
      <c r="N728" s="293"/>
      <c r="O728" s="296" t="s">
        <v>6923</v>
      </c>
      <c r="P728" s="293"/>
      <c r="Q728" s="296" t="s">
        <v>150</v>
      </c>
      <c r="R728" s="293"/>
      <c r="S728" s="293"/>
      <c r="T728" s="293"/>
      <c r="U728" s="293"/>
      <c r="V728" s="293"/>
      <c r="W728" s="293"/>
      <c r="X728" s="293"/>
      <c r="Y728" s="293"/>
      <c r="Z728" s="293"/>
      <c r="AA728" s="293"/>
      <c r="AB728" s="293"/>
      <c r="AC728" s="293"/>
      <c r="AD728" s="75"/>
      <c r="AE728" s="75"/>
      <c r="AF728" s="75"/>
      <c r="AG728" s="75"/>
      <c r="AH728" s="75"/>
      <c r="AI728" s="75"/>
      <c r="AJ728" s="75"/>
      <c r="AK728" s="75"/>
      <c r="AL728" s="75"/>
      <c r="AM728" s="75"/>
      <c r="AN728" s="75"/>
      <c r="AO728" s="75"/>
      <c r="AP728" s="75"/>
      <c r="AQ728" s="75"/>
      <c r="AR728" s="75"/>
      <c r="AS728" s="75"/>
      <c r="AT728" s="75"/>
      <c r="AU728" s="75"/>
      <c r="AV728" s="75"/>
      <c r="AW728" s="75"/>
      <c r="AX728" s="75"/>
    </row>
    <row r="729" ht="15.75" customHeight="1">
      <c r="A729" s="280" t="s">
        <v>5645</v>
      </c>
      <c r="B729" s="281" t="s">
        <v>5710</v>
      </c>
      <c r="C729" s="27" t="s">
        <v>6925</v>
      </c>
      <c r="D729" s="27" t="s">
        <v>6926</v>
      </c>
      <c r="E729" s="27" t="s">
        <v>6927</v>
      </c>
      <c r="F729" s="364"/>
      <c r="G729" s="45"/>
      <c r="H729" s="45"/>
      <c r="I729" s="286"/>
      <c r="J729" s="287"/>
      <c r="K729" s="286"/>
      <c r="L729" s="286"/>
      <c r="M729" s="286"/>
      <c r="N729" s="286"/>
      <c r="O729" s="290" t="s">
        <v>6932</v>
      </c>
      <c r="P729" s="286"/>
      <c r="Q729" s="290" t="s">
        <v>150</v>
      </c>
      <c r="R729" s="286"/>
      <c r="S729" s="286"/>
      <c r="T729" s="286"/>
      <c r="U729" s="286"/>
      <c r="V729" s="286"/>
      <c r="W729" s="286"/>
      <c r="X729" s="286"/>
      <c r="Y729" s="286"/>
      <c r="Z729" s="286"/>
      <c r="AA729" s="286"/>
      <c r="AB729" s="286"/>
      <c r="AC729" s="286"/>
      <c r="AD729" s="75"/>
      <c r="AE729" s="75"/>
      <c r="AF729" s="75"/>
      <c r="AG729" s="75"/>
      <c r="AH729" s="75"/>
      <c r="AI729" s="75"/>
      <c r="AJ729" s="75"/>
      <c r="AK729" s="75"/>
      <c r="AL729" s="75"/>
      <c r="AM729" s="75"/>
      <c r="AN729" s="75"/>
      <c r="AO729" s="75"/>
      <c r="AP729" s="75"/>
      <c r="AQ729" s="75"/>
      <c r="AR729" s="75"/>
      <c r="AS729" s="75"/>
      <c r="AT729" s="75"/>
      <c r="AU729" s="75"/>
      <c r="AV729" s="75"/>
      <c r="AW729" s="75"/>
      <c r="AX729" s="75"/>
    </row>
    <row r="730" ht="15.75" customHeight="1">
      <c r="A730" s="282" t="s">
        <v>252</v>
      </c>
      <c r="B730" s="283" t="s">
        <v>5716</v>
      </c>
      <c r="C730" s="27" t="s">
        <v>6945</v>
      </c>
      <c r="D730" s="27" t="s">
        <v>6946</v>
      </c>
      <c r="E730" s="27" t="s">
        <v>6947</v>
      </c>
      <c r="F730" s="45"/>
      <c r="G730" s="45"/>
      <c r="H730" s="45"/>
      <c r="I730" s="293"/>
      <c r="J730" s="294"/>
      <c r="K730" s="293"/>
      <c r="L730" s="293"/>
      <c r="M730" s="293"/>
      <c r="N730" s="293"/>
      <c r="O730" s="296" t="s">
        <v>6948</v>
      </c>
      <c r="P730" s="293"/>
      <c r="Q730" s="296" t="s">
        <v>150</v>
      </c>
      <c r="R730" s="293"/>
      <c r="S730" s="293"/>
      <c r="T730" s="293"/>
      <c r="U730" s="293"/>
      <c r="V730" s="293"/>
      <c r="W730" s="293"/>
      <c r="X730" s="293"/>
      <c r="Y730" s="293"/>
      <c r="Z730" s="293"/>
      <c r="AA730" s="293"/>
      <c r="AB730" s="293"/>
      <c r="AC730" s="293"/>
      <c r="AD730" s="75"/>
      <c r="AE730" s="75"/>
      <c r="AF730" s="75"/>
      <c r="AG730" s="75"/>
      <c r="AH730" s="75"/>
      <c r="AI730" s="75"/>
      <c r="AJ730" s="75"/>
      <c r="AK730" s="75"/>
      <c r="AL730" s="75"/>
      <c r="AM730" s="75"/>
      <c r="AN730" s="75"/>
      <c r="AO730" s="75"/>
      <c r="AP730" s="75"/>
      <c r="AQ730" s="75"/>
      <c r="AR730" s="75"/>
      <c r="AS730" s="75"/>
      <c r="AT730" s="75"/>
      <c r="AU730" s="75"/>
      <c r="AV730" s="75"/>
      <c r="AW730" s="75"/>
      <c r="AX730" s="75"/>
    </row>
    <row r="731" ht="15.75" customHeight="1">
      <c r="A731" s="291" t="s">
        <v>268</v>
      </c>
      <c r="B731" s="292" t="s">
        <v>5721</v>
      </c>
      <c r="C731" s="27" t="s">
        <v>6953</v>
      </c>
      <c r="D731" s="27" t="s">
        <v>6954</v>
      </c>
      <c r="E731" s="27" t="s">
        <v>6956</v>
      </c>
      <c r="F731" s="45"/>
      <c r="G731" s="45"/>
      <c r="H731" s="45"/>
      <c r="I731" s="306"/>
      <c r="J731" s="306"/>
      <c r="K731" s="307" t="s">
        <v>1760</v>
      </c>
      <c r="L731" s="308"/>
      <c r="M731" s="306"/>
      <c r="N731" s="306"/>
      <c r="O731" s="309" t="s">
        <v>6960</v>
      </c>
      <c r="P731" s="306"/>
      <c r="Q731" s="309" t="s">
        <v>150</v>
      </c>
      <c r="R731" s="306"/>
      <c r="S731" s="306"/>
      <c r="T731" s="306"/>
      <c r="U731" s="306"/>
      <c r="V731" s="306"/>
      <c r="W731" s="306"/>
      <c r="X731" s="306"/>
      <c r="Y731" s="306"/>
      <c r="Z731" s="306"/>
      <c r="AA731" s="306"/>
      <c r="AB731" s="306"/>
      <c r="AC731" s="306"/>
      <c r="AD731" s="75"/>
      <c r="AE731" s="75"/>
      <c r="AF731" s="75"/>
      <c r="AG731" s="75"/>
      <c r="AH731" s="75"/>
      <c r="AI731" s="75"/>
      <c r="AJ731" s="75"/>
      <c r="AK731" s="75"/>
      <c r="AL731" s="75"/>
      <c r="AM731" s="75"/>
      <c r="AN731" s="75"/>
      <c r="AO731" s="75"/>
      <c r="AP731" s="75"/>
      <c r="AQ731" s="75"/>
      <c r="AR731" s="75"/>
      <c r="AS731" s="75"/>
      <c r="AT731" s="75"/>
      <c r="AU731" s="75"/>
      <c r="AV731" s="75"/>
      <c r="AW731" s="75"/>
      <c r="AX731" s="75"/>
    </row>
    <row r="732" ht="15.75" customHeight="1">
      <c r="A732" s="280" t="s">
        <v>5725</v>
      </c>
      <c r="B732" s="281" t="s">
        <v>5726</v>
      </c>
      <c r="C732" s="27" t="s">
        <v>6962</v>
      </c>
      <c r="D732" s="27" t="s">
        <v>6963</v>
      </c>
      <c r="E732" s="27" t="s">
        <v>6964</v>
      </c>
      <c r="F732" s="45"/>
      <c r="G732" s="45"/>
      <c r="H732" s="45"/>
      <c r="I732" s="286"/>
      <c r="J732" s="287"/>
      <c r="K732" s="290" t="s">
        <v>6636</v>
      </c>
      <c r="L732" s="286"/>
      <c r="M732" s="286"/>
      <c r="N732" s="286"/>
      <c r="O732" s="290" t="s">
        <v>6960</v>
      </c>
      <c r="P732" s="286"/>
      <c r="Q732" s="290" t="s">
        <v>150</v>
      </c>
      <c r="R732" s="286"/>
      <c r="S732" s="286"/>
      <c r="T732" s="286"/>
      <c r="U732" s="286"/>
      <c r="V732" s="286"/>
      <c r="W732" s="286"/>
      <c r="X732" s="286"/>
      <c r="Y732" s="286"/>
      <c r="Z732" s="286"/>
      <c r="AA732" s="286"/>
      <c r="AB732" s="286"/>
      <c r="AC732" s="286"/>
      <c r="AD732" s="75"/>
      <c r="AE732" s="75"/>
      <c r="AF732" s="75"/>
      <c r="AG732" s="75"/>
      <c r="AH732" s="75"/>
      <c r="AI732" s="75"/>
      <c r="AJ732" s="75"/>
      <c r="AK732" s="75"/>
      <c r="AL732" s="75"/>
      <c r="AM732" s="75"/>
      <c r="AN732" s="75"/>
      <c r="AO732" s="75"/>
      <c r="AP732" s="75"/>
      <c r="AQ732" s="75"/>
      <c r="AR732" s="75"/>
      <c r="AS732" s="75"/>
      <c r="AT732" s="75"/>
      <c r="AU732" s="75"/>
      <c r="AV732" s="75"/>
      <c r="AW732" s="75"/>
      <c r="AX732" s="75"/>
    </row>
    <row r="733" ht="15.75" customHeight="1">
      <c r="A733" s="282" t="s">
        <v>252</v>
      </c>
      <c r="B733" s="283" t="s">
        <v>5730</v>
      </c>
      <c r="C733" s="27" t="s">
        <v>6967</v>
      </c>
      <c r="D733" s="27" t="s">
        <v>6968</v>
      </c>
      <c r="E733" s="27" t="s">
        <v>6969</v>
      </c>
      <c r="F733" s="45"/>
      <c r="G733" s="45"/>
      <c r="H733" s="45"/>
      <c r="I733" s="293"/>
      <c r="J733" s="294"/>
      <c r="K733" s="293"/>
      <c r="L733" s="293"/>
      <c r="M733" s="293"/>
      <c r="N733" s="293"/>
      <c r="O733" s="296" t="s">
        <v>6971</v>
      </c>
      <c r="P733" s="293"/>
      <c r="Q733" s="296" t="s">
        <v>150</v>
      </c>
      <c r="R733" s="293"/>
      <c r="S733" s="293"/>
      <c r="T733" s="293"/>
      <c r="U733" s="293"/>
      <c r="V733" s="293"/>
      <c r="W733" s="293"/>
      <c r="X733" s="293"/>
      <c r="Y733" s="293"/>
      <c r="Z733" s="293"/>
      <c r="AA733" s="293"/>
      <c r="AB733" s="293"/>
      <c r="AC733" s="293"/>
      <c r="AD733" s="75"/>
      <c r="AE733" s="75"/>
      <c r="AF733" s="75"/>
      <c r="AG733" s="75"/>
      <c r="AH733" s="75"/>
      <c r="AI733" s="75"/>
      <c r="AJ733" s="75"/>
      <c r="AK733" s="75"/>
      <c r="AL733" s="75"/>
      <c r="AM733" s="75"/>
      <c r="AN733" s="75"/>
      <c r="AO733" s="75"/>
      <c r="AP733" s="75"/>
      <c r="AQ733" s="75"/>
      <c r="AR733" s="75"/>
      <c r="AS733" s="75"/>
      <c r="AT733" s="75"/>
      <c r="AU733" s="75"/>
      <c r="AV733" s="75"/>
      <c r="AW733" s="75"/>
      <c r="AX733" s="75"/>
    </row>
    <row r="734" ht="15.75" customHeight="1">
      <c r="A734" s="285" t="s">
        <v>468</v>
      </c>
      <c r="B734" s="185" t="s">
        <v>5691</v>
      </c>
      <c r="C734" s="186"/>
      <c r="D734" s="186"/>
      <c r="E734" s="186"/>
      <c r="F734" s="304"/>
      <c r="G734" s="304"/>
      <c r="H734" s="304"/>
      <c r="I734" s="304"/>
      <c r="J734" s="304"/>
      <c r="K734" s="304"/>
      <c r="L734" s="304"/>
      <c r="M734" s="304"/>
      <c r="N734" s="304"/>
      <c r="O734" s="304"/>
      <c r="P734" s="304"/>
      <c r="Q734" s="304"/>
      <c r="R734" s="304"/>
      <c r="S734" s="304"/>
      <c r="T734" s="304"/>
      <c r="U734" s="304"/>
      <c r="V734" s="304"/>
      <c r="W734" s="304"/>
      <c r="X734" s="304"/>
      <c r="Y734" s="304"/>
      <c r="Z734" s="304"/>
      <c r="AA734" s="304"/>
      <c r="AB734" s="304"/>
      <c r="AC734" s="304"/>
      <c r="AD734" s="75"/>
      <c r="AE734" s="75"/>
      <c r="AF734" s="75"/>
      <c r="AG734" s="75"/>
      <c r="AH734" s="75"/>
      <c r="AI734" s="75"/>
      <c r="AJ734" s="75"/>
      <c r="AK734" s="75"/>
      <c r="AL734" s="75"/>
      <c r="AM734" s="75"/>
      <c r="AN734" s="75"/>
      <c r="AO734" s="75"/>
      <c r="AP734" s="75"/>
      <c r="AQ734" s="75"/>
      <c r="AR734" s="75"/>
      <c r="AS734" s="75"/>
      <c r="AT734" s="75"/>
      <c r="AU734" s="75"/>
      <c r="AV734" s="75"/>
      <c r="AW734" s="75"/>
      <c r="AX734" s="75"/>
    </row>
    <row r="735" ht="15.75" customHeight="1">
      <c r="A735" s="298" t="s">
        <v>237</v>
      </c>
      <c r="B735" s="310" t="s">
        <v>5592</v>
      </c>
      <c r="C735" s="226" t="s">
        <v>5593</v>
      </c>
      <c r="D735" s="226"/>
      <c r="E735" s="226"/>
      <c r="F735" s="312"/>
      <c r="G735" s="312"/>
      <c r="H735" s="312"/>
      <c r="I735" s="312"/>
      <c r="J735" s="312"/>
      <c r="K735" s="312"/>
      <c r="L735" s="312"/>
      <c r="M735" s="312"/>
      <c r="N735" s="312"/>
      <c r="O735" s="312"/>
      <c r="P735" s="312"/>
      <c r="Q735" s="312"/>
      <c r="R735" s="312"/>
      <c r="S735" s="312"/>
      <c r="T735" s="312"/>
      <c r="U735" s="312"/>
      <c r="V735" s="312"/>
      <c r="W735" s="312"/>
      <c r="X735" s="312"/>
      <c r="Y735" s="312"/>
      <c r="Z735" s="312"/>
      <c r="AA735" s="312"/>
      <c r="AB735" s="312"/>
      <c r="AC735" s="312"/>
      <c r="AD735" s="75"/>
      <c r="AE735" s="75"/>
      <c r="AF735" s="75"/>
      <c r="AG735" s="75"/>
      <c r="AH735" s="75"/>
      <c r="AI735" s="75"/>
      <c r="AJ735" s="75"/>
      <c r="AK735" s="75"/>
      <c r="AL735" s="75"/>
      <c r="AM735" s="75"/>
      <c r="AN735" s="75"/>
      <c r="AO735" s="75"/>
      <c r="AP735" s="75"/>
      <c r="AQ735" s="75"/>
      <c r="AR735" s="75"/>
      <c r="AS735" s="75"/>
      <c r="AT735" s="75"/>
      <c r="AU735" s="75"/>
      <c r="AV735" s="75"/>
      <c r="AW735" s="75"/>
      <c r="AX735" s="75"/>
    </row>
    <row r="736" ht="15.75" customHeight="1">
      <c r="A736" s="168" t="s">
        <v>127</v>
      </c>
      <c r="B736" s="71" t="s">
        <v>5739</v>
      </c>
      <c r="C736" s="72"/>
      <c r="D736" s="72"/>
      <c r="E736" s="72"/>
      <c r="F736" s="73"/>
      <c r="G736" s="73"/>
      <c r="H736" s="73"/>
      <c r="I736" s="73"/>
      <c r="J736" s="73"/>
      <c r="K736" s="73"/>
      <c r="L736" s="73"/>
      <c r="M736" s="73"/>
      <c r="N736" s="73"/>
      <c r="O736" s="73"/>
      <c r="P736" s="73"/>
      <c r="Q736" s="73"/>
      <c r="R736" s="73"/>
      <c r="S736" s="73"/>
      <c r="T736" s="74" t="s">
        <v>129</v>
      </c>
      <c r="U736" s="73"/>
      <c r="V736" s="73"/>
      <c r="W736" s="73"/>
      <c r="X736" s="73"/>
      <c r="Y736" s="73"/>
      <c r="Z736" s="73"/>
      <c r="AA736" s="73"/>
      <c r="AB736" s="73"/>
      <c r="AC736" s="73"/>
      <c r="AD736" s="75"/>
      <c r="AE736" s="75"/>
      <c r="AF736" s="75"/>
      <c r="AG736" s="75"/>
      <c r="AH736" s="75"/>
      <c r="AI736" s="75"/>
      <c r="AJ736" s="75"/>
      <c r="AK736" s="75"/>
      <c r="AL736" s="75"/>
      <c r="AM736" s="75"/>
      <c r="AN736" s="75"/>
      <c r="AO736" s="75"/>
      <c r="AP736" s="75"/>
      <c r="AQ736" s="75"/>
      <c r="AR736" s="75"/>
      <c r="AS736" s="75"/>
      <c r="AT736" s="75"/>
      <c r="AU736" s="75"/>
      <c r="AV736" s="75"/>
      <c r="AW736" s="75"/>
      <c r="AX736" s="75"/>
    </row>
    <row r="737" ht="15.75" customHeight="1">
      <c r="A737" s="168" t="s">
        <v>68</v>
      </c>
      <c r="B737" s="71" t="s">
        <v>5742</v>
      </c>
      <c r="C737" s="72"/>
      <c r="D737" s="72"/>
      <c r="E737" s="72"/>
      <c r="F737" s="73"/>
      <c r="G737" s="73"/>
      <c r="H737" s="73"/>
      <c r="I737" s="73"/>
      <c r="J737" s="73"/>
      <c r="K737" s="73"/>
      <c r="L737" s="73"/>
      <c r="M737" s="73"/>
      <c r="N737" s="73"/>
      <c r="O737" s="73"/>
      <c r="P737" s="73"/>
      <c r="Q737" s="73"/>
      <c r="R737" s="73"/>
      <c r="S737" s="73"/>
      <c r="T737" s="74" t="s">
        <v>6992</v>
      </c>
      <c r="U737" s="73"/>
      <c r="V737" s="73"/>
      <c r="W737" s="73"/>
      <c r="X737" s="73"/>
      <c r="Y737" s="73"/>
      <c r="Z737" s="73"/>
      <c r="AA737" s="73"/>
      <c r="AB737" s="73"/>
      <c r="AC737" s="73"/>
      <c r="AD737" s="75"/>
      <c r="AE737" s="75"/>
      <c r="AF737" s="75"/>
      <c r="AG737" s="75"/>
      <c r="AH737" s="75"/>
      <c r="AI737" s="75"/>
      <c r="AJ737" s="75"/>
      <c r="AK737" s="75"/>
      <c r="AL737" s="75"/>
      <c r="AM737" s="75"/>
      <c r="AN737" s="75"/>
      <c r="AO737" s="75"/>
      <c r="AP737" s="75"/>
      <c r="AQ737" s="75"/>
      <c r="AR737" s="75"/>
      <c r="AS737" s="75"/>
      <c r="AT737" s="75"/>
      <c r="AU737" s="75"/>
      <c r="AV737" s="75"/>
      <c r="AW737" s="75"/>
      <c r="AX737" s="75"/>
    </row>
    <row r="738" ht="15.75" customHeight="1">
      <c r="A738" s="285" t="s">
        <v>468</v>
      </c>
      <c r="B738" s="185" t="s">
        <v>5405</v>
      </c>
      <c r="C738" s="186" t="s">
        <v>5406</v>
      </c>
      <c r="D738" s="186"/>
      <c r="E738" s="186"/>
      <c r="F738" s="304"/>
      <c r="G738" s="304"/>
      <c r="H738" s="304"/>
      <c r="I738" s="304"/>
      <c r="J738" s="304"/>
      <c r="K738" s="304"/>
      <c r="L738" s="304"/>
      <c r="M738" s="304"/>
      <c r="N738" s="304"/>
      <c r="O738" s="304"/>
      <c r="P738" s="304"/>
      <c r="Q738" s="304"/>
      <c r="R738" s="304"/>
      <c r="S738" s="304"/>
      <c r="T738" s="304"/>
      <c r="U738" s="304"/>
      <c r="V738" s="304"/>
      <c r="W738" s="304"/>
      <c r="X738" s="304"/>
      <c r="Y738" s="304"/>
      <c r="Z738" s="304"/>
      <c r="AA738" s="304"/>
      <c r="AB738" s="304"/>
      <c r="AC738" s="304"/>
      <c r="AD738" s="304"/>
      <c r="AE738" s="304"/>
      <c r="AF738" s="304"/>
      <c r="AG738" s="304"/>
      <c r="AH738" s="304"/>
      <c r="AI738" s="304"/>
      <c r="AJ738" s="304"/>
      <c r="AK738" s="304"/>
      <c r="AL738" s="304"/>
      <c r="AM738" s="304"/>
      <c r="AN738" s="304"/>
      <c r="AO738" s="75"/>
      <c r="AP738" s="75"/>
      <c r="AQ738" s="75"/>
      <c r="AR738" s="75"/>
      <c r="AS738" s="75"/>
      <c r="AT738" s="75"/>
      <c r="AU738" s="75"/>
      <c r="AV738" s="75"/>
      <c r="AW738" s="75"/>
      <c r="AX738" s="75"/>
    </row>
    <row r="739">
      <c r="A739" s="259"/>
      <c r="B739" s="259"/>
      <c r="C739" s="158"/>
      <c r="D739" s="158"/>
      <c r="E739" s="158"/>
      <c r="F739" s="259"/>
      <c r="G739" s="259"/>
      <c r="H739" s="259"/>
      <c r="I739" s="259"/>
      <c r="J739" s="259"/>
      <c r="K739" s="259"/>
      <c r="L739" s="259"/>
      <c r="M739" s="259"/>
      <c r="N739" s="259"/>
      <c r="O739" s="259"/>
      <c r="P739" s="259"/>
      <c r="Q739" s="259"/>
      <c r="R739" s="259"/>
      <c r="S739" s="259"/>
      <c r="T739" s="259"/>
      <c r="U739" s="259"/>
      <c r="V739" s="259"/>
      <c r="W739" s="259"/>
      <c r="X739" s="259"/>
      <c r="Y739" s="259"/>
      <c r="Z739" s="259"/>
      <c r="AA739" s="259"/>
      <c r="AB739" s="259"/>
      <c r="AC739" s="259"/>
      <c r="AD739" s="259"/>
      <c r="AE739" s="259"/>
      <c r="AF739" s="259"/>
      <c r="AG739" s="259"/>
      <c r="AH739" s="259"/>
      <c r="AI739" s="259"/>
      <c r="AJ739" s="259"/>
      <c r="AK739" s="259"/>
      <c r="AL739" s="259"/>
      <c r="AM739" s="259"/>
      <c r="AN739" s="259"/>
      <c r="AO739" s="259"/>
      <c r="AP739" s="259"/>
      <c r="AQ739" s="259"/>
      <c r="AR739" s="259"/>
      <c r="AS739" s="259"/>
      <c r="AT739" s="259"/>
      <c r="AU739" s="259"/>
      <c r="AV739" s="259"/>
      <c r="AW739" s="259"/>
      <c r="AX739" s="259"/>
    </row>
    <row r="740" ht="15.75" customHeight="1">
      <c r="A740" s="168" t="s">
        <v>68</v>
      </c>
      <c r="B740" s="71" t="s">
        <v>5743</v>
      </c>
      <c r="C740" s="72" t="s">
        <v>5744</v>
      </c>
      <c r="D740" s="72" t="s">
        <v>5745</v>
      </c>
      <c r="E740" s="72" t="s">
        <v>5746</v>
      </c>
      <c r="F740" s="73"/>
      <c r="G740" s="73"/>
      <c r="H740" s="73"/>
      <c r="I740" s="73"/>
      <c r="J740" s="73"/>
      <c r="K740" s="73"/>
      <c r="L740" s="73"/>
      <c r="M740" s="73"/>
      <c r="N740" s="73"/>
      <c r="O740" s="73"/>
      <c r="P740" s="73"/>
      <c r="Q740" s="73"/>
      <c r="R740" s="73"/>
      <c r="S740" s="73"/>
      <c r="T740" s="74" t="s">
        <v>6993</v>
      </c>
      <c r="U740" s="73"/>
      <c r="V740" s="73"/>
      <c r="W740" s="73"/>
      <c r="X740" s="73"/>
      <c r="Y740" s="73"/>
      <c r="Z740" s="73"/>
      <c r="AA740" s="73"/>
      <c r="AB740" s="73"/>
      <c r="AC740" s="73"/>
      <c r="AD740" s="75"/>
      <c r="AE740" s="75"/>
      <c r="AF740" s="75"/>
      <c r="AG740" s="75"/>
      <c r="AH740" s="75"/>
      <c r="AI740" s="75"/>
      <c r="AJ740" s="75"/>
      <c r="AK740" s="75"/>
      <c r="AL740" s="75"/>
      <c r="AM740" s="75"/>
      <c r="AN740" s="75"/>
      <c r="AO740" s="75"/>
      <c r="AP740" s="75"/>
      <c r="AQ740" s="75"/>
      <c r="AR740" s="75"/>
      <c r="AS740" s="75"/>
      <c r="AT740" s="75"/>
      <c r="AU740" s="75"/>
      <c r="AV740" s="75"/>
      <c r="AW740" s="75"/>
      <c r="AX740" s="75"/>
    </row>
    <row r="741" ht="15.75" customHeight="1">
      <c r="A741" s="168" t="s">
        <v>68</v>
      </c>
      <c r="B741" s="71" t="s">
        <v>5747</v>
      </c>
      <c r="C741" s="72" t="s">
        <v>5748</v>
      </c>
      <c r="D741" s="72"/>
      <c r="E741" s="72"/>
      <c r="F741" s="73"/>
      <c r="G741" s="73"/>
      <c r="H741" s="73"/>
      <c r="I741" s="73"/>
      <c r="J741" s="73"/>
      <c r="K741" s="73"/>
      <c r="L741" s="73"/>
      <c r="M741" s="73"/>
      <c r="N741" s="73"/>
      <c r="O741" s="73"/>
      <c r="P741" s="73"/>
      <c r="Q741" s="73"/>
      <c r="R741" s="73"/>
      <c r="S741" s="73"/>
      <c r="T741" s="74" t="s">
        <v>6994</v>
      </c>
      <c r="U741" s="73"/>
      <c r="V741" s="73"/>
      <c r="W741" s="73"/>
      <c r="X741" s="73"/>
      <c r="Y741" s="73"/>
      <c r="Z741" s="73"/>
      <c r="AA741" s="73"/>
      <c r="AB741" s="73"/>
      <c r="AC741" s="73"/>
      <c r="AD741" s="75"/>
      <c r="AE741" s="75"/>
      <c r="AF741" s="75"/>
      <c r="AG741" s="75"/>
      <c r="AH741" s="75"/>
      <c r="AI741" s="75"/>
      <c r="AJ741" s="75"/>
      <c r="AK741" s="75"/>
      <c r="AL741" s="75"/>
      <c r="AM741" s="75"/>
      <c r="AN741" s="75"/>
      <c r="AO741" s="75"/>
      <c r="AP741" s="75"/>
      <c r="AQ741" s="75"/>
      <c r="AR741" s="75"/>
      <c r="AS741" s="75"/>
      <c r="AT741" s="75"/>
      <c r="AU741" s="75"/>
      <c r="AV741" s="75"/>
      <c r="AW741" s="75"/>
      <c r="AX741" s="75"/>
    </row>
    <row r="742" ht="15.75" customHeight="1">
      <c r="A742" s="168" t="s">
        <v>68</v>
      </c>
      <c r="B742" s="71" t="s">
        <v>5749</v>
      </c>
      <c r="C742" s="72"/>
      <c r="D742" s="72"/>
      <c r="E742" s="72"/>
      <c r="F742" s="73"/>
      <c r="G742" s="73"/>
      <c r="H742" s="73"/>
      <c r="I742" s="73"/>
      <c r="J742" s="73"/>
      <c r="K742" s="73"/>
      <c r="L742" s="73"/>
      <c r="M742" s="73"/>
      <c r="N742" s="73"/>
      <c r="O742" s="73"/>
      <c r="P742" s="73"/>
      <c r="Q742" s="73"/>
      <c r="R742" s="73"/>
      <c r="S742" s="73"/>
      <c r="T742" s="74" t="s">
        <v>6995</v>
      </c>
      <c r="U742" s="73"/>
      <c r="V742" s="73"/>
      <c r="W742" s="73"/>
      <c r="X742" s="73"/>
      <c r="Y742" s="73"/>
      <c r="Z742" s="73"/>
      <c r="AA742" s="73"/>
      <c r="AB742" s="73"/>
      <c r="AC742" s="73"/>
      <c r="AD742" s="75"/>
      <c r="AE742" s="75"/>
      <c r="AF742" s="75"/>
      <c r="AG742" s="75"/>
      <c r="AH742" s="75"/>
      <c r="AI742" s="75"/>
      <c r="AJ742" s="75"/>
      <c r="AK742" s="75"/>
      <c r="AL742" s="75"/>
      <c r="AM742" s="75"/>
      <c r="AN742" s="75"/>
      <c r="AO742" s="75"/>
      <c r="AP742" s="75"/>
      <c r="AQ742" s="75"/>
      <c r="AR742" s="75"/>
      <c r="AS742" s="75"/>
      <c r="AT742" s="75"/>
      <c r="AU742" s="75"/>
      <c r="AV742" s="75"/>
      <c r="AW742" s="75"/>
      <c r="AX742" s="75"/>
    </row>
    <row r="743" ht="15.75" customHeight="1">
      <c r="A743" s="168" t="s">
        <v>68</v>
      </c>
      <c r="B743" s="71" t="s">
        <v>5750</v>
      </c>
      <c r="C743" s="72"/>
      <c r="D743" s="72"/>
      <c r="E743" s="72"/>
      <c r="F743" s="73"/>
      <c r="G743" s="73"/>
      <c r="H743" s="73"/>
      <c r="I743" s="73"/>
      <c r="J743" s="73"/>
      <c r="K743" s="73"/>
      <c r="L743" s="73"/>
      <c r="M743" s="73"/>
      <c r="N743" s="73"/>
      <c r="O743" s="73"/>
      <c r="P743" s="73"/>
      <c r="Q743" s="73"/>
      <c r="R743" s="73"/>
      <c r="S743" s="73"/>
      <c r="T743" s="74" t="s">
        <v>6996</v>
      </c>
      <c r="U743" s="73"/>
      <c r="V743" s="73"/>
      <c r="W743" s="73"/>
      <c r="X743" s="73"/>
      <c r="Y743" s="73"/>
      <c r="Z743" s="73"/>
      <c r="AA743" s="73"/>
      <c r="AB743" s="73"/>
      <c r="AC743" s="73"/>
      <c r="AD743" s="75"/>
      <c r="AE743" s="75"/>
      <c r="AF743" s="75"/>
      <c r="AG743" s="75"/>
      <c r="AH743" s="75"/>
      <c r="AI743" s="75"/>
      <c r="AJ743" s="75"/>
      <c r="AK743" s="75"/>
      <c r="AL743" s="75"/>
      <c r="AM743" s="75"/>
      <c r="AN743" s="75"/>
      <c r="AO743" s="75"/>
      <c r="AP743" s="75"/>
      <c r="AQ743" s="75"/>
      <c r="AR743" s="75"/>
      <c r="AS743" s="75"/>
      <c r="AT743" s="75"/>
      <c r="AU743" s="75"/>
      <c r="AV743" s="75"/>
      <c r="AW743" s="75"/>
      <c r="AX743" s="75"/>
    </row>
    <row r="744" ht="15.75" customHeight="1">
      <c r="A744" s="168" t="s">
        <v>68</v>
      </c>
      <c r="B744" s="71" t="s">
        <v>5754</v>
      </c>
      <c r="C744" s="72"/>
      <c r="D744" s="72"/>
      <c r="E744" s="72"/>
      <c r="F744" s="73"/>
      <c r="G744" s="73"/>
      <c r="H744" s="73"/>
      <c r="I744" s="73"/>
      <c r="J744" s="73"/>
      <c r="K744" s="73"/>
      <c r="L744" s="73"/>
      <c r="M744" s="73"/>
      <c r="N744" s="73"/>
      <c r="O744" s="73"/>
      <c r="P744" s="73"/>
      <c r="Q744" s="73"/>
      <c r="R744" s="73"/>
      <c r="S744" s="73"/>
      <c r="T744" s="74" t="s">
        <v>6997</v>
      </c>
      <c r="U744" s="73"/>
      <c r="V744" s="73"/>
      <c r="W744" s="73"/>
      <c r="X744" s="73"/>
      <c r="Y744" s="73"/>
      <c r="Z744" s="73"/>
      <c r="AA744" s="73"/>
      <c r="AB744" s="73"/>
      <c r="AC744" s="73"/>
      <c r="AD744" s="75"/>
      <c r="AE744" s="75"/>
      <c r="AF744" s="75"/>
      <c r="AG744" s="75"/>
      <c r="AH744" s="75"/>
      <c r="AI744" s="75"/>
      <c r="AJ744" s="75"/>
      <c r="AK744" s="75"/>
      <c r="AL744" s="75"/>
      <c r="AM744" s="75"/>
      <c r="AN744" s="75"/>
      <c r="AO744" s="75"/>
      <c r="AP744" s="75"/>
      <c r="AQ744" s="75"/>
      <c r="AR744" s="75"/>
      <c r="AS744" s="75"/>
      <c r="AT744" s="75"/>
      <c r="AU744" s="75"/>
      <c r="AV744" s="75"/>
      <c r="AW744" s="75"/>
      <c r="AX744" s="75"/>
    </row>
    <row r="745" ht="15.75" customHeight="1">
      <c r="A745" s="168" t="s">
        <v>68</v>
      </c>
      <c r="B745" s="71" t="s">
        <v>5755</v>
      </c>
      <c r="C745" s="72"/>
      <c r="D745" s="72"/>
      <c r="E745" s="72"/>
      <c r="F745" s="73"/>
      <c r="G745" s="73"/>
      <c r="H745" s="73"/>
      <c r="I745" s="73"/>
      <c r="J745" s="73"/>
      <c r="K745" s="73"/>
      <c r="L745" s="73"/>
      <c r="M745" s="73"/>
      <c r="N745" s="73"/>
      <c r="O745" s="73"/>
      <c r="P745" s="73"/>
      <c r="Q745" s="73"/>
      <c r="R745" s="73"/>
      <c r="S745" s="73"/>
      <c r="T745" s="74" t="s">
        <v>6998</v>
      </c>
      <c r="U745" s="73"/>
      <c r="V745" s="73"/>
      <c r="W745" s="73"/>
      <c r="X745" s="73"/>
      <c r="Y745" s="73"/>
      <c r="Z745" s="73"/>
      <c r="AA745" s="73"/>
      <c r="AB745" s="73"/>
      <c r="AC745" s="73"/>
      <c r="AD745" s="75"/>
      <c r="AE745" s="75"/>
      <c r="AF745" s="75"/>
      <c r="AG745" s="75"/>
      <c r="AH745" s="75"/>
      <c r="AI745" s="75"/>
      <c r="AJ745" s="75"/>
      <c r="AK745" s="75"/>
      <c r="AL745" s="75"/>
      <c r="AM745" s="75"/>
      <c r="AN745" s="75"/>
      <c r="AO745" s="75"/>
      <c r="AP745" s="75"/>
      <c r="AQ745" s="75"/>
      <c r="AR745" s="75"/>
      <c r="AS745" s="75"/>
      <c r="AT745" s="75"/>
      <c r="AU745" s="75"/>
      <c r="AV745" s="75"/>
      <c r="AW745" s="75"/>
      <c r="AX745" s="75"/>
    </row>
    <row r="746" ht="15.75" customHeight="1">
      <c r="A746" s="168" t="s">
        <v>68</v>
      </c>
      <c r="B746" s="71" t="s">
        <v>5756</v>
      </c>
      <c r="C746" s="72"/>
      <c r="D746" s="72"/>
      <c r="E746" s="72"/>
      <c r="F746" s="73"/>
      <c r="G746" s="73"/>
      <c r="H746" s="73"/>
      <c r="I746" s="73"/>
      <c r="J746" s="73"/>
      <c r="K746" s="73"/>
      <c r="L746" s="73"/>
      <c r="M746" s="73"/>
      <c r="N746" s="73"/>
      <c r="O746" s="73"/>
      <c r="P746" s="73"/>
      <c r="Q746" s="73"/>
      <c r="R746" s="73"/>
      <c r="S746" s="73"/>
      <c r="T746" s="74" t="s">
        <v>6999</v>
      </c>
      <c r="U746" s="73"/>
      <c r="V746" s="73"/>
      <c r="W746" s="73"/>
      <c r="X746" s="73"/>
      <c r="Y746" s="73"/>
      <c r="Z746" s="73"/>
      <c r="AA746" s="73"/>
      <c r="AB746" s="73"/>
      <c r="AC746" s="73"/>
      <c r="AD746" s="75"/>
      <c r="AE746" s="75"/>
      <c r="AF746" s="75"/>
      <c r="AG746" s="75"/>
      <c r="AH746" s="75"/>
      <c r="AI746" s="75"/>
      <c r="AJ746" s="75"/>
      <c r="AK746" s="75"/>
      <c r="AL746" s="75"/>
      <c r="AM746" s="75"/>
      <c r="AN746" s="75"/>
      <c r="AO746" s="75"/>
      <c r="AP746" s="75"/>
      <c r="AQ746" s="75"/>
      <c r="AR746" s="75"/>
      <c r="AS746" s="75"/>
      <c r="AT746" s="75"/>
      <c r="AU746" s="75"/>
      <c r="AV746" s="75"/>
      <c r="AW746" s="75"/>
      <c r="AX746" s="75"/>
    </row>
    <row r="747" ht="15.75" customHeight="1">
      <c r="A747" s="320"/>
      <c r="B747" s="321"/>
      <c r="C747" s="191"/>
      <c r="D747" s="191"/>
      <c r="E747" s="191"/>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row>
    <row r="748" ht="15.75" customHeight="1">
      <c r="A748" s="298" t="s">
        <v>133</v>
      </c>
      <c r="B748" s="299" t="s">
        <v>5757</v>
      </c>
      <c r="C748" s="147" t="s">
        <v>5758</v>
      </c>
      <c r="D748" s="147"/>
      <c r="E748" s="147"/>
      <c r="F748" s="312"/>
      <c r="G748" s="312"/>
      <c r="H748" s="312"/>
      <c r="I748" s="312"/>
      <c r="J748" s="313"/>
      <c r="K748" s="312"/>
      <c r="L748" s="312"/>
      <c r="M748" s="313"/>
      <c r="N748" s="313"/>
      <c r="O748" s="313"/>
      <c r="P748" s="312"/>
      <c r="Q748" s="312"/>
      <c r="R748" s="312"/>
      <c r="S748" s="312"/>
      <c r="T748" s="312"/>
      <c r="U748" s="312"/>
      <c r="V748" s="312"/>
      <c r="W748" s="312"/>
      <c r="X748" s="312"/>
      <c r="Y748" s="312"/>
      <c r="Z748" s="312"/>
      <c r="AA748" s="312"/>
      <c r="AB748" s="312"/>
      <c r="AC748" s="312"/>
      <c r="AD748" s="75"/>
      <c r="AE748" s="75"/>
      <c r="AF748" s="75"/>
      <c r="AG748" s="75"/>
      <c r="AH748" s="75"/>
      <c r="AI748" s="75"/>
      <c r="AJ748" s="75"/>
      <c r="AK748" s="75"/>
      <c r="AL748" s="75"/>
      <c r="AM748" s="75"/>
      <c r="AN748" s="75"/>
      <c r="AO748" s="75"/>
      <c r="AP748" s="75"/>
      <c r="AQ748" s="75"/>
      <c r="AR748" s="75"/>
      <c r="AS748" s="75"/>
      <c r="AT748" s="75"/>
      <c r="AU748" s="75"/>
      <c r="AV748" s="75"/>
      <c r="AW748" s="75"/>
      <c r="AX748" s="75"/>
    </row>
    <row r="749" ht="15.75" customHeight="1">
      <c r="A749" s="278" t="s">
        <v>38</v>
      </c>
      <c r="B749" s="279" t="s">
        <v>5759</v>
      </c>
      <c r="C749" s="27" t="s">
        <v>7000</v>
      </c>
      <c r="D749" s="27" t="s">
        <v>7001</v>
      </c>
      <c r="E749" s="27" t="s">
        <v>7002</v>
      </c>
      <c r="F749" s="45"/>
      <c r="G749" s="45"/>
      <c r="H749" s="45"/>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75"/>
      <c r="AE749" s="75"/>
      <c r="AF749" s="75"/>
      <c r="AG749" s="75"/>
      <c r="AH749" s="75"/>
      <c r="AI749" s="75"/>
      <c r="AJ749" s="75"/>
      <c r="AK749" s="75"/>
      <c r="AL749" s="75"/>
      <c r="AM749" s="75"/>
      <c r="AN749" s="75"/>
      <c r="AO749" s="75"/>
      <c r="AP749" s="75"/>
      <c r="AQ749" s="75"/>
      <c r="AR749" s="75"/>
      <c r="AS749" s="75"/>
      <c r="AT749" s="75"/>
      <c r="AU749" s="75"/>
      <c r="AV749" s="75"/>
      <c r="AW749" s="75"/>
      <c r="AX749" s="75"/>
    </row>
    <row r="750" ht="15.75" customHeight="1">
      <c r="A750" s="280" t="s">
        <v>2509</v>
      </c>
      <c r="B750" s="281" t="s">
        <v>5770</v>
      </c>
      <c r="C750" s="27" t="s">
        <v>7003</v>
      </c>
      <c r="D750" s="27" t="s">
        <v>7004</v>
      </c>
      <c r="E750" s="27" t="s">
        <v>7005</v>
      </c>
      <c r="F750" s="45"/>
      <c r="G750" s="45"/>
      <c r="H750" s="45"/>
      <c r="I750" s="286"/>
      <c r="J750" s="287"/>
      <c r="K750" s="286"/>
      <c r="L750" s="286"/>
      <c r="M750" s="286"/>
      <c r="N750" s="286"/>
      <c r="O750" s="286"/>
      <c r="P750" s="286"/>
      <c r="Q750" s="290" t="s">
        <v>150</v>
      </c>
      <c r="R750" s="286"/>
      <c r="S750" s="286"/>
      <c r="T750" s="286"/>
      <c r="U750" s="286"/>
      <c r="V750" s="286"/>
      <c r="W750" s="286"/>
      <c r="X750" s="286"/>
      <c r="Y750" s="286"/>
      <c r="Z750" s="286"/>
      <c r="AA750" s="286"/>
      <c r="AB750" s="286"/>
      <c r="AC750" s="286"/>
      <c r="AD750" s="75"/>
      <c r="AE750" s="75"/>
      <c r="AF750" s="75"/>
      <c r="AG750" s="75"/>
      <c r="AH750" s="75"/>
      <c r="AI750" s="75"/>
      <c r="AJ750" s="75"/>
      <c r="AK750" s="75"/>
      <c r="AL750" s="75"/>
      <c r="AM750" s="75"/>
      <c r="AN750" s="75"/>
      <c r="AO750" s="75"/>
      <c r="AP750" s="75"/>
      <c r="AQ750" s="75"/>
      <c r="AR750" s="75"/>
      <c r="AS750" s="75"/>
      <c r="AT750" s="75"/>
      <c r="AU750" s="75"/>
      <c r="AV750" s="75"/>
      <c r="AW750" s="75"/>
      <c r="AX750" s="75"/>
    </row>
    <row r="751" ht="15.75" customHeight="1">
      <c r="A751" s="291" t="s">
        <v>268</v>
      </c>
      <c r="B751" s="292" t="s">
        <v>5771</v>
      </c>
      <c r="C751" s="27" t="s">
        <v>7006</v>
      </c>
      <c r="D751" s="27" t="s">
        <v>7007</v>
      </c>
      <c r="E751" s="27" t="s">
        <v>7008</v>
      </c>
      <c r="F751" s="45"/>
      <c r="G751" s="45"/>
      <c r="H751" s="45"/>
      <c r="I751" s="306"/>
      <c r="J751" s="306"/>
      <c r="K751" s="308"/>
      <c r="L751" s="308"/>
      <c r="M751" s="306"/>
      <c r="N751" s="306"/>
      <c r="O751" s="309" t="s">
        <v>7009</v>
      </c>
      <c r="P751" s="306"/>
      <c r="Q751" s="309" t="s">
        <v>150</v>
      </c>
      <c r="R751" s="306"/>
      <c r="S751" s="306"/>
      <c r="T751" s="306"/>
      <c r="U751" s="306"/>
      <c r="V751" s="306"/>
      <c r="W751" s="306"/>
      <c r="X751" s="306"/>
      <c r="Y751" s="306"/>
      <c r="Z751" s="306"/>
      <c r="AA751" s="306"/>
      <c r="AB751" s="306"/>
      <c r="AC751" s="306"/>
      <c r="AD751" s="75"/>
      <c r="AE751" s="75"/>
      <c r="AF751" s="75"/>
      <c r="AG751" s="75"/>
      <c r="AH751" s="75"/>
      <c r="AI751" s="75"/>
      <c r="AJ751" s="75"/>
      <c r="AK751" s="75"/>
      <c r="AL751" s="75"/>
      <c r="AM751" s="75"/>
      <c r="AN751" s="75"/>
      <c r="AO751" s="75"/>
      <c r="AP751" s="75"/>
      <c r="AQ751" s="75"/>
      <c r="AR751" s="75"/>
      <c r="AS751" s="75"/>
      <c r="AT751" s="75"/>
      <c r="AU751" s="75"/>
      <c r="AV751" s="75"/>
      <c r="AW751" s="75"/>
      <c r="AX751" s="75"/>
    </row>
    <row r="752" ht="15.75" customHeight="1">
      <c r="A752" s="280" t="s">
        <v>5772</v>
      </c>
      <c r="B752" s="281" t="s">
        <v>5773</v>
      </c>
      <c r="C752" s="27" t="s">
        <v>7010</v>
      </c>
      <c r="D752" s="27" t="s">
        <v>7011</v>
      </c>
      <c r="E752" s="27" t="s">
        <v>7012</v>
      </c>
      <c r="F752" s="45"/>
      <c r="G752" s="45"/>
      <c r="H752" s="45"/>
      <c r="I752" s="286"/>
      <c r="J752" s="287"/>
      <c r="K752" s="290" t="s">
        <v>4902</v>
      </c>
      <c r="L752" s="286"/>
      <c r="M752" s="286"/>
      <c r="N752" s="286"/>
      <c r="O752" s="286"/>
      <c r="P752" s="286"/>
      <c r="Q752" s="290" t="s">
        <v>150</v>
      </c>
      <c r="R752" s="286"/>
      <c r="S752" s="286"/>
      <c r="T752" s="286"/>
      <c r="U752" s="286"/>
      <c r="V752" s="286"/>
      <c r="W752" s="286"/>
      <c r="X752" s="286"/>
      <c r="Y752" s="286"/>
      <c r="Z752" s="286"/>
      <c r="AA752" s="286"/>
      <c r="AB752" s="286"/>
      <c r="AC752" s="286"/>
      <c r="AD752" s="75"/>
      <c r="AE752" s="75"/>
      <c r="AF752" s="75"/>
      <c r="AG752" s="75"/>
      <c r="AH752" s="75"/>
      <c r="AI752" s="75"/>
      <c r="AJ752" s="75"/>
      <c r="AK752" s="75"/>
      <c r="AL752" s="75"/>
      <c r="AM752" s="75"/>
      <c r="AN752" s="75"/>
      <c r="AO752" s="75"/>
      <c r="AP752" s="75"/>
      <c r="AQ752" s="75"/>
      <c r="AR752" s="75"/>
      <c r="AS752" s="75"/>
      <c r="AT752" s="75"/>
      <c r="AU752" s="75"/>
      <c r="AV752" s="75"/>
      <c r="AW752" s="75"/>
      <c r="AX752" s="75"/>
    </row>
    <row r="753" ht="15.75" customHeight="1">
      <c r="A753" s="280" t="s">
        <v>5775</v>
      </c>
      <c r="B753" s="281" t="s">
        <v>5777</v>
      </c>
      <c r="C753" s="27" t="s">
        <v>7013</v>
      </c>
      <c r="D753" s="27" t="s">
        <v>7014</v>
      </c>
      <c r="E753" s="27" t="s">
        <v>7015</v>
      </c>
      <c r="F753" s="45"/>
      <c r="G753" s="45"/>
      <c r="H753" s="45"/>
      <c r="I753" s="286"/>
      <c r="J753" s="287"/>
      <c r="K753" s="290" t="s">
        <v>4902</v>
      </c>
      <c r="L753" s="286"/>
      <c r="M753" s="286"/>
      <c r="N753" s="286"/>
      <c r="O753" s="286"/>
      <c r="P753" s="286"/>
      <c r="Q753" s="290" t="s">
        <v>150</v>
      </c>
      <c r="R753" s="286"/>
      <c r="S753" s="286"/>
      <c r="T753" s="286"/>
      <c r="U753" s="286"/>
      <c r="V753" s="286"/>
      <c r="W753" s="286"/>
      <c r="X753" s="286"/>
      <c r="Y753" s="286"/>
      <c r="Z753" s="286"/>
      <c r="AA753" s="286"/>
      <c r="AB753" s="286"/>
      <c r="AC753" s="286"/>
      <c r="AD753" s="75"/>
      <c r="AE753" s="75"/>
      <c r="AF753" s="75"/>
      <c r="AG753" s="75"/>
      <c r="AH753" s="75"/>
      <c r="AI753" s="75"/>
      <c r="AJ753" s="75"/>
      <c r="AK753" s="75"/>
      <c r="AL753" s="75"/>
      <c r="AM753" s="75"/>
      <c r="AN753" s="75"/>
      <c r="AO753" s="75"/>
      <c r="AP753" s="75"/>
      <c r="AQ753" s="75"/>
      <c r="AR753" s="75"/>
      <c r="AS753" s="75"/>
      <c r="AT753" s="75"/>
      <c r="AU753" s="75"/>
      <c r="AV753" s="75"/>
      <c r="AW753" s="75"/>
      <c r="AX753" s="75"/>
    </row>
    <row r="754" ht="15.75" customHeight="1">
      <c r="A754" s="168" t="s">
        <v>127</v>
      </c>
      <c r="B754" s="71" t="s">
        <v>5785</v>
      </c>
      <c r="C754" s="72"/>
      <c r="D754" s="72"/>
      <c r="E754" s="72"/>
      <c r="F754" s="73"/>
      <c r="G754" s="73"/>
      <c r="H754" s="73"/>
      <c r="I754" s="73"/>
      <c r="J754" s="73"/>
      <c r="K754" s="73"/>
      <c r="L754" s="73"/>
      <c r="M754" s="73"/>
      <c r="N754" s="73"/>
      <c r="O754" s="73"/>
      <c r="P754" s="73"/>
      <c r="Q754" s="73"/>
      <c r="R754" s="73"/>
      <c r="S754" s="73"/>
      <c r="T754" s="74" t="s">
        <v>129</v>
      </c>
      <c r="U754" s="73"/>
      <c r="V754" s="73"/>
      <c r="W754" s="73"/>
      <c r="X754" s="73"/>
      <c r="Y754" s="73"/>
      <c r="Z754" s="73"/>
      <c r="AA754" s="73"/>
      <c r="AB754" s="73"/>
      <c r="AC754" s="73"/>
      <c r="AD754" s="75"/>
      <c r="AE754" s="75"/>
      <c r="AF754" s="75"/>
      <c r="AG754" s="75"/>
      <c r="AH754" s="75"/>
      <c r="AI754" s="75"/>
      <c r="AJ754" s="75"/>
      <c r="AK754" s="75"/>
      <c r="AL754" s="75"/>
      <c r="AM754" s="75"/>
      <c r="AN754" s="75"/>
      <c r="AO754" s="75"/>
      <c r="AP754" s="75"/>
      <c r="AQ754" s="75"/>
      <c r="AR754" s="75"/>
      <c r="AS754" s="75"/>
      <c r="AT754" s="75"/>
      <c r="AU754" s="75"/>
      <c r="AV754" s="75"/>
      <c r="AW754" s="75"/>
      <c r="AX754" s="75"/>
    </row>
    <row r="755" ht="15.75" customHeight="1">
      <c r="A755" s="285" t="s">
        <v>426</v>
      </c>
      <c r="B755" s="171" t="s">
        <v>5786</v>
      </c>
      <c r="C755" s="172" t="s">
        <v>5787</v>
      </c>
      <c r="D755" s="172" t="s">
        <v>5789</v>
      </c>
      <c r="E755" s="172" t="s">
        <v>5792</v>
      </c>
      <c r="F755" s="304"/>
      <c r="G755" s="304"/>
      <c r="H755" s="304"/>
      <c r="I755" s="304"/>
      <c r="J755" s="304"/>
      <c r="K755" s="304"/>
      <c r="L755" s="304"/>
      <c r="M755" s="305"/>
      <c r="N755" s="305"/>
      <c r="O755" s="176" t="s">
        <v>7016</v>
      </c>
      <c r="P755" s="304"/>
      <c r="Q755" s="304"/>
      <c r="R755" s="304"/>
      <c r="S755" s="304"/>
      <c r="T755" s="304"/>
      <c r="U755" s="176" t="s">
        <v>7017</v>
      </c>
      <c r="V755" s="304"/>
      <c r="W755" s="304"/>
      <c r="X755" s="304"/>
      <c r="Y755" s="304"/>
      <c r="Z755" s="304"/>
      <c r="AA755" s="304"/>
      <c r="AB755" s="304"/>
      <c r="AC755" s="304"/>
      <c r="AD755" s="75"/>
      <c r="AE755" s="75"/>
      <c r="AF755" s="75"/>
      <c r="AG755" s="75"/>
      <c r="AH755" s="75"/>
      <c r="AI755" s="75"/>
      <c r="AJ755" s="75"/>
      <c r="AK755" s="75"/>
      <c r="AL755" s="75"/>
      <c r="AM755" s="75"/>
      <c r="AN755" s="75"/>
      <c r="AO755" s="75"/>
      <c r="AP755" s="75"/>
      <c r="AQ755" s="75"/>
      <c r="AR755" s="75"/>
      <c r="AS755" s="75"/>
      <c r="AT755" s="75"/>
      <c r="AU755" s="75"/>
      <c r="AV755" s="75"/>
      <c r="AW755" s="75"/>
      <c r="AX755" s="75"/>
    </row>
    <row r="756" ht="15.75" customHeight="1">
      <c r="A756" s="168" t="s">
        <v>68</v>
      </c>
      <c r="B756" s="71" t="s">
        <v>5793</v>
      </c>
      <c r="C756" s="72" t="s">
        <v>5794</v>
      </c>
      <c r="D756" s="72" t="s">
        <v>5795</v>
      </c>
      <c r="E756" s="72" t="s">
        <v>5796</v>
      </c>
      <c r="F756" s="73"/>
      <c r="G756" s="73"/>
      <c r="H756" s="73"/>
      <c r="I756" s="73"/>
      <c r="J756" s="73"/>
      <c r="K756" s="73"/>
      <c r="L756" s="73"/>
      <c r="M756" s="73"/>
      <c r="N756" s="73"/>
      <c r="O756" s="73"/>
      <c r="P756" s="73"/>
      <c r="Q756" s="73"/>
      <c r="R756" s="73"/>
      <c r="S756" s="73"/>
      <c r="T756" s="74" t="s">
        <v>7018</v>
      </c>
      <c r="U756" s="73"/>
      <c r="V756" s="73"/>
      <c r="W756" s="73"/>
      <c r="X756" s="73"/>
      <c r="Y756" s="73"/>
      <c r="Z756" s="73"/>
      <c r="AA756" s="73"/>
      <c r="AB756" s="73"/>
      <c r="AC756" s="73"/>
      <c r="AD756" s="75"/>
      <c r="AE756" s="75"/>
      <c r="AF756" s="75"/>
      <c r="AG756" s="75"/>
      <c r="AH756" s="75"/>
      <c r="AI756" s="75"/>
      <c r="AJ756" s="75"/>
      <c r="AK756" s="75"/>
      <c r="AL756" s="75"/>
      <c r="AM756" s="75"/>
      <c r="AN756" s="75"/>
      <c r="AO756" s="75"/>
      <c r="AP756" s="75"/>
      <c r="AQ756" s="75"/>
      <c r="AR756" s="75"/>
      <c r="AS756" s="75"/>
      <c r="AT756" s="75"/>
      <c r="AU756" s="75"/>
      <c r="AV756" s="75"/>
      <c r="AW756" s="75"/>
      <c r="AX756" s="75"/>
    </row>
    <row r="757" ht="15.75" customHeight="1">
      <c r="A757" s="291" t="s">
        <v>268</v>
      </c>
      <c r="B757" s="292" t="s">
        <v>5799</v>
      </c>
      <c r="C757" s="27" t="s">
        <v>7019</v>
      </c>
      <c r="D757" s="27" t="s">
        <v>7020</v>
      </c>
      <c r="E757" s="27" t="s">
        <v>7021</v>
      </c>
      <c r="F757" s="45"/>
      <c r="G757" s="45"/>
      <c r="H757" s="45"/>
      <c r="I757" s="306"/>
      <c r="J757" s="306"/>
      <c r="K757" s="307" t="s">
        <v>7022</v>
      </c>
      <c r="L757" s="308"/>
      <c r="M757" s="306"/>
      <c r="N757" s="306"/>
      <c r="O757" s="306"/>
      <c r="P757" s="306"/>
      <c r="Q757" s="309" t="s">
        <v>150</v>
      </c>
      <c r="R757" s="306"/>
      <c r="S757" s="306"/>
      <c r="T757" s="306"/>
      <c r="U757" s="306"/>
      <c r="V757" s="306"/>
      <c r="W757" s="306"/>
      <c r="X757" s="306"/>
      <c r="Y757" s="306"/>
      <c r="Z757" s="306"/>
      <c r="AA757" s="306"/>
      <c r="AB757" s="306"/>
      <c r="AC757" s="306"/>
      <c r="AD757" s="75"/>
      <c r="AE757" s="75"/>
      <c r="AF757" s="75"/>
      <c r="AG757" s="75"/>
      <c r="AH757" s="75"/>
      <c r="AI757" s="75"/>
      <c r="AJ757" s="75"/>
      <c r="AK757" s="75"/>
      <c r="AL757" s="75"/>
      <c r="AM757" s="75"/>
      <c r="AN757" s="75"/>
      <c r="AO757" s="75"/>
      <c r="AP757" s="75"/>
      <c r="AQ757" s="75"/>
      <c r="AR757" s="75"/>
      <c r="AS757" s="75"/>
      <c r="AT757" s="75"/>
      <c r="AU757" s="75"/>
      <c r="AV757" s="75"/>
      <c r="AW757" s="75"/>
      <c r="AX757" s="75"/>
    </row>
    <row r="758" ht="15.75" customHeight="1">
      <c r="A758" s="291" t="s">
        <v>268</v>
      </c>
      <c r="B758" s="292" t="s">
        <v>5807</v>
      </c>
      <c r="C758" s="27" t="s">
        <v>7023</v>
      </c>
      <c r="D758" s="27" t="s">
        <v>7024</v>
      </c>
      <c r="E758" s="27" t="s">
        <v>7025</v>
      </c>
      <c r="F758" s="45"/>
      <c r="G758" s="45"/>
      <c r="H758" s="45"/>
      <c r="I758" s="306"/>
      <c r="J758" s="306"/>
      <c r="K758" s="308"/>
      <c r="L758" s="308"/>
      <c r="M758" s="306"/>
      <c r="N758" s="306"/>
      <c r="O758" s="306"/>
      <c r="P758" s="306"/>
      <c r="Q758" s="309" t="s">
        <v>150</v>
      </c>
      <c r="R758" s="306"/>
      <c r="S758" s="306"/>
      <c r="T758" s="306"/>
      <c r="U758" s="306"/>
      <c r="V758" s="306"/>
      <c r="W758" s="306"/>
      <c r="X758" s="306"/>
      <c r="Y758" s="306"/>
      <c r="Z758" s="306"/>
      <c r="AA758" s="306"/>
      <c r="AB758" s="306"/>
      <c r="AC758" s="306"/>
      <c r="AD758" s="75"/>
      <c r="AE758" s="75"/>
      <c r="AF758" s="75"/>
      <c r="AG758" s="75"/>
      <c r="AH758" s="75"/>
      <c r="AI758" s="75"/>
      <c r="AJ758" s="75"/>
      <c r="AK758" s="75"/>
      <c r="AL758" s="75"/>
      <c r="AM758" s="75"/>
      <c r="AN758" s="75"/>
      <c r="AO758" s="75"/>
      <c r="AP758" s="75"/>
      <c r="AQ758" s="75"/>
      <c r="AR758" s="75"/>
      <c r="AS758" s="75"/>
      <c r="AT758" s="75"/>
      <c r="AU758" s="75"/>
      <c r="AV758" s="75"/>
      <c r="AW758" s="75"/>
      <c r="AX758" s="75"/>
    </row>
    <row r="759" ht="15.75" customHeight="1">
      <c r="A759" s="285" t="s">
        <v>468</v>
      </c>
      <c r="B759" s="185" t="s">
        <v>5786</v>
      </c>
      <c r="C759" s="186" t="s">
        <v>5787</v>
      </c>
      <c r="D759" s="186" t="s">
        <v>5789</v>
      </c>
      <c r="E759" s="186" t="s">
        <v>5792</v>
      </c>
      <c r="F759" s="304"/>
      <c r="G759" s="304"/>
      <c r="H759" s="304"/>
      <c r="I759" s="304"/>
      <c r="J759" s="304"/>
      <c r="K759" s="304"/>
      <c r="L759" s="304"/>
      <c r="M759" s="304"/>
      <c r="N759" s="304"/>
      <c r="O759" s="304"/>
      <c r="P759" s="304"/>
      <c r="Q759" s="304"/>
      <c r="R759" s="304"/>
      <c r="S759" s="304"/>
      <c r="T759" s="304"/>
      <c r="U759" s="304"/>
      <c r="V759" s="304"/>
      <c r="W759" s="304"/>
      <c r="X759" s="304"/>
      <c r="Y759" s="304"/>
      <c r="Z759" s="304"/>
      <c r="AA759" s="304"/>
      <c r="AB759" s="304"/>
      <c r="AC759" s="304"/>
      <c r="AD759" s="75"/>
      <c r="AE759" s="75"/>
      <c r="AF759" s="75"/>
      <c r="AG759" s="75"/>
      <c r="AH759" s="75"/>
      <c r="AI759" s="75"/>
      <c r="AJ759" s="75"/>
      <c r="AK759" s="75"/>
      <c r="AL759" s="75"/>
      <c r="AM759" s="75"/>
      <c r="AN759" s="75"/>
      <c r="AO759" s="75"/>
      <c r="AP759" s="75"/>
      <c r="AQ759" s="75"/>
      <c r="AR759" s="75"/>
      <c r="AS759" s="75"/>
      <c r="AT759" s="75"/>
      <c r="AU759" s="75"/>
      <c r="AV759" s="75"/>
      <c r="AW759" s="75"/>
      <c r="AX759" s="75"/>
    </row>
    <row r="760" ht="15.75" customHeight="1">
      <c r="A760" s="168" t="s">
        <v>127</v>
      </c>
      <c r="B760" s="71" t="s">
        <v>5811</v>
      </c>
      <c r="C760" s="72"/>
      <c r="D760" s="72"/>
      <c r="E760" s="72"/>
      <c r="F760" s="73"/>
      <c r="G760" s="73"/>
      <c r="H760" s="73"/>
      <c r="I760" s="73"/>
      <c r="J760" s="73"/>
      <c r="K760" s="73"/>
      <c r="L760" s="73"/>
      <c r="M760" s="73"/>
      <c r="N760" s="73"/>
      <c r="O760" s="73"/>
      <c r="P760" s="73"/>
      <c r="Q760" s="73"/>
      <c r="R760" s="73"/>
      <c r="S760" s="73"/>
      <c r="T760" s="74" t="s">
        <v>129</v>
      </c>
      <c r="U760" s="73"/>
      <c r="V760" s="73"/>
      <c r="W760" s="73"/>
      <c r="X760" s="73"/>
      <c r="Y760" s="73"/>
      <c r="Z760" s="73"/>
      <c r="AA760" s="73"/>
      <c r="AB760" s="73"/>
      <c r="AC760" s="73"/>
      <c r="AD760" s="75"/>
      <c r="AE760" s="75"/>
      <c r="AF760" s="75"/>
      <c r="AG760" s="75"/>
      <c r="AH760" s="75"/>
      <c r="AI760" s="75"/>
      <c r="AJ760" s="75"/>
      <c r="AK760" s="75"/>
      <c r="AL760" s="75"/>
      <c r="AM760" s="75"/>
      <c r="AN760" s="75"/>
      <c r="AO760" s="75"/>
      <c r="AP760" s="75"/>
      <c r="AQ760" s="75"/>
      <c r="AR760" s="75"/>
      <c r="AS760" s="75"/>
      <c r="AT760" s="75"/>
      <c r="AU760" s="75"/>
      <c r="AV760" s="75"/>
      <c r="AW760" s="75"/>
      <c r="AX760" s="75"/>
    </row>
    <row r="761" ht="15.75" customHeight="1">
      <c r="A761" s="168" t="s">
        <v>68</v>
      </c>
      <c r="B761" s="71" t="s">
        <v>5812</v>
      </c>
      <c r="C761" s="72"/>
      <c r="D761" s="72"/>
      <c r="E761" s="72"/>
      <c r="F761" s="73"/>
      <c r="G761" s="73"/>
      <c r="H761" s="73"/>
      <c r="I761" s="73"/>
      <c r="J761" s="73"/>
      <c r="K761" s="73"/>
      <c r="L761" s="73"/>
      <c r="M761" s="73"/>
      <c r="N761" s="73"/>
      <c r="O761" s="73"/>
      <c r="P761" s="73"/>
      <c r="Q761" s="73"/>
      <c r="R761" s="73"/>
      <c r="S761" s="73"/>
      <c r="T761" s="74" t="s">
        <v>7026</v>
      </c>
      <c r="U761" s="73"/>
      <c r="V761" s="73"/>
      <c r="W761" s="73"/>
      <c r="X761" s="73"/>
      <c r="Y761" s="73"/>
      <c r="Z761" s="73"/>
      <c r="AA761" s="73"/>
      <c r="AB761" s="73"/>
      <c r="AC761" s="73"/>
      <c r="AD761" s="75"/>
      <c r="AE761" s="75"/>
      <c r="AF761" s="75"/>
      <c r="AG761" s="75"/>
      <c r="AH761" s="75"/>
      <c r="AI761" s="75"/>
      <c r="AJ761" s="75"/>
      <c r="AK761" s="75"/>
      <c r="AL761" s="75"/>
      <c r="AM761" s="75"/>
      <c r="AN761" s="75"/>
      <c r="AO761" s="75"/>
      <c r="AP761" s="75"/>
      <c r="AQ761" s="75"/>
      <c r="AR761" s="75"/>
      <c r="AS761" s="75"/>
      <c r="AT761" s="75"/>
      <c r="AU761" s="75"/>
      <c r="AV761" s="75"/>
      <c r="AW761" s="75"/>
      <c r="AX761" s="75"/>
    </row>
    <row r="762" ht="15.75" customHeight="1">
      <c r="A762" s="168" t="s">
        <v>127</v>
      </c>
      <c r="B762" s="71" t="s">
        <v>5816</v>
      </c>
      <c r="C762" s="72"/>
      <c r="D762" s="72"/>
      <c r="E762" s="72"/>
      <c r="F762" s="73"/>
      <c r="G762" s="73"/>
      <c r="H762" s="73"/>
      <c r="I762" s="73"/>
      <c r="J762" s="73"/>
      <c r="K762" s="73"/>
      <c r="L762" s="73"/>
      <c r="M762" s="73"/>
      <c r="N762" s="73"/>
      <c r="O762" s="73"/>
      <c r="P762" s="73"/>
      <c r="Q762" s="73"/>
      <c r="R762" s="73"/>
      <c r="S762" s="73"/>
      <c r="T762" s="74" t="s">
        <v>129</v>
      </c>
      <c r="U762" s="73"/>
      <c r="V762" s="73"/>
      <c r="W762" s="73"/>
      <c r="X762" s="73"/>
      <c r="Y762" s="73"/>
      <c r="Z762" s="73"/>
      <c r="AA762" s="73"/>
      <c r="AB762" s="73"/>
      <c r="AC762" s="73"/>
      <c r="AD762" s="75"/>
      <c r="AE762" s="75"/>
      <c r="AF762" s="75"/>
      <c r="AG762" s="75"/>
      <c r="AH762" s="75"/>
      <c r="AI762" s="75"/>
      <c r="AJ762" s="75"/>
      <c r="AK762" s="75"/>
      <c r="AL762" s="75"/>
      <c r="AM762" s="75"/>
      <c r="AN762" s="75"/>
      <c r="AO762" s="75"/>
      <c r="AP762" s="75"/>
      <c r="AQ762" s="75"/>
      <c r="AR762" s="75"/>
      <c r="AS762" s="75"/>
      <c r="AT762" s="75"/>
      <c r="AU762" s="75"/>
      <c r="AV762" s="75"/>
      <c r="AW762" s="75"/>
      <c r="AX762" s="75"/>
    </row>
    <row r="763" ht="15.75" customHeight="1">
      <c r="A763" s="278" t="s">
        <v>38</v>
      </c>
      <c r="B763" s="279" t="s">
        <v>5817</v>
      </c>
      <c r="C763" s="27" t="s">
        <v>7027</v>
      </c>
      <c r="D763" s="27" t="s">
        <v>7028</v>
      </c>
      <c r="E763" s="27" t="s">
        <v>7029</v>
      </c>
      <c r="F763" s="45"/>
      <c r="G763" s="45"/>
      <c r="H763" s="45"/>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75"/>
      <c r="AE763" s="75"/>
      <c r="AF763" s="75"/>
      <c r="AG763" s="75"/>
      <c r="AH763" s="75"/>
      <c r="AI763" s="75"/>
      <c r="AJ763" s="75"/>
      <c r="AK763" s="75"/>
      <c r="AL763" s="75"/>
      <c r="AM763" s="75"/>
      <c r="AN763" s="75"/>
      <c r="AO763" s="75"/>
      <c r="AP763" s="75"/>
      <c r="AQ763" s="75"/>
      <c r="AR763" s="75"/>
      <c r="AS763" s="75"/>
      <c r="AT763" s="75"/>
      <c r="AU763" s="75"/>
      <c r="AV763" s="75"/>
      <c r="AW763" s="75"/>
      <c r="AX763" s="75"/>
    </row>
    <row r="764" ht="15.75" customHeight="1">
      <c r="A764" s="340" t="s">
        <v>280</v>
      </c>
      <c r="B764" s="341" t="s">
        <v>5822</v>
      </c>
      <c r="C764" s="27" t="s">
        <v>7030</v>
      </c>
      <c r="D764" s="27" t="s">
        <v>7031</v>
      </c>
      <c r="E764" s="27" t="s">
        <v>7032</v>
      </c>
      <c r="F764" s="45"/>
      <c r="G764" s="45"/>
      <c r="H764" s="45"/>
      <c r="I764" s="367"/>
      <c r="J764" s="367"/>
      <c r="K764" s="368"/>
      <c r="L764" s="368"/>
      <c r="M764" s="367"/>
      <c r="N764" s="367"/>
      <c r="O764" s="367"/>
      <c r="P764" s="367"/>
      <c r="Q764" s="369" t="s">
        <v>150</v>
      </c>
      <c r="R764" s="367"/>
      <c r="S764" s="367"/>
      <c r="T764" s="367"/>
      <c r="U764" s="367"/>
      <c r="V764" s="367"/>
      <c r="W764" s="367"/>
      <c r="X764" s="367"/>
      <c r="Y764" s="367"/>
      <c r="Z764" s="367"/>
      <c r="AA764" s="367"/>
      <c r="AB764" s="367"/>
      <c r="AC764" s="367"/>
      <c r="AD764" s="75"/>
      <c r="AE764" s="75"/>
      <c r="AF764" s="75"/>
      <c r="AG764" s="75"/>
      <c r="AH764" s="75"/>
      <c r="AI764" s="75"/>
      <c r="AJ764" s="75"/>
      <c r="AK764" s="75"/>
      <c r="AL764" s="75"/>
      <c r="AM764" s="75"/>
      <c r="AN764" s="75"/>
      <c r="AO764" s="75"/>
      <c r="AP764" s="75"/>
      <c r="AQ764" s="75"/>
      <c r="AR764" s="75"/>
      <c r="AS764" s="75"/>
      <c r="AT764" s="75"/>
      <c r="AU764" s="75"/>
      <c r="AV764" s="75"/>
      <c r="AW764" s="75"/>
      <c r="AX764" s="75"/>
    </row>
    <row r="765" ht="15.75" customHeight="1">
      <c r="A765" s="340" t="s">
        <v>280</v>
      </c>
      <c r="B765" s="341" t="s">
        <v>5823</v>
      </c>
      <c r="C765" s="27" t="s">
        <v>7033</v>
      </c>
      <c r="D765" s="27" t="s">
        <v>7034</v>
      </c>
      <c r="E765" s="27" t="s">
        <v>7035</v>
      </c>
      <c r="F765" s="45"/>
      <c r="G765" s="45"/>
      <c r="H765" s="45"/>
      <c r="I765" s="367"/>
      <c r="J765" s="367"/>
      <c r="K765" s="370" t="s">
        <v>7036</v>
      </c>
      <c r="L765" s="368"/>
      <c r="M765" s="367"/>
      <c r="N765" s="367"/>
      <c r="O765" s="367"/>
      <c r="P765" s="367"/>
      <c r="Q765" s="369" t="s">
        <v>150</v>
      </c>
      <c r="R765" s="367"/>
      <c r="S765" s="367"/>
      <c r="T765" s="367"/>
      <c r="U765" s="367"/>
      <c r="V765" s="367"/>
      <c r="W765" s="367"/>
      <c r="X765" s="367"/>
      <c r="Y765" s="367"/>
      <c r="Z765" s="367"/>
      <c r="AA765" s="367"/>
      <c r="AB765" s="367"/>
      <c r="AC765" s="367"/>
      <c r="AD765" s="75"/>
      <c r="AE765" s="75"/>
      <c r="AF765" s="75"/>
      <c r="AG765" s="75"/>
      <c r="AH765" s="75"/>
      <c r="AI765" s="75"/>
      <c r="AJ765" s="75"/>
      <c r="AK765" s="75"/>
      <c r="AL765" s="75"/>
      <c r="AM765" s="75"/>
      <c r="AN765" s="75"/>
      <c r="AO765" s="75"/>
      <c r="AP765" s="75"/>
      <c r="AQ765" s="75"/>
      <c r="AR765" s="75"/>
      <c r="AS765" s="75"/>
      <c r="AT765" s="75"/>
      <c r="AU765" s="75"/>
      <c r="AV765" s="75"/>
      <c r="AW765" s="75"/>
      <c r="AX765" s="75"/>
    </row>
    <row r="766" ht="15.75" customHeight="1">
      <c r="A766" s="340" t="s">
        <v>280</v>
      </c>
      <c r="B766" s="341" t="s">
        <v>5828</v>
      </c>
      <c r="C766" s="27" t="s">
        <v>7037</v>
      </c>
      <c r="D766" s="27" t="s">
        <v>7038</v>
      </c>
      <c r="E766" s="27" t="s">
        <v>7039</v>
      </c>
      <c r="F766" s="45"/>
      <c r="G766" s="45"/>
      <c r="H766" s="45"/>
      <c r="I766" s="367"/>
      <c r="J766" s="367"/>
      <c r="K766" s="370" t="s">
        <v>7036</v>
      </c>
      <c r="L766" s="368"/>
      <c r="M766" s="367"/>
      <c r="N766" s="367"/>
      <c r="O766" s="367"/>
      <c r="P766" s="367"/>
      <c r="Q766" s="369" t="s">
        <v>150</v>
      </c>
      <c r="R766" s="367"/>
      <c r="S766" s="367"/>
      <c r="T766" s="367"/>
      <c r="U766" s="367"/>
      <c r="V766" s="367"/>
      <c r="W766" s="367"/>
      <c r="X766" s="367"/>
      <c r="Y766" s="367"/>
      <c r="Z766" s="367"/>
      <c r="AA766" s="367"/>
      <c r="AB766" s="367"/>
      <c r="AC766" s="367"/>
      <c r="AD766" s="75"/>
      <c r="AE766" s="75"/>
      <c r="AF766" s="75"/>
      <c r="AG766" s="75"/>
      <c r="AH766" s="75"/>
      <c r="AI766" s="75"/>
      <c r="AJ766" s="75"/>
      <c r="AK766" s="75"/>
      <c r="AL766" s="75"/>
      <c r="AM766" s="75"/>
      <c r="AN766" s="75"/>
      <c r="AO766" s="75"/>
      <c r="AP766" s="75"/>
      <c r="AQ766" s="75"/>
      <c r="AR766" s="75"/>
      <c r="AS766" s="75"/>
      <c r="AT766" s="75"/>
      <c r="AU766" s="75"/>
      <c r="AV766" s="75"/>
      <c r="AW766" s="75"/>
      <c r="AX766" s="75"/>
    </row>
    <row r="767" ht="15.0" customHeight="1">
      <c r="A767" s="340" t="s">
        <v>280</v>
      </c>
      <c r="B767" s="341" t="s">
        <v>5832</v>
      </c>
      <c r="C767" s="27" t="s">
        <v>7040</v>
      </c>
      <c r="D767" s="27" t="s">
        <v>7041</v>
      </c>
      <c r="E767" s="27" t="s">
        <v>7042</v>
      </c>
      <c r="F767" s="45"/>
      <c r="G767" s="45"/>
      <c r="H767" s="45"/>
      <c r="I767" s="367"/>
      <c r="J767" s="367"/>
      <c r="K767" s="370" t="s">
        <v>7036</v>
      </c>
      <c r="L767" s="368"/>
      <c r="M767" s="367"/>
      <c r="N767" s="367"/>
      <c r="O767" s="367"/>
      <c r="P767" s="367"/>
      <c r="Q767" s="369" t="s">
        <v>150</v>
      </c>
      <c r="R767" s="367"/>
      <c r="S767" s="367"/>
      <c r="T767" s="371"/>
      <c r="U767" s="367"/>
      <c r="V767" s="367"/>
      <c r="W767" s="367"/>
      <c r="X767" s="367"/>
      <c r="Y767" s="367"/>
      <c r="Z767" s="367"/>
      <c r="AA767" s="367"/>
      <c r="AB767" s="367"/>
      <c r="AC767" s="367"/>
      <c r="AD767" s="75"/>
      <c r="AE767" s="75"/>
      <c r="AF767" s="75"/>
      <c r="AG767" s="75"/>
      <c r="AH767" s="75"/>
      <c r="AI767" s="75"/>
      <c r="AJ767" s="75"/>
      <c r="AK767" s="75"/>
      <c r="AL767" s="75"/>
      <c r="AM767" s="75"/>
      <c r="AN767" s="75"/>
      <c r="AO767" s="75"/>
      <c r="AP767" s="75"/>
      <c r="AQ767" s="75"/>
      <c r="AR767" s="75"/>
      <c r="AS767" s="75"/>
      <c r="AT767" s="75"/>
      <c r="AU767" s="75"/>
      <c r="AV767" s="75"/>
      <c r="AW767" s="75"/>
      <c r="AX767" s="75"/>
    </row>
    <row r="768" ht="15.75" customHeight="1">
      <c r="A768" s="340" t="s">
        <v>280</v>
      </c>
      <c r="B768" s="341" t="s">
        <v>5837</v>
      </c>
      <c r="C768" s="27" t="s">
        <v>7043</v>
      </c>
      <c r="D768" s="27" t="s">
        <v>7044</v>
      </c>
      <c r="E768" s="27" t="s">
        <v>7045</v>
      </c>
      <c r="F768" s="45"/>
      <c r="G768" s="45"/>
      <c r="H768" s="45"/>
      <c r="I768" s="367"/>
      <c r="J768" s="367"/>
      <c r="K768" s="370" t="s">
        <v>7036</v>
      </c>
      <c r="L768" s="368"/>
      <c r="M768" s="367"/>
      <c r="N768" s="367"/>
      <c r="O768" s="367"/>
      <c r="P768" s="367"/>
      <c r="Q768" s="369" t="s">
        <v>150</v>
      </c>
      <c r="R768" s="367"/>
      <c r="S768" s="367"/>
      <c r="T768" s="367"/>
      <c r="U768" s="367"/>
      <c r="V768" s="367"/>
      <c r="W768" s="367"/>
      <c r="X768" s="367"/>
      <c r="Y768" s="367"/>
      <c r="Z768" s="367"/>
      <c r="AA768" s="367"/>
      <c r="AB768" s="367"/>
      <c r="AC768" s="367"/>
      <c r="AD768" s="75"/>
      <c r="AE768" s="75"/>
      <c r="AF768" s="75"/>
      <c r="AG768" s="75"/>
      <c r="AH768" s="75"/>
      <c r="AI768" s="75"/>
      <c r="AJ768" s="75"/>
      <c r="AK768" s="75"/>
      <c r="AL768" s="75"/>
      <c r="AM768" s="75"/>
      <c r="AN768" s="75"/>
      <c r="AO768" s="75"/>
      <c r="AP768" s="75"/>
      <c r="AQ768" s="75"/>
      <c r="AR768" s="75"/>
      <c r="AS768" s="75"/>
      <c r="AT768" s="75"/>
      <c r="AU768" s="75"/>
      <c r="AV768" s="75"/>
      <c r="AW768" s="75"/>
      <c r="AX768" s="75"/>
    </row>
    <row r="769" ht="15.75" customHeight="1">
      <c r="A769" s="291" t="s">
        <v>268</v>
      </c>
      <c r="B769" s="292" t="s">
        <v>5841</v>
      </c>
      <c r="C769" s="27" t="s">
        <v>7046</v>
      </c>
      <c r="D769" s="27" t="s">
        <v>7047</v>
      </c>
      <c r="E769" s="27" t="s">
        <v>7048</v>
      </c>
      <c r="F769" s="45" t="s">
        <v>7049</v>
      </c>
      <c r="G769" s="45" t="s">
        <v>7050</v>
      </c>
      <c r="H769" s="45" t="s">
        <v>7051</v>
      </c>
      <c r="I769" s="306"/>
      <c r="J769" s="306"/>
      <c r="K769" s="308"/>
      <c r="L769" s="308"/>
      <c r="M769" s="306"/>
      <c r="N769" s="306"/>
      <c r="O769" s="309" t="s">
        <v>7052</v>
      </c>
      <c r="P769" s="306"/>
      <c r="Q769" s="309" t="s">
        <v>150</v>
      </c>
      <c r="R769" s="306"/>
      <c r="S769" s="306"/>
      <c r="T769" s="306"/>
      <c r="U769" s="306"/>
      <c r="V769" s="306"/>
      <c r="W769" s="306"/>
      <c r="X769" s="306"/>
      <c r="Y769" s="306"/>
      <c r="Z769" s="306"/>
      <c r="AA769" s="306"/>
      <c r="AB769" s="306"/>
      <c r="AC769" s="306"/>
      <c r="AD769" s="75"/>
      <c r="AE769" s="75"/>
      <c r="AF769" s="75"/>
      <c r="AG769" s="75"/>
      <c r="AH769" s="75"/>
      <c r="AI769" s="75"/>
      <c r="AJ769" s="75"/>
      <c r="AK769" s="75"/>
      <c r="AL769" s="75"/>
      <c r="AM769" s="75"/>
      <c r="AN769" s="75"/>
      <c r="AO769" s="75"/>
      <c r="AP769" s="75"/>
      <c r="AQ769" s="75"/>
      <c r="AR769" s="75"/>
      <c r="AS769" s="75"/>
      <c r="AT769" s="75"/>
      <c r="AU769" s="75"/>
      <c r="AV769" s="75"/>
      <c r="AW769" s="75"/>
      <c r="AX769" s="75"/>
    </row>
    <row r="770" ht="15.75" customHeight="1">
      <c r="A770" s="168" t="s">
        <v>127</v>
      </c>
      <c r="B770" s="71" t="s">
        <v>5843</v>
      </c>
      <c r="C770" s="72"/>
      <c r="D770" s="72"/>
      <c r="E770" s="72"/>
      <c r="F770" s="73"/>
      <c r="G770" s="73"/>
      <c r="H770" s="73"/>
      <c r="I770" s="73"/>
      <c r="J770" s="73"/>
      <c r="K770" s="73"/>
      <c r="L770" s="73"/>
      <c r="M770" s="73"/>
      <c r="N770" s="73"/>
      <c r="O770" s="73"/>
      <c r="P770" s="73"/>
      <c r="Q770" s="73"/>
      <c r="R770" s="73"/>
      <c r="S770" s="73"/>
      <c r="T770" s="177" t="s">
        <v>129</v>
      </c>
      <c r="U770" s="73"/>
      <c r="V770" s="73"/>
      <c r="W770" s="73"/>
      <c r="X770" s="73"/>
      <c r="Y770" s="73"/>
      <c r="Z770" s="73"/>
      <c r="AA770" s="73"/>
      <c r="AB770" s="73"/>
      <c r="AC770" s="73"/>
      <c r="AD770" s="75"/>
      <c r="AE770" s="75"/>
      <c r="AF770" s="75"/>
      <c r="AG770" s="75"/>
      <c r="AH770" s="75"/>
      <c r="AI770" s="75"/>
      <c r="AJ770" s="75"/>
      <c r="AK770" s="75"/>
      <c r="AL770" s="75"/>
      <c r="AM770" s="75"/>
      <c r="AN770" s="75"/>
      <c r="AO770" s="75"/>
      <c r="AP770" s="75"/>
      <c r="AQ770" s="75"/>
      <c r="AR770" s="75"/>
      <c r="AS770" s="75"/>
      <c r="AT770" s="75"/>
      <c r="AU770" s="75"/>
      <c r="AV770" s="75"/>
      <c r="AW770" s="75"/>
      <c r="AX770" s="75"/>
    </row>
    <row r="771" ht="15.75" customHeight="1">
      <c r="A771" s="168" t="s">
        <v>68</v>
      </c>
      <c r="B771" s="71" t="s">
        <v>5847</v>
      </c>
      <c r="C771" s="72"/>
      <c r="D771" s="72"/>
      <c r="E771" s="72"/>
      <c r="F771" s="73"/>
      <c r="G771" s="73"/>
      <c r="H771" s="73"/>
      <c r="I771" s="73"/>
      <c r="J771" s="73"/>
      <c r="K771" s="73"/>
      <c r="L771" s="73"/>
      <c r="M771" s="73"/>
      <c r="N771" s="73"/>
      <c r="O771" s="73"/>
      <c r="P771" s="73"/>
      <c r="Q771" s="73"/>
      <c r="R771" s="73"/>
      <c r="S771" s="73"/>
      <c r="T771" s="177" t="s">
        <v>7053</v>
      </c>
      <c r="U771" s="73"/>
      <c r="V771" s="73"/>
      <c r="W771" s="73"/>
      <c r="X771" s="73"/>
      <c r="Y771" s="73"/>
      <c r="Z771" s="73"/>
      <c r="AA771" s="73"/>
      <c r="AB771" s="73"/>
      <c r="AC771" s="73"/>
      <c r="AD771" s="75"/>
      <c r="AE771" s="75"/>
      <c r="AF771" s="75"/>
      <c r="AG771" s="75"/>
      <c r="AH771" s="75"/>
      <c r="AI771" s="75"/>
      <c r="AJ771" s="75"/>
      <c r="AK771" s="75"/>
      <c r="AL771" s="75"/>
      <c r="AM771" s="75"/>
      <c r="AN771" s="75"/>
      <c r="AO771" s="75"/>
      <c r="AP771" s="75"/>
      <c r="AQ771" s="75"/>
      <c r="AR771" s="75"/>
      <c r="AS771" s="75"/>
      <c r="AT771" s="75"/>
      <c r="AU771" s="75"/>
      <c r="AV771" s="75"/>
      <c r="AW771" s="75"/>
      <c r="AX771" s="75"/>
    </row>
    <row r="772" ht="15.75" customHeight="1">
      <c r="A772" s="278" t="s">
        <v>38</v>
      </c>
      <c r="B772" s="279" t="s">
        <v>5848</v>
      </c>
      <c r="C772" s="27" t="s">
        <v>7054</v>
      </c>
      <c r="D772" s="27" t="s">
        <v>7055</v>
      </c>
      <c r="E772" s="27" t="s">
        <v>7056</v>
      </c>
      <c r="F772" s="45"/>
      <c r="G772" s="45"/>
      <c r="H772" s="45"/>
      <c r="I772" s="284"/>
      <c r="J772" s="284"/>
      <c r="K772" s="284"/>
      <c r="L772" s="284"/>
      <c r="M772" s="284"/>
      <c r="N772" s="284"/>
      <c r="O772" s="284"/>
      <c r="P772" s="284"/>
      <c r="Q772" s="284"/>
      <c r="R772" s="284"/>
      <c r="S772" s="284"/>
      <c r="T772" s="372"/>
      <c r="U772" s="284"/>
      <c r="V772" s="284"/>
      <c r="W772" s="284"/>
      <c r="X772" s="284"/>
      <c r="Y772" s="284"/>
      <c r="Z772" s="284"/>
      <c r="AA772" s="284"/>
      <c r="AB772" s="284"/>
      <c r="AC772" s="284"/>
      <c r="AD772" s="75"/>
      <c r="AE772" s="75"/>
      <c r="AF772" s="75"/>
      <c r="AG772" s="75"/>
      <c r="AH772" s="75"/>
      <c r="AI772" s="75"/>
      <c r="AJ772" s="75"/>
      <c r="AK772" s="75"/>
      <c r="AL772" s="75"/>
      <c r="AM772" s="75"/>
      <c r="AN772" s="75"/>
      <c r="AO772" s="75"/>
      <c r="AP772" s="75"/>
      <c r="AQ772" s="75"/>
      <c r="AR772" s="75"/>
      <c r="AS772" s="75"/>
      <c r="AT772" s="75"/>
      <c r="AU772" s="75"/>
      <c r="AV772" s="75"/>
      <c r="AW772" s="75"/>
      <c r="AX772" s="75"/>
    </row>
    <row r="773" ht="15.75" customHeight="1">
      <c r="A773" s="280" t="s">
        <v>5850</v>
      </c>
      <c r="B773" s="281" t="s">
        <v>5852</v>
      </c>
      <c r="C773" s="27" t="s">
        <v>7057</v>
      </c>
      <c r="D773" s="27" t="s">
        <v>7058</v>
      </c>
      <c r="E773" s="27" t="s">
        <v>7059</v>
      </c>
      <c r="F773" s="45"/>
      <c r="G773" s="45"/>
      <c r="H773" s="45"/>
      <c r="I773" s="286"/>
      <c r="J773" s="287"/>
      <c r="K773" s="290" t="s">
        <v>2873</v>
      </c>
      <c r="L773" s="286"/>
      <c r="M773" s="286"/>
      <c r="N773" s="286"/>
      <c r="O773" s="286"/>
      <c r="P773" s="286"/>
      <c r="Q773" s="290" t="s">
        <v>150</v>
      </c>
      <c r="R773" s="286"/>
      <c r="S773" s="286"/>
      <c r="T773" s="286"/>
      <c r="U773" s="286"/>
      <c r="V773" s="286"/>
      <c r="W773" s="286"/>
      <c r="X773" s="286"/>
      <c r="Y773" s="286"/>
      <c r="Z773" s="286"/>
      <c r="AA773" s="286"/>
      <c r="AB773" s="286"/>
      <c r="AC773" s="286"/>
      <c r="AD773" s="75"/>
      <c r="AE773" s="75"/>
      <c r="AF773" s="75"/>
      <c r="AG773" s="75"/>
      <c r="AH773" s="75"/>
      <c r="AI773" s="75"/>
      <c r="AJ773" s="75"/>
      <c r="AK773" s="75"/>
      <c r="AL773" s="75"/>
      <c r="AM773" s="75"/>
      <c r="AN773" s="75"/>
      <c r="AO773" s="75"/>
      <c r="AP773" s="75"/>
      <c r="AQ773" s="75"/>
      <c r="AR773" s="75"/>
      <c r="AS773" s="75"/>
      <c r="AT773" s="75"/>
      <c r="AU773" s="75"/>
      <c r="AV773" s="75"/>
      <c r="AW773" s="75"/>
      <c r="AX773" s="75"/>
    </row>
    <row r="774" ht="15.75" customHeight="1">
      <c r="A774" s="282" t="s">
        <v>252</v>
      </c>
      <c r="B774" s="283" t="s">
        <v>5856</v>
      </c>
      <c r="C774" s="27" t="s">
        <v>7060</v>
      </c>
      <c r="D774" s="27" t="s">
        <v>7061</v>
      </c>
      <c r="E774" s="27" t="s">
        <v>7062</v>
      </c>
      <c r="F774" s="45"/>
      <c r="G774" s="45"/>
      <c r="H774" s="45"/>
      <c r="I774" s="293"/>
      <c r="J774" s="294"/>
      <c r="K774" s="293"/>
      <c r="L774" s="293"/>
      <c r="M774" s="293"/>
      <c r="N774" s="293"/>
      <c r="O774" s="296" t="s">
        <v>7063</v>
      </c>
      <c r="P774" s="293"/>
      <c r="Q774" s="296" t="s">
        <v>150</v>
      </c>
      <c r="R774" s="293"/>
      <c r="S774" s="293"/>
      <c r="T774" s="293"/>
      <c r="U774" s="293"/>
      <c r="V774" s="293"/>
      <c r="W774" s="293"/>
      <c r="X774" s="293"/>
      <c r="Y774" s="293"/>
      <c r="Z774" s="293"/>
      <c r="AA774" s="293"/>
      <c r="AB774" s="293"/>
      <c r="AC774" s="293"/>
      <c r="AD774" s="75"/>
      <c r="AE774" s="75"/>
      <c r="AF774" s="75"/>
      <c r="AG774" s="75"/>
      <c r="AH774" s="75"/>
      <c r="AI774" s="75"/>
      <c r="AJ774" s="75"/>
      <c r="AK774" s="75"/>
      <c r="AL774" s="75"/>
      <c r="AM774" s="75"/>
      <c r="AN774" s="75"/>
      <c r="AO774" s="75"/>
      <c r="AP774" s="75"/>
      <c r="AQ774" s="75"/>
      <c r="AR774" s="75"/>
      <c r="AS774" s="75"/>
      <c r="AT774" s="75"/>
      <c r="AU774" s="75"/>
      <c r="AV774" s="75"/>
      <c r="AW774" s="75"/>
      <c r="AX774" s="75"/>
    </row>
    <row r="775" ht="15.75" customHeight="1">
      <c r="A775" s="168" t="s">
        <v>127</v>
      </c>
      <c r="B775" s="71" t="s">
        <v>5861</v>
      </c>
      <c r="C775" s="72"/>
      <c r="D775" s="72"/>
      <c r="E775" s="72"/>
      <c r="F775" s="73"/>
      <c r="G775" s="73"/>
      <c r="H775" s="73"/>
      <c r="I775" s="73"/>
      <c r="J775" s="73"/>
      <c r="K775" s="73"/>
      <c r="L775" s="73"/>
      <c r="M775" s="73"/>
      <c r="N775" s="73"/>
      <c r="O775" s="73"/>
      <c r="P775" s="73"/>
      <c r="Q775" s="73"/>
      <c r="R775" s="73"/>
      <c r="S775" s="73"/>
      <c r="T775" s="74" t="s">
        <v>129</v>
      </c>
      <c r="U775" s="73"/>
      <c r="V775" s="73"/>
      <c r="W775" s="73"/>
      <c r="X775" s="73"/>
      <c r="Y775" s="73"/>
      <c r="Z775" s="73"/>
      <c r="AA775" s="73"/>
      <c r="AB775" s="73"/>
      <c r="AC775" s="73"/>
      <c r="AD775" s="75"/>
      <c r="AE775" s="75"/>
      <c r="AF775" s="75"/>
      <c r="AG775" s="75"/>
      <c r="AH775" s="75"/>
      <c r="AI775" s="75"/>
      <c r="AJ775" s="75"/>
      <c r="AK775" s="75"/>
      <c r="AL775" s="75"/>
      <c r="AM775" s="75"/>
      <c r="AN775" s="75"/>
      <c r="AO775" s="75"/>
      <c r="AP775" s="75"/>
      <c r="AQ775" s="75"/>
      <c r="AR775" s="75"/>
      <c r="AS775" s="75"/>
      <c r="AT775" s="75"/>
      <c r="AU775" s="75"/>
      <c r="AV775" s="75"/>
      <c r="AW775" s="75"/>
      <c r="AX775" s="75"/>
    </row>
    <row r="776" ht="15.75" customHeight="1">
      <c r="A776" s="285" t="s">
        <v>426</v>
      </c>
      <c r="B776" s="171" t="s">
        <v>5862</v>
      </c>
      <c r="C776" s="172" t="s">
        <v>5863</v>
      </c>
      <c r="D776" s="172" t="s">
        <v>5864</v>
      </c>
      <c r="E776" s="172" t="s">
        <v>5865</v>
      </c>
      <c r="F776" s="304"/>
      <c r="G776" s="304"/>
      <c r="H776" s="304"/>
      <c r="I776" s="304"/>
      <c r="J776" s="304"/>
      <c r="K776" s="304"/>
      <c r="L776" s="304"/>
      <c r="M776" s="305"/>
      <c r="N776" s="305"/>
      <c r="O776" s="176" t="s">
        <v>7064</v>
      </c>
      <c r="P776" s="304"/>
      <c r="Q776" s="304"/>
      <c r="R776" s="304"/>
      <c r="S776" s="304"/>
      <c r="T776" s="304"/>
      <c r="U776" s="176" t="s">
        <v>7065</v>
      </c>
      <c r="V776" s="304"/>
      <c r="W776" s="304"/>
      <c r="X776" s="304"/>
      <c r="Y776" s="304"/>
      <c r="Z776" s="304"/>
      <c r="AA776" s="304"/>
      <c r="AB776" s="304"/>
      <c r="AC776" s="304"/>
      <c r="AD776" s="75"/>
      <c r="AE776" s="75"/>
      <c r="AF776" s="75"/>
      <c r="AG776" s="75"/>
      <c r="AH776" s="75"/>
      <c r="AI776" s="75"/>
      <c r="AJ776" s="75"/>
      <c r="AK776" s="75"/>
      <c r="AL776" s="75"/>
      <c r="AM776" s="75"/>
      <c r="AN776" s="75"/>
      <c r="AO776" s="75"/>
      <c r="AP776" s="75"/>
      <c r="AQ776" s="75"/>
      <c r="AR776" s="75"/>
      <c r="AS776" s="75"/>
      <c r="AT776" s="75"/>
      <c r="AU776" s="75"/>
      <c r="AV776" s="75"/>
      <c r="AW776" s="75"/>
      <c r="AX776" s="75"/>
    </row>
    <row r="777" ht="15.75" customHeight="1">
      <c r="A777" s="168" t="s">
        <v>68</v>
      </c>
      <c r="B777" s="71" t="s">
        <v>5866</v>
      </c>
      <c r="C777" s="72" t="s">
        <v>5867</v>
      </c>
      <c r="D777" s="72" t="s">
        <v>5868</v>
      </c>
      <c r="E777" s="72" t="s">
        <v>5869</v>
      </c>
      <c r="F777" s="73"/>
      <c r="G777" s="73"/>
      <c r="H777" s="73"/>
      <c r="I777" s="73"/>
      <c r="J777" s="73"/>
      <c r="K777" s="73"/>
      <c r="L777" s="73"/>
      <c r="M777" s="73"/>
      <c r="N777" s="73"/>
      <c r="O777" s="73"/>
      <c r="P777" s="73"/>
      <c r="Q777" s="73"/>
      <c r="R777" s="73"/>
      <c r="S777" s="73"/>
      <c r="T777" s="74" t="s">
        <v>7066</v>
      </c>
      <c r="U777" s="73"/>
      <c r="V777" s="73"/>
      <c r="W777" s="73"/>
      <c r="X777" s="73"/>
      <c r="Y777" s="73"/>
      <c r="Z777" s="73"/>
      <c r="AA777" s="73"/>
      <c r="AB777" s="73"/>
      <c r="AC777" s="73"/>
      <c r="AD777" s="75"/>
      <c r="AE777" s="75"/>
      <c r="AF777" s="75"/>
      <c r="AG777" s="75"/>
      <c r="AH777" s="75"/>
      <c r="AI777" s="75"/>
      <c r="AJ777" s="75"/>
      <c r="AK777" s="75"/>
      <c r="AL777" s="75"/>
      <c r="AM777" s="75"/>
      <c r="AN777" s="75"/>
      <c r="AO777" s="75"/>
      <c r="AP777" s="75"/>
      <c r="AQ777" s="75"/>
      <c r="AR777" s="75"/>
      <c r="AS777" s="75"/>
      <c r="AT777" s="75"/>
      <c r="AU777" s="75"/>
      <c r="AV777" s="75"/>
      <c r="AW777" s="75"/>
      <c r="AX777" s="75"/>
    </row>
    <row r="778" ht="15.75" customHeight="1">
      <c r="A778" s="298" t="s">
        <v>133</v>
      </c>
      <c r="B778" s="299" t="s">
        <v>5870</v>
      </c>
      <c r="C778" s="147"/>
      <c r="D778" s="147"/>
      <c r="E778" s="147"/>
      <c r="F778" s="312"/>
      <c r="G778" s="312"/>
      <c r="H778" s="312"/>
      <c r="I778" s="312"/>
      <c r="J778" s="314" t="s">
        <v>1982</v>
      </c>
      <c r="K778" s="312"/>
      <c r="L778" s="312"/>
      <c r="M778" s="313"/>
      <c r="N778" s="313"/>
      <c r="O778" s="313"/>
      <c r="P778" s="312"/>
      <c r="Q778" s="312"/>
      <c r="R778" s="312"/>
      <c r="S778" s="312"/>
      <c r="T778" s="312"/>
      <c r="U778" s="303"/>
      <c r="V778" s="312"/>
      <c r="W778" s="312"/>
      <c r="X778" s="312"/>
      <c r="Y778" s="312"/>
      <c r="Z778" s="312"/>
      <c r="AA778" s="312"/>
      <c r="AB778" s="312"/>
      <c r="AC778" s="312"/>
      <c r="AD778" s="75"/>
      <c r="AE778" s="75"/>
      <c r="AF778" s="75"/>
      <c r="AG778" s="75"/>
      <c r="AH778" s="75"/>
      <c r="AI778" s="75"/>
      <c r="AJ778" s="75"/>
      <c r="AK778" s="75"/>
      <c r="AL778" s="75"/>
      <c r="AM778" s="75"/>
      <c r="AN778" s="75"/>
      <c r="AO778" s="75"/>
      <c r="AP778" s="75"/>
      <c r="AQ778" s="75"/>
      <c r="AR778" s="75"/>
      <c r="AS778" s="75"/>
      <c r="AT778" s="75"/>
      <c r="AU778" s="75"/>
      <c r="AV778" s="75"/>
      <c r="AW778" s="75"/>
      <c r="AX778" s="75"/>
    </row>
    <row r="779" ht="15.75" customHeight="1">
      <c r="A779" s="340" t="s">
        <v>280</v>
      </c>
      <c r="B779" s="341" t="s">
        <v>5871</v>
      </c>
      <c r="C779" s="27" t="s">
        <v>7067</v>
      </c>
      <c r="D779" s="27" t="s">
        <v>7068</v>
      </c>
      <c r="E779" s="27" t="s">
        <v>7069</v>
      </c>
      <c r="F779" s="45"/>
      <c r="G779" s="45"/>
      <c r="H779" s="45"/>
      <c r="I779" s="367"/>
      <c r="J779" s="367"/>
      <c r="K779" s="368"/>
      <c r="L779" s="368"/>
      <c r="M779" s="367"/>
      <c r="N779" s="367"/>
      <c r="O779" s="367"/>
      <c r="P779" s="367"/>
      <c r="Q779" s="369" t="s">
        <v>150</v>
      </c>
      <c r="R779" s="367"/>
      <c r="S779" s="367"/>
      <c r="T779" s="367"/>
      <c r="U779" s="367"/>
      <c r="V779" s="367"/>
      <c r="W779" s="367"/>
      <c r="X779" s="367"/>
      <c r="Y779" s="367"/>
      <c r="Z779" s="367"/>
      <c r="AA779" s="367"/>
      <c r="AB779" s="367"/>
      <c r="AC779" s="367"/>
      <c r="AD779" s="75"/>
      <c r="AE779" s="75"/>
      <c r="AF779" s="75"/>
      <c r="AG779" s="75"/>
      <c r="AH779" s="75"/>
      <c r="AI779" s="75"/>
      <c r="AJ779" s="75"/>
      <c r="AK779" s="75"/>
      <c r="AL779" s="75"/>
      <c r="AM779" s="75"/>
      <c r="AN779" s="75"/>
      <c r="AO779" s="75"/>
      <c r="AP779" s="75"/>
      <c r="AQ779" s="75"/>
      <c r="AR779" s="75"/>
      <c r="AS779" s="75"/>
      <c r="AT779" s="75"/>
      <c r="AU779" s="75"/>
      <c r="AV779" s="75"/>
      <c r="AW779" s="75"/>
      <c r="AX779" s="75"/>
    </row>
    <row r="780" ht="15.75" customHeight="1">
      <c r="A780" s="280" t="s">
        <v>5879</v>
      </c>
      <c r="B780" s="281" t="s">
        <v>5880</v>
      </c>
      <c r="C780" s="27" t="s">
        <v>7070</v>
      </c>
      <c r="D780" s="27" t="s">
        <v>7071</v>
      </c>
      <c r="E780" s="27" t="s">
        <v>7072</v>
      </c>
      <c r="F780" s="45"/>
      <c r="G780" s="45"/>
      <c r="H780" s="45"/>
      <c r="I780" s="286"/>
      <c r="J780" s="287"/>
      <c r="K780" s="286"/>
      <c r="L780" s="286"/>
      <c r="M780" s="286"/>
      <c r="N780" s="286"/>
      <c r="O780" s="286"/>
      <c r="P780" s="286"/>
      <c r="Q780" s="290" t="s">
        <v>150</v>
      </c>
      <c r="R780" s="286"/>
      <c r="S780" s="286"/>
      <c r="T780" s="286"/>
      <c r="U780" s="286"/>
      <c r="V780" s="286"/>
      <c r="W780" s="286"/>
      <c r="X780" s="286"/>
      <c r="Y780" s="286"/>
      <c r="Z780" s="286"/>
      <c r="AA780" s="286"/>
      <c r="AB780" s="286"/>
      <c r="AC780" s="286"/>
      <c r="AD780" s="75"/>
      <c r="AE780" s="75"/>
      <c r="AF780" s="75"/>
      <c r="AG780" s="75"/>
      <c r="AH780" s="75"/>
      <c r="AI780" s="75"/>
      <c r="AJ780" s="75"/>
      <c r="AK780" s="75"/>
      <c r="AL780" s="75"/>
      <c r="AM780" s="75"/>
      <c r="AN780" s="75"/>
      <c r="AO780" s="75"/>
      <c r="AP780" s="75"/>
      <c r="AQ780" s="75"/>
      <c r="AR780" s="75"/>
      <c r="AS780" s="75"/>
      <c r="AT780" s="75"/>
      <c r="AU780" s="75"/>
      <c r="AV780" s="75"/>
      <c r="AW780" s="75"/>
      <c r="AX780" s="75"/>
    </row>
    <row r="781" ht="15.75" customHeight="1">
      <c r="A781" s="298" t="s">
        <v>237</v>
      </c>
      <c r="B781" s="310" t="s">
        <v>5870</v>
      </c>
      <c r="C781" s="226"/>
      <c r="D781" s="226"/>
      <c r="E781" s="226"/>
      <c r="F781" s="312"/>
      <c r="G781" s="312"/>
      <c r="H781" s="312"/>
      <c r="I781" s="312"/>
      <c r="J781" s="312"/>
      <c r="K781" s="312"/>
      <c r="L781" s="312"/>
      <c r="M781" s="312"/>
      <c r="N781" s="312"/>
      <c r="O781" s="312"/>
      <c r="P781" s="312"/>
      <c r="Q781" s="312"/>
      <c r="R781" s="312"/>
      <c r="S781" s="312"/>
      <c r="T781" s="312"/>
      <c r="U781" s="312"/>
      <c r="V781" s="312"/>
      <c r="W781" s="312"/>
      <c r="X781" s="312"/>
      <c r="Y781" s="312"/>
      <c r="Z781" s="312"/>
      <c r="AA781" s="312"/>
      <c r="AB781" s="312"/>
      <c r="AC781" s="312"/>
      <c r="AD781" s="75"/>
      <c r="AE781" s="75"/>
      <c r="AF781" s="75"/>
      <c r="AG781" s="75"/>
      <c r="AH781" s="75"/>
      <c r="AI781" s="75"/>
      <c r="AJ781" s="75"/>
      <c r="AK781" s="75"/>
      <c r="AL781" s="75"/>
      <c r="AM781" s="75"/>
      <c r="AN781" s="75"/>
      <c r="AO781" s="75"/>
      <c r="AP781" s="75"/>
      <c r="AQ781" s="75"/>
      <c r="AR781" s="75"/>
      <c r="AS781" s="75"/>
      <c r="AT781" s="75"/>
      <c r="AU781" s="75"/>
      <c r="AV781" s="75"/>
      <c r="AW781" s="75"/>
      <c r="AX781" s="75"/>
    </row>
    <row r="782" ht="15.75" customHeight="1">
      <c r="A782" s="282" t="s">
        <v>252</v>
      </c>
      <c r="B782" s="283" t="s">
        <v>5884</v>
      </c>
      <c r="C782" s="27" t="s">
        <v>7073</v>
      </c>
      <c r="D782" s="27" t="s">
        <v>7074</v>
      </c>
      <c r="E782" s="27" t="s">
        <v>7075</v>
      </c>
      <c r="F782" s="45"/>
      <c r="G782" s="45"/>
      <c r="H782" s="45"/>
      <c r="I782" s="293"/>
      <c r="J782" s="294"/>
      <c r="K782" s="293"/>
      <c r="L782" s="293"/>
      <c r="M782" s="293"/>
      <c r="N782" s="293"/>
      <c r="O782" s="296" t="s">
        <v>7076</v>
      </c>
      <c r="P782" s="293"/>
      <c r="Q782" s="296" t="s">
        <v>150</v>
      </c>
      <c r="R782" s="293"/>
      <c r="S782" s="293"/>
      <c r="T782" s="293"/>
      <c r="U782" s="293"/>
      <c r="V782" s="293"/>
      <c r="W782" s="293"/>
      <c r="X782" s="293"/>
      <c r="Y782" s="293"/>
      <c r="Z782" s="293"/>
      <c r="AA782" s="293"/>
      <c r="AB782" s="293"/>
      <c r="AC782" s="293"/>
      <c r="AD782" s="75"/>
      <c r="AE782" s="75"/>
      <c r="AF782" s="75"/>
      <c r="AG782" s="75"/>
      <c r="AH782" s="75"/>
      <c r="AI782" s="75"/>
      <c r="AJ782" s="75"/>
      <c r="AK782" s="75"/>
      <c r="AL782" s="75"/>
      <c r="AM782" s="75"/>
      <c r="AN782" s="75"/>
      <c r="AO782" s="75"/>
      <c r="AP782" s="75"/>
      <c r="AQ782" s="75"/>
      <c r="AR782" s="75"/>
      <c r="AS782" s="75"/>
      <c r="AT782" s="75"/>
      <c r="AU782" s="75"/>
      <c r="AV782" s="75"/>
      <c r="AW782" s="75"/>
      <c r="AX782" s="75"/>
    </row>
    <row r="783" ht="15.75" customHeight="1">
      <c r="A783" s="168" t="s">
        <v>68</v>
      </c>
      <c r="B783" s="71" t="s">
        <v>5891</v>
      </c>
      <c r="C783" s="72" t="s">
        <v>5892</v>
      </c>
      <c r="D783" s="72"/>
      <c r="E783" s="72"/>
      <c r="F783" s="73"/>
      <c r="G783" s="73"/>
      <c r="H783" s="73"/>
      <c r="I783" s="73"/>
      <c r="J783" s="73"/>
      <c r="K783" s="73"/>
      <c r="L783" s="73"/>
      <c r="M783" s="73"/>
      <c r="N783" s="73"/>
      <c r="O783" s="73"/>
      <c r="P783" s="73"/>
      <c r="Q783" s="70" t="s">
        <v>150</v>
      </c>
      <c r="R783" s="73"/>
      <c r="S783" s="73"/>
      <c r="T783" s="74" t="s">
        <v>7077</v>
      </c>
      <c r="U783" s="73"/>
      <c r="V783" s="73"/>
      <c r="W783" s="73"/>
      <c r="X783" s="73"/>
      <c r="Y783" s="73"/>
      <c r="Z783" s="73"/>
      <c r="AA783" s="73"/>
      <c r="AB783" s="73"/>
      <c r="AC783" s="73"/>
      <c r="AD783" s="75"/>
      <c r="AE783" s="75"/>
      <c r="AF783" s="75"/>
      <c r="AG783" s="75"/>
      <c r="AH783" s="75"/>
      <c r="AI783" s="75"/>
      <c r="AJ783" s="75"/>
      <c r="AK783" s="75"/>
      <c r="AL783" s="75"/>
      <c r="AM783" s="75"/>
      <c r="AN783" s="75"/>
      <c r="AO783" s="75"/>
      <c r="AP783" s="75"/>
      <c r="AQ783" s="75"/>
      <c r="AR783" s="75"/>
      <c r="AS783" s="75"/>
      <c r="AT783" s="75"/>
      <c r="AU783" s="75"/>
      <c r="AV783" s="75"/>
      <c r="AW783" s="75"/>
      <c r="AX783" s="75"/>
    </row>
    <row r="784" ht="15.75" customHeight="1">
      <c r="A784" s="340" t="s">
        <v>280</v>
      </c>
      <c r="B784" s="341" t="s">
        <v>5893</v>
      </c>
      <c r="C784" s="27" t="s">
        <v>7078</v>
      </c>
      <c r="D784" s="27" t="s">
        <v>7079</v>
      </c>
      <c r="E784" s="27" t="s">
        <v>7080</v>
      </c>
      <c r="F784" s="45"/>
      <c r="G784" s="45"/>
      <c r="H784" s="45"/>
      <c r="I784" s="367"/>
      <c r="J784" s="367"/>
      <c r="K784" s="370" t="s">
        <v>7081</v>
      </c>
      <c r="L784" s="368"/>
      <c r="M784" s="367"/>
      <c r="N784" s="367"/>
      <c r="O784" s="367"/>
      <c r="P784" s="367"/>
      <c r="Q784" s="369" t="s">
        <v>150</v>
      </c>
      <c r="R784" s="367"/>
      <c r="S784" s="367"/>
      <c r="T784" s="367"/>
      <c r="U784" s="367"/>
      <c r="V784" s="367"/>
      <c r="W784" s="367"/>
      <c r="X784" s="367"/>
      <c r="Y784" s="367"/>
      <c r="Z784" s="367"/>
      <c r="AA784" s="367"/>
      <c r="AB784" s="367"/>
      <c r="AC784" s="367"/>
      <c r="AD784" s="75"/>
      <c r="AE784" s="75"/>
      <c r="AF784" s="75"/>
      <c r="AG784" s="75"/>
      <c r="AH784" s="75"/>
      <c r="AI784" s="75"/>
      <c r="AJ784" s="75"/>
      <c r="AK784" s="75"/>
      <c r="AL784" s="75"/>
      <c r="AM784" s="75"/>
      <c r="AN784" s="75"/>
      <c r="AO784" s="75"/>
      <c r="AP784" s="75"/>
      <c r="AQ784" s="75"/>
      <c r="AR784" s="75"/>
      <c r="AS784" s="75"/>
      <c r="AT784" s="75"/>
      <c r="AU784" s="75"/>
      <c r="AV784" s="75"/>
      <c r="AW784" s="75"/>
      <c r="AX784" s="75"/>
    </row>
    <row r="785" ht="15.75" customHeight="1">
      <c r="A785" s="291" t="s">
        <v>268</v>
      </c>
      <c r="B785" s="292" t="s">
        <v>5901</v>
      </c>
      <c r="C785" s="27" t="s">
        <v>7082</v>
      </c>
      <c r="D785" s="27" t="s">
        <v>7083</v>
      </c>
      <c r="E785" s="27" t="s">
        <v>7084</v>
      </c>
      <c r="F785" s="45"/>
      <c r="G785" s="45"/>
      <c r="H785" s="45"/>
      <c r="I785" s="306"/>
      <c r="J785" s="306"/>
      <c r="K785" s="308"/>
      <c r="L785" s="308"/>
      <c r="M785" s="306"/>
      <c r="N785" s="306"/>
      <c r="O785" s="309" t="s">
        <v>7085</v>
      </c>
      <c r="P785" s="306"/>
      <c r="Q785" s="309" t="s">
        <v>150</v>
      </c>
      <c r="R785" s="306"/>
      <c r="S785" s="306"/>
      <c r="T785" s="306"/>
      <c r="U785" s="306"/>
      <c r="V785" s="306"/>
      <c r="W785" s="306"/>
      <c r="X785" s="306"/>
      <c r="Y785" s="306"/>
      <c r="Z785" s="306"/>
      <c r="AA785" s="306"/>
      <c r="AB785" s="306"/>
      <c r="AC785" s="306"/>
      <c r="AD785" s="75"/>
      <c r="AE785" s="75"/>
      <c r="AF785" s="75"/>
      <c r="AG785" s="75"/>
      <c r="AH785" s="75"/>
      <c r="AI785" s="75"/>
      <c r="AJ785" s="75"/>
      <c r="AK785" s="75"/>
      <c r="AL785" s="75"/>
      <c r="AM785" s="75"/>
      <c r="AN785" s="75"/>
      <c r="AO785" s="75"/>
      <c r="AP785" s="75"/>
      <c r="AQ785" s="75"/>
      <c r="AR785" s="75"/>
      <c r="AS785" s="75"/>
      <c r="AT785" s="75"/>
      <c r="AU785" s="75"/>
      <c r="AV785" s="75"/>
      <c r="AW785" s="75"/>
      <c r="AX785" s="75"/>
    </row>
    <row r="786" ht="15.75" customHeight="1">
      <c r="A786" s="340" t="s">
        <v>280</v>
      </c>
      <c r="B786" s="341" t="s">
        <v>5906</v>
      </c>
      <c r="C786" s="27" t="s">
        <v>7086</v>
      </c>
      <c r="D786" s="27" t="s">
        <v>7087</v>
      </c>
      <c r="E786" s="27" t="s">
        <v>7088</v>
      </c>
      <c r="F786" s="45"/>
      <c r="G786" s="45"/>
      <c r="H786" s="45"/>
      <c r="I786" s="367"/>
      <c r="J786" s="367"/>
      <c r="K786" s="370" t="s">
        <v>7081</v>
      </c>
      <c r="L786" s="368"/>
      <c r="M786" s="367"/>
      <c r="N786" s="367"/>
      <c r="O786" s="367"/>
      <c r="P786" s="367"/>
      <c r="Q786" s="369" t="s">
        <v>150</v>
      </c>
      <c r="R786" s="367"/>
      <c r="S786" s="367"/>
      <c r="T786" s="367"/>
      <c r="U786" s="367"/>
      <c r="V786" s="367"/>
      <c r="W786" s="367"/>
      <c r="X786" s="367"/>
      <c r="Y786" s="367"/>
      <c r="Z786" s="367"/>
      <c r="AA786" s="367"/>
      <c r="AB786" s="367"/>
      <c r="AC786" s="367"/>
      <c r="AD786" s="75"/>
      <c r="AE786" s="75"/>
      <c r="AF786" s="75"/>
      <c r="AG786" s="75"/>
      <c r="AH786" s="75"/>
      <c r="AI786" s="75"/>
      <c r="AJ786" s="75"/>
      <c r="AK786" s="75"/>
      <c r="AL786" s="75"/>
      <c r="AM786" s="75"/>
      <c r="AN786" s="75"/>
      <c r="AO786" s="75"/>
      <c r="AP786" s="75"/>
      <c r="AQ786" s="75"/>
      <c r="AR786" s="75"/>
      <c r="AS786" s="75"/>
      <c r="AT786" s="75"/>
      <c r="AU786" s="75"/>
      <c r="AV786" s="75"/>
      <c r="AW786" s="75"/>
      <c r="AX786" s="75"/>
    </row>
    <row r="787" ht="15.75" customHeight="1">
      <c r="A787" s="248" t="s">
        <v>268</v>
      </c>
      <c r="B787" s="249" t="s">
        <v>5913</v>
      </c>
      <c r="C787" s="27" t="s">
        <v>7089</v>
      </c>
      <c r="D787" s="63" t="s">
        <v>7090</v>
      </c>
      <c r="E787" s="63" t="s">
        <v>7091</v>
      </c>
      <c r="F787" s="342"/>
      <c r="G787" s="342"/>
      <c r="H787" s="342"/>
      <c r="I787" s="373"/>
      <c r="J787" s="373"/>
      <c r="K787" s="374"/>
      <c r="L787" s="374"/>
      <c r="M787" s="373"/>
      <c r="N787" s="373"/>
      <c r="O787" s="375" t="s">
        <v>7092</v>
      </c>
      <c r="P787" s="373"/>
      <c r="Q787" s="250" t="s">
        <v>150</v>
      </c>
      <c r="R787" s="373"/>
      <c r="S787" s="373"/>
      <c r="T787" s="373"/>
      <c r="U787" s="373"/>
      <c r="V787" s="373"/>
      <c r="W787" s="373"/>
      <c r="X787" s="373"/>
      <c r="Y787" s="373"/>
      <c r="Z787" s="373"/>
      <c r="AA787" s="373"/>
      <c r="AB787" s="373"/>
      <c r="AC787" s="373"/>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row>
    <row r="788" ht="15.75" customHeight="1">
      <c r="A788" s="168" t="s">
        <v>68</v>
      </c>
      <c r="B788" s="71" t="s">
        <v>5919</v>
      </c>
      <c r="C788" s="72"/>
      <c r="D788" s="72"/>
      <c r="E788" s="72"/>
      <c r="F788" s="73"/>
      <c r="G788" s="73"/>
      <c r="H788" s="73"/>
      <c r="I788" s="73"/>
      <c r="J788" s="73"/>
      <c r="K788" s="73"/>
      <c r="L788" s="73"/>
      <c r="M788" s="73"/>
      <c r="N788" s="73"/>
      <c r="O788" s="73"/>
      <c r="P788" s="73"/>
      <c r="Q788" s="73"/>
      <c r="R788" s="73"/>
      <c r="S788" s="73"/>
      <c r="T788" s="74" t="s">
        <v>7093</v>
      </c>
      <c r="U788" s="73"/>
      <c r="V788" s="73"/>
      <c r="W788" s="73"/>
      <c r="X788" s="73"/>
      <c r="Y788" s="73"/>
      <c r="Z788" s="73"/>
      <c r="AA788" s="73"/>
      <c r="AB788" s="73"/>
      <c r="AC788" s="73"/>
      <c r="AD788" s="75"/>
      <c r="AE788" s="75"/>
      <c r="AF788" s="75"/>
      <c r="AG788" s="75"/>
      <c r="AH788" s="75"/>
      <c r="AI788" s="75"/>
      <c r="AJ788" s="75"/>
      <c r="AK788" s="75"/>
      <c r="AL788" s="75"/>
      <c r="AM788" s="75"/>
      <c r="AN788" s="75"/>
      <c r="AO788" s="75"/>
      <c r="AP788" s="75"/>
      <c r="AQ788" s="75"/>
      <c r="AR788" s="75"/>
      <c r="AS788" s="75"/>
      <c r="AT788" s="75"/>
      <c r="AU788" s="75"/>
      <c r="AV788" s="75"/>
      <c r="AW788" s="75"/>
      <c r="AX788" s="75"/>
    </row>
    <row r="789" ht="15.75" customHeight="1">
      <c r="A789" s="278" t="s">
        <v>38</v>
      </c>
      <c r="B789" s="279" t="s">
        <v>5920</v>
      </c>
      <c r="C789" s="27" t="s">
        <v>7094</v>
      </c>
      <c r="D789" s="27" t="s">
        <v>7095</v>
      </c>
      <c r="E789" s="27" t="s">
        <v>7096</v>
      </c>
      <c r="F789" s="45"/>
      <c r="G789" s="45"/>
      <c r="H789" s="45"/>
      <c r="I789" s="284"/>
      <c r="J789" s="284"/>
      <c r="K789" s="284"/>
      <c r="L789" s="284"/>
      <c r="M789" s="284"/>
      <c r="N789" s="284"/>
      <c r="O789" s="323" t="s">
        <v>7097</v>
      </c>
      <c r="P789" s="284"/>
      <c r="Q789" s="323" t="s">
        <v>150</v>
      </c>
      <c r="R789" s="284"/>
      <c r="S789" s="284"/>
      <c r="T789" s="284"/>
      <c r="U789" s="284"/>
      <c r="V789" s="284"/>
      <c r="W789" s="284"/>
      <c r="X789" s="284"/>
      <c r="Y789" s="284"/>
      <c r="Z789" s="284"/>
      <c r="AA789" s="284"/>
      <c r="AB789" s="284"/>
      <c r="AC789" s="284"/>
      <c r="AD789" s="75"/>
      <c r="AE789" s="75"/>
      <c r="AF789" s="75"/>
      <c r="AG789" s="75"/>
      <c r="AH789" s="75"/>
      <c r="AI789" s="75"/>
      <c r="AJ789" s="75"/>
      <c r="AK789" s="75"/>
      <c r="AL789" s="75"/>
      <c r="AM789" s="75"/>
      <c r="AN789" s="75"/>
      <c r="AO789" s="75"/>
      <c r="AP789" s="75"/>
      <c r="AQ789" s="75"/>
      <c r="AR789" s="75"/>
      <c r="AS789" s="75"/>
      <c r="AT789" s="75"/>
      <c r="AU789" s="75"/>
      <c r="AV789" s="75"/>
      <c r="AW789" s="75"/>
      <c r="AX789" s="75"/>
    </row>
    <row r="790" ht="15.75" customHeight="1">
      <c r="A790" s="280" t="s">
        <v>2509</v>
      </c>
      <c r="B790" s="281" t="s">
        <v>5929</v>
      </c>
      <c r="C790" s="27" t="s">
        <v>7098</v>
      </c>
      <c r="D790" s="27" t="s">
        <v>7099</v>
      </c>
      <c r="E790" s="27" t="s">
        <v>7100</v>
      </c>
      <c r="F790" s="45"/>
      <c r="G790" s="45"/>
      <c r="H790" s="45"/>
      <c r="I790" s="286"/>
      <c r="J790" s="287"/>
      <c r="K790" s="286"/>
      <c r="L790" s="286"/>
      <c r="M790" s="286"/>
      <c r="N790" s="286"/>
      <c r="O790" s="376" t="s">
        <v>7101</v>
      </c>
      <c r="P790" s="286"/>
      <c r="Q790" s="290" t="s">
        <v>150</v>
      </c>
      <c r="R790" s="286"/>
      <c r="S790" s="286"/>
      <c r="T790" s="286"/>
      <c r="U790" s="286"/>
      <c r="V790" s="286"/>
      <c r="W790" s="286"/>
      <c r="X790" s="286"/>
      <c r="Y790" s="286"/>
      <c r="Z790" s="286"/>
      <c r="AA790" s="286"/>
      <c r="AB790" s="286"/>
      <c r="AC790" s="286"/>
      <c r="AD790" s="75"/>
      <c r="AE790" s="75"/>
      <c r="AF790" s="75"/>
      <c r="AG790" s="75"/>
      <c r="AH790" s="75"/>
      <c r="AI790" s="75"/>
      <c r="AJ790" s="75"/>
      <c r="AK790" s="75"/>
      <c r="AL790" s="75"/>
      <c r="AM790" s="75"/>
      <c r="AN790" s="75"/>
      <c r="AO790" s="75"/>
      <c r="AP790" s="75"/>
      <c r="AQ790" s="75"/>
      <c r="AR790" s="75"/>
      <c r="AS790" s="75"/>
      <c r="AT790" s="75"/>
      <c r="AU790" s="75"/>
      <c r="AV790" s="75"/>
      <c r="AW790" s="75"/>
      <c r="AX790" s="75"/>
    </row>
    <row r="791" ht="15.75" customHeight="1">
      <c r="A791" s="280" t="s">
        <v>268</v>
      </c>
      <c r="B791" s="281" t="s">
        <v>7102</v>
      </c>
      <c r="C791" s="27" t="s">
        <v>7103</v>
      </c>
      <c r="D791" s="63" t="s">
        <v>7104</v>
      </c>
      <c r="E791" s="63" t="s">
        <v>7105</v>
      </c>
      <c r="F791" s="45"/>
      <c r="G791" s="45"/>
      <c r="H791" s="45"/>
      <c r="I791" s="286"/>
      <c r="J791" s="287"/>
      <c r="K791" s="286"/>
      <c r="L791" s="286"/>
      <c r="M791" s="286"/>
      <c r="N791" s="286"/>
      <c r="O791" s="376" t="s">
        <v>7106</v>
      </c>
      <c r="P791" s="286"/>
      <c r="Q791" s="290" t="s">
        <v>150</v>
      </c>
      <c r="R791" s="286"/>
      <c r="S791" s="286"/>
      <c r="T791" s="286"/>
      <c r="U791" s="286"/>
      <c r="V791" s="286"/>
      <c r="W791" s="286"/>
      <c r="X791" s="286"/>
      <c r="Y791" s="286"/>
      <c r="Z791" s="286"/>
      <c r="AA791" s="286"/>
      <c r="AB791" s="286"/>
      <c r="AC791" s="286"/>
      <c r="AD791" s="75"/>
      <c r="AE791" s="75"/>
      <c r="AF791" s="75"/>
      <c r="AG791" s="75"/>
      <c r="AH791" s="75"/>
      <c r="AI791" s="75"/>
      <c r="AJ791" s="75"/>
      <c r="AK791" s="75"/>
      <c r="AL791" s="75"/>
      <c r="AM791" s="75"/>
      <c r="AN791" s="75"/>
      <c r="AO791" s="75"/>
      <c r="AP791" s="75"/>
      <c r="AQ791" s="75"/>
      <c r="AR791" s="75"/>
      <c r="AS791" s="75"/>
      <c r="AT791" s="75"/>
      <c r="AU791" s="75"/>
      <c r="AV791" s="75"/>
      <c r="AW791" s="75"/>
      <c r="AX791" s="75"/>
    </row>
    <row r="792" ht="15.75" customHeight="1">
      <c r="A792" s="168" t="s">
        <v>68</v>
      </c>
      <c r="B792" s="71" t="s">
        <v>5934</v>
      </c>
      <c r="C792" s="72"/>
      <c r="D792" s="72"/>
      <c r="E792" s="72"/>
      <c r="F792" s="73"/>
      <c r="G792" s="73"/>
      <c r="H792" s="73"/>
      <c r="I792" s="73"/>
      <c r="J792" s="73"/>
      <c r="K792" s="73"/>
      <c r="L792" s="73"/>
      <c r="M792" s="73"/>
      <c r="N792" s="73"/>
      <c r="O792" s="73"/>
      <c r="P792" s="73"/>
      <c r="Q792" s="73"/>
      <c r="R792" s="73"/>
      <c r="S792" s="73"/>
      <c r="T792" s="74" t="s">
        <v>7107</v>
      </c>
      <c r="U792" s="73"/>
      <c r="V792" s="73"/>
      <c r="W792" s="73"/>
      <c r="X792" s="73"/>
      <c r="Y792" s="73"/>
      <c r="Z792" s="73"/>
      <c r="AA792" s="73"/>
      <c r="AB792" s="73"/>
      <c r="AC792" s="73"/>
      <c r="AD792" s="75"/>
      <c r="AE792" s="75"/>
      <c r="AF792" s="75"/>
      <c r="AG792" s="75"/>
      <c r="AH792" s="75"/>
      <c r="AI792" s="75"/>
      <c r="AJ792" s="75"/>
      <c r="AK792" s="75"/>
      <c r="AL792" s="75"/>
      <c r="AM792" s="75"/>
      <c r="AN792" s="75"/>
      <c r="AO792" s="75"/>
      <c r="AP792" s="75"/>
      <c r="AQ792" s="75"/>
      <c r="AR792" s="75"/>
      <c r="AS792" s="75"/>
      <c r="AT792" s="75"/>
      <c r="AU792" s="75"/>
      <c r="AV792" s="75"/>
      <c r="AW792" s="75"/>
      <c r="AX792" s="75"/>
    </row>
    <row r="793">
      <c r="A793" s="343" t="s">
        <v>468</v>
      </c>
      <c r="B793" s="185" t="s">
        <v>5862</v>
      </c>
      <c r="C793" s="186" t="s">
        <v>5935</v>
      </c>
      <c r="D793" s="186" t="s">
        <v>5936</v>
      </c>
      <c r="E793" s="186" t="s">
        <v>5937</v>
      </c>
      <c r="F793" s="377"/>
      <c r="G793" s="377"/>
      <c r="H793" s="377"/>
      <c r="I793" s="377"/>
      <c r="J793" s="377"/>
      <c r="K793" s="377"/>
      <c r="L793" s="377"/>
      <c r="M793" s="377"/>
      <c r="N793" s="377"/>
      <c r="O793" s="377"/>
      <c r="P793" s="377"/>
      <c r="Q793" s="377"/>
      <c r="R793" s="377"/>
      <c r="S793" s="377"/>
      <c r="T793" s="377"/>
      <c r="U793" s="377"/>
      <c r="V793" s="377"/>
      <c r="W793" s="377"/>
      <c r="X793" s="377"/>
      <c r="Y793" s="377"/>
      <c r="Z793" s="377"/>
      <c r="AA793" s="377"/>
      <c r="AB793" s="377"/>
      <c r="AC793" s="377"/>
      <c r="AD793" s="378"/>
      <c r="AE793" s="378"/>
      <c r="AF793" s="378"/>
      <c r="AG793" s="378"/>
      <c r="AH793" s="378"/>
      <c r="AI793" s="378"/>
      <c r="AJ793" s="378"/>
      <c r="AK793" s="378"/>
      <c r="AL793" s="378"/>
      <c r="AM793" s="378"/>
      <c r="AN793" s="378"/>
      <c r="AO793" s="378"/>
      <c r="AP793" s="378"/>
      <c r="AQ793" s="378"/>
      <c r="AR793" s="378"/>
      <c r="AS793" s="378"/>
      <c r="AT793" s="378"/>
      <c r="AU793" s="378"/>
      <c r="AV793" s="378"/>
      <c r="AW793" s="378"/>
      <c r="AX793" s="378"/>
    </row>
    <row r="794" ht="15.75" customHeight="1">
      <c r="A794" s="320"/>
      <c r="B794" s="321"/>
      <c r="C794" s="191"/>
      <c r="D794" s="191"/>
      <c r="E794" s="191"/>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row>
    <row r="795" ht="15.75" customHeight="1">
      <c r="A795" s="298" t="s">
        <v>133</v>
      </c>
      <c r="B795" s="299" t="s">
        <v>5938</v>
      </c>
      <c r="C795" s="147" t="s">
        <v>5939</v>
      </c>
      <c r="D795" s="147" t="s">
        <v>5940</v>
      </c>
      <c r="E795" s="147" t="s">
        <v>5942</v>
      </c>
      <c r="F795" s="312"/>
      <c r="G795" s="312"/>
      <c r="H795" s="312"/>
      <c r="I795" s="312"/>
      <c r="J795" s="314" t="s">
        <v>1982</v>
      </c>
      <c r="K795" s="312"/>
      <c r="L795" s="312"/>
      <c r="M795" s="313"/>
      <c r="N795" s="313"/>
      <c r="O795" s="313"/>
      <c r="P795" s="312"/>
      <c r="Q795" s="312"/>
      <c r="R795" s="312"/>
      <c r="S795" s="312"/>
      <c r="T795" s="312"/>
      <c r="U795" s="312"/>
      <c r="V795" s="312"/>
      <c r="W795" s="312"/>
      <c r="X795" s="312"/>
      <c r="Y795" s="312"/>
      <c r="Z795" s="312"/>
      <c r="AA795" s="312"/>
      <c r="AB795" s="312"/>
      <c r="AC795" s="312"/>
      <c r="AD795" s="75"/>
      <c r="AE795" s="75"/>
      <c r="AF795" s="75"/>
      <c r="AG795" s="75"/>
      <c r="AH795" s="75"/>
      <c r="AI795" s="75"/>
      <c r="AJ795" s="75"/>
      <c r="AK795" s="75"/>
      <c r="AL795" s="75"/>
      <c r="AM795" s="75"/>
      <c r="AN795" s="75"/>
      <c r="AO795" s="75"/>
      <c r="AP795" s="75"/>
      <c r="AQ795" s="75"/>
      <c r="AR795" s="75"/>
      <c r="AS795" s="75"/>
      <c r="AT795" s="75"/>
      <c r="AU795" s="75"/>
      <c r="AV795" s="75"/>
      <c r="AW795" s="75"/>
      <c r="AX795" s="75"/>
    </row>
    <row r="796" ht="15.75" customHeight="1">
      <c r="A796" s="278" t="s">
        <v>38</v>
      </c>
      <c r="B796" s="279" t="s">
        <v>5943</v>
      </c>
      <c r="C796" s="27" t="s">
        <v>7108</v>
      </c>
      <c r="D796" s="27" t="s">
        <v>7109</v>
      </c>
      <c r="E796" s="27" t="s">
        <v>7110</v>
      </c>
      <c r="F796" s="45"/>
      <c r="G796" s="45"/>
      <c r="H796" s="45"/>
      <c r="I796" s="284"/>
      <c r="J796" s="323" t="s">
        <v>8</v>
      </c>
      <c r="K796" s="284"/>
      <c r="L796" s="284"/>
      <c r="M796" s="284"/>
      <c r="N796" s="284"/>
      <c r="O796" s="284"/>
      <c r="P796" s="284"/>
      <c r="Q796" s="284"/>
      <c r="R796" s="284"/>
      <c r="S796" s="284"/>
      <c r="T796" s="284"/>
      <c r="U796" s="284"/>
      <c r="V796" s="284"/>
      <c r="W796" s="284"/>
      <c r="X796" s="284"/>
      <c r="Y796" s="284"/>
      <c r="Z796" s="284"/>
      <c r="AA796" s="284"/>
      <c r="AB796" s="284"/>
      <c r="AC796" s="284"/>
      <c r="AD796" s="75"/>
      <c r="AE796" s="75"/>
      <c r="AF796" s="75"/>
      <c r="AG796" s="75"/>
      <c r="AH796" s="75"/>
      <c r="AI796" s="75"/>
      <c r="AJ796" s="75"/>
      <c r="AK796" s="75"/>
      <c r="AL796" s="75"/>
      <c r="AM796" s="75"/>
      <c r="AN796" s="75"/>
      <c r="AO796" s="75"/>
      <c r="AP796" s="75"/>
      <c r="AQ796" s="75"/>
      <c r="AR796" s="75"/>
      <c r="AS796" s="75"/>
      <c r="AT796" s="75"/>
      <c r="AU796" s="75"/>
      <c r="AV796" s="75"/>
      <c r="AW796" s="75"/>
      <c r="AX796" s="75"/>
    </row>
    <row r="797" ht="15.75" customHeight="1">
      <c r="A797" s="291" t="s">
        <v>268</v>
      </c>
      <c r="B797" s="292" t="s">
        <v>5948</v>
      </c>
      <c r="C797" s="27" t="s">
        <v>7111</v>
      </c>
      <c r="D797" s="27" t="s">
        <v>7112</v>
      </c>
      <c r="E797" s="27" t="s">
        <v>7113</v>
      </c>
      <c r="F797" s="45"/>
      <c r="G797" s="45"/>
      <c r="H797" s="45"/>
      <c r="I797" s="306"/>
      <c r="J797" s="309" t="s">
        <v>2000</v>
      </c>
      <c r="K797" s="308"/>
      <c r="L797" s="308"/>
      <c r="M797" s="306"/>
      <c r="N797" s="306"/>
      <c r="O797" s="306"/>
      <c r="P797" s="306"/>
      <c r="Q797" s="309" t="s">
        <v>150</v>
      </c>
      <c r="R797" s="306"/>
      <c r="S797" s="306"/>
      <c r="T797" s="306"/>
      <c r="U797" s="306"/>
      <c r="V797" s="306"/>
      <c r="W797" s="306"/>
      <c r="X797" s="306"/>
      <c r="Y797" s="306"/>
      <c r="Z797" s="306"/>
      <c r="AA797" s="306"/>
      <c r="AB797" s="306"/>
      <c r="AC797" s="306"/>
      <c r="AD797" s="75"/>
      <c r="AE797" s="75"/>
      <c r="AF797" s="75"/>
      <c r="AG797" s="75"/>
      <c r="AH797" s="75"/>
      <c r="AI797" s="75"/>
      <c r="AJ797" s="75"/>
      <c r="AK797" s="75"/>
      <c r="AL797" s="75"/>
      <c r="AM797" s="75"/>
      <c r="AN797" s="75"/>
      <c r="AO797" s="75"/>
      <c r="AP797" s="75"/>
      <c r="AQ797" s="75"/>
      <c r="AR797" s="75"/>
      <c r="AS797" s="75"/>
      <c r="AT797" s="75"/>
      <c r="AU797" s="75"/>
      <c r="AV797" s="75"/>
      <c r="AW797" s="75"/>
      <c r="AX797" s="75"/>
    </row>
    <row r="798" ht="15.75" customHeight="1">
      <c r="A798" s="291" t="s">
        <v>268</v>
      </c>
      <c r="B798" s="292" t="s">
        <v>5952</v>
      </c>
      <c r="C798" s="27" t="s">
        <v>7114</v>
      </c>
      <c r="D798" s="27" t="s">
        <v>7115</v>
      </c>
      <c r="E798" s="27" t="s">
        <v>7116</v>
      </c>
      <c r="F798" s="45"/>
      <c r="G798" s="45"/>
      <c r="H798" s="45"/>
      <c r="I798" s="306"/>
      <c r="J798" s="309" t="s">
        <v>2000</v>
      </c>
      <c r="K798" s="308"/>
      <c r="L798" s="308"/>
      <c r="M798" s="306"/>
      <c r="N798" s="306"/>
      <c r="O798" s="306"/>
      <c r="P798" s="306"/>
      <c r="Q798" s="309" t="s">
        <v>150</v>
      </c>
      <c r="R798" s="306"/>
      <c r="S798" s="306"/>
      <c r="T798" s="306"/>
      <c r="U798" s="306"/>
      <c r="V798" s="306"/>
      <c r="W798" s="306"/>
      <c r="X798" s="306"/>
      <c r="Y798" s="306"/>
      <c r="Z798" s="306"/>
      <c r="AA798" s="306"/>
      <c r="AB798" s="306"/>
      <c r="AC798" s="306"/>
      <c r="AD798" s="75"/>
      <c r="AE798" s="75"/>
      <c r="AF798" s="75"/>
      <c r="AG798" s="75"/>
      <c r="AH798" s="75"/>
      <c r="AI798" s="75"/>
      <c r="AJ798" s="75"/>
      <c r="AK798" s="75"/>
      <c r="AL798" s="75"/>
      <c r="AM798" s="75"/>
      <c r="AN798" s="75"/>
      <c r="AO798" s="75"/>
      <c r="AP798" s="75"/>
      <c r="AQ798" s="75"/>
      <c r="AR798" s="75"/>
      <c r="AS798" s="75"/>
      <c r="AT798" s="75"/>
      <c r="AU798" s="75"/>
      <c r="AV798" s="75"/>
      <c r="AW798" s="75"/>
      <c r="AX798" s="75"/>
    </row>
    <row r="799" ht="15.75" customHeight="1">
      <c r="A799" s="291" t="s">
        <v>268</v>
      </c>
      <c r="B799" s="292" t="s">
        <v>5960</v>
      </c>
      <c r="C799" s="27" t="s">
        <v>7117</v>
      </c>
      <c r="D799" s="27" t="s">
        <v>7118</v>
      </c>
      <c r="E799" s="27" t="s">
        <v>7119</v>
      </c>
      <c r="F799" s="45"/>
      <c r="G799" s="45"/>
      <c r="H799" s="45"/>
      <c r="I799" s="306"/>
      <c r="J799" s="309" t="s">
        <v>2000</v>
      </c>
      <c r="K799" s="308"/>
      <c r="L799" s="308"/>
      <c r="M799" s="306"/>
      <c r="N799" s="306"/>
      <c r="O799" s="306"/>
      <c r="P799" s="306"/>
      <c r="Q799" s="309" t="s">
        <v>150</v>
      </c>
      <c r="R799" s="306"/>
      <c r="S799" s="306"/>
      <c r="T799" s="359"/>
      <c r="U799" s="306"/>
      <c r="V799" s="306"/>
      <c r="W799" s="306"/>
      <c r="X799" s="306"/>
      <c r="Y799" s="306"/>
      <c r="Z799" s="306"/>
      <c r="AA799" s="306"/>
      <c r="AB799" s="306"/>
      <c r="AC799" s="306"/>
      <c r="AD799" s="75"/>
      <c r="AE799" s="75"/>
      <c r="AF799" s="75"/>
      <c r="AG799" s="75"/>
      <c r="AH799" s="75"/>
      <c r="AI799" s="75"/>
      <c r="AJ799" s="75"/>
      <c r="AK799" s="75"/>
      <c r="AL799" s="75"/>
      <c r="AM799" s="75"/>
      <c r="AN799" s="75"/>
      <c r="AO799" s="75"/>
      <c r="AP799" s="75"/>
      <c r="AQ799" s="75"/>
      <c r="AR799" s="75"/>
      <c r="AS799" s="75"/>
      <c r="AT799" s="75"/>
      <c r="AU799" s="75"/>
      <c r="AV799" s="75"/>
      <c r="AW799" s="75"/>
      <c r="AX799" s="75"/>
    </row>
    <row r="800" ht="15.75" customHeight="1">
      <c r="A800" s="291" t="s">
        <v>268</v>
      </c>
      <c r="B800" s="292" t="s">
        <v>5962</v>
      </c>
      <c r="C800" s="27" t="s">
        <v>7120</v>
      </c>
      <c r="D800" s="27" t="s">
        <v>7121</v>
      </c>
      <c r="E800" s="27" t="s">
        <v>7122</v>
      </c>
      <c r="F800" s="45"/>
      <c r="G800" s="45"/>
      <c r="H800" s="45"/>
      <c r="I800" s="306"/>
      <c r="J800" s="309" t="s">
        <v>2000</v>
      </c>
      <c r="K800" s="308"/>
      <c r="L800" s="308"/>
      <c r="M800" s="306"/>
      <c r="N800" s="306"/>
      <c r="O800" s="306"/>
      <c r="P800" s="306"/>
      <c r="Q800" s="309" t="s">
        <v>150</v>
      </c>
      <c r="R800" s="306"/>
      <c r="S800" s="306"/>
      <c r="T800" s="359"/>
      <c r="U800" s="306"/>
      <c r="V800" s="306"/>
      <c r="W800" s="306"/>
      <c r="X800" s="306"/>
      <c r="Y800" s="306"/>
      <c r="Z800" s="306"/>
      <c r="AA800" s="306"/>
      <c r="AB800" s="306"/>
      <c r="AC800" s="306"/>
      <c r="AD800" s="75"/>
      <c r="AE800" s="75"/>
      <c r="AF800" s="75"/>
      <c r="AG800" s="75"/>
      <c r="AH800" s="75"/>
      <c r="AI800" s="75"/>
      <c r="AJ800" s="75"/>
      <c r="AK800" s="75"/>
      <c r="AL800" s="75"/>
      <c r="AM800" s="75"/>
      <c r="AN800" s="75"/>
      <c r="AO800" s="75"/>
      <c r="AP800" s="75"/>
      <c r="AQ800" s="75"/>
      <c r="AR800" s="75"/>
      <c r="AS800" s="75"/>
      <c r="AT800" s="75"/>
      <c r="AU800" s="75"/>
      <c r="AV800" s="75"/>
      <c r="AW800" s="75"/>
      <c r="AX800" s="75"/>
    </row>
    <row r="801" ht="15.75" customHeight="1">
      <c r="A801" s="298" t="s">
        <v>237</v>
      </c>
      <c r="B801" s="310" t="s">
        <v>5938</v>
      </c>
      <c r="C801" s="226" t="s">
        <v>5939</v>
      </c>
      <c r="D801" s="226" t="s">
        <v>5964</v>
      </c>
      <c r="E801" s="226" t="s">
        <v>5965</v>
      </c>
      <c r="F801" s="312"/>
      <c r="G801" s="312"/>
      <c r="H801" s="312"/>
      <c r="I801" s="312"/>
      <c r="J801" s="312"/>
      <c r="K801" s="312"/>
      <c r="L801" s="312"/>
      <c r="M801" s="312"/>
      <c r="N801" s="312"/>
      <c r="O801" s="312"/>
      <c r="P801" s="312"/>
      <c r="Q801" s="312"/>
      <c r="R801" s="312"/>
      <c r="S801" s="312"/>
      <c r="T801" s="302"/>
      <c r="U801" s="312"/>
      <c r="V801" s="312"/>
      <c r="W801" s="312"/>
      <c r="X801" s="312"/>
      <c r="Y801" s="312"/>
      <c r="Z801" s="312"/>
      <c r="AA801" s="312"/>
      <c r="AB801" s="312"/>
      <c r="AC801" s="312"/>
      <c r="AD801" s="75"/>
      <c r="AE801" s="75"/>
      <c r="AF801" s="75"/>
      <c r="AG801" s="75"/>
      <c r="AH801" s="75"/>
      <c r="AI801" s="75"/>
      <c r="AJ801" s="75"/>
      <c r="AK801" s="75"/>
      <c r="AL801" s="75"/>
      <c r="AM801" s="75"/>
      <c r="AN801" s="75"/>
      <c r="AO801" s="75"/>
      <c r="AP801" s="75"/>
      <c r="AQ801" s="75"/>
      <c r="AR801" s="75"/>
      <c r="AS801" s="75"/>
      <c r="AT801" s="75"/>
      <c r="AU801" s="75"/>
      <c r="AV801" s="75"/>
      <c r="AW801" s="75"/>
      <c r="AX801" s="75"/>
    </row>
    <row r="802" ht="15.75" customHeight="1">
      <c r="A802" s="168" t="s">
        <v>127</v>
      </c>
      <c r="B802" s="71" t="s">
        <v>5966</v>
      </c>
      <c r="C802" s="72"/>
      <c r="D802" s="72"/>
      <c r="E802" s="72"/>
      <c r="F802" s="73"/>
      <c r="G802" s="73"/>
      <c r="H802" s="73"/>
      <c r="I802" s="73"/>
      <c r="J802" s="73"/>
      <c r="K802" s="73"/>
      <c r="L802" s="73"/>
      <c r="M802" s="73"/>
      <c r="N802" s="73"/>
      <c r="O802" s="200"/>
      <c r="P802" s="73"/>
      <c r="Q802" s="73"/>
      <c r="R802" s="73"/>
      <c r="S802" s="73"/>
      <c r="T802" s="74" t="s">
        <v>129</v>
      </c>
      <c r="U802" s="73"/>
      <c r="V802" s="73"/>
      <c r="W802" s="73"/>
      <c r="X802" s="73"/>
      <c r="Y802" s="73"/>
      <c r="Z802" s="73"/>
      <c r="AA802" s="73"/>
      <c r="AB802" s="73"/>
      <c r="AC802" s="73"/>
      <c r="AD802" s="75"/>
      <c r="AE802" s="75"/>
      <c r="AF802" s="75"/>
      <c r="AG802" s="75"/>
      <c r="AH802" s="75"/>
      <c r="AI802" s="75"/>
      <c r="AJ802" s="75"/>
      <c r="AK802" s="75"/>
      <c r="AL802" s="75"/>
      <c r="AM802" s="75"/>
      <c r="AN802" s="75"/>
      <c r="AO802" s="75"/>
      <c r="AP802" s="75"/>
      <c r="AQ802" s="75"/>
      <c r="AR802" s="75"/>
      <c r="AS802" s="75"/>
      <c r="AT802" s="75"/>
      <c r="AU802" s="75"/>
      <c r="AV802" s="75"/>
      <c r="AW802" s="75"/>
      <c r="AX802" s="75"/>
    </row>
    <row r="803" ht="15.75" customHeight="1">
      <c r="A803" s="168" t="s">
        <v>68</v>
      </c>
      <c r="B803" s="71" t="s">
        <v>5967</v>
      </c>
      <c r="C803" s="72"/>
      <c r="D803" s="72"/>
      <c r="E803" s="72"/>
      <c r="F803" s="73"/>
      <c r="G803" s="73"/>
      <c r="H803" s="73"/>
      <c r="I803" s="73"/>
      <c r="J803" s="73"/>
      <c r="K803" s="73"/>
      <c r="L803" s="73"/>
      <c r="M803" s="73"/>
      <c r="N803" s="73"/>
      <c r="O803" s="200"/>
      <c r="P803" s="73"/>
      <c r="Q803" s="73"/>
      <c r="R803" s="73"/>
      <c r="S803" s="73"/>
      <c r="T803" s="74" t="s">
        <v>7123</v>
      </c>
      <c r="U803" s="73"/>
      <c r="V803" s="73"/>
      <c r="W803" s="73"/>
      <c r="X803" s="73"/>
      <c r="Y803" s="73"/>
      <c r="Z803" s="73"/>
      <c r="AA803" s="73"/>
      <c r="AB803" s="73"/>
      <c r="AC803" s="73"/>
      <c r="AD803" s="75"/>
      <c r="AE803" s="75"/>
      <c r="AF803" s="75"/>
      <c r="AG803" s="75"/>
      <c r="AH803" s="75"/>
      <c r="AI803" s="75"/>
      <c r="AJ803" s="75"/>
      <c r="AK803" s="75"/>
      <c r="AL803" s="75"/>
      <c r="AM803" s="75"/>
      <c r="AN803" s="75"/>
      <c r="AO803" s="75"/>
      <c r="AP803" s="75"/>
      <c r="AQ803" s="75"/>
      <c r="AR803" s="75"/>
      <c r="AS803" s="75"/>
      <c r="AT803" s="75"/>
      <c r="AU803" s="75"/>
      <c r="AV803" s="75"/>
      <c r="AW803" s="75"/>
      <c r="AX803" s="75"/>
    </row>
    <row r="804" ht="15.75" customHeight="1">
      <c r="A804" s="320"/>
      <c r="B804" s="321"/>
      <c r="C804" s="191"/>
      <c r="D804" s="191"/>
      <c r="E804" s="191"/>
      <c r="F804" s="75"/>
      <c r="G804" s="75"/>
      <c r="H804" s="75"/>
      <c r="I804" s="75"/>
      <c r="J804" s="75"/>
      <c r="K804" s="75"/>
      <c r="L804" s="75"/>
      <c r="M804" s="75"/>
      <c r="N804" s="75"/>
      <c r="O804" s="321"/>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row>
    <row r="805" ht="15.75" customHeight="1">
      <c r="A805" s="168" t="s">
        <v>127</v>
      </c>
      <c r="B805" s="71" t="s">
        <v>5968</v>
      </c>
      <c r="C805" s="72"/>
      <c r="D805" s="72"/>
      <c r="E805" s="72"/>
      <c r="F805" s="73"/>
      <c r="G805" s="73"/>
      <c r="H805" s="73"/>
      <c r="I805" s="73"/>
      <c r="J805" s="73"/>
      <c r="K805" s="73"/>
      <c r="L805" s="73"/>
      <c r="M805" s="73"/>
      <c r="N805" s="73"/>
      <c r="O805" s="200"/>
      <c r="P805" s="73"/>
      <c r="Q805" s="73"/>
      <c r="R805" s="73"/>
      <c r="S805" s="73"/>
      <c r="T805" s="74" t="s">
        <v>129</v>
      </c>
      <c r="U805" s="73"/>
      <c r="V805" s="73"/>
      <c r="W805" s="73"/>
      <c r="X805" s="73"/>
      <c r="Y805" s="73"/>
      <c r="Z805" s="73"/>
      <c r="AA805" s="73"/>
      <c r="AB805" s="73"/>
      <c r="AC805" s="73"/>
      <c r="AD805" s="75"/>
      <c r="AE805" s="75"/>
      <c r="AF805" s="75"/>
      <c r="AG805" s="75"/>
      <c r="AH805" s="75"/>
      <c r="AI805" s="75"/>
      <c r="AJ805" s="75"/>
      <c r="AK805" s="75"/>
      <c r="AL805" s="75"/>
      <c r="AM805" s="75"/>
      <c r="AN805" s="75"/>
      <c r="AO805" s="75"/>
      <c r="AP805" s="75"/>
      <c r="AQ805" s="75"/>
      <c r="AR805" s="75"/>
      <c r="AS805" s="75"/>
      <c r="AT805" s="75"/>
      <c r="AU805" s="75"/>
      <c r="AV805" s="75"/>
      <c r="AW805" s="75"/>
      <c r="AX805" s="75"/>
    </row>
    <row r="806" ht="15.75" customHeight="1">
      <c r="A806" s="278" t="s">
        <v>38</v>
      </c>
      <c r="B806" s="279" t="s">
        <v>5970</v>
      </c>
      <c r="C806" s="27" t="s">
        <v>7124</v>
      </c>
      <c r="D806" s="27" t="s">
        <v>7125</v>
      </c>
      <c r="E806" s="27" t="s">
        <v>7126</v>
      </c>
      <c r="F806" s="45"/>
      <c r="G806" s="45"/>
      <c r="H806" s="45"/>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75"/>
      <c r="AE806" s="75"/>
      <c r="AF806" s="75"/>
      <c r="AG806" s="75"/>
      <c r="AH806" s="75"/>
      <c r="AI806" s="75"/>
      <c r="AJ806" s="75"/>
      <c r="AK806" s="75"/>
      <c r="AL806" s="75"/>
      <c r="AM806" s="75"/>
      <c r="AN806" s="75"/>
      <c r="AO806" s="75"/>
      <c r="AP806" s="75"/>
      <c r="AQ806" s="75"/>
      <c r="AR806" s="75"/>
      <c r="AS806" s="75"/>
      <c r="AT806" s="75"/>
      <c r="AU806" s="75"/>
      <c r="AV806" s="75"/>
      <c r="AW806" s="75"/>
      <c r="AX806" s="75"/>
    </row>
    <row r="807" ht="15.75" customHeight="1">
      <c r="A807" s="291" t="s">
        <v>268</v>
      </c>
      <c r="B807" s="292" t="s">
        <v>5975</v>
      </c>
      <c r="C807" s="27" t="s">
        <v>7127</v>
      </c>
      <c r="D807" s="27" t="s">
        <v>7128</v>
      </c>
      <c r="E807" s="27" t="s">
        <v>7129</v>
      </c>
      <c r="F807" s="45"/>
      <c r="G807" s="45"/>
      <c r="H807" s="45"/>
      <c r="I807" s="306"/>
      <c r="J807" s="306"/>
      <c r="K807" s="307" t="s">
        <v>7130</v>
      </c>
      <c r="L807" s="308"/>
      <c r="M807" s="306"/>
      <c r="N807" s="306"/>
      <c r="O807" s="306"/>
      <c r="P807" s="306"/>
      <c r="Q807" s="309" t="s">
        <v>150</v>
      </c>
      <c r="R807" s="306"/>
      <c r="S807" s="306"/>
      <c r="T807" s="306"/>
      <c r="U807" s="306"/>
      <c r="V807" s="306"/>
      <c r="W807" s="306"/>
      <c r="X807" s="306"/>
      <c r="Y807" s="306"/>
      <c r="Z807" s="306"/>
      <c r="AA807" s="306"/>
      <c r="AB807" s="306"/>
      <c r="AC807" s="306"/>
      <c r="AD807" s="75"/>
      <c r="AE807" s="75"/>
      <c r="AF807" s="75"/>
      <c r="AG807" s="75"/>
      <c r="AH807" s="75"/>
      <c r="AI807" s="75"/>
      <c r="AJ807" s="75"/>
      <c r="AK807" s="75"/>
      <c r="AL807" s="75"/>
      <c r="AM807" s="75"/>
      <c r="AN807" s="75"/>
      <c r="AO807" s="75"/>
      <c r="AP807" s="75"/>
      <c r="AQ807" s="75"/>
      <c r="AR807" s="75"/>
      <c r="AS807" s="75"/>
      <c r="AT807" s="75"/>
      <c r="AU807" s="75"/>
      <c r="AV807" s="75"/>
      <c r="AW807" s="75"/>
      <c r="AX807" s="75"/>
    </row>
    <row r="808" ht="15.75" customHeight="1">
      <c r="A808" s="291" t="s">
        <v>268</v>
      </c>
      <c r="B808" s="292" t="s">
        <v>5981</v>
      </c>
      <c r="C808" s="27" t="s">
        <v>7131</v>
      </c>
      <c r="D808" s="27" t="s">
        <v>7132</v>
      </c>
      <c r="E808" s="27" t="s">
        <v>7133</v>
      </c>
      <c r="F808" s="45"/>
      <c r="G808" s="45"/>
      <c r="H808" s="45"/>
      <c r="I808" s="306"/>
      <c r="J808" s="306"/>
      <c r="K808" s="307" t="s">
        <v>4558</v>
      </c>
      <c r="L808" s="308"/>
      <c r="M808" s="306"/>
      <c r="N808" s="306"/>
      <c r="O808" s="306"/>
      <c r="P808" s="306"/>
      <c r="Q808" s="309" t="s">
        <v>150</v>
      </c>
      <c r="R808" s="306"/>
      <c r="S808" s="306"/>
      <c r="T808" s="306"/>
      <c r="U808" s="306"/>
      <c r="V808" s="306"/>
      <c r="W808" s="306"/>
      <c r="X808" s="306"/>
      <c r="Y808" s="306"/>
      <c r="Z808" s="306"/>
      <c r="AA808" s="306"/>
      <c r="AB808" s="306"/>
      <c r="AC808" s="306"/>
      <c r="AD808" s="75"/>
      <c r="AE808" s="75"/>
      <c r="AF808" s="75"/>
      <c r="AG808" s="75"/>
      <c r="AH808" s="75"/>
      <c r="AI808" s="75"/>
      <c r="AJ808" s="75"/>
      <c r="AK808" s="75"/>
      <c r="AL808" s="75"/>
      <c r="AM808" s="75"/>
      <c r="AN808" s="75"/>
      <c r="AO808" s="75"/>
      <c r="AP808" s="75"/>
      <c r="AQ808" s="75"/>
      <c r="AR808" s="75"/>
      <c r="AS808" s="75"/>
      <c r="AT808" s="75"/>
      <c r="AU808" s="75"/>
      <c r="AV808" s="75"/>
      <c r="AW808" s="75"/>
      <c r="AX808" s="75"/>
    </row>
    <row r="809" ht="15.75" customHeight="1">
      <c r="A809" s="291" t="s">
        <v>68</v>
      </c>
      <c r="B809" s="379" t="s">
        <v>7134</v>
      </c>
      <c r="C809" s="191"/>
      <c r="D809" s="191"/>
      <c r="E809" s="191"/>
      <c r="F809" s="75"/>
      <c r="G809" s="75"/>
      <c r="H809" s="75"/>
      <c r="I809" s="75"/>
      <c r="J809" s="75"/>
      <c r="K809" s="75"/>
      <c r="L809" s="75"/>
      <c r="M809" s="75"/>
      <c r="N809" s="75"/>
      <c r="O809" s="75"/>
      <c r="P809" s="75"/>
      <c r="Q809" s="75"/>
      <c r="R809" s="75"/>
      <c r="S809" s="75"/>
      <c r="T809" s="379" t="s">
        <v>7135</v>
      </c>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row>
    <row r="810" ht="15.75" customHeight="1">
      <c r="A810" s="285" t="s">
        <v>426</v>
      </c>
      <c r="B810" s="171" t="s">
        <v>5986</v>
      </c>
      <c r="C810" s="172" t="s">
        <v>5987</v>
      </c>
      <c r="D810" s="172" t="s">
        <v>5988</v>
      </c>
      <c r="E810" s="172" t="s">
        <v>5989</v>
      </c>
      <c r="F810" s="304"/>
      <c r="G810" s="304"/>
      <c r="H810" s="304"/>
      <c r="I810" s="304"/>
      <c r="J810" s="304"/>
      <c r="K810" s="304"/>
      <c r="L810" s="304"/>
      <c r="M810" s="305"/>
      <c r="N810" s="305"/>
      <c r="O810" s="305"/>
      <c r="P810" s="304"/>
      <c r="Q810" s="304"/>
      <c r="R810" s="304"/>
      <c r="S810" s="304"/>
      <c r="T810" s="304"/>
      <c r="U810" s="176" t="s">
        <v>7136</v>
      </c>
      <c r="V810" s="304"/>
      <c r="W810" s="304"/>
      <c r="X810" s="304"/>
      <c r="Y810" s="304"/>
      <c r="Z810" s="304"/>
      <c r="AA810" s="304"/>
      <c r="AB810" s="304"/>
      <c r="AC810" s="304"/>
      <c r="AD810" s="75"/>
      <c r="AE810" s="75"/>
      <c r="AF810" s="75"/>
      <c r="AG810" s="75"/>
      <c r="AH810" s="75"/>
      <c r="AI810" s="75"/>
      <c r="AJ810" s="75"/>
      <c r="AK810" s="75"/>
      <c r="AL810" s="75"/>
      <c r="AM810" s="75"/>
      <c r="AN810" s="75"/>
      <c r="AO810" s="75"/>
      <c r="AP810" s="75"/>
      <c r="AQ810" s="75"/>
      <c r="AR810" s="75"/>
      <c r="AS810" s="75"/>
      <c r="AT810" s="75"/>
      <c r="AU810" s="75"/>
      <c r="AV810" s="75"/>
      <c r="AW810" s="75"/>
      <c r="AX810" s="75"/>
    </row>
    <row r="811" ht="15.75" customHeight="1">
      <c r="A811" s="168" t="s">
        <v>68</v>
      </c>
      <c r="B811" s="71" t="s">
        <v>5990</v>
      </c>
      <c r="C811" s="72"/>
      <c r="D811" s="72"/>
      <c r="E811" s="72"/>
      <c r="F811" s="73"/>
      <c r="G811" s="73"/>
      <c r="H811" s="73"/>
      <c r="I811" s="73"/>
      <c r="J811" s="73"/>
      <c r="K811" s="73"/>
      <c r="L811" s="73"/>
      <c r="M811" s="73"/>
      <c r="N811" s="73"/>
      <c r="O811" s="73"/>
      <c r="P811" s="73"/>
      <c r="Q811" s="73"/>
      <c r="R811" s="73"/>
      <c r="S811" s="73"/>
      <c r="T811" s="74" t="s">
        <v>7137</v>
      </c>
      <c r="U811" s="73"/>
      <c r="V811" s="73"/>
      <c r="W811" s="73"/>
      <c r="X811" s="73"/>
      <c r="Y811" s="73"/>
      <c r="Z811" s="73"/>
      <c r="AA811" s="73"/>
      <c r="AB811" s="73"/>
      <c r="AC811" s="73"/>
      <c r="AD811" s="75"/>
      <c r="AE811" s="75"/>
      <c r="AF811" s="75"/>
      <c r="AG811" s="75"/>
      <c r="AH811" s="75"/>
      <c r="AI811" s="75"/>
      <c r="AJ811" s="75"/>
      <c r="AK811" s="75"/>
      <c r="AL811" s="75"/>
      <c r="AM811" s="75"/>
      <c r="AN811" s="75"/>
      <c r="AO811" s="75"/>
      <c r="AP811" s="75"/>
      <c r="AQ811" s="75"/>
      <c r="AR811" s="75"/>
      <c r="AS811" s="75"/>
      <c r="AT811" s="75"/>
      <c r="AU811" s="75"/>
      <c r="AV811" s="75"/>
      <c r="AW811" s="75"/>
      <c r="AX811" s="75"/>
    </row>
    <row r="812" ht="15.75" customHeight="1">
      <c r="A812" s="168" t="s">
        <v>68</v>
      </c>
      <c r="B812" s="71" t="s">
        <v>5992</v>
      </c>
      <c r="C812" s="72" t="s">
        <v>5993</v>
      </c>
      <c r="D812" s="72" t="s">
        <v>5994</v>
      </c>
      <c r="E812" s="72" t="s">
        <v>5995</v>
      </c>
      <c r="F812" s="73"/>
      <c r="G812" s="73"/>
      <c r="H812" s="73"/>
      <c r="I812" s="73"/>
      <c r="J812" s="73"/>
      <c r="K812" s="73"/>
      <c r="L812" s="73"/>
      <c r="M812" s="73"/>
      <c r="N812" s="73"/>
      <c r="O812" s="73"/>
      <c r="P812" s="73"/>
      <c r="Q812" s="73"/>
      <c r="R812" s="73"/>
      <c r="S812" s="73"/>
      <c r="T812" s="74" t="s">
        <v>7138</v>
      </c>
      <c r="U812" s="73"/>
      <c r="V812" s="73"/>
      <c r="W812" s="73"/>
      <c r="X812" s="73"/>
      <c r="Y812" s="73"/>
      <c r="Z812" s="73"/>
      <c r="AA812" s="73"/>
      <c r="AB812" s="73"/>
      <c r="AC812" s="73"/>
      <c r="AD812" s="75"/>
      <c r="AE812" s="75"/>
      <c r="AF812" s="75"/>
      <c r="AG812" s="75"/>
      <c r="AH812" s="75"/>
      <c r="AI812" s="75"/>
      <c r="AJ812" s="75"/>
      <c r="AK812" s="75"/>
      <c r="AL812" s="75"/>
      <c r="AM812" s="75"/>
      <c r="AN812" s="75"/>
      <c r="AO812" s="75"/>
      <c r="AP812" s="75"/>
      <c r="AQ812" s="75"/>
      <c r="AR812" s="75"/>
      <c r="AS812" s="75"/>
      <c r="AT812" s="75"/>
      <c r="AU812" s="75"/>
      <c r="AV812" s="75"/>
      <c r="AW812" s="75"/>
      <c r="AX812" s="75"/>
    </row>
    <row r="813" ht="15.75" customHeight="1">
      <c r="A813" s="291" t="s">
        <v>268</v>
      </c>
      <c r="B813" s="292" t="s">
        <v>5996</v>
      </c>
      <c r="C813" s="27" t="s">
        <v>7139</v>
      </c>
      <c r="D813" s="27" t="s">
        <v>7140</v>
      </c>
      <c r="E813" s="27" t="s">
        <v>7141</v>
      </c>
      <c r="F813" s="45"/>
      <c r="G813" s="45"/>
      <c r="H813" s="45"/>
      <c r="I813" s="306"/>
      <c r="J813" s="306"/>
      <c r="K813" s="380" t="s">
        <v>7142</v>
      </c>
      <c r="L813" s="308"/>
      <c r="M813" s="306"/>
      <c r="N813" s="306"/>
      <c r="O813" s="306"/>
      <c r="P813" s="306"/>
      <c r="Q813" s="309" t="s">
        <v>150</v>
      </c>
      <c r="R813" s="306"/>
      <c r="S813" s="306"/>
      <c r="T813" s="306"/>
      <c r="U813" s="306"/>
      <c r="V813" s="306"/>
      <c r="W813" s="306"/>
      <c r="X813" s="306"/>
      <c r="Y813" s="306"/>
      <c r="Z813" s="306"/>
      <c r="AA813" s="306"/>
      <c r="AB813" s="306"/>
      <c r="AC813" s="306"/>
      <c r="AD813" s="75"/>
      <c r="AE813" s="75"/>
      <c r="AF813" s="75"/>
      <c r="AG813" s="75"/>
      <c r="AH813" s="75"/>
      <c r="AI813" s="75"/>
      <c r="AJ813" s="75"/>
      <c r="AK813" s="75"/>
      <c r="AL813" s="75"/>
      <c r="AM813" s="75"/>
      <c r="AN813" s="75"/>
      <c r="AO813" s="75"/>
      <c r="AP813" s="75"/>
      <c r="AQ813" s="75"/>
      <c r="AR813" s="75"/>
      <c r="AS813" s="75"/>
      <c r="AT813" s="75"/>
      <c r="AU813" s="75"/>
      <c r="AV813" s="75"/>
      <c r="AW813" s="75"/>
      <c r="AX813" s="75"/>
    </row>
    <row r="814" ht="15.75" customHeight="1">
      <c r="A814" s="285" t="s">
        <v>468</v>
      </c>
      <c r="B814" s="185" t="s">
        <v>5986</v>
      </c>
      <c r="C814" s="186" t="s">
        <v>5987</v>
      </c>
      <c r="D814" s="186" t="s">
        <v>5988</v>
      </c>
      <c r="E814" s="186" t="s">
        <v>5989</v>
      </c>
      <c r="F814" s="304"/>
      <c r="G814" s="304"/>
      <c r="H814" s="304"/>
      <c r="I814" s="304"/>
      <c r="J814" s="304"/>
      <c r="K814" s="304"/>
      <c r="L814" s="304"/>
      <c r="M814" s="304"/>
      <c r="N814" s="304"/>
      <c r="O814" s="304"/>
      <c r="P814" s="304"/>
      <c r="Q814" s="304"/>
      <c r="R814" s="304"/>
      <c r="S814" s="304"/>
      <c r="T814" s="304"/>
      <c r="U814" s="304"/>
      <c r="V814" s="304"/>
      <c r="W814" s="304"/>
      <c r="X814" s="304"/>
      <c r="Y814" s="304"/>
      <c r="Z814" s="304"/>
      <c r="AA814" s="304"/>
      <c r="AB814" s="304"/>
      <c r="AC814" s="304"/>
      <c r="AD814" s="75"/>
      <c r="AE814" s="75"/>
      <c r="AF814" s="75"/>
      <c r="AG814" s="75"/>
      <c r="AH814" s="75"/>
      <c r="AI814" s="75"/>
      <c r="AJ814" s="75"/>
      <c r="AK814" s="75"/>
      <c r="AL814" s="75"/>
      <c r="AM814" s="75"/>
      <c r="AN814" s="75"/>
      <c r="AO814" s="75"/>
      <c r="AP814" s="75"/>
      <c r="AQ814" s="75"/>
      <c r="AR814" s="75"/>
      <c r="AS814" s="75"/>
      <c r="AT814" s="75"/>
      <c r="AU814" s="75"/>
      <c r="AV814" s="75"/>
      <c r="AW814" s="75"/>
      <c r="AX814" s="75"/>
    </row>
    <row r="815" ht="15.75" customHeight="1">
      <c r="A815" s="278" t="s">
        <v>38</v>
      </c>
      <c r="B815" s="279" t="s">
        <v>6001</v>
      </c>
      <c r="C815" s="27" t="s">
        <v>7143</v>
      </c>
      <c r="D815" s="27" t="s">
        <v>7144</v>
      </c>
      <c r="E815" s="27" t="s">
        <v>7145</v>
      </c>
      <c r="F815" s="381"/>
      <c r="G815" s="45"/>
      <c r="H815" s="45"/>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75"/>
      <c r="AE815" s="75"/>
      <c r="AF815" s="75"/>
      <c r="AG815" s="75"/>
      <c r="AH815" s="75"/>
      <c r="AI815" s="75"/>
      <c r="AJ815" s="75"/>
      <c r="AK815" s="75"/>
      <c r="AL815" s="75"/>
      <c r="AM815" s="75"/>
      <c r="AN815" s="75"/>
      <c r="AO815" s="75"/>
      <c r="AP815" s="75"/>
      <c r="AQ815" s="75"/>
      <c r="AR815" s="75"/>
      <c r="AS815" s="75"/>
      <c r="AT815" s="75"/>
      <c r="AU815" s="75"/>
      <c r="AV815" s="75"/>
      <c r="AW815" s="75"/>
      <c r="AX815" s="75"/>
    </row>
    <row r="816" ht="15.75" customHeight="1">
      <c r="A816" s="280" t="s">
        <v>1306</v>
      </c>
      <c r="B816" s="281" t="s">
        <v>6005</v>
      </c>
      <c r="C816" s="27" t="s">
        <v>7146</v>
      </c>
      <c r="D816" s="27" t="s">
        <v>7147</v>
      </c>
      <c r="E816" s="27" t="s">
        <v>7148</v>
      </c>
      <c r="F816" s="45"/>
      <c r="G816" s="45"/>
      <c r="H816" s="45"/>
      <c r="I816" s="286"/>
      <c r="J816" s="287"/>
      <c r="K816" s="286"/>
      <c r="L816" s="286"/>
      <c r="M816" s="286"/>
      <c r="N816" s="286"/>
      <c r="O816" s="280" t="s">
        <v>7149</v>
      </c>
      <c r="P816" s="286"/>
      <c r="Q816" s="290" t="s">
        <v>150</v>
      </c>
      <c r="R816" s="286"/>
      <c r="S816" s="286"/>
      <c r="T816" s="286"/>
      <c r="U816" s="286"/>
      <c r="V816" s="286"/>
      <c r="W816" s="286"/>
      <c r="X816" s="286"/>
      <c r="Y816" s="286"/>
      <c r="Z816" s="286"/>
      <c r="AA816" s="286"/>
      <c r="AB816" s="286"/>
      <c r="AC816" s="286"/>
      <c r="AD816" s="75"/>
      <c r="AE816" s="75"/>
      <c r="AF816" s="75"/>
      <c r="AG816" s="75"/>
      <c r="AH816" s="75"/>
      <c r="AI816" s="75"/>
      <c r="AJ816" s="75"/>
      <c r="AK816" s="75"/>
      <c r="AL816" s="75"/>
      <c r="AM816" s="75"/>
      <c r="AN816" s="75"/>
      <c r="AO816" s="75"/>
      <c r="AP816" s="75"/>
      <c r="AQ816" s="75"/>
      <c r="AR816" s="75"/>
      <c r="AS816" s="75"/>
      <c r="AT816" s="75"/>
      <c r="AU816" s="75"/>
      <c r="AV816" s="75"/>
      <c r="AW816" s="75"/>
      <c r="AX816" s="75"/>
    </row>
    <row r="817" ht="15.75" customHeight="1">
      <c r="A817" s="291" t="s">
        <v>268</v>
      </c>
      <c r="B817" s="292" t="s">
        <v>6011</v>
      </c>
      <c r="C817" s="27" t="s">
        <v>7150</v>
      </c>
      <c r="D817" s="27" t="s">
        <v>7151</v>
      </c>
      <c r="E817" s="27" t="s">
        <v>7152</v>
      </c>
      <c r="F817" s="61"/>
      <c r="G817" s="198"/>
      <c r="H817" s="25"/>
      <c r="I817" s="25"/>
      <c r="J817" s="25"/>
      <c r="K817" s="25"/>
      <c r="L817" s="25"/>
      <c r="M817" s="25"/>
      <c r="N817" s="25"/>
      <c r="O817" s="25" t="s">
        <v>7153</v>
      </c>
      <c r="P817" s="25"/>
      <c r="Q817" s="25" t="s">
        <v>150</v>
      </c>
      <c r="R817" s="25"/>
      <c r="S817" s="61"/>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row>
    <row r="818" ht="15.75" customHeight="1">
      <c r="A818" s="291" t="s">
        <v>268</v>
      </c>
      <c r="B818" s="292" t="s">
        <v>6019</v>
      </c>
      <c r="C818" s="27" t="s">
        <v>7154</v>
      </c>
      <c r="D818" s="27" t="s">
        <v>7155</v>
      </c>
      <c r="E818" s="27" t="s">
        <v>7156</v>
      </c>
      <c r="F818" s="45"/>
      <c r="G818" s="45"/>
      <c r="H818" s="45"/>
      <c r="I818" s="306"/>
      <c r="J818" s="306"/>
      <c r="K818" s="307" t="s">
        <v>7157</v>
      </c>
      <c r="L818" s="308"/>
      <c r="M818" s="306"/>
      <c r="N818" s="306"/>
      <c r="O818" s="291" t="s">
        <v>7153</v>
      </c>
      <c r="P818" s="306"/>
      <c r="Q818" s="309" t="s">
        <v>150</v>
      </c>
      <c r="R818" s="306"/>
      <c r="S818" s="306"/>
      <c r="T818" s="306"/>
      <c r="U818" s="306"/>
      <c r="V818" s="306"/>
      <c r="W818" s="306"/>
      <c r="X818" s="306"/>
      <c r="Y818" s="306"/>
      <c r="Z818" s="306"/>
      <c r="AA818" s="306"/>
      <c r="AB818" s="306"/>
      <c r="AC818" s="306"/>
      <c r="AD818" s="75"/>
      <c r="AE818" s="75"/>
      <c r="AF818" s="75"/>
      <c r="AG818" s="75"/>
      <c r="AH818" s="75"/>
      <c r="AI818" s="75"/>
      <c r="AJ818" s="75"/>
      <c r="AK818" s="75"/>
      <c r="AL818" s="75"/>
      <c r="AM818" s="75"/>
      <c r="AN818" s="75"/>
      <c r="AO818" s="75"/>
      <c r="AP818" s="75"/>
      <c r="AQ818" s="75"/>
      <c r="AR818" s="75"/>
      <c r="AS818" s="75"/>
      <c r="AT818" s="75"/>
      <c r="AU818" s="75"/>
      <c r="AV818" s="75"/>
      <c r="AW818" s="75"/>
      <c r="AX818" s="75"/>
    </row>
    <row r="819" ht="15.75" customHeight="1">
      <c r="A819" s="291" t="s">
        <v>268</v>
      </c>
      <c r="B819" s="292" t="s">
        <v>6024</v>
      </c>
      <c r="C819" s="27" t="s">
        <v>7158</v>
      </c>
      <c r="D819" s="27" t="s">
        <v>7159</v>
      </c>
      <c r="E819" s="27" t="s">
        <v>7160</v>
      </c>
      <c r="F819" s="45"/>
      <c r="G819" s="45"/>
      <c r="H819" s="45"/>
      <c r="I819" s="306"/>
      <c r="J819" s="306"/>
      <c r="K819" s="308"/>
      <c r="L819" s="308"/>
      <c r="M819" s="306"/>
      <c r="N819" s="306"/>
      <c r="O819" s="291" t="s">
        <v>7153</v>
      </c>
      <c r="P819" s="306"/>
      <c r="Q819" s="309" t="s">
        <v>150</v>
      </c>
      <c r="R819" s="306"/>
      <c r="S819" s="306"/>
      <c r="T819" s="306"/>
      <c r="U819" s="306"/>
      <c r="V819" s="306"/>
      <c r="W819" s="306"/>
      <c r="X819" s="306"/>
      <c r="Y819" s="306"/>
      <c r="Z819" s="306"/>
      <c r="AA819" s="306"/>
      <c r="AB819" s="306"/>
      <c r="AC819" s="306"/>
      <c r="AD819" s="75"/>
      <c r="AE819" s="75"/>
      <c r="AF819" s="75"/>
      <c r="AG819" s="75"/>
      <c r="AH819" s="75"/>
      <c r="AI819" s="75"/>
      <c r="AJ819" s="75"/>
      <c r="AK819" s="75"/>
      <c r="AL819" s="75"/>
      <c r="AM819" s="75"/>
      <c r="AN819" s="75"/>
      <c r="AO819" s="75"/>
      <c r="AP819" s="75"/>
      <c r="AQ819" s="75"/>
      <c r="AR819" s="75"/>
      <c r="AS819" s="75"/>
      <c r="AT819" s="75"/>
      <c r="AU819" s="75"/>
      <c r="AV819" s="75"/>
      <c r="AW819" s="75"/>
      <c r="AX819" s="75"/>
    </row>
    <row r="820" ht="15.75" customHeight="1">
      <c r="A820" s="168" t="s">
        <v>68</v>
      </c>
      <c r="B820" s="71" t="s">
        <v>6026</v>
      </c>
      <c r="C820" s="72" t="s">
        <v>6027</v>
      </c>
      <c r="D820" s="72" t="s">
        <v>6028</v>
      </c>
      <c r="E820" s="72" t="s">
        <v>6029</v>
      </c>
      <c r="F820" s="73"/>
      <c r="G820" s="73"/>
      <c r="H820" s="73"/>
      <c r="I820" s="73"/>
      <c r="J820" s="223"/>
      <c r="K820" s="73"/>
      <c r="L820" s="73"/>
      <c r="M820" s="73"/>
      <c r="N820" s="73"/>
      <c r="O820" s="223"/>
      <c r="P820" s="73"/>
      <c r="Q820" s="73"/>
      <c r="R820" s="73"/>
      <c r="S820" s="73"/>
      <c r="T820" s="74" t="s">
        <v>7161</v>
      </c>
      <c r="U820" s="73"/>
      <c r="V820" s="73"/>
      <c r="W820" s="73"/>
      <c r="X820" s="73"/>
      <c r="Y820" s="73"/>
      <c r="Z820" s="73"/>
      <c r="AA820" s="73"/>
      <c r="AB820" s="73"/>
      <c r="AC820" s="73"/>
      <c r="AD820" s="75"/>
      <c r="AE820" s="75"/>
      <c r="AF820" s="75"/>
      <c r="AG820" s="75"/>
      <c r="AH820" s="75"/>
      <c r="AI820" s="75"/>
      <c r="AJ820" s="75"/>
      <c r="AK820" s="75"/>
      <c r="AL820" s="75"/>
      <c r="AM820" s="75"/>
      <c r="AN820" s="75"/>
      <c r="AO820" s="75"/>
      <c r="AP820" s="75"/>
      <c r="AQ820" s="75"/>
      <c r="AR820" s="75"/>
      <c r="AS820" s="75"/>
      <c r="AT820" s="75"/>
      <c r="AU820" s="75"/>
      <c r="AV820" s="75"/>
      <c r="AW820" s="75"/>
      <c r="AX820" s="75"/>
    </row>
    <row r="821" ht="15.75" customHeight="1">
      <c r="A821" s="280" t="s">
        <v>1306</v>
      </c>
      <c r="B821" s="281" t="s">
        <v>6030</v>
      </c>
      <c r="C821" s="27" t="s">
        <v>7162</v>
      </c>
      <c r="D821" s="27" t="s">
        <v>7163</v>
      </c>
      <c r="E821" s="27" t="s">
        <v>7164</v>
      </c>
      <c r="F821" s="45"/>
      <c r="G821" s="45"/>
      <c r="H821" s="45"/>
      <c r="I821" s="286"/>
      <c r="J821" s="287"/>
      <c r="K821" s="290" t="s">
        <v>7165</v>
      </c>
      <c r="L821" s="290" t="s">
        <v>7166</v>
      </c>
      <c r="M821" s="286"/>
      <c r="N821" s="286"/>
      <c r="O821" s="288"/>
      <c r="P821" s="286"/>
      <c r="Q821" s="290" t="s">
        <v>150</v>
      </c>
      <c r="R821" s="286"/>
      <c r="S821" s="286"/>
      <c r="T821" s="286"/>
      <c r="U821" s="286"/>
      <c r="V821" s="286"/>
      <c r="W821" s="286"/>
      <c r="X821" s="286"/>
      <c r="Y821" s="286"/>
      <c r="Z821" s="286"/>
      <c r="AA821" s="286"/>
      <c r="AB821" s="286"/>
      <c r="AC821" s="286"/>
      <c r="AD821" s="75"/>
      <c r="AE821" s="75"/>
      <c r="AF821" s="75"/>
      <c r="AG821" s="75"/>
      <c r="AH821" s="75"/>
      <c r="AI821" s="75"/>
      <c r="AJ821" s="75"/>
      <c r="AK821" s="75"/>
      <c r="AL821" s="75"/>
      <c r="AM821" s="75"/>
      <c r="AN821" s="75"/>
      <c r="AO821" s="75"/>
      <c r="AP821" s="75"/>
      <c r="AQ821" s="75"/>
      <c r="AR821" s="75"/>
      <c r="AS821" s="75"/>
      <c r="AT821" s="75"/>
      <c r="AU821" s="75"/>
      <c r="AV821" s="75"/>
      <c r="AW821" s="75"/>
      <c r="AX821" s="75"/>
    </row>
    <row r="822" ht="15.75" customHeight="1">
      <c r="A822" s="278" t="s">
        <v>38</v>
      </c>
      <c r="B822" s="279" t="s">
        <v>6032</v>
      </c>
      <c r="C822" s="27" t="s">
        <v>7167</v>
      </c>
      <c r="D822" s="27" t="s">
        <v>7168</v>
      </c>
      <c r="E822" s="27" t="s">
        <v>7169</v>
      </c>
      <c r="F822" s="45"/>
      <c r="G822" s="45"/>
      <c r="H822" s="45"/>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75"/>
      <c r="AE822" s="75"/>
      <c r="AF822" s="75"/>
      <c r="AG822" s="75"/>
      <c r="AH822" s="75"/>
      <c r="AI822" s="75"/>
      <c r="AJ822" s="75"/>
      <c r="AK822" s="75"/>
      <c r="AL822" s="75"/>
      <c r="AM822" s="75"/>
      <c r="AN822" s="75"/>
      <c r="AO822" s="75"/>
      <c r="AP822" s="75"/>
      <c r="AQ822" s="75"/>
      <c r="AR822" s="75"/>
      <c r="AS822" s="75"/>
      <c r="AT822" s="75"/>
      <c r="AU822" s="75"/>
      <c r="AV822" s="75"/>
      <c r="AW822" s="75"/>
      <c r="AX822" s="75"/>
    </row>
    <row r="823" ht="15.75" customHeight="1">
      <c r="A823" s="280" t="s">
        <v>1306</v>
      </c>
      <c r="B823" s="281" t="s">
        <v>6040</v>
      </c>
      <c r="C823" s="27" t="s">
        <v>7170</v>
      </c>
      <c r="D823" s="27" t="s">
        <v>7171</v>
      </c>
      <c r="E823" s="27" t="s">
        <v>7172</v>
      </c>
      <c r="F823" s="45"/>
      <c r="G823" s="45"/>
      <c r="H823" s="45"/>
      <c r="I823" s="286"/>
      <c r="J823" s="287"/>
      <c r="K823" s="286"/>
      <c r="L823" s="286"/>
      <c r="M823" s="286"/>
      <c r="N823" s="286"/>
      <c r="O823" s="286"/>
      <c r="P823" s="286"/>
      <c r="Q823" s="286"/>
      <c r="R823" s="286"/>
      <c r="S823" s="286"/>
      <c r="T823" s="286"/>
      <c r="U823" s="286"/>
      <c r="V823" s="286"/>
      <c r="W823" s="286"/>
      <c r="X823" s="286"/>
      <c r="Y823" s="286"/>
      <c r="Z823" s="286"/>
      <c r="AA823" s="286"/>
      <c r="AB823" s="286"/>
      <c r="AC823" s="286"/>
      <c r="AD823" s="75"/>
      <c r="AE823" s="75"/>
      <c r="AF823" s="75"/>
      <c r="AG823" s="75"/>
      <c r="AH823" s="75"/>
      <c r="AI823" s="75"/>
      <c r="AJ823" s="75"/>
      <c r="AK823" s="75"/>
      <c r="AL823" s="75"/>
      <c r="AM823" s="75"/>
      <c r="AN823" s="75"/>
      <c r="AO823" s="75"/>
      <c r="AP823" s="75"/>
      <c r="AQ823" s="75"/>
      <c r="AR823" s="75"/>
      <c r="AS823" s="75"/>
      <c r="AT823" s="75"/>
      <c r="AU823" s="75"/>
      <c r="AV823" s="75"/>
      <c r="AW823" s="75"/>
      <c r="AX823" s="75"/>
    </row>
    <row r="824" ht="15.75" customHeight="1">
      <c r="A824" s="168" t="s">
        <v>127</v>
      </c>
      <c r="B824" s="71" t="s">
        <v>6046</v>
      </c>
      <c r="C824" s="72"/>
      <c r="D824" s="72"/>
      <c r="E824" s="72"/>
      <c r="F824" s="73"/>
      <c r="G824" s="73"/>
      <c r="H824" s="73"/>
      <c r="I824" s="73"/>
      <c r="J824" s="73"/>
      <c r="K824" s="73"/>
      <c r="L824" s="73"/>
      <c r="M824" s="73"/>
      <c r="N824" s="73"/>
      <c r="O824" s="73"/>
      <c r="P824" s="73"/>
      <c r="Q824" s="73"/>
      <c r="R824" s="73"/>
      <c r="S824" s="73"/>
      <c r="T824" s="74" t="s">
        <v>129</v>
      </c>
      <c r="U824" s="73"/>
      <c r="V824" s="73"/>
      <c r="W824" s="73"/>
      <c r="X824" s="73"/>
      <c r="Y824" s="73"/>
      <c r="Z824" s="73"/>
      <c r="AA824" s="73"/>
      <c r="AB824" s="73"/>
      <c r="AC824" s="73"/>
      <c r="AD824" s="75"/>
      <c r="AE824" s="75"/>
      <c r="AF824" s="75"/>
      <c r="AG824" s="75"/>
      <c r="AH824" s="75"/>
      <c r="AI824" s="75"/>
      <c r="AJ824" s="75"/>
      <c r="AK824" s="75"/>
      <c r="AL824" s="75"/>
      <c r="AM824" s="75"/>
      <c r="AN824" s="75"/>
      <c r="AO824" s="75"/>
      <c r="AP824" s="75"/>
      <c r="AQ824" s="75"/>
      <c r="AR824" s="75"/>
      <c r="AS824" s="75"/>
      <c r="AT824" s="75"/>
      <c r="AU824" s="75"/>
      <c r="AV824" s="75"/>
      <c r="AW824" s="75"/>
      <c r="AX824" s="75"/>
    </row>
    <row r="825" ht="15.75" customHeight="1">
      <c r="A825" s="168" t="s">
        <v>68</v>
      </c>
      <c r="B825" s="71" t="s">
        <v>6047</v>
      </c>
      <c r="C825" s="72"/>
      <c r="D825" s="72"/>
      <c r="E825" s="72"/>
      <c r="F825" s="73"/>
      <c r="G825" s="73"/>
      <c r="H825" s="73"/>
      <c r="I825" s="73"/>
      <c r="J825" s="73"/>
      <c r="K825" s="73"/>
      <c r="L825" s="73"/>
      <c r="M825" s="73"/>
      <c r="N825" s="73"/>
      <c r="O825" s="223"/>
      <c r="P825" s="73"/>
      <c r="Q825" s="73"/>
      <c r="R825" s="73"/>
      <c r="S825" s="73"/>
      <c r="T825" s="74" t="s">
        <v>7173</v>
      </c>
      <c r="U825" s="73"/>
      <c r="V825" s="73"/>
      <c r="W825" s="73"/>
      <c r="X825" s="73"/>
      <c r="Y825" s="73"/>
      <c r="Z825" s="73"/>
      <c r="AA825" s="73"/>
      <c r="AB825" s="73"/>
      <c r="AC825" s="73"/>
      <c r="AD825" s="75"/>
      <c r="AE825" s="75"/>
      <c r="AF825" s="75"/>
      <c r="AG825" s="75"/>
      <c r="AH825" s="75"/>
      <c r="AI825" s="75"/>
      <c r="AJ825" s="75"/>
      <c r="AK825" s="75"/>
      <c r="AL825" s="75"/>
      <c r="AM825" s="75"/>
      <c r="AN825" s="75"/>
      <c r="AO825" s="75"/>
      <c r="AP825" s="75"/>
      <c r="AQ825" s="75"/>
      <c r="AR825" s="75"/>
      <c r="AS825" s="75"/>
      <c r="AT825" s="75"/>
      <c r="AU825" s="75"/>
      <c r="AV825" s="75"/>
      <c r="AW825" s="75"/>
      <c r="AX825" s="75"/>
    </row>
    <row r="826" ht="15.75" customHeight="1">
      <c r="A826" s="168" t="s">
        <v>127</v>
      </c>
      <c r="B826" s="71" t="s">
        <v>6048</v>
      </c>
      <c r="C826" s="72"/>
      <c r="D826" s="72"/>
      <c r="E826" s="72"/>
      <c r="F826" s="73"/>
      <c r="G826" s="73"/>
      <c r="H826" s="73"/>
      <c r="I826" s="73"/>
      <c r="J826" s="73"/>
      <c r="K826" s="73"/>
      <c r="L826" s="73"/>
      <c r="M826" s="73"/>
      <c r="N826" s="73"/>
      <c r="O826" s="223"/>
      <c r="P826" s="73"/>
      <c r="Q826" s="73"/>
      <c r="R826" s="73"/>
      <c r="S826" s="73"/>
      <c r="T826" s="74" t="s">
        <v>129</v>
      </c>
      <c r="U826" s="73"/>
      <c r="V826" s="73"/>
      <c r="W826" s="73"/>
      <c r="X826" s="73"/>
      <c r="Y826" s="73"/>
      <c r="Z826" s="73"/>
      <c r="AA826" s="73"/>
      <c r="AB826" s="73"/>
      <c r="AC826" s="73"/>
      <c r="AD826" s="75"/>
      <c r="AE826" s="75"/>
      <c r="AF826" s="75"/>
      <c r="AG826" s="75"/>
      <c r="AH826" s="75"/>
      <c r="AI826" s="75"/>
      <c r="AJ826" s="75"/>
      <c r="AK826" s="75"/>
      <c r="AL826" s="75"/>
      <c r="AM826" s="75"/>
      <c r="AN826" s="75"/>
      <c r="AO826" s="75"/>
      <c r="AP826" s="75"/>
      <c r="AQ826" s="75"/>
      <c r="AR826" s="75"/>
      <c r="AS826" s="75"/>
      <c r="AT826" s="75"/>
      <c r="AU826" s="75"/>
      <c r="AV826" s="75"/>
      <c r="AW826" s="75"/>
      <c r="AX826" s="75"/>
    </row>
    <row r="827" ht="15.75" customHeight="1">
      <c r="A827" s="285" t="s">
        <v>426</v>
      </c>
      <c r="B827" s="171" t="s">
        <v>6050</v>
      </c>
      <c r="C827" s="172" t="s">
        <v>6052</v>
      </c>
      <c r="D827" s="172" t="s">
        <v>6055</v>
      </c>
      <c r="E827" s="172" t="s">
        <v>6056</v>
      </c>
      <c r="F827" s="304"/>
      <c r="G827" s="304"/>
      <c r="H827" s="304"/>
      <c r="I827" s="304"/>
      <c r="J827" s="304"/>
      <c r="K827" s="304"/>
      <c r="L827" s="304"/>
      <c r="M827" s="305"/>
      <c r="N827" s="305"/>
      <c r="O827" s="382" t="s">
        <v>7174</v>
      </c>
      <c r="P827" s="304"/>
      <c r="Q827" s="304"/>
      <c r="R827" s="304"/>
      <c r="S827" s="304"/>
      <c r="T827" s="304"/>
      <c r="U827" s="176" t="s">
        <v>6291</v>
      </c>
      <c r="V827" s="304"/>
      <c r="W827" s="304"/>
      <c r="X827" s="304"/>
      <c r="Y827" s="304"/>
      <c r="Z827" s="304"/>
      <c r="AA827" s="304"/>
      <c r="AB827" s="304"/>
      <c r="AC827" s="304"/>
      <c r="AD827" s="75"/>
      <c r="AE827" s="75"/>
      <c r="AF827" s="75"/>
      <c r="AG827" s="75"/>
      <c r="AH827" s="75"/>
      <c r="AI827" s="75"/>
      <c r="AJ827" s="75"/>
      <c r="AK827" s="75"/>
      <c r="AL827" s="75"/>
      <c r="AM827" s="75"/>
      <c r="AN827" s="75"/>
      <c r="AO827" s="75"/>
      <c r="AP827" s="75"/>
      <c r="AQ827" s="75"/>
      <c r="AR827" s="75"/>
      <c r="AS827" s="75"/>
      <c r="AT827" s="75"/>
      <c r="AU827" s="75"/>
      <c r="AV827" s="75"/>
      <c r="AW827" s="75"/>
      <c r="AX827" s="75"/>
    </row>
    <row r="828" ht="15.75" customHeight="1">
      <c r="A828" s="168" t="s">
        <v>68</v>
      </c>
      <c r="B828" s="71" t="s">
        <v>6059</v>
      </c>
      <c r="C828" s="72"/>
      <c r="D828" s="72"/>
      <c r="E828" s="72"/>
      <c r="F828" s="73"/>
      <c r="G828" s="73"/>
      <c r="H828" s="73"/>
      <c r="I828" s="73"/>
      <c r="J828" s="73"/>
      <c r="K828" s="73"/>
      <c r="L828" s="73"/>
      <c r="M828" s="73"/>
      <c r="N828" s="73"/>
      <c r="O828" s="73"/>
      <c r="P828" s="73"/>
      <c r="Q828" s="73"/>
      <c r="R828" s="73"/>
      <c r="S828" s="73"/>
      <c r="T828" s="74" t="s">
        <v>7175</v>
      </c>
      <c r="U828" s="73"/>
      <c r="V828" s="73"/>
      <c r="W828" s="73"/>
      <c r="X828" s="73"/>
      <c r="Y828" s="73"/>
      <c r="Z828" s="73"/>
      <c r="AA828" s="73"/>
      <c r="AB828" s="73"/>
      <c r="AC828" s="73"/>
      <c r="AD828" s="75"/>
      <c r="AE828" s="75"/>
      <c r="AF828" s="75"/>
      <c r="AG828" s="75"/>
      <c r="AH828" s="75"/>
      <c r="AI828" s="75"/>
      <c r="AJ828" s="75"/>
      <c r="AK828" s="75"/>
      <c r="AL828" s="75"/>
      <c r="AM828" s="75"/>
      <c r="AN828" s="75"/>
      <c r="AO828" s="75"/>
      <c r="AP828" s="75"/>
      <c r="AQ828" s="75"/>
      <c r="AR828" s="75"/>
      <c r="AS828" s="75"/>
      <c r="AT828" s="75"/>
      <c r="AU828" s="75"/>
      <c r="AV828" s="75"/>
      <c r="AW828" s="75"/>
      <c r="AX828" s="75"/>
    </row>
    <row r="829" ht="15.75" customHeight="1">
      <c r="A829" s="168" t="s">
        <v>68</v>
      </c>
      <c r="B829" s="71" t="s">
        <v>6060</v>
      </c>
      <c r="C829" s="72"/>
      <c r="D829" s="72"/>
      <c r="E829" s="72"/>
      <c r="F829" s="73"/>
      <c r="G829" s="73"/>
      <c r="H829" s="73"/>
      <c r="I829" s="73"/>
      <c r="J829" s="73"/>
      <c r="K829" s="73"/>
      <c r="L829" s="73"/>
      <c r="M829" s="73"/>
      <c r="N829" s="73"/>
      <c r="O829" s="73"/>
      <c r="P829" s="73"/>
      <c r="Q829" s="73"/>
      <c r="R829" s="73"/>
      <c r="S829" s="73"/>
      <c r="T829" s="74" t="s">
        <v>7176</v>
      </c>
      <c r="U829" s="73"/>
      <c r="V829" s="73"/>
      <c r="W829" s="73"/>
      <c r="X829" s="73"/>
      <c r="Y829" s="73"/>
      <c r="Z829" s="73"/>
      <c r="AA829" s="73"/>
      <c r="AB829" s="73"/>
      <c r="AC829" s="73"/>
      <c r="AD829" s="75"/>
      <c r="AE829" s="75"/>
      <c r="AF829" s="75"/>
      <c r="AG829" s="75"/>
      <c r="AH829" s="75"/>
      <c r="AI829" s="75"/>
      <c r="AJ829" s="75"/>
      <c r="AK829" s="75"/>
      <c r="AL829" s="75"/>
      <c r="AM829" s="75"/>
      <c r="AN829" s="75"/>
      <c r="AO829" s="75"/>
      <c r="AP829" s="75"/>
      <c r="AQ829" s="75"/>
      <c r="AR829" s="75"/>
      <c r="AS829" s="75"/>
      <c r="AT829" s="75"/>
      <c r="AU829" s="75"/>
      <c r="AV829" s="75"/>
      <c r="AW829" s="75"/>
      <c r="AX829" s="75"/>
    </row>
    <row r="830" ht="15.75" customHeight="1">
      <c r="A830" s="291" t="s">
        <v>268</v>
      </c>
      <c r="B830" s="292" t="s">
        <v>6061</v>
      </c>
      <c r="C830" s="27" t="s">
        <v>7177</v>
      </c>
      <c r="D830" s="27" t="s">
        <v>7178</v>
      </c>
      <c r="E830" s="27" t="s">
        <v>7179</v>
      </c>
      <c r="F830" s="45"/>
      <c r="G830" s="45"/>
      <c r="H830" s="45"/>
      <c r="I830" s="306"/>
      <c r="J830" s="306"/>
      <c r="K830" s="307" t="s">
        <v>7157</v>
      </c>
      <c r="L830" s="308"/>
      <c r="M830" s="306"/>
      <c r="N830" s="306"/>
      <c r="O830" s="291" t="s">
        <v>7180</v>
      </c>
      <c r="P830" s="306"/>
      <c r="Q830" s="309" t="s">
        <v>150</v>
      </c>
      <c r="R830" s="306"/>
      <c r="S830" s="306"/>
      <c r="T830" s="306"/>
      <c r="U830" s="306"/>
      <c r="V830" s="306"/>
      <c r="W830" s="306"/>
      <c r="X830" s="306"/>
      <c r="Y830" s="306"/>
      <c r="Z830" s="306"/>
      <c r="AA830" s="306"/>
      <c r="AB830" s="306"/>
      <c r="AC830" s="306"/>
      <c r="AD830" s="75"/>
      <c r="AE830" s="75"/>
      <c r="AF830" s="75"/>
      <c r="AG830" s="75"/>
      <c r="AH830" s="75"/>
      <c r="AI830" s="75"/>
      <c r="AJ830" s="75"/>
      <c r="AK830" s="75"/>
      <c r="AL830" s="75"/>
      <c r="AM830" s="75"/>
      <c r="AN830" s="75"/>
      <c r="AO830" s="75"/>
      <c r="AP830" s="75"/>
      <c r="AQ830" s="75"/>
      <c r="AR830" s="75"/>
      <c r="AS830" s="75"/>
      <c r="AT830" s="75"/>
      <c r="AU830" s="75"/>
      <c r="AV830" s="75"/>
      <c r="AW830" s="75"/>
      <c r="AX830" s="75"/>
    </row>
    <row r="831" ht="15.75" customHeight="1">
      <c r="A831" s="291" t="s">
        <v>268</v>
      </c>
      <c r="B831" s="292" t="s">
        <v>6066</v>
      </c>
      <c r="C831" s="27" t="s">
        <v>7181</v>
      </c>
      <c r="D831" s="27" t="s">
        <v>7182</v>
      </c>
      <c r="E831" s="27" t="s">
        <v>7183</v>
      </c>
      <c r="F831" s="45"/>
      <c r="G831" s="45"/>
      <c r="H831" s="45"/>
      <c r="I831" s="306"/>
      <c r="J831" s="306"/>
      <c r="K831" s="308"/>
      <c r="L831" s="308"/>
      <c r="M831" s="306"/>
      <c r="N831" s="306"/>
      <c r="O831" s="309" t="s">
        <v>7184</v>
      </c>
      <c r="P831" s="306"/>
      <c r="Q831" s="309" t="s">
        <v>150</v>
      </c>
      <c r="R831" s="306"/>
      <c r="S831" s="306"/>
      <c r="T831" s="306"/>
      <c r="U831" s="306"/>
      <c r="V831" s="306"/>
      <c r="W831" s="306"/>
      <c r="X831" s="306"/>
      <c r="Y831" s="306"/>
      <c r="Z831" s="306"/>
      <c r="AA831" s="306"/>
      <c r="AB831" s="306"/>
      <c r="AC831" s="306"/>
      <c r="AD831" s="75"/>
      <c r="AE831" s="75"/>
      <c r="AF831" s="75"/>
      <c r="AG831" s="75"/>
      <c r="AH831" s="75"/>
      <c r="AI831" s="75"/>
      <c r="AJ831" s="75"/>
      <c r="AK831" s="75"/>
      <c r="AL831" s="75"/>
      <c r="AM831" s="75"/>
      <c r="AN831" s="75"/>
      <c r="AO831" s="75"/>
      <c r="AP831" s="75"/>
      <c r="AQ831" s="75"/>
      <c r="AR831" s="75"/>
      <c r="AS831" s="75"/>
      <c r="AT831" s="75"/>
      <c r="AU831" s="75"/>
      <c r="AV831" s="75"/>
      <c r="AW831" s="75"/>
      <c r="AX831" s="75"/>
    </row>
    <row r="832" ht="15.75" customHeight="1">
      <c r="A832" s="168" t="s">
        <v>68</v>
      </c>
      <c r="B832" s="71" t="s">
        <v>6075</v>
      </c>
      <c r="C832" s="72" t="s">
        <v>6076</v>
      </c>
      <c r="D832" s="72" t="s">
        <v>6077</v>
      </c>
      <c r="E832" s="72" t="s">
        <v>6078</v>
      </c>
      <c r="F832" s="73"/>
      <c r="G832" s="73"/>
      <c r="H832" s="73"/>
      <c r="I832" s="73"/>
      <c r="J832" s="73"/>
      <c r="K832" s="73"/>
      <c r="L832" s="73"/>
      <c r="M832" s="73"/>
      <c r="N832" s="73"/>
      <c r="O832" s="73"/>
      <c r="P832" s="73"/>
      <c r="Q832" s="73"/>
      <c r="R832" s="73"/>
      <c r="S832" s="73"/>
      <c r="T832" s="74" t="s">
        <v>7185</v>
      </c>
      <c r="U832" s="73"/>
      <c r="V832" s="73"/>
      <c r="W832" s="73"/>
      <c r="X832" s="73"/>
      <c r="Y832" s="73"/>
      <c r="Z832" s="73"/>
      <c r="AA832" s="73"/>
      <c r="AB832" s="73"/>
      <c r="AC832" s="73"/>
      <c r="AD832" s="75"/>
      <c r="AE832" s="75"/>
      <c r="AF832" s="75"/>
      <c r="AG832" s="75"/>
      <c r="AH832" s="75"/>
      <c r="AI832" s="75"/>
      <c r="AJ832" s="75"/>
      <c r="AK832" s="75"/>
      <c r="AL832" s="75"/>
      <c r="AM832" s="75"/>
      <c r="AN832" s="75"/>
      <c r="AO832" s="75"/>
      <c r="AP832" s="75"/>
      <c r="AQ832" s="75"/>
      <c r="AR832" s="75"/>
      <c r="AS832" s="75"/>
      <c r="AT832" s="75"/>
      <c r="AU832" s="75"/>
      <c r="AV832" s="75"/>
      <c r="AW832" s="75"/>
      <c r="AX832" s="75"/>
    </row>
    <row r="833" ht="15.75" customHeight="1">
      <c r="A833" s="285" t="s">
        <v>468</v>
      </c>
      <c r="B833" s="185" t="s">
        <v>6050</v>
      </c>
      <c r="C833" s="186"/>
      <c r="D833" s="186"/>
      <c r="E833" s="186"/>
      <c r="F833" s="304"/>
      <c r="G833" s="304"/>
      <c r="H833" s="304"/>
      <c r="I833" s="304"/>
      <c r="J833" s="304"/>
      <c r="K833" s="304"/>
      <c r="L833" s="304"/>
      <c r="M833" s="304"/>
      <c r="N833" s="304"/>
      <c r="O833" s="383"/>
      <c r="P833" s="304"/>
      <c r="Q833" s="304"/>
      <c r="R833" s="304"/>
      <c r="S833" s="304"/>
      <c r="T833" s="304"/>
      <c r="U833" s="304"/>
      <c r="V833" s="304"/>
      <c r="W833" s="304"/>
      <c r="X833" s="304"/>
      <c r="Y833" s="304"/>
      <c r="Z833" s="304"/>
      <c r="AA833" s="304"/>
      <c r="AB833" s="304"/>
      <c r="AC833" s="304"/>
      <c r="AD833" s="75"/>
      <c r="AE833" s="75"/>
      <c r="AF833" s="75"/>
      <c r="AG833" s="75"/>
      <c r="AH833" s="75"/>
      <c r="AI833" s="75"/>
      <c r="AJ833" s="75"/>
      <c r="AK833" s="75"/>
      <c r="AL833" s="75"/>
      <c r="AM833" s="75"/>
      <c r="AN833" s="75"/>
      <c r="AO833" s="75"/>
      <c r="AP833" s="75"/>
      <c r="AQ833" s="75"/>
      <c r="AR833" s="75"/>
      <c r="AS833" s="75"/>
      <c r="AT833" s="75"/>
      <c r="AU833" s="75"/>
      <c r="AV833" s="75"/>
      <c r="AW833" s="75"/>
      <c r="AX833" s="75"/>
    </row>
    <row r="834" ht="15.75" customHeight="1">
      <c r="A834" s="168" t="s">
        <v>127</v>
      </c>
      <c r="B834" s="71" t="s">
        <v>6080</v>
      </c>
      <c r="C834" s="72"/>
      <c r="D834" s="72"/>
      <c r="E834" s="72"/>
      <c r="F834" s="73"/>
      <c r="G834" s="73"/>
      <c r="H834" s="73"/>
      <c r="I834" s="73"/>
      <c r="J834" s="73"/>
      <c r="K834" s="73"/>
      <c r="L834" s="73"/>
      <c r="M834" s="73"/>
      <c r="N834" s="73"/>
      <c r="O834" s="223"/>
      <c r="P834" s="73"/>
      <c r="Q834" s="73"/>
      <c r="R834" s="73"/>
      <c r="S834" s="73"/>
      <c r="T834" s="74" t="s">
        <v>129</v>
      </c>
      <c r="U834" s="73"/>
      <c r="V834" s="73"/>
      <c r="W834" s="73"/>
      <c r="X834" s="73"/>
      <c r="Y834" s="73"/>
      <c r="Z834" s="73"/>
      <c r="AA834" s="73"/>
      <c r="AB834" s="73"/>
      <c r="AC834" s="73"/>
      <c r="AD834" s="75"/>
      <c r="AE834" s="75"/>
      <c r="AF834" s="75"/>
      <c r="AG834" s="75"/>
      <c r="AH834" s="75"/>
      <c r="AI834" s="75"/>
      <c r="AJ834" s="75"/>
      <c r="AK834" s="75"/>
      <c r="AL834" s="75"/>
      <c r="AM834" s="75"/>
      <c r="AN834" s="75"/>
      <c r="AO834" s="75"/>
      <c r="AP834" s="75"/>
      <c r="AQ834" s="75"/>
      <c r="AR834" s="75"/>
      <c r="AS834" s="75"/>
      <c r="AT834" s="75"/>
      <c r="AU834" s="75"/>
      <c r="AV834" s="75"/>
      <c r="AW834" s="75"/>
      <c r="AX834" s="75"/>
    </row>
    <row r="835">
      <c r="A835" s="168" t="s">
        <v>68</v>
      </c>
      <c r="B835" s="71" t="s">
        <v>6083</v>
      </c>
      <c r="C835" s="72"/>
      <c r="D835" s="72"/>
      <c r="E835" s="72"/>
      <c r="F835" s="384"/>
      <c r="G835" s="384"/>
      <c r="H835" s="384"/>
      <c r="I835" s="384"/>
      <c r="J835" s="384"/>
      <c r="K835" s="384"/>
      <c r="L835" s="384"/>
      <c r="M835" s="384"/>
      <c r="N835" s="384"/>
      <c r="O835" s="384"/>
      <c r="P835" s="384"/>
      <c r="Q835" s="384"/>
      <c r="R835" s="384"/>
      <c r="S835" s="384"/>
      <c r="T835" s="385" t="s">
        <v>7186</v>
      </c>
      <c r="U835" s="384"/>
      <c r="V835" s="384"/>
      <c r="W835" s="384"/>
      <c r="X835" s="384"/>
      <c r="Y835" s="384"/>
      <c r="Z835" s="384"/>
      <c r="AA835" s="384"/>
      <c r="AB835" s="384"/>
      <c r="AC835" s="384"/>
      <c r="AD835" s="378"/>
      <c r="AE835" s="378"/>
      <c r="AF835" s="378"/>
      <c r="AG835" s="378"/>
      <c r="AH835" s="378"/>
      <c r="AI835" s="378"/>
      <c r="AJ835" s="378"/>
      <c r="AK835" s="378"/>
      <c r="AL835" s="378"/>
      <c r="AM835" s="378"/>
      <c r="AN835" s="378"/>
      <c r="AO835" s="378"/>
      <c r="AP835" s="378"/>
      <c r="AQ835" s="378"/>
      <c r="AR835" s="378"/>
      <c r="AS835" s="378"/>
      <c r="AT835" s="378"/>
      <c r="AU835" s="378"/>
      <c r="AV835" s="378"/>
      <c r="AW835" s="378"/>
      <c r="AX835" s="378"/>
    </row>
    <row r="836" ht="15.75" customHeight="1">
      <c r="A836" s="280" t="s">
        <v>1306</v>
      </c>
      <c r="B836" s="281" t="s">
        <v>6084</v>
      </c>
      <c r="C836" s="27" t="s">
        <v>7187</v>
      </c>
      <c r="D836" s="27" t="s">
        <v>7188</v>
      </c>
      <c r="E836" s="27" t="s">
        <v>7189</v>
      </c>
      <c r="F836" s="45"/>
      <c r="G836" s="45"/>
      <c r="H836" s="45"/>
      <c r="I836" s="286"/>
      <c r="J836" s="287"/>
      <c r="K836" s="286"/>
      <c r="L836" s="286"/>
      <c r="M836" s="286"/>
      <c r="N836" s="286"/>
      <c r="O836" s="286"/>
      <c r="P836" s="286"/>
      <c r="Q836" s="290" t="s">
        <v>150</v>
      </c>
      <c r="R836" s="286"/>
      <c r="S836" s="286"/>
      <c r="T836" s="286"/>
      <c r="U836" s="286"/>
      <c r="V836" s="286"/>
      <c r="W836" s="286"/>
      <c r="X836" s="286"/>
      <c r="Y836" s="286"/>
      <c r="Z836" s="286"/>
      <c r="AA836" s="286"/>
      <c r="AB836" s="286"/>
      <c r="AC836" s="286"/>
      <c r="AD836" s="75"/>
      <c r="AE836" s="75"/>
      <c r="AF836" s="75"/>
      <c r="AG836" s="75"/>
      <c r="AH836" s="75"/>
      <c r="AI836" s="75"/>
      <c r="AJ836" s="75"/>
      <c r="AK836" s="75"/>
      <c r="AL836" s="75"/>
      <c r="AM836" s="75"/>
      <c r="AN836" s="75"/>
      <c r="AO836" s="75"/>
      <c r="AP836" s="75"/>
      <c r="AQ836" s="75"/>
      <c r="AR836" s="75"/>
      <c r="AS836" s="75"/>
      <c r="AT836" s="75"/>
      <c r="AU836" s="75"/>
      <c r="AV836" s="75"/>
      <c r="AW836" s="75"/>
      <c r="AX836" s="75"/>
    </row>
    <row r="837" ht="15.75" customHeight="1">
      <c r="A837" s="282" t="s">
        <v>252</v>
      </c>
      <c r="B837" s="283" t="s">
        <v>6088</v>
      </c>
      <c r="C837" s="27" t="s">
        <v>7190</v>
      </c>
      <c r="D837" s="27" t="s">
        <v>7191</v>
      </c>
      <c r="E837" s="27" t="s">
        <v>7192</v>
      </c>
      <c r="F837" s="45"/>
      <c r="G837" s="45"/>
      <c r="H837" s="45"/>
      <c r="I837" s="293"/>
      <c r="J837" s="294"/>
      <c r="K837" s="293"/>
      <c r="L837" s="293"/>
      <c r="M837" s="293"/>
      <c r="N837" s="293"/>
      <c r="O837" s="296" t="s">
        <v>7193</v>
      </c>
      <c r="P837" s="293"/>
      <c r="Q837" s="296" t="s">
        <v>150</v>
      </c>
      <c r="R837" s="293"/>
      <c r="S837" s="293"/>
      <c r="T837" s="386"/>
      <c r="U837" s="293"/>
      <c r="V837" s="293"/>
      <c r="W837" s="293"/>
      <c r="X837" s="293"/>
      <c r="Y837" s="293"/>
      <c r="Z837" s="293"/>
      <c r="AA837" s="293"/>
      <c r="AB837" s="293"/>
      <c r="AC837" s="293"/>
      <c r="AD837" s="75"/>
      <c r="AE837" s="75"/>
      <c r="AF837" s="75"/>
      <c r="AG837" s="75"/>
      <c r="AH837" s="75"/>
      <c r="AI837" s="75"/>
      <c r="AJ837" s="75"/>
      <c r="AK837" s="75"/>
      <c r="AL837" s="75"/>
      <c r="AM837" s="75"/>
      <c r="AN837" s="75"/>
      <c r="AO837" s="75"/>
      <c r="AP837" s="75"/>
      <c r="AQ837" s="75"/>
      <c r="AR837" s="75"/>
      <c r="AS837" s="75"/>
      <c r="AT837" s="75"/>
      <c r="AU837" s="75"/>
      <c r="AV837" s="75"/>
      <c r="AW837" s="75"/>
      <c r="AX837" s="75"/>
    </row>
    <row r="838" ht="15.75" customHeight="1">
      <c r="A838" s="291" t="s">
        <v>268</v>
      </c>
      <c r="B838" s="292" t="s">
        <v>6090</v>
      </c>
      <c r="C838" s="27" t="s">
        <v>7194</v>
      </c>
      <c r="D838" s="27" t="s">
        <v>7195</v>
      </c>
      <c r="E838" s="27" t="s">
        <v>7196</v>
      </c>
      <c r="F838" s="45"/>
      <c r="G838" s="45"/>
      <c r="H838" s="45"/>
      <c r="I838" s="306"/>
      <c r="J838" s="306"/>
      <c r="K838" s="308"/>
      <c r="L838" s="308"/>
      <c r="M838" s="306"/>
      <c r="N838" s="306"/>
      <c r="O838" s="309" t="s">
        <v>7193</v>
      </c>
      <c r="P838" s="306"/>
      <c r="Q838" s="309" t="s">
        <v>150</v>
      </c>
      <c r="R838" s="306"/>
      <c r="S838" s="306"/>
      <c r="T838" s="359"/>
      <c r="U838" s="306"/>
      <c r="V838" s="306"/>
      <c r="W838" s="306"/>
      <c r="X838" s="306"/>
      <c r="Y838" s="306"/>
      <c r="Z838" s="306"/>
      <c r="AA838" s="306"/>
      <c r="AB838" s="306"/>
      <c r="AC838" s="306"/>
      <c r="AD838" s="75"/>
      <c r="AE838" s="75"/>
      <c r="AF838" s="75"/>
      <c r="AG838" s="75"/>
      <c r="AH838" s="75"/>
      <c r="AI838" s="75"/>
      <c r="AJ838" s="75"/>
      <c r="AK838" s="75"/>
      <c r="AL838" s="75"/>
      <c r="AM838" s="75"/>
      <c r="AN838" s="75"/>
      <c r="AO838" s="75"/>
      <c r="AP838" s="75"/>
      <c r="AQ838" s="75"/>
      <c r="AR838" s="75"/>
      <c r="AS838" s="75"/>
      <c r="AT838" s="75"/>
      <c r="AU838" s="75"/>
      <c r="AV838" s="75"/>
      <c r="AW838" s="75"/>
      <c r="AX838" s="75"/>
    </row>
    <row r="839" ht="15.75" customHeight="1">
      <c r="A839" s="168" t="s">
        <v>68</v>
      </c>
      <c r="B839" s="71" t="s">
        <v>6091</v>
      </c>
      <c r="C839" s="72" t="s">
        <v>6092</v>
      </c>
      <c r="D839" s="72"/>
      <c r="E839" s="72"/>
      <c r="F839" s="73"/>
      <c r="G839" s="73"/>
      <c r="H839" s="73"/>
      <c r="I839" s="73"/>
      <c r="J839" s="73"/>
      <c r="K839" s="73"/>
      <c r="L839" s="73"/>
      <c r="M839" s="73"/>
      <c r="N839" s="73"/>
      <c r="O839" s="73"/>
      <c r="P839" s="73"/>
      <c r="Q839" s="73"/>
      <c r="R839" s="73"/>
      <c r="S839" s="73"/>
      <c r="T839" s="74" t="s">
        <v>7197</v>
      </c>
      <c r="U839" s="73"/>
      <c r="V839" s="73"/>
      <c r="W839" s="73"/>
      <c r="X839" s="73"/>
      <c r="Y839" s="73"/>
      <c r="Z839" s="73"/>
      <c r="AA839" s="73"/>
      <c r="AB839" s="73"/>
      <c r="AC839" s="73"/>
      <c r="AD839" s="75"/>
      <c r="AE839" s="75"/>
      <c r="AF839" s="75"/>
      <c r="AG839" s="75"/>
      <c r="AH839" s="75"/>
      <c r="AI839" s="75"/>
      <c r="AJ839" s="75"/>
      <c r="AK839" s="75"/>
      <c r="AL839" s="75"/>
      <c r="AM839" s="75"/>
      <c r="AN839" s="75"/>
      <c r="AO839" s="75"/>
      <c r="AP839" s="75"/>
      <c r="AQ839" s="75"/>
      <c r="AR839" s="75"/>
      <c r="AS839" s="75"/>
      <c r="AT839" s="75"/>
      <c r="AU839" s="75"/>
      <c r="AV839" s="75"/>
      <c r="AW839" s="75"/>
      <c r="AX839" s="75"/>
    </row>
    <row r="840" ht="15.75" customHeight="1">
      <c r="A840" s="168" t="s">
        <v>68</v>
      </c>
      <c r="B840" s="71" t="s">
        <v>6093</v>
      </c>
      <c r="C840" s="72" t="s">
        <v>6094</v>
      </c>
      <c r="D840" s="72"/>
      <c r="E840" s="72"/>
      <c r="F840" s="73"/>
      <c r="G840" s="73"/>
      <c r="H840" s="73"/>
      <c r="I840" s="73"/>
      <c r="J840" s="73"/>
      <c r="K840" s="73"/>
      <c r="L840" s="73"/>
      <c r="M840" s="73"/>
      <c r="N840" s="73"/>
      <c r="O840" s="73"/>
      <c r="P840" s="73"/>
      <c r="Q840" s="73"/>
      <c r="R840" s="73"/>
      <c r="S840" s="73"/>
      <c r="T840" s="387" t="s">
        <v>7198</v>
      </c>
      <c r="U840" s="73"/>
      <c r="V840" s="73"/>
      <c r="W840" s="73"/>
      <c r="X840" s="73"/>
      <c r="Y840" s="73"/>
      <c r="Z840" s="73"/>
      <c r="AA840" s="73"/>
      <c r="AB840" s="73"/>
      <c r="AC840" s="73"/>
      <c r="AD840" s="75"/>
      <c r="AE840" s="75"/>
      <c r="AF840" s="75"/>
      <c r="AG840" s="75"/>
      <c r="AH840" s="75"/>
      <c r="AI840" s="75"/>
      <c r="AJ840" s="75"/>
      <c r="AK840" s="75"/>
      <c r="AL840" s="75"/>
      <c r="AM840" s="75"/>
      <c r="AN840" s="75"/>
      <c r="AO840" s="75"/>
      <c r="AP840" s="75"/>
      <c r="AQ840" s="75"/>
      <c r="AR840" s="75"/>
      <c r="AS840" s="75"/>
      <c r="AT840" s="75"/>
      <c r="AU840" s="75"/>
      <c r="AV840" s="75"/>
      <c r="AW840" s="75"/>
      <c r="AX840" s="75"/>
    </row>
    <row r="841" ht="15.75" customHeight="1">
      <c r="A841" s="168" t="s">
        <v>68</v>
      </c>
      <c r="B841" s="71" t="s">
        <v>6095</v>
      </c>
      <c r="C841" s="72" t="s">
        <v>6096</v>
      </c>
      <c r="D841" s="72"/>
      <c r="E841" s="72"/>
      <c r="F841" s="73"/>
      <c r="G841" s="73"/>
      <c r="H841" s="73"/>
      <c r="I841" s="73"/>
      <c r="J841" s="73"/>
      <c r="K841" s="73"/>
      <c r="L841" s="73"/>
      <c r="M841" s="73"/>
      <c r="N841" s="73"/>
      <c r="O841" s="73"/>
      <c r="P841" s="73"/>
      <c r="Q841" s="73"/>
      <c r="R841" s="73"/>
      <c r="S841" s="73"/>
      <c r="T841" s="74" t="s">
        <v>7199</v>
      </c>
      <c r="U841" s="73"/>
      <c r="V841" s="73"/>
      <c r="W841" s="73"/>
      <c r="X841" s="73"/>
      <c r="Y841" s="73"/>
      <c r="Z841" s="73"/>
      <c r="AA841" s="73"/>
      <c r="AB841" s="73"/>
      <c r="AC841" s="73"/>
      <c r="AD841" s="75"/>
      <c r="AE841" s="75"/>
      <c r="AF841" s="75"/>
      <c r="AG841" s="75"/>
      <c r="AH841" s="75"/>
      <c r="AI841" s="75"/>
      <c r="AJ841" s="75"/>
      <c r="AK841" s="75"/>
      <c r="AL841" s="75"/>
      <c r="AM841" s="75"/>
      <c r="AN841" s="75"/>
      <c r="AO841" s="75"/>
      <c r="AP841" s="75"/>
      <c r="AQ841" s="75"/>
      <c r="AR841" s="75"/>
      <c r="AS841" s="75"/>
      <c r="AT841" s="75"/>
      <c r="AU841" s="75"/>
      <c r="AV841" s="75"/>
      <c r="AW841" s="75"/>
      <c r="AX841" s="75"/>
    </row>
    <row r="842" ht="15.75" customHeight="1">
      <c r="A842" s="168" t="s">
        <v>68</v>
      </c>
      <c r="B842" s="71" t="s">
        <v>6097</v>
      </c>
      <c r="C842" s="72" t="s">
        <v>6098</v>
      </c>
      <c r="D842" s="72"/>
      <c r="E842" s="72"/>
      <c r="F842" s="73"/>
      <c r="G842" s="73"/>
      <c r="H842" s="73"/>
      <c r="I842" s="73"/>
      <c r="J842" s="73"/>
      <c r="K842" s="73"/>
      <c r="L842" s="73"/>
      <c r="M842" s="73"/>
      <c r="N842" s="73"/>
      <c r="O842" s="73"/>
      <c r="P842" s="73"/>
      <c r="Q842" s="73"/>
      <c r="R842" s="73"/>
      <c r="S842" s="73"/>
      <c r="T842" s="74" t="s">
        <v>7200</v>
      </c>
      <c r="U842" s="73"/>
      <c r="V842" s="73"/>
      <c r="W842" s="73"/>
      <c r="X842" s="73"/>
      <c r="Y842" s="73"/>
      <c r="Z842" s="73"/>
      <c r="AA842" s="73"/>
      <c r="AB842" s="73"/>
      <c r="AC842" s="73"/>
      <c r="AD842" s="75"/>
      <c r="AE842" s="75"/>
      <c r="AF842" s="75"/>
      <c r="AG842" s="75"/>
      <c r="AH842" s="75"/>
      <c r="AI842" s="75"/>
      <c r="AJ842" s="75"/>
      <c r="AK842" s="75"/>
      <c r="AL842" s="75"/>
      <c r="AM842" s="75"/>
      <c r="AN842" s="75"/>
      <c r="AO842" s="75"/>
      <c r="AP842" s="75"/>
      <c r="AQ842" s="75"/>
      <c r="AR842" s="75"/>
      <c r="AS842" s="75"/>
      <c r="AT842" s="75"/>
      <c r="AU842" s="75"/>
      <c r="AV842" s="75"/>
      <c r="AW842" s="75"/>
      <c r="AX842" s="75"/>
    </row>
    <row r="843" ht="15.75" customHeight="1">
      <c r="A843" s="168" t="s">
        <v>68</v>
      </c>
      <c r="B843" s="71" t="s">
        <v>6099</v>
      </c>
      <c r="C843" s="72" t="s">
        <v>6100</v>
      </c>
      <c r="D843" s="72"/>
      <c r="E843" s="72"/>
      <c r="F843" s="73"/>
      <c r="G843" s="73"/>
      <c r="H843" s="73"/>
      <c r="I843" s="73"/>
      <c r="J843" s="73"/>
      <c r="K843" s="73"/>
      <c r="L843" s="73"/>
      <c r="M843" s="73"/>
      <c r="N843" s="73"/>
      <c r="O843" s="223"/>
      <c r="P843" s="73"/>
      <c r="Q843" s="73"/>
      <c r="R843" s="73"/>
      <c r="S843" s="73"/>
      <c r="T843" s="74" t="s">
        <v>7201</v>
      </c>
      <c r="U843" s="73"/>
      <c r="V843" s="73"/>
      <c r="W843" s="73"/>
      <c r="X843" s="73"/>
      <c r="Y843" s="73"/>
      <c r="Z843" s="73"/>
      <c r="AA843" s="73"/>
      <c r="AB843" s="73"/>
      <c r="AC843" s="73"/>
      <c r="AD843" s="75"/>
      <c r="AE843" s="75"/>
      <c r="AF843" s="75"/>
      <c r="AG843" s="75"/>
      <c r="AH843" s="75"/>
      <c r="AI843" s="75"/>
      <c r="AJ843" s="75"/>
      <c r="AK843" s="75"/>
      <c r="AL843" s="75"/>
      <c r="AM843" s="75"/>
      <c r="AN843" s="75"/>
      <c r="AO843" s="75"/>
      <c r="AP843" s="75"/>
      <c r="AQ843" s="75"/>
      <c r="AR843" s="75"/>
      <c r="AS843" s="75"/>
      <c r="AT843" s="75"/>
      <c r="AU843" s="75"/>
      <c r="AV843" s="75"/>
      <c r="AW843" s="75"/>
      <c r="AX843" s="75"/>
    </row>
    <row r="844" ht="15.75" customHeight="1">
      <c r="A844" s="168" t="s">
        <v>68</v>
      </c>
      <c r="B844" s="71" t="s">
        <v>6101</v>
      </c>
      <c r="C844" s="72" t="s">
        <v>6102</v>
      </c>
      <c r="D844" s="72"/>
      <c r="E844" s="72"/>
      <c r="F844" s="73"/>
      <c r="G844" s="73"/>
      <c r="H844" s="73"/>
      <c r="I844" s="73"/>
      <c r="J844" s="73"/>
      <c r="K844" s="73"/>
      <c r="L844" s="73"/>
      <c r="M844" s="73"/>
      <c r="N844" s="73"/>
      <c r="O844" s="73"/>
      <c r="P844" s="73"/>
      <c r="Q844" s="73"/>
      <c r="R844" s="73"/>
      <c r="S844" s="73"/>
      <c r="T844" s="74" t="s">
        <v>7202</v>
      </c>
      <c r="U844" s="73"/>
      <c r="V844" s="73"/>
      <c r="W844" s="73"/>
      <c r="X844" s="73"/>
      <c r="Y844" s="73"/>
      <c r="Z844" s="73"/>
      <c r="AA844" s="73"/>
      <c r="AB844" s="73"/>
      <c r="AC844" s="73"/>
      <c r="AD844" s="75"/>
      <c r="AE844" s="75"/>
      <c r="AF844" s="75"/>
      <c r="AG844" s="75"/>
      <c r="AH844" s="75"/>
      <c r="AI844" s="75"/>
      <c r="AJ844" s="75"/>
      <c r="AK844" s="75"/>
      <c r="AL844" s="75"/>
      <c r="AM844" s="75"/>
      <c r="AN844" s="75"/>
      <c r="AO844" s="75"/>
      <c r="AP844" s="75"/>
      <c r="AQ844" s="75"/>
      <c r="AR844" s="75"/>
      <c r="AS844" s="75"/>
      <c r="AT844" s="75"/>
      <c r="AU844" s="75"/>
      <c r="AV844" s="75"/>
      <c r="AW844" s="75"/>
      <c r="AX844" s="75"/>
    </row>
    <row r="845" ht="15.75" customHeight="1">
      <c r="A845" s="168" t="s">
        <v>68</v>
      </c>
      <c r="B845" s="71" t="s">
        <v>6103</v>
      </c>
      <c r="C845" s="72" t="s">
        <v>6104</v>
      </c>
      <c r="D845" s="72"/>
      <c r="E845" s="72"/>
      <c r="F845" s="73"/>
      <c r="G845" s="73"/>
      <c r="H845" s="73"/>
      <c r="I845" s="73"/>
      <c r="J845" s="73"/>
      <c r="K845" s="73"/>
      <c r="L845" s="73"/>
      <c r="M845" s="73"/>
      <c r="N845" s="73"/>
      <c r="O845" s="73"/>
      <c r="P845" s="73"/>
      <c r="Q845" s="73"/>
      <c r="R845" s="73"/>
      <c r="S845" s="73"/>
      <c r="T845" s="74" t="s">
        <v>7203</v>
      </c>
      <c r="U845" s="73"/>
      <c r="V845" s="73"/>
      <c r="W845" s="73"/>
      <c r="X845" s="73"/>
      <c r="Y845" s="73"/>
      <c r="Z845" s="73"/>
      <c r="AA845" s="73"/>
      <c r="AB845" s="73"/>
      <c r="AC845" s="73"/>
      <c r="AD845" s="75"/>
      <c r="AE845" s="75"/>
      <c r="AF845" s="75"/>
      <c r="AG845" s="75"/>
      <c r="AH845" s="75"/>
      <c r="AI845" s="75"/>
      <c r="AJ845" s="75"/>
      <c r="AK845" s="75"/>
      <c r="AL845" s="75"/>
      <c r="AM845" s="75"/>
      <c r="AN845" s="75"/>
      <c r="AO845" s="75"/>
      <c r="AP845" s="75"/>
      <c r="AQ845" s="75"/>
      <c r="AR845" s="75"/>
      <c r="AS845" s="75"/>
      <c r="AT845" s="75"/>
      <c r="AU845" s="75"/>
      <c r="AV845" s="75"/>
      <c r="AW845" s="75"/>
      <c r="AX845" s="75"/>
    </row>
    <row r="846" ht="15.75" customHeight="1">
      <c r="A846" s="168" t="s">
        <v>68</v>
      </c>
      <c r="B846" s="71" t="s">
        <v>6105</v>
      </c>
      <c r="C846" s="72" t="s">
        <v>6107</v>
      </c>
      <c r="D846" s="72"/>
      <c r="E846" s="72"/>
      <c r="F846" s="73"/>
      <c r="G846" s="73"/>
      <c r="H846" s="73"/>
      <c r="I846" s="73"/>
      <c r="J846" s="73"/>
      <c r="K846" s="73"/>
      <c r="L846" s="73"/>
      <c r="M846" s="73"/>
      <c r="N846" s="73"/>
      <c r="O846" s="223"/>
      <c r="P846" s="73"/>
      <c r="Q846" s="73"/>
      <c r="R846" s="73"/>
      <c r="S846" s="73"/>
      <c r="T846" s="74" t="s">
        <v>7204</v>
      </c>
      <c r="U846" s="223"/>
      <c r="V846" s="73"/>
      <c r="W846" s="73"/>
      <c r="X846" s="73"/>
      <c r="Y846" s="73"/>
      <c r="Z846" s="73"/>
      <c r="AA846" s="73"/>
      <c r="AB846" s="73"/>
      <c r="AC846" s="73"/>
      <c r="AD846" s="75"/>
      <c r="AE846" s="75"/>
      <c r="AF846" s="75"/>
      <c r="AG846" s="75"/>
      <c r="AH846" s="75"/>
      <c r="AI846" s="75"/>
      <c r="AJ846" s="75"/>
      <c r="AK846" s="75"/>
      <c r="AL846" s="75"/>
      <c r="AM846" s="75"/>
      <c r="AN846" s="75"/>
      <c r="AO846" s="75"/>
      <c r="AP846" s="75"/>
      <c r="AQ846" s="75"/>
      <c r="AR846" s="75"/>
      <c r="AS846" s="75"/>
      <c r="AT846" s="75"/>
      <c r="AU846" s="75"/>
      <c r="AV846" s="75"/>
      <c r="AW846" s="75"/>
      <c r="AX846" s="75"/>
    </row>
    <row r="847" ht="15.75" customHeight="1">
      <c r="A847" s="168" t="s">
        <v>68</v>
      </c>
      <c r="B847" s="71" t="s">
        <v>6108</v>
      </c>
      <c r="C847" s="72"/>
      <c r="D847" s="72"/>
      <c r="E847" s="72"/>
      <c r="F847" s="73"/>
      <c r="G847" s="73"/>
      <c r="H847" s="73"/>
      <c r="I847" s="73"/>
      <c r="J847" s="73"/>
      <c r="K847" s="73"/>
      <c r="L847" s="73"/>
      <c r="M847" s="73"/>
      <c r="N847" s="73"/>
      <c r="O847" s="73"/>
      <c r="P847" s="73"/>
      <c r="Q847" s="73"/>
      <c r="R847" s="73"/>
      <c r="S847" s="73"/>
      <c r="T847" s="177" t="s">
        <v>7205</v>
      </c>
      <c r="U847" s="73"/>
      <c r="V847" s="73"/>
      <c r="W847" s="73"/>
      <c r="X847" s="73"/>
      <c r="Y847" s="73"/>
      <c r="Z847" s="73"/>
      <c r="AA847" s="73"/>
      <c r="AB847" s="73"/>
      <c r="AC847" s="73"/>
      <c r="AD847" s="75"/>
      <c r="AE847" s="75"/>
      <c r="AF847" s="75"/>
      <c r="AG847" s="75"/>
      <c r="AH847" s="75"/>
      <c r="AI847" s="75"/>
      <c r="AJ847" s="75"/>
      <c r="AK847" s="75"/>
      <c r="AL847" s="75"/>
      <c r="AM847" s="75"/>
      <c r="AN847" s="75"/>
      <c r="AO847" s="75"/>
      <c r="AP847" s="75"/>
      <c r="AQ847" s="75"/>
      <c r="AR847" s="75"/>
      <c r="AS847" s="75"/>
      <c r="AT847" s="75"/>
      <c r="AU847" s="75"/>
      <c r="AV847" s="75"/>
      <c r="AW847" s="75"/>
      <c r="AX847" s="75"/>
    </row>
    <row r="848" ht="15.75" customHeight="1">
      <c r="A848" s="280" t="s">
        <v>1306</v>
      </c>
      <c r="B848" s="281" t="s">
        <v>6109</v>
      </c>
      <c r="C848" s="27" t="s">
        <v>7206</v>
      </c>
      <c r="D848" s="27" t="s">
        <v>7207</v>
      </c>
      <c r="E848" s="27" t="s">
        <v>7208</v>
      </c>
      <c r="F848" s="45"/>
      <c r="G848" s="45"/>
      <c r="H848" s="45"/>
      <c r="I848" s="286"/>
      <c r="J848" s="287"/>
      <c r="K848" s="290" t="s">
        <v>7165</v>
      </c>
      <c r="L848" s="290" t="s">
        <v>7209</v>
      </c>
      <c r="M848" s="286"/>
      <c r="N848" s="286"/>
      <c r="O848" s="286"/>
      <c r="P848" s="286"/>
      <c r="Q848" s="290" t="s">
        <v>150</v>
      </c>
      <c r="R848" s="286"/>
      <c r="S848" s="286"/>
      <c r="T848" s="286"/>
      <c r="U848" s="286"/>
      <c r="V848" s="286"/>
      <c r="W848" s="286"/>
      <c r="X848" s="286"/>
      <c r="Y848" s="286"/>
      <c r="Z848" s="286"/>
      <c r="AA848" s="286"/>
      <c r="AB848" s="286"/>
      <c r="AC848" s="286"/>
      <c r="AD848" s="75"/>
      <c r="AE848" s="75"/>
      <c r="AF848" s="75"/>
      <c r="AG848" s="75"/>
      <c r="AH848" s="75"/>
      <c r="AI848" s="75"/>
      <c r="AJ848" s="75"/>
      <c r="AK848" s="75"/>
      <c r="AL848" s="75"/>
      <c r="AM848" s="75"/>
      <c r="AN848" s="75"/>
      <c r="AO848" s="75"/>
      <c r="AP848" s="75"/>
      <c r="AQ848" s="75"/>
      <c r="AR848" s="75"/>
      <c r="AS848" s="75"/>
      <c r="AT848" s="75"/>
      <c r="AU848" s="75"/>
      <c r="AV848" s="75"/>
      <c r="AW848" s="75"/>
      <c r="AX848" s="75"/>
    </row>
    <row r="849" ht="15.75" customHeight="1">
      <c r="A849" s="278" t="s">
        <v>38</v>
      </c>
      <c r="B849" s="279" t="s">
        <v>6113</v>
      </c>
      <c r="C849" s="27" t="s">
        <v>7210</v>
      </c>
      <c r="D849" s="27" t="s">
        <v>7211</v>
      </c>
      <c r="E849" s="27" t="s">
        <v>7212</v>
      </c>
      <c r="F849" s="45"/>
      <c r="G849" s="45"/>
      <c r="H849" s="45"/>
      <c r="I849" s="284"/>
      <c r="J849" s="284"/>
      <c r="K849" s="284"/>
      <c r="L849" s="284"/>
      <c r="M849" s="284"/>
      <c r="N849" s="284"/>
      <c r="O849" s="323" t="s">
        <v>7016</v>
      </c>
      <c r="P849" s="284"/>
      <c r="Q849" s="284"/>
      <c r="R849" s="284"/>
      <c r="S849" s="284"/>
      <c r="T849" s="284"/>
      <c r="U849" s="284"/>
      <c r="V849" s="284"/>
      <c r="W849" s="284"/>
      <c r="X849" s="284"/>
      <c r="Y849" s="284"/>
      <c r="Z849" s="284"/>
      <c r="AA849" s="284"/>
      <c r="AB849" s="284"/>
      <c r="AC849" s="284"/>
      <c r="AD849" s="75"/>
      <c r="AE849" s="75"/>
      <c r="AF849" s="75"/>
      <c r="AG849" s="75"/>
      <c r="AH849" s="75"/>
      <c r="AI849" s="75"/>
      <c r="AJ849" s="75"/>
      <c r="AK849" s="75"/>
      <c r="AL849" s="75"/>
      <c r="AM849" s="75"/>
      <c r="AN849" s="75"/>
      <c r="AO849" s="75"/>
      <c r="AP849" s="75"/>
      <c r="AQ849" s="75"/>
      <c r="AR849" s="75"/>
      <c r="AS849" s="75"/>
      <c r="AT849" s="75"/>
      <c r="AU849" s="75"/>
      <c r="AV849" s="75"/>
      <c r="AW849" s="75"/>
      <c r="AX849" s="75"/>
    </row>
    <row r="850" ht="15.75" customHeight="1">
      <c r="A850" s="168" t="s">
        <v>127</v>
      </c>
      <c r="B850" s="71" t="s">
        <v>6118</v>
      </c>
      <c r="C850" s="72"/>
      <c r="D850" s="72"/>
      <c r="E850" s="72"/>
      <c r="F850" s="73"/>
      <c r="G850" s="73"/>
      <c r="H850" s="73"/>
      <c r="I850" s="73"/>
      <c r="J850" s="73"/>
      <c r="K850" s="73"/>
      <c r="L850" s="73"/>
      <c r="M850" s="73"/>
      <c r="N850" s="73"/>
      <c r="O850" s="73"/>
      <c r="P850" s="73"/>
      <c r="Q850" s="73"/>
      <c r="R850" s="73"/>
      <c r="S850" s="73"/>
      <c r="T850" s="74" t="s">
        <v>129</v>
      </c>
      <c r="U850" s="73"/>
      <c r="V850" s="73"/>
      <c r="W850" s="73"/>
      <c r="X850" s="73"/>
      <c r="Y850" s="73"/>
      <c r="Z850" s="73"/>
      <c r="AA850" s="73"/>
      <c r="AB850" s="73"/>
      <c r="AC850" s="73"/>
      <c r="AD850" s="75"/>
      <c r="AE850" s="75"/>
      <c r="AF850" s="75"/>
      <c r="AG850" s="75"/>
      <c r="AH850" s="75"/>
      <c r="AI850" s="75"/>
      <c r="AJ850" s="75"/>
      <c r="AK850" s="75"/>
      <c r="AL850" s="75"/>
      <c r="AM850" s="75"/>
      <c r="AN850" s="75"/>
      <c r="AO850" s="75"/>
      <c r="AP850" s="75"/>
      <c r="AQ850" s="75"/>
      <c r="AR850" s="75"/>
      <c r="AS850" s="75"/>
      <c r="AT850" s="75"/>
      <c r="AU850" s="75"/>
      <c r="AV850" s="75"/>
      <c r="AW850" s="75"/>
      <c r="AX850" s="75"/>
    </row>
    <row r="851" ht="15.75" customHeight="1">
      <c r="A851" s="352" t="s">
        <v>426</v>
      </c>
      <c r="B851" s="172" t="s">
        <v>6119</v>
      </c>
      <c r="C851" s="172" t="s">
        <v>6120</v>
      </c>
      <c r="D851" s="172" t="s">
        <v>6121</v>
      </c>
      <c r="E851" s="172" t="s">
        <v>6122</v>
      </c>
      <c r="F851" s="174"/>
      <c r="G851" s="174"/>
      <c r="H851" s="174"/>
      <c r="I851" s="173"/>
      <c r="J851" s="173"/>
      <c r="K851" s="173"/>
      <c r="L851" s="173"/>
      <c r="M851" s="174"/>
      <c r="N851" s="174"/>
      <c r="O851" s="174"/>
      <c r="P851" s="173"/>
      <c r="Q851" s="173"/>
      <c r="R851" s="173"/>
      <c r="S851" s="173"/>
      <c r="T851" s="388"/>
      <c r="U851" s="389">
        <v>7.0</v>
      </c>
      <c r="V851" s="173"/>
      <c r="W851" s="173"/>
      <c r="X851" s="173"/>
      <c r="Y851" s="173"/>
      <c r="Z851" s="173"/>
      <c r="AA851" s="173"/>
      <c r="AB851" s="173"/>
      <c r="AC851" s="173"/>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row>
    <row r="852" ht="15.75" customHeight="1">
      <c r="A852" s="102" t="s">
        <v>68</v>
      </c>
      <c r="B852" s="103" t="s">
        <v>6123</v>
      </c>
      <c r="C852" s="103"/>
      <c r="D852" s="72"/>
      <c r="E852" s="72"/>
      <c r="F852" s="129"/>
      <c r="G852" s="129"/>
      <c r="H852" s="129"/>
      <c r="I852" s="129"/>
      <c r="J852" s="129"/>
      <c r="K852" s="129"/>
      <c r="L852" s="129"/>
      <c r="M852" s="129"/>
      <c r="N852" s="129"/>
      <c r="O852" s="129"/>
      <c r="P852" s="129"/>
      <c r="Q852" s="129"/>
      <c r="R852" s="129"/>
      <c r="S852" s="129"/>
      <c r="T852" s="153" t="s">
        <v>7213</v>
      </c>
      <c r="U852" s="129"/>
      <c r="V852" s="129"/>
      <c r="W852" s="129"/>
      <c r="X852" s="129"/>
      <c r="Y852" s="129"/>
      <c r="Z852" s="129"/>
      <c r="AA852" s="129"/>
      <c r="AB852" s="129"/>
      <c r="AC852" s="129"/>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row>
    <row r="853" ht="15.75" customHeight="1">
      <c r="A853" s="248" t="s">
        <v>268</v>
      </c>
      <c r="B853" s="249" t="s">
        <v>6124</v>
      </c>
      <c r="C853" s="27" t="s">
        <v>7214</v>
      </c>
      <c r="D853" s="27" t="s">
        <v>7215</v>
      </c>
      <c r="E853" s="27" t="s">
        <v>7216</v>
      </c>
      <c r="F853" s="342"/>
      <c r="G853" s="342"/>
      <c r="H853" s="342"/>
      <c r="I853" s="373"/>
      <c r="J853" s="373"/>
      <c r="K853" s="390" t="s">
        <v>2550</v>
      </c>
      <c r="L853" s="374"/>
      <c r="M853" s="373"/>
      <c r="N853" s="373"/>
      <c r="O853" s="373"/>
      <c r="P853" s="373"/>
      <c r="Q853" s="250" t="s">
        <v>150</v>
      </c>
      <c r="R853" s="373"/>
      <c r="S853" s="373"/>
      <c r="T853" s="373"/>
      <c r="U853" s="373"/>
      <c r="V853" s="373"/>
      <c r="W853" s="373"/>
      <c r="X853" s="373"/>
      <c r="Y853" s="373"/>
      <c r="Z853" s="373"/>
      <c r="AA853" s="373"/>
      <c r="AB853" s="373"/>
      <c r="AC853" s="373"/>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row>
    <row r="854" ht="15.75" customHeight="1">
      <c r="A854" s="248" t="s">
        <v>268</v>
      </c>
      <c r="B854" s="249" t="s">
        <v>6129</v>
      </c>
      <c r="C854" s="27" t="s">
        <v>7217</v>
      </c>
      <c r="D854" s="63" t="s">
        <v>7218</v>
      </c>
      <c r="E854" s="63" t="s">
        <v>7219</v>
      </c>
      <c r="F854" s="249" t="s">
        <v>7220</v>
      </c>
      <c r="G854" s="342"/>
      <c r="H854" s="342"/>
      <c r="I854" s="373"/>
      <c r="J854" s="373"/>
      <c r="K854" s="390" t="s">
        <v>2550</v>
      </c>
      <c r="L854" s="374"/>
      <c r="M854" s="373"/>
      <c r="N854" s="373"/>
      <c r="O854" s="250" t="s">
        <v>7221</v>
      </c>
      <c r="P854" s="373"/>
      <c r="Q854" s="250" t="s">
        <v>150</v>
      </c>
      <c r="R854" s="373"/>
      <c r="S854" s="373"/>
      <c r="T854" s="373"/>
      <c r="U854" s="373"/>
      <c r="V854" s="373"/>
      <c r="W854" s="373"/>
      <c r="X854" s="373"/>
      <c r="Y854" s="373"/>
      <c r="Z854" s="373"/>
      <c r="AA854" s="373"/>
      <c r="AB854" s="373"/>
      <c r="AC854" s="373"/>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row>
    <row r="855" ht="15.75" customHeight="1">
      <c r="A855" s="248" t="s">
        <v>268</v>
      </c>
      <c r="B855" s="249" t="s">
        <v>6131</v>
      </c>
      <c r="C855" s="27" t="s">
        <v>7222</v>
      </c>
      <c r="D855" s="27" t="s">
        <v>7223</v>
      </c>
      <c r="E855" s="27" t="s">
        <v>7224</v>
      </c>
      <c r="F855" s="342"/>
      <c r="G855" s="342"/>
      <c r="H855" s="342"/>
      <c r="I855" s="373"/>
      <c r="J855" s="373"/>
      <c r="K855" s="390" t="s">
        <v>2550</v>
      </c>
      <c r="L855" s="374"/>
      <c r="M855" s="373"/>
      <c r="N855" s="373"/>
      <c r="O855" s="373"/>
      <c r="P855" s="373"/>
      <c r="Q855" s="250" t="s">
        <v>150</v>
      </c>
      <c r="R855" s="373"/>
      <c r="S855" s="373"/>
      <c r="T855" s="373"/>
      <c r="U855" s="373"/>
      <c r="V855" s="373"/>
      <c r="W855" s="373"/>
      <c r="X855" s="373"/>
      <c r="Y855" s="373"/>
      <c r="Z855" s="373"/>
      <c r="AA855" s="373"/>
      <c r="AB855" s="373"/>
      <c r="AC855" s="373"/>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row>
    <row r="856" ht="15.75" customHeight="1">
      <c r="A856" s="248" t="s">
        <v>268</v>
      </c>
      <c r="B856" s="249" t="s">
        <v>6135</v>
      </c>
      <c r="C856" s="27" t="s">
        <v>7225</v>
      </c>
      <c r="D856" s="63" t="s">
        <v>7226</v>
      </c>
      <c r="E856" s="63" t="s">
        <v>7227</v>
      </c>
      <c r="F856" s="249" t="s">
        <v>7228</v>
      </c>
      <c r="G856" s="342"/>
      <c r="H856" s="342"/>
      <c r="I856" s="373"/>
      <c r="J856" s="373"/>
      <c r="K856" s="390" t="s">
        <v>2550</v>
      </c>
      <c r="L856" s="374"/>
      <c r="M856" s="373"/>
      <c r="N856" s="373"/>
      <c r="O856" s="250" t="s">
        <v>7229</v>
      </c>
      <c r="P856" s="373"/>
      <c r="Q856" s="250" t="s">
        <v>150</v>
      </c>
      <c r="R856" s="373"/>
      <c r="S856" s="373"/>
      <c r="T856" s="373"/>
      <c r="U856" s="373"/>
      <c r="V856" s="373"/>
      <c r="W856" s="373"/>
      <c r="X856" s="373"/>
      <c r="Y856" s="373"/>
      <c r="Z856" s="373"/>
      <c r="AA856" s="373"/>
      <c r="AB856" s="373"/>
      <c r="AC856" s="373"/>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row>
    <row r="857" ht="15.75" customHeight="1">
      <c r="A857" s="248" t="s">
        <v>268</v>
      </c>
      <c r="B857" s="249" t="s">
        <v>6140</v>
      </c>
      <c r="C857" s="27" t="s">
        <v>7230</v>
      </c>
      <c r="D857" s="27" t="s">
        <v>7231</v>
      </c>
      <c r="E857" s="27" t="s">
        <v>7232</v>
      </c>
      <c r="F857" s="342"/>
      <c r="G857" s="342"/>
      <c r="H857" s="342"/>
      <c r="I857" s="373"/>
      <c r="J857" s="373"/>
      <c r="K857" s="390" t="s">
        <v>2550</v>
      </c>
      <c r="L857" s="374"/>
      <c r="M857" s="373"/>
      <c r="N857" s="373"/>
      <c r="O857" s="373"/>
      <c r="P857" s="373"/>
      <c r="Q857" s="250" t="s">
        <v>150</v>
      </c>
      <c r="R857" s="373"/>
      <c r="S857" s="373"/>
      <c r="T857" s="373"/>
      <c r="U857" s="373"/>
      <c r="V857" s="373"/>
      <c r="W857" s="373"/>
      <c r="X857" s="373"/>
      <c r="Y857" s="373"/>
      <c r="Z857" s="373"/>
      <c r="AA857" s="373"/>
      <c r="AB857" s="373"/>
      <c r="AC857" s="373"/>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row>
    <row r="858" ht="15.75" customHeight="1">
      <c r="A858" s="248" t="s">
        <v>268</v>
      </c>
      <c r="B858" s="249" t="s">
        <v>6144</v>
      </c>
      <c r="C858" s="27" t="s">
        <v>7233</v>
      </c>
      <c r="D858" s="63" t="s">
        <v>7234</v>
      </c>
      <c r="E858" s="63" t="s">
        <v>7235</v>
      </c>
      <c r="F858" s="249" t="s">
        <v>7236</v>
      </c>
      <c r="G858" s="374"/>
      <c r="H858" s="374"/>
      <c r="I858" s="373"/>
      <c r="J858" s="373"/>
      <c r="K858" s="390" t="s">
        <v>2550</v>
      </c>
      <c r="L858" s="374"/>
      <c r="M858" s="373"/>
      <c r="N858" s="373"/>
      <c r="O858" s="250" t="s">
        <v>7237</v>
      </c>
      <c r="P858" s="373"/>
      <c r="Q858" s="250" t="s">
        <v>150</v>
      </c>
      <c r="R858" s="373"/>
      <c r="S858" s="373"/>
      <c r="T858" s="373"/>
      <c r="U858" s="373"/>
      <c r="V858" s="373"/>
      <c r="W858" s="373"/>
      <c r="X858" s="373"/>
      <c r="Y858" s="373"/>
      <c r="Z858" s="373"/>
      <c r="AA858" s="373"/>
      <c r="AB858" s="373"/>
      <c r="AC858" s="373"/>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row>
    <row r="859" ht="15.75" customHeight="1">
      <c r="A859" s="285" t="s">
        <v>468</v>
      </c>
      <c r="B859" s="185" t="s">
        <v>6119</v>
      </c>
      <c r="C859" s="186" t="s">
        <v>6120</v>
      </c>
      <c r="D859" s="186" t="s">
        <v>6121</v>
      </c>
      <c r="E859" s="186" t="s">
        <v>6122</v>
      </c>
      <c r="F859" s="304"/>
      <c r="G859" s="304"/>
      <c r="H859" s="304"/>
      <c r="I859" s="304"/>
      <c r="J859" s="304"/>
      <c r="K859" s="383"/>
      <c r="L859" s="304"/>
      <c r="M859" s="304"/>
      <c r="N859" s="304"/>
      <c r="O859" s="304"/>
      <c r="P859" s="304"/>
      <c r="Q859" s="304"/>
      <c r="R859" s="304"/>
      <c r="S859" s="304"/>
      <c r="T859" s="304"/>
      <c r="U859" s="304"/>
      <c r="V859" s="304"/>
      <c r="W859" s="304"/>
      <c r="X859" s="304"/>
      <c r="Y859" s="304"/>
      <c r="Z859" s="304"/>
      <c r="AA859" s="304"/>
      <c r="AB859" s="304"/>
      <c r="AC859" s="304"/>
      <c r="AD859" s="75"/>
      <c r="AE859" s="75"/>
      <c r="AF859" s="75"/>
      <c r="AG859" s="75"/>
      <c r="AH859" s="75"/>
      <c r="AI859" s="75"/>
      <c r="AJ859" s="75"/>
      <c r="AK859" s="75"/>
      <c r="AL859" s="75"/>
      <c r="AM859" s="75"/>
      <c r="AN859" s="75"/>
      <c r="AO859" s="75"/>
      <c r="AP859" s="75"/>
      <c r="AQ859" s="75"/>
      <c r="AR859" s="75"/>
      <c r="AS859" s="75"/>
      <c r="AT859" s="75"/>
      <c r="AU859" s="75"/>
      <c r="AV859" s="75"/>
      <c r="AW859" s="75"/>
      <c r="AX859" s="75"/>
    </row>
    <row r="860" ht="15.75" customHeight="1">
      <c r="A860" s="320"/>
      <c r="B860" s="321"/>
      <c r="C860" s="191"/>
      <c r="D860" s="191"/>
      <c r="E860" s="191"/>
      <c r="F860" s="75"/>
      <c r="G860" s="75"/>
      <c r="H860" s="75"/>
      <c r="I860" s="75"/>
      <c r="J860" s="75"/>
      <c r="K860" s="75"/>
      <c r="L860" s="75"/>
      <c r="M860" s="75"/>
      <c r="N860" s="75"/>
      <c r="O860" s="320"/>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row>
    <row r="861" ht="15.75" customHeight="1">
      <c r="A861" s="320"/>
      <c r="B861" s="321"/>
      <c r="C861" s="191"/>
      <c r="D861" s="191"/>
      <c r="E861" s="191"/>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row>
    <row r="862" ht="15.75" customHeight="1">
      <c r="A862" s="291" t="s">
        <v>268</v>
      </c>
      <c r="B862" s="292" t="s">
        <v>6149</v>
      </c>
      <c r="C862" s="27" t="s">
        <v>7238</v>
      </c>
      <c r="D862" s="27" t="s">
        <v>7239</v>
      </c>
      <c r="E862" s="27" t="s">
        <v>7240</v>
      </c>
      <c r="F862" s="45"/>
      <c r="G862" s="45"/>
      <c r="H862" s="45"/>
      <c r="I862" s="306"/>
      <c r="J862" s="306"/>
      <c r="K862" s="308"/>
      <c r="L862" s="308"/>
      <c r="M862" s="306"/>
      <c r="N862" s="306"/>
      <c r="O862" s="306"/>
      <c r="P862" s="306"/>
      <c r="Q862" s="309" t="s">
        <v>150</v>
      </c>
      <c r="R862" s="306"/>
      <c r="S862" s="306"/>
      <c r="T862" s="306"/>
      <c r="U862" s="306"/>
      <c r="V862" s="306"/>
      <c r="W862" s="306"/>
      <c r="X862" s="306"/>
      <c r="Y862" s="306"/>
      <c r="Z862" s="306"/>
      <c r="AA862" s="306"/>
      <c r="AB862" s="306"/>
      <c r="AC862" s="306"/>
      <c r="AD862" s="75"/>
      <c r="AE862" s="75"/>
      <c r="AF862" s="75"/>
      <c r="AG862" s="75"/>
      <c r="AH862" s="75"/>
      <c r="AI862" s="75"/>
      <c r="AJ862" s="75"/>
      <c r="AK862" s="75"/>
      <c r="AL862" s="75"/>
      <c r="AM862" s="75"/>
      <c r="AN862" s="75"/>
      <c r="AO862" s="75"/>
      <c r="AP862" s="75"/>
      <c r="AQ862" s="75"/>
      <c r="AR862" s="75"/>
      <c r="AS862" s="75"/>
      <c r="AT862" s="75"/>
      <c r="AU862" s="75"/>
      <c r="AV862" s="75"/>
      <c r="AW862" s="75"/>
      <c r="AX862" s="75"/>
    </row>
    <row r="863" ht="15.75" customHeight="1">
      <c r="A863" s="278" t="s">
        <v>38</v>
      </c>
      <c r="B863" s="279" t="s">
        <v>6153</v>
      </c>
      <c r="C863" s="27" t="s">
        <v>7241</v>
      </c>
      <c r="D863" s="27" t="s">
        <v>7242</v>
      </c>
      <c r="E863" s="27" t="s">
        <v>7243</v>
      </c>
      <c r="F863" s="45"/>
      <c r="G863" s="45"/>
      <c r="H863" s="45"/>
      <c r="I863" s="284"/>
      <c r="J863" s="284"/>
      <c r="K863" s="284"/>
      <c r="L863" s="284"/>
      <c r="M863" s="284"/>
      <c r="N863" s="284"/>
      <c r="O863" s="372"/>
      <c r="P863" s="284"/>
      <c r="Q863" s="284"/>
      <c r="R863" s="284"/>
      <c r="S863" s="284"/>
      <c r="T863" s="284"/>
      <c r="U863" s="284"/>
      <c r="V863" s="284"/>
      <c r="W863" s="284"/>
      <c r="X863" s="284"/>
      <c r="Y863" s="284"/>
      <c r="Z863" s="284"/>
      <c r="AA863" s="284"/>
      <c r="AB863" s="284"/>
      <c r="AC863" s="284"/>
      <c r="AD863" s="75"/>
      <c r="AE863" s="75"/>
      <c r="AF863" s="75"/>
      <c r="AG863" s="75"/>
      <c r="AH863" s="75"/>
      <c r="AI863" s="75"/>
      <c r="AJ863" s="75"/>
      <c r="AK863" s="75"/>
      <c r="AL863" s="75"/>
      <c r="AM863" s="75"/>
      <c r="AN863" s="75"/>
      <c r="AO863" s="75"/>
      <c r="AP863" s="75"/>
      <c r="AQ863" s="75"/>
      <c r="AR863" s="75"/>
      <c r="AS863" s="75"/>
      <c r="AT863" s="75"/>
      <c r="AU863" s="75"/>
      <c r="AV863" s="75"/>
      <c r="AW863" s="75"/>
      <c r="AX863" s="75"/>
    </row>
    <row r="864" ht="15.75" customHeight="1">
      <c r="A864" s="291" t="s">
        <v>268</v>
      </c>
      <c r="B864" s="292" t="s">
        <v>6157</v>
      </c>
      <c r="C864" s="27" t="s">
        <v>7244</v>
      </c>
      <c r="D864" s="27" t="s">
        <v>7245</v>
      </c>
      <c r="E864" s="27" t="s">
        <v>7246</v>
      </c>
      <c r="F864" s="45"/>
      <c r="G864" s="45"/>
      <c r="H864" s="45"/>
      <c r="I864" s="306"/>
      <c r="J864" s="306"/>
      <c r="K864" s="307" t="s">
        <v>7247</v>
      </c>
      <c r="L864" s="308"/>
      <c r="M864" s="306"/>
      <c r="N864" s="306"/>
      <c r="O864" s="291" t="s">
        <v>7016</v>
      </c>
      <c r="P864" s="306"/>
      <c r="Q864" s="309" t="s">
        <v>150</v>
      </c>
      <c r="R864" s="306"/>
      <c r="S864" s="306"/>
      <c r="T864" s="306"/>
      <c r="U864" s="359"/>
      <c r="V864" s="306"/>
      <c r="W864" s="306"/>
      <c r="X864" s="306"/>
      <c r="Y864" s="306"/>
      <c r="Z864" s="306"/>
      <c r="AA864" s="306"/>
      <c r="AB864" s="306"/>
      <c r="AC864" s="306"/>
      <c r="AD864" s="75"/>
      <c r="AE864" s="75"/>
      <c r="AF864" s="75"/>
      <c r="AG864" s="75"/>
      <c r="AH864" s="75"/>
      <c r="AI864" s="75"/>
      <c r="AJ864" s="75"/>
      <c r="AK864" s="75"/>
      <c r="AL864" s="75"/>
      <c r="AM864" s="75"/>
      <c r="AN864" s="75"/>
      <c r="AO864" s="75"/>
      <c r="AP864" s="75"/>
      <c r="AQ864" s="75"/>
      <c r="AR864" s="75"/>
      <c r="AS864" s="75"/>
      <c r="AT864" s="75"/>
      <c r="AU864" s="75"/>
      <c r="AV864" s="75"/>
      <c r="AW864" s="75"/>
      <c r="AX864" s="75"/>
    </row>
    <row r="865" ht="15.75" customHeight="1">
      <c r="A865" s="280" t="s">
        <v>1306</v>
      </c>
      <c r="B865" s="281" t="s">
        <v>6162</v>
      </c>
      <c r="C865" s="27" t="s">
        <v>7248</v>
      </c>
      <c r="D865" s="27" t="s">
        <v>7249</v>
      </c>
      <c r="E865" s="27" t="s">
        <v>7250</v>
      </c>
      <c r="F865" s="45"/>
      <c r="G865" s="45"/>
      <c r="H865" s="45"/>
      <c r="I865" s="286"/>
      <c r="J865" s="287"/>
      <c r="K865" s="286"/>
      <c r="L865" s="286"/>
      <c r="M865" s="286"/>
      <c r="N865" s="286"/>
      <c r="O865" s="290" t="s">
        <v>7016</v>
      </c>
      <c r="P865" s="286"/>
      <c r="Q865" s="290" t="s">
        <v>150</v>
      </c>
      <c r="R865" s="286"/>
      <c r="S865" s="286"/>
      <c r="T865" s="288"/>
      <c r="U865" s="286"/>
      <c r="V865" s="286"/>
      <c r="W865" s="286"/>
      <c r="X865" s="286"/>
      <c r="Y865" s="286"/>
      <c r="Z865" s="286"/>
      <c r="AA865" s="286"/>
      <c r="AB865" s="286"/>
      <c r="AC865" s="286"/>
      <c r="AD865" s="75"/>
      <c r="AE865" s="75"/>
      <c r="AF865" s="75"/>
      <c r="AG865" s="75"/>
      <c r="AH865" s="75"/>
      <c r="AI865" s="75"/>
      <c r="AJ865" s="75"/>
      <c r="AK865" s="75"/>
      <c r="AL865" s="75"/>
      <c r="AM865" s="75"/>
      <c r="AN865" s="75"/>
      <c r="AO865" s="75"/>
      <c r="AP865" s="75"/>
      <c r="AQ865" s="75"/>
      <c r="AR865" s="75"/>
      <c r="AS865" s="75"/>
      <c r="AT865" s="75"/>
      <c r="AU865" s="75"/>
      <c r="AV865" s="75"/>
      <c r="AW865" s="75"/>
      <c r="AX865" s="75"/>
    </row>
    <row r="866" ht="15.75" customHeight="1">
      <c r="A866" s="291" t="s">
        <v>268</v>
      </c>
      <c r="B866" s="292" t="s">
        <v>6166</v>
      </c>
      <c r="C866" s="27" t="s">
        <v>7251</v>
      </c>
      <c r="D866" s="27" t="s">
        <v>7252</v>
      </c>
      <c r="E866" s="27" t="s">
        <v>7253</v>
      </c>
      <c r="F866" s="45"/>
      <c r="G866" s="45"/>
      <c r="H866" s="45"/>
      <c r="I866" s="306"/>
      <c r="J866" s="306"/>
      <c r="K866" s="307" t="s">
        <v>7254</v>
      </c>
      <c r="L866" s="308"/>
      <c r="M866" s="306"/>
      <c r="N866" s="306"/>
      <c r="O866" s="309" t="s">
        <v>7255</v>
      </c>
      <c r="P866" s="306"/>
      <c r="Q866" s="309" t="s">
        <v>150</v>
      </c>
      <c r="R866" s="306"/>
      <c r="S866" s="306"/>
      <c r="T866" s="306"/>
      <c r="U866" s="306"/>
      <c r="V866" s="306"/>
      <c r="W866" s="306"/>
      <c r="X866" s="306"/>
      <c r="Y866" s="306"/>
      <c r="Z866" s="306"/>
      <c r="AA866" s="306"/>
      <c r="AB866" s="306"/>
      <c r="AC866" s="306"/>
      <c r="AD866" s="75"/>
      <c r="AE866" s="75"/>
      <c r="AF866" s="75"/>
      <c r="AG866" s="75"/>
      <c r="AH866" s="75"/>
      <c r="AI866" s="75"/>
      <c r="AJ866" s="75"/>
      <c r="AK866" s="75"/>
      <c r="AL866" s="75"/>
      <c r="AM866" s="75"/>
      <c r="AN866" s="75"/>
      <c r="AO866" s="75"/>
      <c r="AP866" s="75"/>
      <c r="AQ866" s="75"/>
      <c r="AR866" s="75"/>
      <c r="AS866" s="75"/>
      <c r="AT866" s="75"/>
      <c r="AU866" s="75"/>
      <c r="AV866" s="75"/>
      <c r="AW866" s="75"/>
      <c r="AX866" s="75"/>
    </row>
    <row r="867" ht="15.75" customHeight="1">
      <c r="A867" s="291" t="s">
        <v>268</v>
      </c>
      <c r="B867" s="292" t="s">
        <v>6170</v>
      </c>
      <c r="C867" s="27" t="s">
        <v>7256</v>
      </c>
      <c r="D867" s="27" t="s">
        <v>7257</v>
      </c>
      <c r="E867" s="27" t="s">
        <v>7258</v>
      </c>
      <c r="F867" s="45"/>
      <c r="G867" s="45"/>
      <c r="H867" s="45"/>
      <c r="I867" s="306"/>
      <c r="J867" s="306"/>
      <c r="K867" s="308"/>
      <c r="L867" s="308"/>
      <c r="M867" s="306"/>
      <c r="N867" s="306"/>
      <c r="O867" s="309" t="s">
        <v>7255</v>
      </c>
      <c r="P867" s="306"/>
      <c r="Q867" s="309" t="s">
        <v>150</v>
      </c>
      <c r="R867" s="306"/>
      <c r="S867" s="306"/>
      <c r="T867" s="306"/>
      <c r="U867" s="306"/>
      <c r="V867" s="306"/>
      <c r="W867" s="306"/>
      <c r="X867" s="306"/>
      <c r="Y867" s="306"/>
      <c r="Z867" s="306"/>
      <c r="AA867" s="306"/>
      <c r="AB867" s="306"/>
      <c r="AC867" s="306"/>
      <c r="AD867" s="75"/>
      <c r="AE867" s="75"/>
      <c r="AF867" s="75"/>
      <c r="AG867" s="75"/>
      <c r="AH867" s="75"/>
      <c r="AI867" s="75"/>
      <c r="AJ867" s="75"/>
      <c r="AK867" s="75"/>
      <c r="AL867" s="75"/>
      <c r="AM867" s="75"/>
      <c r="AN867" s="75"/>
      <c r="AO867" s="75"/>
      <c r="AP867" s="75"/>
      <c r="AQ867" s="75"/>
      <c r="AR867" s="75"/>
      <c r="AS867" s="75"/>
      <c r="AT867" s="75"/>
      <c r="AU867" s="75"/>
      <c r="AV867" s="75"/>
      <c r="AW867" s="75"/>
      <c r="AX867" s="75"/>
    </row>
    <row r="868" ht="15.75" customHeight="1">
      <c r="A868" s="168" t="s">
        <v>68</v>
      </c>
      <c r="B868" s="71" t="s">
        <v>6174</v>
      </c>
      <c r="C868" s="72"/>
      <c r="D868" s="72"/>
      <c r="E868" s="72"/>
      <c r="F868" s="73"/>
      <c r="G868" s="73"/>
      <c r="H868" s="73"/>
      <c r="I868" s="73"/>
      <c r="J868" s="73"/>
      <c r="K868" s="73"/>
      <c r="L868" s="73"/>
      <c r="M868" s="73"/>
      <c r="N868" s="73"/>
      <c r="O868" s="73"/>
      <c r="P868" s="73"/>
      <c r="Q868" s="73"/>
      <c r="R868" s="73"/>
      <c r="S868" s="73"/>
      <c r="T868" s="74" t="s">
        <v>7259</v>
      </c>
      <c r="U868" s="73"/>
      <c r="V868" s="73"/>
      <c r="W868" s="73"/>
      <c r="X868" s="73"/>
      <c r="Y868" s="73"/>
      <c r="Z868" s="73"/>
      <c r="AA868" s="73"/>
      <c r="AB868" s="73"/>
      <c r="AC868" s="73"/>
      <c r="AD868" s="75"/>
      <c r="AE868" s="75"/>
      <c r="AF868" s="75"/>
      <c r="AG868" s="75"/>
      <c r="AH868" s="75"/>
      <c r="AI868" s="75"/>
      <c r="AJ868" s="75"/>
      <c r="AK868" s="75"/>
      <c r="AL868" s="75"/>
      <c r="AM868" s="75"/>
      <c r="AN868" s="75"/>
      <c r="AO868" s="75"/>
      <c r="AP868" s="75"/>
      <c r="AQ868" s="75"/>
      <c r="AR868" s="75"/>
      <c r="AS868" s="75"/>
      <c r="AT868" s="75"/>
      <c r="AU868" s="75"/>
      <c r="AV868" s="75"/>
      <c r="AW868" s="75"/>
      <c r="AX868" s="75"/>
    </row>
    <row r="869" ht="15.75" customHeight="1">
      <c r="A869" s="280" t="s">
        <v>1306</v>
      </c>
      <c r="B869" s="281" t="s">
        <v>6175</v>
      </c>
      <c r="C869" s="27" t="s">
        <v>7260</v>
      </c>
      <c r="D869" s="27" t="s">
        <v>7261</v>
      </c>
      <c r="E869" s="27" t="s">
        <v>7262</v>
      </c>
      <c r="F869" s="45"/>
      <c r="G869" s="45"/>
      <c r="H869" s="45"/>
      <c r="I869" s="286"/>
      <c r="J869" s="287"/>
      <c r="K869" s="286"/>
      <c r="L869" s="286"/>
      <c r="M869" s="286"/>
      <c r="N869" s="286"/>
      <c r="O869" s="290" t="s">
        <v>7255</v>
      </c>
      <c r="P869" s="286"/>
      <c r="Q869" s="290" t="s">
        <v>150</v>
      </c>
      <c r="R869" s="286"/>
      <c r="S869" s="286"/>
      <c r="T869" s="286"/>
      <c r="U869" s="286"/>
      <c r="V869" s="286"/>
      <c r="W869" s="286"/>
      <c r="X869" s="286"/>
      <c r="Y869" s="286"/>
      <c r="Z869" s="286"/>
      <c r="AA869" s="286"/>
      <c r="AB869" s="286"/>
      <c r="AC869" s="286"/>
      <c r="AD869" s="75"/>
      <c r="AE869" s="75"/>
      <c r="AF869" s="75"/>
      <c r="AG869" s="75"/>
      <c r="AH869" s="75"/>
      <c r="AI869" s="75"/>
      <c r="AJ869" s="75"/>
      <c r="AK869" s="75"/>
      <c r="AL869" s="75"/>
      <c r="AM869" s="75"/>
      <c r="AN869" s="75"/>
      <c r="AO869" s="75"/>
      <c r="AP869" s="75"/>
      <c r="AQ869" s="75"/>
      <c r="AR869" s="75"/>
      <c r="AS869" s="75"/>
      <c r="AT869" s="75"/>
      <c r="AU869" s="75"/>
      <c r="AV869" s="75"/>
      <c r="AW869" s="75"/>
      <c r="AX869" s="75"/>
    </row>
    <row r="870" ht="15.75" customHeight="1">
      <c r="A870" s="280" t="s">
        <v>1306</v>
      </c>
      <c r="B870" s="281" t="s">
        <v>6179</v>
      </c>
      <c r="C870" s="27" t="s">
        <v>7263</v>
      </c>
      <c r="D870" s="27" t="s">
        <v>7264</v>
      </c>
      <c r="E870" s="27" t="s">
        <v>7265</v>
      </c>
      <c r="F870" s="45"/>
      <c r="G870" s="45"/>
      <c r="H870" s="45"/>
      <c r="I870" s="286"/>
      <c r="J870" s="287"/>
      <c r="K870" s="286"/>
      <c r="L870" s="286"/>
      <c r="M870" s="286"/>
      <c r="N870" s="286"/>
      <c r="O870" s="288"/>
      <c r="P870" s="286"/>
      <c r="Q870" s="290" t="s">
        <v>150</v>
      </c>
      <c r="R870" s="286"/>
      <c r="S870" s="286"/>
      <c r="T870" s="286"/>
      <c r="U870" s="286"/>
      <c r="V870" s="286"/>
      <c r="W870" s="286"/>
      <c r="X870" s="286"/>
      <c r="Y870" s="286"/>
      <c r="Z870" s="286"/>
      <c r="AA870" s="286"/>
      <c r="AB870" s="286"/>
      <c r="AC870" s="286"/>
      <c r="AD870" s="75"/>
      <c r="AE870" s="75"/>
      <c r="AF870" s="75"/>
      <c r="AG870" s="75"/>
      <c r="AH870" s="75"/>
      <c r="AI870" s="75"/>
      <c r="AJ870" s="75"/>
      <c r="AK870" s="75"/>
      <c r="AL870" s="75"/>
      <c r="AM870" s="75"/>
      <c r="AN870" s="75"/>
      <c r="AO870" s="75"/>
      <c r="AP870" s="75"/>
      <c r="AQ870" s="75"/>
      <c r="AR870" s="75"/>
      <c r="AS870" s="75"/>
      <c r="AT870" s="75"/>
      <c r="AU870" s="75"/>
      <c r="AV870" s="75"/>
      <c r="AW870" s="75"/>
      <c r="AX870" s="75"/>
    </row>
    <row r="871" ht="15.75" customHeight="1">
      <c r="A871" s="291" t="s">
        <v>268</v>
      </c>
      <c r="B871" s="292" t="s">
        <v>6184</v>
      </c>
      <c r="C871" s="27" t="s">
        <v>7266</v>
      </c>
      <c r="D871" s="27" t="s">
        <v>7267</v>
      </c>
      <c r="E871" s="27" t="s">
        <v>7268</v>
      </c>
      <c r="F871" s="45"/>
      <c r="G871" s="45"/>
      <c r="H871" s="45"/>
      <c r="I871" s="306"/>
      <c r="J871" s="306"/>
      <c r="K871" s="307" t="s">
        <v>7247</v>
      </c>
      <c r="L871" s="308"/>
      <c r="M871" s="306"/>
      <c r="N871" s="306"/>
      <c r="O871" s="309" t="s">
        <v>7269</v>
      </c>
      <c r="P871" s="306"/>
      <c r="Q871" s="309" t="s">
        <v>150</v>
      </c>
      <c r="R871" s="306"/>
      <c r="S871" s="306"/>
      <c r="T871" s="359"/>
      <c r="U871" s="306"/>
      <c r="V871" s="306"/>
      <c r="W871" s="306"/>
      <c r="X871" s="306"/>
      <c r="Y871" s="306"/>
      <c r="Z871" s="306"/>
      <c r="AA871" s="306"/>
      <c r="AB871" s="306"/>
      <c r="AC871" s="306"/>
      <c r="AD871" s="75"/>
      <c r="AE871" s="75"/>
      <c r="AF871" s="75"/>
      <c r="AG871" s="75"/>
      <c r="AH871" s="75"/>
      <c r="AI871" s="75"/>
      <c r="AJ871" s="75"/>
      <c r="AK871" s="75"/>
      <c r="AL871" s="75"/>
      <c r="AM871" s="75"/>
      <c r="AN871" s="75"/>
      <c r="AO871" s="75"/>
      <c r="AP871" s="75"/>
      <c r="AQ871" s="75"/>
      <c r="AR871" s="75"/>
      <c r="AS871" s="75"/>
      <c r="AT871" s="75"/>
      <c r="AU871" s="75"/>
      <c r="AV871" s="75"/>
      <c r="AW871" s="75"/>
      <c r="AX871" s="75"/>
    </row>
    <row r="872" ht="15.75" customHeight="1">
      <c r="A872" s="291" t="s">
        <v>268</v>
      </c>
      <c r="B872" s="292" t="s">
        <v>6185</v>
      </c>
      <c r="C872" s="27" t="s">
        <v>7270</v>
      </c>
      <c r="D872" s="27" t="s">
        <v>7271</v>
      </c>
      <c r="E872" s="27" t="s">
        <v>7272</v>
      </c>
      <c r="F872" s="45"/>
      <c r="G872" s="45"/>
      <c r="H872" s="45"/>
      <c r="I872" s="306"/>
      <c r="J872" s="306"/>
      <c r="K872" s="391"/>
      <c r="L872" s="308"/>
      <c r="M872" s="306"/>
      <c r="N872" s="306"/>
      <c r="O872" s="309" t="s">
        <v>7269</v>
      </c>
      <c r="P872" s="306"/>
      <c r="Q872" s="309" t="s">
        <v>150</v>
      </c>
      <c r="R872" s="306"/>
      <c r="S872" s="306"/>
      <c r="T872" s="306"/>
      <c r="U872" s="306"/>
      <c r="V872" s="306"/>
      <c r="W872" s="306"/>
      <c r="X872" s="306"/>
      <c r="Y872" s="306"/>
      <c r="Z872" s="306"/>
      <c r="AA872" s="306"/>
      <c r="AB872" s="306"/>
      <c r="AC872" s="306"/>
      <c r="AD872" s="75"/>
      <c r="AE872" s="75"/>
      <c r="AF872" s="75"/>
      <c r="AG872" s="75"/>
      <c r="AH872" s="75"/>
      <c r="AI872" s="75"/>
      <c r="AJ872" s="75"/>
      <c r="AK872" s="75"/>
      <c r="AL872" s="75"/>
      <c r="AM872" s="75"/>
      <c r="AN872" s="75"/>
      <c r="AO872" s="75"/>
      <c r="AP872" s="75"/>
      <c r="AQ872" s="75"/>
      <c r="AR872" s="75"/>
      <c r="AS872" s="75"/>
      <c r="AT872" s="75"/>
      <c r="AU872" s="75"/>
      <c r="AV872" s="75"/>
      <c r="AW872" s="75"/>
      <c r="AX872" s="75"/>
    </row>
    <row r="873" ht="15.75" customHeight="1">
      <c r="A873" s="278" t="s">
        <v>38</v>
      </c>
      <c r="B873" s="279" t="s">
        <v>6189</v>
      </c>
      <c r="C873" s="27" t="s">
        <v>7273</v>
      </c>
      <c r="D873" s="27" t="s">
        <v>7274</v>
      </c>
      <c r="E873" s="27" t="s">
        <v>7275</v>
      </c>
      <c r="F873" s="45"/>
      <c r="G873" s="45"/>
      <c r="H873" s="45"/>
      <c r="I873" s="284"/>
      <c r="J873" s="284"/>
      <c r="K873" s="284"/>
      <c r="L873" s="284"/>
      <c r="M873" s="284"/>
      <c r="N873" s="284"/>
      <c r="O873" s="372"/>
      <c r="P873" s="284"/>
      <c r="Q873" s="284"/>
      <c r="R873" s="284"/>
      <c r="S873" s="284"/>
      <c r="T873" s="284"/>
      <c r="U873" s="284"/>
      <c r="V873" s="284"/>
      <c r="W873" s="284"/>
      <c r="X873" s="284"/>
      <c r="Y873" s="284"/>
      <c r="Z873" s="284"/>
      <c r="AA873" s="284"/>
      <c r="AB873" s="284"/>
      <c r="AC873" s="284"/>
      <c r="AD873" s="75"/>
      <c r="AE873" s="75"/>
      <c r="AF873" s="75"/>
      <c r="AG873" s="75"/>
      <c r="AH873" s="75"/>
      <c r="AI873" s="75"/>
      <c r="AJ873" s="75"/>
      <c r="AK873" s="75"/>
      <c r="AL873" s="75"/>
      <c r="AM873" s="75"/>
      <c r="AN873" s="75"/>
      <c r="AO873" s="75"/>
      <c r="AP873" s="75"/>
      <c r="AQ873" s="75"/>
      <c r="AR873" s="75"/>
      <c r="AS873" s="75"/>
      <c r="AT873" s="75"/>
      <c r="AU873" s="75"/>
      <c r="AV873" s="75"/>
      <c r="AW873" s="75"/>
      <c r="AX873" s="75"/>
    </row>
    <row r="874" ht="15.75" customHeight="1">
      <c r="A874" s="280" t="s">
        <v>1306</v>
      </c>
      <c r="B874" s="281" t="s">
        <v>6193</v>
      </c>
      <c r="C874" s="27" t="s">
        <v>7276</v>
      </c>
      <c r="D874" s="27" t="s">
        <v>7277</v>
      </c>
      <c r="E874" s="27" t="s">
        <v>7278</v>
      </c>
      <c r="F874" s="45"/>
      <c r="G874" s="45"/>
      <c r="H874" s="45"/>
      <c r="I874" s="286"/>
      <c r="J874" s="287"/>
      <c r="K874" s="288"/>
      <c r="L874" s="286"/>
      <c r="M874" s="286"/>
      <c r="N874" s="286"/>
      <c r="O874" s="286"/>
      <c r="P874" s="286"/>
      <c r="Q874" s="290" t="s">
        <v>150</v>
      </c>
      <c r="R874" s="286"/>
      <c r="S874" s="286"/>
      <c r="T874" s="286"/>
      <c r="U874" s="286"/>
      <c r="V874" s="286"/>
      <c r="W874" s="286"/>
      <c r="X874" s="286"/>
      <c r="Y874" s="286"/>
      <c r="Z874" s="286"/>
      <c r="AA874" s="286"/>
      <c r="AB874" s="286"/>
      <c r="AC874" s="286"/>
      <c r="AD874" s="75"/>
      <c r="AE874" s="75"/>
      <c r="AF874" s="75"/>
      <c r="AG874" s="75"/>
      <c r="AH874" s="75"/>
      <c r="AI874" s="75"/>
      <c r="AJ874" s="75"/>
      <c r="AK874" s="75"/>
      <c r="AL874" s="75"/>
      <c r="AM874" s="75"/>
      <c r="AN874" s="75"/>
      <c r="AO874" s="75"/>
      <c r="AP874" s="75"/>
      <c r="AQ874" s="75"/>
      <c r="AR874" s="75"/>
      <c r="AS874" s="75"/>
      <c r="AT874" s="75"/>
      <c r="AU874" s="75"/>
      <c r="AV874" s="75"/>
      <c r="AW874" s="75"/>
      <c r="AX874" s="75"/>
    </row>
    <row r="875" ht="15.75" customHeight="1">
      <c r="A875" s="291" t="s">
        <v>268</v>
      </c>
      <c r="B875" s="292" t="s">
        <v>6197</v>
      </c>
      <c r="C875" s="27" t="s">
        <v>7279</v>
      </c>
      <c r="D875" s="27" t="s">
        <v>7280</v>
      </c>
      <c r="E875" s="27" t="s">
        <v>7281</v>
      </c>
      <c r="F875" s="45"/>
      <c r="G875" s="45"/>
      <c r="H875" s="45"/>
      <c r="I875" s="306"/>
      <c r="J875" s="306"/>
      <c r="K875" s="391"/>
      <c r="L875" s="308"/>
      <c r="M875" s="306"/>
      <c r="N875" s="306"/>
      <c r="O875" s="309" t="s">
        <v>7282</v>
      </c>
      <c r="P875" s="306"/>
      <c r="Q875" s="309" t="s">
        <v>150</v>
      </c>
      <c r="R875" s="306"/>
      <c r="S875" s="306"/>
      <c r="T875" s="306"/>
      <c r="U875" s="306"/>
      <c r="V875" s="306"/>
      <c r="W875" s="306"/>
      <c r="X875" s="306"/>
      <c r="Y875" s="306"/>
      <c r="Z875" s="306"/>
      <c r="AA875" s="306"/>
      <c r="AB875" s="306"/>
      <c r="AC875" s="306"/>
      <c r="AD875" s="75"/>
      <c r="AE875" s="75"/>
      <c r="AF875" s="75"/>
      <c r="AG875" s="75"/>
      <c r="AH875" s="75"/>
      <c r="AI875" s="75"/>
      <c r="AJ875" s="75"/>
      <c r="AK875" s="75"/>
      <c r="AL875" s="75"/>
      <c r="AM875" s="75"/>
      <c r="AN875" s="75"/>
      <c r="AO875" s="75"/>
      <c r="AP875" s="75"/>
      <c r="AQ875" s="75"/>
      <c r="AR875" s="75"/>
      <c r="AS875" s="75"/>
      <c r="AT875" s="75"/>
      <c r="AU875" s="75"/>
      <c r="AV875" s="75"/>
      <c r="AW875" s="75"/>
      <c r="AX875" s="75"/>
    </row>
    <row r="876" ht="15.75" customHeight="1">
      <c r="A876" s="291" t="s">
        <v>268</v>
      </c>
      <c r="B876" s="292" t="s">
        <v>6201</v>
      </c>
      <c r="C876" s="27" t="s">
        <v>7283</v>
      </c>
      <c r="D876" s="27" t="s">
        <v>7284</v>
      </c>
      <c r="E876" s="27" t="s">
        <v>7285</v>
      </c>
      <c r="F876" s="45"/>
      <c r="G876" s="45"/>
      <c r="H876" s="45"/>
      <c r="I876" s="306"/>
      <c r="J876" s="306"/>
      <c r="K876" s="308"/>
      <c r="L876" s="308"/>
      <c r="M876" s="306"/>
      <c r="N876" s="306"/>
      <c r="O876" s="306"/>
      <c r="P876" s="306"/>
      <c r="Q876" s="309" t="s">
        <v>150</v>
      </c>
      <c r="R876" s="306"/>
      <c r="S876" s="306"/>
      <c r="T876" s="359"/>
      <c r="U876" s="306"/>
      <c r="V876" s="306"/>
      <c r="W876" s="306"/>
      <c r="X876" s="306"/>
      <c r="Y876" s="306"/>
      <c r="Z876" s="306"/>
      <c r="AA876" s="306"/>
      <c r="AB876" s="306"/>
      <c r="AC876" s="306"/>
      <c r="AD876" s="75"/>
      <c r="AE876" s="75"/>
      <c r="AF876" s="75"/>
      <c r="AG876" s="75"/>
      <c r="AH876" s="75"/>
      <c r="AI876" s="75"/>
      <c r="AJ876" s="75"/>
      <c r="AK876" s="75"/>
      <c r="AL876" s="75"/>
      <c r="AM876" s="75"/>
      <c r="AN876" s="75"/>
      <c r="AO876" s="75"/>
      <c r="AP876" s="75"/>
      <c r="AQ876" s="75"/>
      <c r="AR876" s="75"/>
      <c r="AS876" s="75"/>
      <c r="AT876" s="75"/>
      <c r="AU876" s="75"/>
      <c r="AV876" s="75"/>
      <c r="AW876" s="75"/>
      <c r="AX876" s="75"/>
    </row>
    <row r="877" ht="15.75" customHeight="1">
      <c r="A877" s="168" t="s">
        <v>127</v>
      </c>
      <c r="B877" s="71" t="s">
        <v>6202</v>
      </c>
      <c r="C877" s="72"/>
      <c r="D877" s="72"/>
      <c r="E877" s="72"/>
      <c r="F877" s="73"/>
      <c r="G877" s="73"/>
      <c r="H877" s="73"/>
      <c r="I877" s="73"/>
      <c r="J877" s="73"/>
      <c r="K877" s="73"/>
      <c r="L877" s="73"/>
      <c r="M877" s="73"/>
      <c r="N877" s="73"/>
      <c r="O877" s="73"/>
      <c r="P877" s="73"/>
      <c r="Q877" s="73"/>
      <c r="R877" s="73"/>
      <c r="S877" s="73"/>
      <c r="T877" s="74" t="s">
        <v>129</v>
      </c>
      <c r="U877" s="73"/>
      <c r="V877" s="73"/>
      <c r="W877" s="73"/>
      <c r="X877" s="73"/>
      <c r="Y877" s="73"/>
      <c r="Z877" s="73"/>
      <c r="AA877" s="73"/>
      <c r="AB877" s="73"/>
      <c r="AC877" s="73"/>
      <c r="AD877" s="75"/>
      <c r="AE877" s="75"/>
      <c r="AF877" s="75"/>
      <c r="AG877" s="75"/>
      <c r="AH877" s="75"/>
      <c r="AI877" s="75"/>
      <c r="AJ877" s="75"/>
      <c r="AK877" s="75"/>
      <c r="AL877" s="75"/>
      <c r="AM877" s="75"/>
      <c r="AN877" s="75"/>
      <c r="AO877" s="75"/>
      <c r="AP877" s="75"/>
      <c r="AQ877" s="75"/>
      <c r="AR877" s="75"/>
      <c r="AS877" s="75"/>
      <c r="AT877" s="75"/>
      <c r="AU877" s="75"/>
      <c r="AV877" s="75"/>
      <c r="AW877" s="75"/>
      <c r="AX877" s="75"/>
    </row>
    <row r="878" ht="15.75" customHeight="1">
      <c r="A878" s="168" t="s">
        <v>68</v>
      </c>
      <c r="B878" s="71" t="s">
        <v>6203</v>
      </c>
      <c r="C878" s="72"/>
      <c r="D878" s="72"/>
      <c r="E878" s="72"/>
      <c r="F878" s="73"/>
      <c r="G878" s="73"/>
      <c r="H878" s="73"/>
      <c r="I878" s="73"/>
      <c r="J878" s="73"/>
      <c r="K878" s="73"/>
      <c r="L878" s="73"/>
      <c r="M878" s="73"/>
      <c r="N878" s="73"/>
      <c r="O878" s="73"/>
      <c r="P878" s="73"/>
      <c r="Q878" s="73"/>
      <c r="R878" s="73"/>
      <c r="S878" s="73"/>
      <c r="T878" s="74" t="s">
        <v>7286</v>
      </c>
      <c r="U878" s="73"/>
      <c r="V878" s="73"/>
      <c r="W878" s="73"/>
      <c r="X878" s="73"/>
      <c r="Y878" s="73"/>
      <c r="Z878" s="73"/>
      <c r="AA878" s="73"/>
      <c r="AB878" s="73"/>
      <c r="AC878" s="73"/>
      <c r="AD878" s="75"/>
      <c r="AE878" s="75"/>
      <c r="AF878" s="75"/>
      <c r="AG878" s="75"/>
      <c r="AH878" s="75"/>
      <c r="AI878" s="75"/>
      <c r="AJ878" s="75"/>
      <c r="AK878" s="75"/>
      <c r="AL878" s="75"/>
      <c r="AM878" s="75"/>
      <c r="AN878" s="75"/>
      <c r="AO878" s="75"/>
      <c r="AP878" s="75"/>
      <c r="AQ878" s="75"/>
      <c r="AR878" s="75"/>
      <c r="AS878" s="75"/>
      <c r="AT878" s="75"/>
      <c r="AU878" s="75"/>
      <c r="AV878" s="75"/>
      <c r="AW878" s="75"/>
      <c r="AX878" s="75"/>
    </row>
    <row r="879" ht="15.75" customHeight="1">
      <c r="A879" s="320"/>
      <c r="B879" s="321"/>
      <c r="C879" s="191"/>
      <c r="D879" s="191"/>
      <c r="E879" s="191"/>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row>
    <row r="880" ht="15.75" customHeight="1">
      <c r="A880" s="168" t="s">
        <v>127</v>
      </c>
      <c r="B880" s="71" t="s">
        <v>6204</v>
      </c>
      <c r="C880" s="72"/>
      <c r="D880" s="72"/>
      <c r="E880" s="72"/>
      <c r="F880" s="73"/>
      <c r="G880" s="73"/>
      <c r="H880" s="73"/>
      <c r="I880" s="73"/>
      <c r="J880" s="73"/>
      <c r="K880" s="73"/>
      <c r="L880" s="73"/>
      <c r="M880" s="73"/>
      <c r="N880" s="73"/>
      <c r="O880" s="73"/>
      <c r="P880" s="73"/>
      <c r="Q880" s="73"/>
      <c r="R880" s="73"/>
      <c r="S880" s="73"/>
      <c r="T880" s="74" t="s">
        <v>129</v>
      </c>
      <c r="U880" s="73"/>
      <c r="V880" s="73"/>
      <c r="W880" s="73"/>
      <c r="X880" s="73"/>
      <c r="Y880" s="73"/>
      <c r="Z880" s="73"/>
      <c r="AA880" s="73"/>
      <c r="AB880" s="73"/>
      <c r="AC880" s="73"/>
      <c r="AD880" s="75"/>
      <c r="AE880" s="75"/>
      <c r="AF880" s="75"/>
      <c r="AG880" s="75"/>
      <c r="AH880" s="75"/>
      <c r="AI880" s="75"/>
      <c r="AJ880" s="75"/>
      <c r="AK880" s="75"/>
      <c r="AL880" s="75"/>
      <c r="AM880" s="75"/>
      <c r="AN880" s="75"/>
      <c r="AO880" s="75"/>
      <c r="AP880" s="75"/>
      <c r="AQ880" s="75"/>
      <c r="AR880" s="75"/>
      <c r="AS880" s="75"/>
      <c r="AT880" s="75"/>
      <c r="AU880" s="75"/>
      <c r="AV880" s="75"/>
      <c r="AW880" s="75"/>
      <c r="AX880" s="75"/>
    </row>
    <row r="881" ht="15.75" customHeight="1">
      <c r="A881" s="280" t="s">
        <v>1306</v>
      </c>
      <c r="B881" s="281" t="s">
        <v>6205</v>
      </c>
      <c r="C881" s="27" t="s">
        <v>7287</v>
      </c>
      <c r="D881" s="27" t="s">
        <v>7288</v>
      </c>
      <c r="E881" s="27" t="s">
        <v>7289</v>
      </c>
      <c r="F881" s="45"/>
      <c r="G881" s="45"/>
      <c r="H881" s="45"/>
      <c r="I881" s="286"/>
      <c r="J881" s="287"/>
      <c r="K881" s="286"/>
      <c r="L881" s="286"/>
      <c r="M881" s="286"/>
      <c r="N881" s="286"/>
      <c r="O881" s="286"/>
      <c r="P881" s="392"/>
      <c r="Q881" s="290" t="s">
        <v>150</v>
      </c>
      <c r="R881" s="286"/>
      <c r="S881" s="286"/>
      <c r="T881" s="286"/>
      <c r="U881" s="286"/>
      <c r="V881" s="286"/>
      <c r="W881" s="286"/>
      <c r="X881" s="286"/>
      <c r="Y881" s="286"/>
      <c r="Z881" s="286"/>
      <c r="AA881" s="286"/>
      <c r="AB881" s="286"/>
      <c r="AC881" s="286"/>
      <c r="AD881" s="75"/>
      <c r="AE881" s="75"/>
      <c r="AF881" s="75"/>
      <c r="AG881" s="75"/>
      <c r="AH881" s="75"/>
      <c r="AI881" s="75"/>
      <c r="AJ881" s="75"/>
      <c r="AK881" s="75"/>
      <c r="AL881" s="75"/>
      <c r="AM881" s="75"/>
      <c r="AN881" s="75"/>
      <c r="AO881" s="75"/>
      <c r="AP881" s="75"/>
      <c r="AQ881" s="75"/>
      <c r="AR881" s="75"/>
      <c r="AS881" s="75"/>
      <c r="AT881" s="75"/>
      <c r="AU881" s="75"/>
      <c r="AV881" s="75"/>
      <c r="AW881" s="75"/>
      <c r="AX881" s="75"/>
    </row>
    <row r="882" ht="15.75" customHeight="1">
      <c r="A882" s="280" t="s">
        <v>6212</v>
      </c>
      <c r="B882" s="281" t="s">
        <v>6213</v>
      </c>
      <c r="C882" s="27" t="s">
        <v>7290</v>
      </c>
      <c r="D882" s="27" t="s">
        <v>7291</v>
      </c>
      <c r="E882" s="27" t="s">
        <v>7292</v>
      </c>
      <c r="F882" s="45" t="s">
        <v>1920</v>
      </c>
      <c r="G882" s="45" t="s">
        <v>6183</v>
      </c>
      <c r="H882" s="45" t="s">
        <v>1922</v>
      </c>
      <c r="I882" s="286"/>
      <c r="J882" s="287"/>
      <c r="K882" s="286"/>
      <c r="L882" s="286"/>
      <c r="M882" s="286"/>
      <c r="N882" s="286"/>
      <c r="O882" s="290" t="s">
        <v>7293</v>
      </c>
      <c r="P882" s="392"/>
      <c r="Q882" s="290" t="s">
        <v>150</v>
      </c>
      <c r="R882" s="286"/>
      <c r="S882" s="286"/>
      <c r="T882" s="286"/>
      <c r="U882" s="286"/>
      <c r="V882" s="286"/>
      <c r="W882" s="286"/>
      <c r="X882" s="286"/>
      <c r="Y882" s="286"/>
      <c r="Z882" s="286"/>
      <c r="AA882" s="286"/>
      <c r="AB882" s="286"/>
      <c r="AC882" s="286"/>
      <c r="AD882" s="75"/>
      <c r="AE882" s="75"/>
      <c r="AF882" s="75"/>
      <c r="AG882" s="75"/>
      <c r="AH882" s="75"/>
      <c r="AI882" s="75"/>
      <c r="AJ882" s="75"/>
      <c r="AK882" s="75"/>
      <c r="AL882" s="75"/>
      <c r="AM882" s="75"/>
      <c r="AN882" s="75"/>
      <c r="AO882" s="75"/>
      <c r="AP882" s="75"/>
      <c r="AQ882" s="75"/>
      <c r="AR882" s="75"/>
      <c r="AS882" s="75"/>
      <c r="AT882" s="75"/>
      <c r="AU882" s="75"/>
      <c r="AV882" s="75"/>
      <c r="AW882" s="75"/>
      <c r="AX882" s="75"/>
    </row>
    <row r="883" ht="15.75" customHeight="1">
      <c r="A883" s="282" t="s">
        <v>252</v>
      </c>
      <c r="B883" s="283" t="s">
        <v>6217</v>
      </c>
      <c r="C883" s="27" t="s">
        <v>7294</v>
      </c>
      <c r="D883" s="27" t="s">
        <v>7295</v>
      </c>
      <c r="E883" s="27" t="s">
        <v>7296</v>
      </c>
      <c r="F883" s="45"/>
      <c r="G883" s="45"/>
      <c r="H883" s="45"/>
      <c r="I883" s="293"/>
      <c r="J883" s="294"/>
      <c r="K883" s="293"/>
      <c r="L883" s="293"/>
      <c r="M883" s="293"/>
      <c r="N883" s="293"/>
      <c r="O883" s="296" t="s">
        <v>7297</v>
      </c>
      <c r="P883" s="393"/>
      <c r="Q883" s="293"/>
      <c r="R883" s="293"/>
      <c r="S883" s="293"/>
      <c r="T883" s="293"/>
      <c r="U883" s="293"/>
      <c r="V883" s="293"/>
      <c r="W883" s="293"/>
      <c r="X883" s="293"/>
      <c r="Y883" s="293"/>
      <c r="Z883" s="293"/>
      <c r="AA883" s="293"/>
      <c r="AB883" s="293"/>
      <c r="AC883" s="293"/>
      <c r="AD883" s="75"/>
      <c r="AE883" s="75"/>
      <c r="AF883" s="75"/>
      <c r="AG883" s="75"/>
      <c r="AH883" s="75"/>
      <c r="AI883" s="75"/>
      <c r="AJ883" s="75"/>
      <c r="AK883" s="75"/>
      <c r="AL883" s="75"/>
      <c r="AM883" s="75"/>
      <c r="AN883" s="75"/>
      <c r="AO883" s="75"/>
      <c r="AP883" s="75"/>
      <c r="AQ883" s="75"/>
      <c r="AR883" s="75"/>
      <c r="AS883" s="75"/>
      <c r="AT883" s="75"/>
      <c r="AU883" s="75"/>
      <c r="AV883" s="75"/>
      <c r="AW883" s="75"/>
      <c r="AX883" s="75"/>
    </row>
    <row r="884" ht="15.75" customHeight="1">
      <c r="A884" s="168" t="s">
        <v>68</v>
      </c>
      <c r="B884" s="71" t="s">
        <v>6221</v>
      </c>
      <c r="C884" s="72"/>
      <c r="D884" s="72"/>
      <c r="E884" s="72"/>
      <c r="F884" s="73"/>
      <c r="G884" s="73"/>
      <c r="H884" s="73"/>
      <c r="I884" s="73"/>
      <c r="J884" s="73"/>
      <c r="K884" s="73"/>
      <c r="L884" s="73"/>
      <c r="M884" s="73"/>
      <c r="N884" s="73"/>
      <c r="O884" s="73"/>
      <c r="P884" s="384"/>
      <c r="Q884" s="73"/>
      <c r="R884" s="73"/>
      <c r="S884" s="73"/>
      <c r="T884" s="74" t="s">
        <v>7298</v>
      </c>
      <c r="U884" s="73"/>
      <c r="V884" s="73"/>
      <c r="W884" s="73"/>
      <c r="X884" s="73"/>
      <c r="Y884" s="73"/>
      <c r="Z884" s="73"/>
      <c r="AA884" s="73"/>
      <c r="AB884" s="73"/>
      <c r="AC884" s="73"/>
      <c r="AD884" s="75"/>
      <c r="AE884" s="75"/>
      <c r="AF884" s="75"/>
      <c r="AG884" s="75"/>
      <c r="AH884" s="75"/>
      <c r="AI884" s="75"/>
      <c r="AJ884" s="75"/>
      <c r="AK884" s="75"/>
      <c r="AL884" s="75"/>
      <c r="AM884" s="75"/>
      <c r="AN884" s="75"/>
      <c r="AO884" s="75"/>
      <c r="AP884" s="75"/>
      <c r="AQ884" s="75"/>
      <c r="AR884" s="75"/>
      <c r="AS884" s="75"/>
      <c r="AT884" s="75"/>
      <c r="AU884" s="75"/>
      <c r="AV884" s="75"/>
      <c r="AW884" s="75"/>
      <c r="AX884" s="75"/>
    </row>
    <row r="885" ht="15.75" customHeight="1">
      <c r="A885" s="280" t="s">
        <v>1306</v>
      </c>
      <c r="B885" s="281" t="s">
        <v>6222</v>
      </c>
      <c r="C885" s="27" t="s">
        <v>7299</v>
      </c>
      <c r="D885" s="27" t="s">
        <v>7300</v>
      </c>
      <c r="E885" s="27" t="s">
        <v>7301</v>
      </c>
      <c r="F885" s="45"/>
      <c r="G885" s="45"/>
      <c r="H885" s="45"/>
      <c r="I885" s="286"/>
      <c r="J885" s="287"/>
      <c r="K885" s="286"/>
      <c r="L885" s="286"/>
      <c r="M885" s="286"/>
      <c r="N885" s="286"/>
      <c r="O885" s="290" t="s">
        <v>7293</v>
      </c>
      <c r="P885" s="286"/>
      <c r="Q885" s="290" t="s">
        <v>150</v>
      </c>
      <c r="R885" s="286"/>
      <c r="S885" s="286"/>
      <c r="T885" s="286"/>
      <c r="U885" s="286"/>
      <c r="V885" s="286"/>
      <c r="W885" s="286"/>
      <c r="X885" s="286"/>
      <c r="Y885" s="286"/>
      <c r="Z885" s="286"/>
      <c r="AA885" s="286"/>
      <c r="AB885" s="286"/>
      <c r="AC885" s="286"/>
      <c r="AD885" s="75"/>
      <c r="AE885" s="75"/>
      <c r="AF885" s="75"/>
      <c r="AG885" s="75"/>
      <c r="AH885" s="75"/>
      <c r="AI885" s="75"/>
      <c r="AJ885" s="75"/>
      <c r="AK885" s="75"/>
      <c r="AL885" s="75"/>
      <c r="AM885" s="75"/>
      <c r="AN885" s="75"/>
      <c r="AO885" s="75"/>
      <c r="AP885" s="75"/>
      <c r="AQ885" s="75"/>
      <c r="AR885" s="75"/>
      <c r="AS885" s="75"/>
      <c r="AT885" s="75"/>
      <c r="AU885" s="75"/>
      <c r="AV885" s="75"/>
      <c r="AW885" s="75"/>
      <c r="AX885" s="75"/>
    </row>
    <row r="886" ht="15.75" customHeight="1">
      <c r="A886" s="291" t="s">
        <v>268</v>
      </c>
      <c r="B886" s="292" t="s">
        <v>6226</v>
      </c>
      <c r="C886" s="27" t="s">
        <v>7302</v>
      </c>
      <c r="D886" s="27" t="s">
        <v>7303</v>
      </c>
      <c r="E886" s="27" t="s">
        <v>7304</v>
      </c>
      <c r="F886" s="45"/>
      <c r="G886" s="45"/>
      <c r="H886" s="45"/>
      <c r="I886" s="306"/>
      <c r="J886" s="306"/>
      <c r="K886" s="308"/>
      <c r="L886" s="308"/>
      <c r="M886" s="306"/>
      <c r="N886" s="306"/>
      <c r="O886" s="309" t="s">
        <v>7293</v>
      </c>
      <c r="P886" s="306"/>
      <c r="Q886" s="309" t="s">
        <v>150</v>
      </c>
      <c r="R886" s="306"/>
      <c r="S886" s="306"/>
      <c r="T886" s="306"/>
      <c r="U886" s="306"/>
      <c r="V886" s="306"/>
      <c r="W886" s="306"/>
      <c r="X886" s="306"/>
      <c r="Y886" s="306"/>
      <c r="Z886" s="306"/>
      <c r="AA886" s="306"/>
      <c r="AB886" s="306"/>
      <c r="AC886" s="306"/>
      <c r="AD886" s="75"/>
      <c r="AE886" s="75"/>
      <c r="AF886" s="75"/>
      <c r="AG886" s="75"/>
      <c r="AH886" s="75"/>
      <c r="AI886" s="75"/>
      <c r="AJ886" s="75"/>
      <c r="AK886" s="75"/>
      <c r="AL886" s="75"/>
      <c r="AM886" s="75"/>
      <c r="AN886" s="75"/>
      <c r="AO886" s="75"/>
      <c r="AP886" s="75"/>
      <c r="AQ886" s="75"/>
      <c r="AR886" s="75"/>
      <c r="AS886" s="75"/>
      <c r="AT886" s="75"/>
      <c r="AU886" s="75"/>
      <c r="AV886" s="75"/>
      <c r="AW886" s="75"/>
      <c r="AX886" s="75"/>
    </row>
    <row r="887" ht="15.75" customHeight="1">
      <c r="A887" s="291" t="s">
        <v>268</v>
      </c>
      <c r="B887" s="292" t="s">
        <v>6230</v>
      </c>
      <c r="C887" s="27" t="s">
        <v>7305</v>
      </c>
      <c r="D887" s="27" t="s">
        <v>7306</v>
      </c>
      <c r="E887" s="27" t="s">
        <v>7307</v>
      </c>
      <c r="F887" s="45"/>
      <c r="G887" s="45"/>
      <c r="H887" s="45"/>
      <c r="I887" s="306"/>
      <c r="J887" s="306"/>
      <c r="K887" s="308"/>
      <c r="L887" s="308"/>
      <c r="M887" s="306"/>
      <c r="N887" s="306"/>
      <c r="O887" s="309" t="s">
        <v>7308</v>
      </c>
      <c r="P887" s="306"/>
      <c r="Q887" s="309" t="s">
        <v>150</v>
      </c>
      <c r="R887" s="306"/>
      <c r="S887" s="306"/>
      <c r="T887" s="306"/>
      <c r="U887" s="306"/>
      <c r="V887" s="306"/>
      <c r="W887" s="306"/>
      <c r="X887" s="306"/>
      <c r="Y887" s="306"/>
      <c r="Z887" s="306"/>
      <c r="AA887" s="306"/>
      <c r="AB887" s="306"/>
      <c r="AC887" s="306"/>
      <c r="AD887" s="75"/>
      <c r="AE887" s="75"/>
      <c r="AF887" s="75"/>
      <c r="AG887" s="75"/>
      <c r="AH887" s="75"/>
      <c r="AI887" s="75"/>
      <c r="AJ887" s="75"/>
      <c r="AK887" s="75"/>
      <c r="AL887" s="75"/>
      <c r="AM887" s="75"/>
      <c r="AN887" s="75"/>
      <c r="AO887" s="75"/>
      <c r="AP887" s="75"/>
      <c r="AQ887" s="75"/>
      <c r="AR887" s="75"/>
      <c r="AS887" s="75"/>
      <c r="AT887" s="75"/>
      <c r="AU887" s="75"/>
      <c r="AV887" s="75"/>
      <c r="AW887" s="75"/>
      <c r="AX887" s="75"/>
    </row>
    <row r="888" ht="15.75" customHeight="1">
      <c r="A888" s="320"/>
      <c r="B888" s="321"/>
      <c r="C888" s="191"/>
      <c r="D888" s="191"/>
      <c r="E888" s="191"/>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row>
    <row r="889" ht="15.75" customHeight="1">
      <c r="A889" s="285" t="s">
        <v>426</v>
      </c>
      <c r="B889" s="171" t="s">
        <v>6231</v>
      </c>
      <c r="C889" s="172" t="s">
        <v>6232</v>
      </c>
      <c r="D889" s="172"/>
      <c r="E889" s="172"/>
      <c r="F889" s="304"/>
      <c r="G889" s="304"/>
      <c r="H889" s="304"/>
      <c r="I889" s="304"/>
      <c r="J889" s="304"/>
      <c r="K889" s="304"/>
      <c r="L889" s="304"/>
      <c r="M889" s="305"/>
      <c r="N889" s="305"/>
      <c r="O889" s="305"/>
      <c r="P889" s="304"/>
      <c r="Q889" s="304"/>
      <c r="R889" s="304"/>
      <c r="S889" s="304"/>
      <c r="T889" s="304"/>
      <c r="U889" s="176" t="s">
        <v>7309</v>
      </c>
      <c r="V889" s="304"/>
      <c r="W889" s="304"/>
      <c r="X889" s="304"/>
      <c r="Y889" s="304"/>
      <c r="Z889" s="304"/>
      <c r="AA889" s="304"/>
      <c r="AB889" s="304"/>
      <c r="AC889" s="304"/>
      <c r="AD889" s="75"/>
      <c r="AE889" s="75"/>
      <c r="AF889" s="75"/>
      <c r="AG889" s="75"/>
      <c r="AH889" s="75"/>
      <c r="AI889" s="75"/>
      <c r="AJ889" s="75"/>
      <c r="AK889" s="75"/>
      <c r="AL889" s="75"/>
      <c r="AM889" s="75"/>
      <c r="AN889" s="75"/>
      <c r="AO889" s="75"/>
      <c r="AP889" s="75"/>
      <c r="AQ889" s="75"/>
      <c r="AR889" s="75"/>
      <c r="AS889" s="75"/>
      <c r="AT889" s="75"/>
      <c r="AU889" s="75"/>
      <c r="AV889" s="75"/>
      <c r="AW889" s="75"/>
      <c r="AX889" s="75"/>
    </row>
    <row r="890" ht="15.75" customHeight="1">
      <c r="A890" s="168" t="s">
        <v>68</v>
      </c>
      <c r="B890" s="71" t="s">
        <v>6233</v>
      </c>
      <c r="C890" s="72"/>
      <c r="D890" s="72"/>
      <c r="E890" s="72"/>
      <c r="F890" s="73"/>
      <c r="G890" s="73"/>
      <c r="H890" s="73"/>
      <c r="I890" s="73"/>
      <c r="J890" s="73"/>
      <c r="K890" s="73"/>
      <c r="L890" s="73"/>
      <c r="M890" s="73"/>
      <c r="N890" s="73"/>
      <c r="O890" s="73"/>
      <c r="P890" s="73"/>
      <c r="Q890" s="73"/>
      <c r="R890" s="73"/>
      <c r="S890" s="73"/>
      <c r="T890" s="74" t="s">
        <v>7310</v>
      </c>
      <c r="U890" s="73"/>
      <c r="V890" s="73"/>
      <c r="W890" s="73"/>
      <c r="X890" s="73"/>
      <c r="Y890" s="73"/>
      <c r="Z890" s="73"/>
      <c r="AA890" s="73"/>
      <c r="AB890" s="73"/>
      <c r="AC890" s="73"/>
      <c r="AD890" s="75"/>
      <c r="AE890" s="75"/>
      <c r="AF890" s="75"/>
      <c r="AG890" s="75"/>
      <c r="AH890" s="75"/>
      <c r="AI890" s="75"/>
      <c r="AJ890" s="75"/>
      <c r="AK890" s="75"/>
      <c r="AL890" s="75"/>
      <c r="AM890" s="75"/>
      <c r="AN890" s="75"/>
      <c r="AO890" s="75"/>
      <c r="AP890" s="75"/>
      <c r="AQ890" s="75"/>
      <c r="AR890" s="75"/>
      <c r="AS890" s="75"/>
      <c r="AT890" s="75"/>
      <c r="AU890" s="75"/>
      <c r="AV890" s="75"/>
      <c r="AW890" s="75"/>
      <c r="AX890" s="75"/>
    </row>
    <row r="891" ht="15.75" customHeight="1">
      <c r="A891" s="168" t="s">
        <v>68</v>
      </c>
      <c r="B891" s="71" t="s">
        <v>6234</v>
      </c>
      <c r="C891" s="103"/>
      <c r="D891" s="72"/>
      <c r="E891" s="72"/>
      <c r="F891" s="73"/>
      <c r="G891" s="73"/>
      <c r="H891" s="73"/>
      <c r="I891" s="73"/>
      <c r="J891" s="73"/>
      <c r="K891" s="73"/>
      <c r="L891" s="73"/>
      <c r="M891" s="73"/>
      <c r="N891" s="73"/>
      <c r="O891" s="73"/>
      <c r="P891" s="73"/>
      <c r="Q891" s="73"/>
      <c r="R891" s="73"/>
      <c r="S891" s="73"/>
      <c r="T891" s="74" t="s">
        <v>7311</v>
      </c>
      <c r="U891" s="223"/>
      <c r="V891" s="73"/>
      <c r="W891" s="73"/>
      <c r="X891" s="73"/>
      <c r="Y891" s="73"/>
      <c r="Z891" s="73"/>
      <c r="AA891" s="73"/>
      <c r="AB891" s="73"/>
      <c r="AC891" s="73"/>
      <c r="AD891" s="75"/>
      <c r="AE891" s="75"/>
      <c r="AF891" s="75"/>
      <c r="AG891" s="75"/>
      <c r="AH891" s="75"/>
      <c r="AI891" s="75"/>
      <c r="AJ891" s="75"/>
      <c r="AK891" s="75"/>
      <c r="AL891" s="75"/>
      <c r="AM891" s="75"/>
      <c r="AN891" s="75"/>
      <c r="AO891" s="75"/>
      <c r="AP891" s="75"/>
      <c r="AQ891" s="75"/>
      <c r="AR891" s="75"/>
      <c r="AS891" s="75"/>
      <c r="AT891" s="75"/>
      <c r="AU891" s="75"/>
      <c r="AV891" s="75"/>
      <c r="AW891" s="75"/>
      <c r="AX891" s="75"/>
    </row>
    <row r="892" ht="15.75" customHeight="1">
      <c r="A892" s="168" t="s">
        <v>68</v>
      </c>
      <c r="B892" s="71" t="s">
        <v>6235</v>
      </c>
      <c r="C892" s="72"/>
      <c r="D892" s="72"/>
      <c r="E892" s="72"/>
      <c r="F892" s="73"/>
      <c r="G892" s="73"/>
      <c r="H892" s="73"/>
      <c r="I892" s="73"/>
      <c r="J892" s="73"/>
      <c r="K892" s="73"/>
      <c r="L892" s="73"/>
      <c r="M892" s="73"/>
      <c r="N892" s="73"/>
      <c r="O892" s="73"/>
      <c r="P892" s="73"/>
      <c r="Q892" s="73"/>
      <c r="R892" s="73"/>
      <c r="S892" s="73"/>
      <c r="T892" s="177" t="s">
        <v>7312</v>
      </c>
      <c r="U892" s="73"/>
      <c r="V892" s="73"/>
      <c r="W892" s="73"/>
      <c r="X892" s="73"/>
      <c r="Y892" s="73"/>
      <c r="Z892" s="73"/>
      <c r="AA892" s="73"/>
      <c r="AB892" s="73"/>
      <c r="AC892" s="73"/>
      <c r="AD892" s="75"/>
      <c r="AE892" s="75"/>
      <c r="AF892" s="75"/>
      <c r="AG892" s="75"/>
      <c r="AH892" s="75"/>
      <c r="AI892" s="75"/>
      <c r="AJ892" s="75"/>
      <c r="AK892" s="75"/>
      <c r="AL892" s="75"/>
      <c r="AM892" s="75"/>
      <c r="AN892" s="75"/>
      <c r="AO892" s="75"/>
      <c r="AP892" s="75"/>
      <c r="AQ892" s="75"/>
      <c r="AR892" s="75"/>
      <c r="AS892" s="75"/>
      <c r="AT892" s="75"/>
      <c r="AU892" s="75"/>
      <c r="AV892" s="75"/>
      <c r="AW892" s="75"/>
      <c r="AX892" s="75"/>
    </row>
    <row r="893" ht="15.75" customHeight="1">
      <c r="A893" s="291" t="s">
        <v>268</v>
      </c>
      <c r="B893" s="292" t="s">
        <v>6236</v>
      </c>
      <c r="C893" s="27" t="s">
        <v>7313</v>
      </c>
      <c r="D893" s="27" t="s">
        <v>7314</v>
      </c>
      <c r="E893" s="27" t="s">
        <v>7315</v>
      </c>
      <c r="F893" s="45"/>
      <c r="G893" s="45"/>
      <c r="H893" s="45"/>
      <c r="I893" s="306"/>
      <c r="J893" s="306"/>
      <c r="K893" s="307" t="s">
        <v>7247</v>
      </c>
      <c r="L893" s="308"/>
      <c r="M893" s="306"/>
      <c r="N893" s="306"/>
      <c r="O893" s="309" t="s">
        <v>7316</v>
      </c>
      <c r="P893" s="306"/>
      <c r="Q893" s="309" t="s">
        <v>150</v>
      </c>
      <c r="R893" s="306"/>
      <c r="S893" s="306"/>
      <c r="T893" s="359"/>
      <c r="U893" s="306"/>
      <c r="V893" s="306"/>
      <c r="W893" s="306"/>
      <c r="X893" s="306"/>
      <c r="Y893" s="306"/>
      <c r="Z893" s="306"/>
      <c r="AA893" s="306"/>
      <c r="AB893" s="306"/>
      <c r="AC893" s="306"/>
      <c r="AD893" s="75"/>
      <c r="AE893" s="75"/>
      <c r="AF893" s="75"/>
      <c r="AG893" s="75"/>
      <c r="AH893" s="75"/>
      <c r="AI893" s="75"/>
      <c r="AJ893" s="75"/>
      <c r="AK893" s="75"/>
      <c r="AL893" s="75"/>
      <c r="AM893" s="75"/>
      <c r="AN893" s="75"/>
      <c r="AO893" s="75"/>
      <c r="AP893" s="75"/>
      <c r="AQ893" s="75"/>
      <c r="AR893" s="75"/>
      <c r="AS893" s="75"/>
      <c r="AT893" s="75"/>
      <c r="AU893" s="75"/>
      <c r="AV893" s="75"/>
      <c r="AW893" s="75"/>
      <c r="AX893" s="75"/>
    </row>
    <row r="894" ht="15.75" customHeight="1">
      <c r="A894" s="285" t="s">
        <v>468</v>
      </c>
      <c r="B894" s="185" t="s">
        <v>6231</v>
      </c>
      <c r="C894" s="186" t="s">
        <v>6232</v>
      </c>
      <c r="D894" s="186"/>
      <c r="E894" s="186"/>
      <c r="F894" s="304"/>
      <c r="G894" s="304"/>
      <c r="H894" s="304"/>
      <c r="I894" s="304"/>
      <c r="J894" s="304"/>
      <c r="K894" s="304"/>
      <c r="L894" s="304"/>
      <c r="M894" s="304"/>
      <c r="N894" s="304"/>
      <c r="O894" s="304"/>
      <c r="P894" s="304"/>
      <c r="Q894" s="304"/>
      <c r="R894" s="304"/>
      <c r="S894" s="304"/>
      <c r="T894" s="304"/>
      <c r="U894" s="304"/>
      <c r="V894" s="304"/>
      <c r="W894" s="304"/>
      <c r="X894" s="304"/>
      <c r="Y894" s="304"/>
      <c r="Z894" s="304"/>
      <c r="AA894" s="304"/>
      <c r="AB894" s="304"/>
      <c r="AC894" s="304"/>
      <c r="AD894" s="75"/>
      <c r="AE894" s="75"/>
      <c r="AF894" s="75"/>
      <c r="AG894" s="75"/>
      <c r="AH894" s="75"/>
      <c r="AI894" s="75"/>
      <c r="AJ894" s="75"/>
      <c r="AK894" s="75"/>
      <c r="AL894" s="75"/>
      <c r="AM894" s="75"/>
      <c r="AN894" s="75"/>
      <c r="AO894" s="75"/>
      <c r="AP894" s="75"/>
      <c r="AQ894" s="75"/>
      <c r="AR894" s="75"/>
      <c r="AS894" s="75"/>
      <c r="AT894" s="75"/>
      <c r="AU894" s="75"/>
      <c r="AV894" s="75"/>
      <c r="AW894" s="75"/>
      <c r="AX894" s="75"/>
    </row>
    <row r="895" ht="15.75" customHeight="1">
      <c r="A895" s="168" t="s">
        <v>127</v>
      </c>
      <c r="B895" s="71" t="s">
        <v>6237</v>
      </c>
      <c r="C895" s="72"/>
      <c r="D895" s="72"/>
      <c r="E895" s="72"/>
      <c r="F895" s="73"/>
      <c r="G895" s="73"/>
      <c r="H895" s="73"/>
      <c r="I895" s="73"/>
      <c r="J895" s="73"/>
      <c r="K895" s="73"/>
      <c r="L895" s="73"/>
      <c r="M895" s="73"/>
      <c r="N895" s="73"/>
      <c r="O895" s="73"/>
      <c r="P895" s="73"/>
      <c r="Q895" s="73"/>
      <c r="R895" s="73"/>
      <c r="S895" s="73"/>
      <c r="T895" s="74" t="s">
        <v>129</v>
      </c>
      <c r="U895" s="73"/>
      <c r="V895" s="73"/>
      <c r="W895" s="73"/>
      <c r="X895" s="73"/>
      <c r="Y895" s="73"/>
      <c r="Z895" s="73"/>
      <c r="AA895" s="73"/>
      <c r="AB895" s="73"/>
      <c r="AC895" s="73"/>
      <c r="AD895" s="75"/>
      <c r="AE895" s="75"/>
      <c r="AF895" s="75"/>
      <c r="AG895" s="75"/>
      <c r="AH895" s="75"/>
      <c r="AI895" s="75"/>
      <c r="AJ895" s="75"/>
      <c r="AK895" s="75"/>
      <c r="AL895" s="75"/>
      <c r="AM895" s="75"/>
      <c r="AN895" s="75"/>
      <c r="AO895" s="75"/>
      <c r="AP895" s="75"/>
      <c r="AQ895" s="75"/>
      <c r="AR895" s="75"/>
      <c r="AS895" s="75"/>
      <c r="AT895" s="75"/>
      <c r="AU895" s="75"/>
      <c r="AV895" s="75"/>
      <c r="AW895" s="75"/>
      <c r="AX895" s="75"/>
    </row>
    <row r="896" ht="15.75" customHeight="1">
      <c r="A896" s="168" t="s">
        <v>68</v>
      </c>
      <c r="B896" s="71" t="s">
        <v>6238</v>
      </c>
      <c r="C896" s="72"/>
      <c r="D896" s="72"/>
      <c r="E896" s="72"/>
      <c r="F896" s="73"/>
      <c r="G896" s="73"/>
      <c r="H896" s="73"/>
      <c r="I896" s="73"/>
      <c r="J896" s="73"/>
      <c r="K896" s="73"/>
      <c r="L896" s="73"/>
      <c r="M896" s="73"/>
      <c r="N896" s="73"/>
      <c r="O896" s="73"/>
      <c r="P896" s="73"/>
      <c r="Q896" s="73"/>
      <c r="R896" s="73"/>
      <c r="S896" s="73"/>
      <c r="T896" s="74" t="s">
        <v>7317</v>
      </c>
      <c r="U896" s="223"/>
      <c r="V896" s="73"/>
      <c r="W896" s="73"/>
      <c r="X896" s="73"/>
      <c r="Y896" s="73"/>
      <c r="Z896" s="73"/>
      <c r="AA896" s="73"/>
      <c r="AB896" s="73"/>
      <c r="AC896" s="73"/>
      <c r="AD896" s="75"/>
      <c r="AE896" s="75"/>
      <c r="AF896" s="75"/>
      <c r="AG896" s="75"/>
      <c r="AH896" s="75"/>
      <c r="AI896" s="75"/>
      <c r="AJ896" s="75"/>
      <c r="AK896" s="75"/>
      <c r="AL896" s="75"/>
      <c r="AM896" s="75"/>
      <c r="AN896" s="75"/>
      <c r="AO896" s="75"/>
      <c r="AP896" s="75"/>
      <c r="AQ896" s="75"/>
      <c r="AR896" s="75"/>
      <c r="AS896" s="75"/>
      <c r="AT896" s="75"/>
      <c r="AU896" s="75"/>
      <c r="AV896" s="75"/>
      <c r="AW896" s="75"/>
      <c r="AX896" s="75"/>
    </row>
    <row r="897" ht="15.75" customHeight="1">
      <c r="A897" s="291" t="s">
        <v>268</v>
      </c>
      <c r="B897" s="292" t="s">
        <v>6239</v>
      </c>
      <c r="C897" s="27" t="s">
        <v>7318</v>
      </c>
      <c r="D897" s="27" t="s">
        <v>7319</v>
      </c>
      <c r="E897" s="27" t="s">
        <v>7320</v>
      </c>
      <c r="F897" s="45"/>
      <c r="G897" s="45"/>
      <c r="H897" s="45"/>
      <c r="I897" s="306"/>
      <c r="J897" s="306"/>
      <c r="K897" s="308"/>
      <c r="L897" s="308"/>
      <c r="M897" s="306"/>
      <c r="N897" s="394"/>
      <c r="O897" s="291" t="s">
        <v>7293</v>
      </c>
      <c r="P897" s="306"/>
      <c r="Q897" s="309" t="s">
        <v>150</v>
      </c>
      <c r="R897" s="306"/>
      <c r="S897" s="306"/>
      <c r="T897" s="306"/>
      <c r="U897" s="359"/>
      <c r="V897" s="306"/>
      <c r="W897" s="306"/>
      <c r="X897" s="306"/>
      <c r="Y897" s="306"/>
      <c r="Z897" s="306"/>
      <c r="AA897" s="306"/>
      <c r="AB897" s="306"/>
      <c r="AC897" s="306"/>
      <c r="AD897" s="75"/>
      <c r="AE897" s="75"/>
      <c r="AF897" s="75"/>
      <c r="AG897" s="75"/>
      <c r="AH897" s="75"/>
      <c r="AI897" s="75"/>
      <c r="AJ897" s="75"/>
      <c r="AK897" s="75"/>
      <c r="AL897" s="75"/>
      <c r="AM897" s="75"/>
      <c r="AN897" s="75"/>
      <c r="AO897" s="75"/>
      <c r="AP897" s="75"/>
      <c r="AQ897" s="75"/>
      <c r="AR897" s="75"/>
      <c r="AS897" s="75"/>
      <c r="AT897" s="75"/>
      <c r="AU897" s="75"/>
      <c r="AV897" s="75"/>
      <c r="AW897" s="75"/>
      <c r="AX897" s="75"/>
    </row>
    <row r="898" ht="15.75" customHeight="1">
      <c r="A898" s="291" t="s">
        <v>268</v>
      </c>
      <c r="B898" s="292" t="s">
        <v>6243</v>
      </c>
      <c r="C898" s="27" t="s">
        <v>7321</v>
      </c>
      <c r="D898" s="27" t="s">
        <v>7322</v>
      </c>
      <c r="E898" s="27" t="s">
        <v>7323</v>
      </c>
      <c r="F898" s="45"/>
      <c r="G898" s="45"/>
      <c r="H898" s="45"/>
      <c r="I898" s="306"/>
      <c r="J898" s="306"/>
      <c r="K898" s="308"/>
      <c r="L898" s="308"/>
      <c r="M898" s="306"/>
      <c r="N898" s="394"/>
      <c r="O898" s="291" t="s">
        <v>7293</v>
      </c>
      <c r="P898" s="306"/>
      <c r="Q898" s="309" t="s">
        <v>150</v>
      </c>
      <c r="R898" s="306"/>
      <c r="S898" s="306"/>
      <c r="T898" s="306"/>
      <c r="U898" s="359"/>
      <c r="V898" s="306"/>
      <c r="W898" s="306"/>
      <c r="X898" s="306"/>
      <c r="Y898" s="306"/>
      <c r="Z898" s="306"/>
      <c r="AA898" s="306"/>
      <c r="AB898" s="306"/>
      <c r="AC898" s="306"/>
      <c r="AD898" s="75"/>
      <c r="AE898" s="75"/>
      <c r="AF898" s="75"/>
      <c r="AG898" s="75"/>
      <c r="AH898" s="75"/>
      <c r="AI898" s="75"/>
      <c r="AJ898" s="75"/>
      <c r="AK898" s="75"/>
      <c r="AL898" s="75"/>
      <c r="AM898" s="75"/>
      <c r="AN898" s="75"/>
      <c r="AO898" s="75"/>
      <c r="AP898" s="75"/>
      <c r="AQ898" s="75"/>
      <c r="AR898" s="75"/>
      <c r="AS898" s="75"/>
      <c r="AT898" s="75"/>
      <c r="AU898" s="75"/>
      <c r="AV898" s="75"/>
      <c r="AW898" s="75"/>
      <c r="AX898" s="75"/>
    </row>
    <row r="899" ht="15.75" customHeight="1">
      <c r="A899" s="168" t="s">
        <v>68</v>
      </c>
      <c r="B899" s="71" t="s">
        <v>6248</v>
      </c>
      <c r="C899" s="72"/>
      <c r="D899" s="72"/>
      <c r="E899" s="72"/>
      <c r="F899" s="73"/>
      <c r="G899" s="73"/>
      <c r="H899" s="73"/>
      <c r="I899" s="73"/>
      <c r="J899" s="73"/>
      <c r="K899" s="73"/>
      <c r="L899" s="73"/>
      <c r="M899" s="73"/>
      <c r="N899" s="384"/>
      <c r="O899" s="223"/>
      <c r="P899" s="73"/>
      <c r="Q899" s="73"/>
      <c r="R899" s="73"/>
      <c r="S899" s="73"/>
      <c r="T899" s="74" t="s">
        <v>7324</v>
      </c>
      <c r="U899" s="223"/>
      <c r="V899" s="73"/>
      <c r="W899" s="73"/>
      <c r="X899" s="73"/>
      <c r="Y899" s="73"/>
      <c r="Z899" s="73"/>
      <c r="AA899" s="73"/>
      <c r="AB899" s="73"/>
      <c r="AC899" s="73"/>
      <c r="AD899" s="75"/>
      <c r="AE899" s="75"/>
      <c r="AF899" s="75"/>
      <c r="AG899" s="75"/>
      <c r="AH899" s="75"/>
      <c r="AI899" s="75"/>
      <c r="AJ899" s="75"/>
      <c r="AK899" s="75"/>
      <c r="AL899" s="75"/>
      <c r="AM899" s="75"/>
      <c r="AN899" s="75"/>
      <c r="AO899" s="75"/>
      <c r="AP899" s="75"/>
      <c r="AQ899" s="75"/>
      <c r="AR899" s="75"/>
      <c r="AS899" s="75"/>
      <c r="AT899" s="75"/>
      <c r="AU899" s="75"/>
      <c r="AV899" s="75"/>
      <c r="AW899" s="75"/>
      <c r="AX899" s="75"/>
    </row>
    <row r="900" ht="15.75" customHeight="1">
      <c r="A900" s="280" t="s">
        <v>1306</v>
      </c>
      <c r="B900" s="281" t="s">
        <v>6249</v>
      </c>
      <c r="C900" s="27" t="s">
        <v>7325</v>
      </c>
      <c r="D900" s="27" t="s">
        <v>7326</v>
      </c>
      <c r="E900" s="27" t="s">
        <v>7327</v>
      </c>
      <c r="F900" s="45"/>
      <c r="G900" s="45"/>
      <c r="H900" s="45"/>
      <c r="I900" s="286"/>
      <c r="J900" s="287"/>
      <c r="K900" s="286"/>
      <c r="L900" s="286"/>
      <c r="M900" s="286"/>
      <c r="N900" s="392"/>
      <c r="O900" s="280" t="s">
        <v>7293</v>
      </c>
      <c r="P900" s="286"/>
      <c r="Q900" s="290" t="s">
        <v>150</v>
      </c>
      <c r="R900" s="286"/>
      <c r="S900" s="286"/>
      <c r="T900" s="286"/>
      <c r="U900" s="288"/>
      <c r="V900" s="286"/>
      <c r="W900" s="286"/>
      <c r="X900" s="286"/>
      <c r="Y900" s="286"/>
      <c r="Z900" s="286"/>
      <c r="AA900" s="286"/>
      <c r="AB900" s="286"/>
      <c r="AC900" s="286"/>
      <c r="AD900" s="75"/>
      <c r="AE900" s="75"/>
      <c r="AF900" s="75"/>
      <c r="AG900" s="75"/>
      <c r="AH900" s="75"/>
      <c r="AI900" s="75"/>
      <c r="AJ900" s="75"/>
      <c r="AK900" s="75"/>
      <c r="AL900" s="75"/>
      <c r="AM900" s="75"/>
      <c r="AN900" s="75"/>
      <c r="AO900" s="75"/>
      <c r="AP900" s="75"/>
      <c r="AQ900" s="75"/>
      <c r="AR900" s="75"/>
      <c r="AS900" s="75"/>
      <c r="AT900" s="75"/>
      <c r="AU900" s="75"/>
      <c r="AV900" s="75"/>
      <c r="AW900" s="75"/>
      <c r="AX900" s="75"/>
    </row>
    <row r="901" ht="15.75" customHeight="1">
      <c r="A901" s="278" t="s">
        <v>38</v>
      </c>
      <c r="B901" s="279" t="s">
        <v>6254</v>
      </c>
      <c r="C901" s="27" t="s">
        <v>7328</v>
      </c>
      <c r="D901" s="27" t="s">
        <v>7329</v>
      </c>
      <c r="E901" s="27" t="s">
        <v>7330</v>
      </c>
      <c r="F901" s="45"/>
      <c r="G901" s="45"/>
      <c r="H901" s="45"/>
      <c r="I901" s="284"/>
      <c r="J901" s="284"/>
      <c r="K901" s="284"/>
      <c r="L901" s="284"/>
      <c r="M901" s="284"/>
      <c r="N901" s="395"/>
      <c r="O901" s="284"/>
      <c r="P901" s="284"/>
      <c r="Q901" s="284"/>
      <c r="R901" s="284"/>
      <c r="S901" s="395"/>
      <c r="T901" s="372"/>
      <c r="U901" s="372"/>
      <c r="V901" s="284"/>
      <c r="W901" s="284"/>
      <c r="X901" s="284"/>
      <c r="Y901" s="284"/>
      <c r="Z901" s="284"/>
      <c r="AA901" s="284"/>
      <c r="AB901" s="284"/>
      <c r="AC901" s="284"/>
      <c r="AD901" s="75"/>
      <c r="AE901" s="75"/>
      <c r="AF901" s="75"/>
      <c r="AG901" s="75"/>
      <c r="AH901" s="75"/>
      <c r="AI901" s="75"/>
      <c r="AJ901" s="75"/>
      <c r="AK901" s="75"/>
      <c r="AL901" s="75"/>
      <c r="AM901" s="75"/>
      <c r="AN901" s="75"/>
      <c r="AO901" s="75"/>
      <c r="AP901" s="75"/>
      <c r="AQ901" s="75"/>
      <c r="AR901" s="75"/>
      <c r="AS901" s="75"/>
      <c r="AT901" s="75"/>
      <c r="AU901" s="75"/>
      <c r="AV901" s="75"/>
      <c r="AW901" s="75"/>
      <c r="AX901" s="75"/>
    </row>
    <row r="902" ht="15.75" customHeight="1">
      <c r="A902" s="168" t="s">
        <v>127</v>
      </c>
      <c r="B902" s="71" t="s">
        <v>6258</v>
      </c>
      <c r="C902" s="72"/>
      <c r="D902" s="72"/>
      <c r="E902" s="72"/>
      <c r="F902" s="73"/>
      <c r="G902" s="73"/>
      <c r="H902" s="73"/>
      <c r="I902" s="73"/>
      <c r="J902" s="73"/>
      <c r="K902" s="73"/>
      <c r="L902" s="73"/>
      <c r="M902" s="73"/>
      <c r="N902" s="384"/>
      <c r="O902" s="73"/>
      <c r="P902" s="73"/>
      <c r="Q902" s="73"/>
      <c r="R902" s="73"/>
      <c r="S902" s="73"/>
      <c r="T902" s="74" t="s">
        <v>129</v>
      </c>
      <c r="U902" s="223"/>
      <c r="V902" s="73"/>
      <c r="W902" s="73"/>
      <c r="X902" s="73"/>
      <c r="Y902" s="73"/>
      <c r="Z902" s="73"/>
      <c r="AA902" s="73"/>
      <c r="AB902" s="73"/>
      <c r="AC902" s="73"/>
      <c r="AD902" s="75"/>
      <c r="AE902" s="75"/>
      <c r="AF902" s="75"/>
      <c r="AG902" s="75"/>
      <c r="AH902" s="75"/>
      <c r="AI902" s="75"/>
      <c r="AJ902" s="75"/>
      <c r="AK902" s="75"/>
      <c r="AL902" s="75"/>
      <c r="AM902" s="75"/>
      <c r="AN902" s="75"/>
      <c r="AO902" s="75"/>
      <c r="AP902" s="75"/>
      <c r="AQ902" s="75"/>
      <c r="AR902" s="75"/>
      <c r="AS902" s="75"/>
      <c r="AT902" s="75"/>
      <c r="AU902" s="75"/>
      <c r="AV902" s="75"/>
      <c r="AW902" s="75"/>
      <c r="AX902" s="75"/>
    </row>
    <row r="903" ht="15.75" customHeight="1">
      <c r="A903" s="285" t="s">
        <v>426</v>
      </c>
      <c r="B903" s="171" t="s">
        <v>6259</v>
      </c>
      <c r="C903" s="172" t="s">
        <v>6260</v>
      </c>
      <c r="D903" s="172" t="s">
        <v>6261</v>
      </c>
      <c r="E903" s="172" t="s">
        <v>6262</v>
      </c>
      <c r="F903" s="304"/>
      <c r="G903" s="304"/>
      <c r="H903" s="304"/>
      <c r="I903" s="304"/>
      <c r="J903" s="304"/>
      <c r="K903" s="304"/>
      <c r="L903" s="304"/>
      <c r="M903" s="305"/>
      <c r="N903" s="305"/>
      <c r="O903" s="305"/>
      <c r="P903" s="304"/>
      <c r="Q903" s="304"/>
      <c r="R903" s="304"/>
      <c r="S903" s="304"/>
      <c r="T903" s="304"/>
      <c r="U903" s="382" t="s">
        <v>7136</v>
      </c>
      <c r="V903" s="304"/>
      <c r="W903" s="304"/>
      <c r="X903" s="304"/>
      <c r="Y903" s="304"/>
      <c r="Z903" s="304"/>
      <c r="AA903" s="304"/>
      <c r="AB903" s="304"/>
      <c r="AC903" s="304"/>
      <c r="AD903" s="75"/>
      <c r="AE903" s="75"/>
      <c r="AF903" s="75"/>
      <c r="AG903" s="75"/>
      <c r="AH903" s="75"/>
      <c r="AI903" s="75"/>
      <c r="AJ903" s="75"/>
      <c r="AK903" s="75"/>
      <c r="AL903" s="75"/>
      <c r="AM903" s="75"/>
      <c r="AN903" s="75"/>
      <c r="AO903" s="75"/>
      <c r="AP903" s="75"/>
      <c r="AQ903" s="75"/>
      <c r="AR903" s="75"/>
      <c r="AS903" s="75"/>
      <c r="AT903" s="75"/>
      <c r="AU903" s="75"/>
      <c r="AV903" s="75"/>
      <c r="AW903" s="75"/>
      <c r="AX903" s="75"/>
    </row>
    <row r="904" ht="15.75" customHeight="1">
      <c r="A904" s="168" t="s">
        <v>68</v>
      </c>
      <c r="B904" s="71" t="s">
        <v>6263</v>
      </c>
      <c r="C904" s="72"/>
      <c r="D904" s="72"/>
      <c r="E904" s="72"/>
      <c r="F904" s="73"/>
      <c r="G904" s="73"/>
      <c r="H904" s="73"/>
      <c r="I904" s="73"/>
      <c r="J904" s="73"/>
      <c r="K904" s="73"/>
      <c r="L904" s="73"/>
      <c r="M904" s="73"/>
      <c r="N904" s="73"/>
      <c r="O904" s="73"/>
      <c r="P904" s="73"/>
      <c r="Q904" s="73"/>
      <c r="R904" s="73"/>
      <c r="S904" s="73"/>
      <c r="T904" s="74" t="s">
        <v>7137</v>
      </c>
      <c r="U904" s="223"/>
      <c r="V904" s="73"/>
      <c r="W904" s="73"/>
      <c r="X904" s="73"/>
      <c r="Y904" s="73"/>
      <c r="Z904" s="73"/>
      <c r="AA904" s="73"/>
      <c r="AB904" s="73"/>
      <c r="AC904" s="73"/>
      <c r="AD904" s="75"/>
      <c r="AE904" s="75"/>
      <c r="AF904" s="75"/>
      <c r="AG904" s="75"/>
      <c r="AH904" s="75"/>
      <c r="AI904" s="75"/>
      <c r="AJ904" s="75"/>
      <c r="AK904" s="75"/>
      <c r="AL904" s="75"/>
      <c r="AM904" s="75"/>
      <c r="AN904" s="75"/>
      <c r="AO904" s="75"/>
      <c r="AP904" s="75"/>
      <c r="AQ904" s="75"/>
      <c r="AR904" s="75"/>
      <c r="AS904" s="75"/>
      <c r="AT904" s="75"/>
      <c r="AU904" s="75"/>
      <c r="AV904" s="75"/>
      <c r="AW904" s="75"/>
      <c r="AX904" s="75"/>
    </row>
    <row r="905" ht="15.75" customHeight="1">
      <c r="A905" s="168" t="s">
        <v>68</v>
      </c>
      <c r="B905" s="71" t="s">
        <v>6264</v>
      </c>
      <c r="C905" s="72"/>
      <c r="D905" s="72"/>
      <c r="E905" s="72"/>
      <c r="F905" s="73"/>
      <c r="G905" s="73"/>
      <c r="H905" s="73"/>
      <c r="I905" s="73"/>
      <c r="J905" s="73"/>
      <c r="K905" s="73"/>
      <c r="L905" s="73"/>
      <c r="M905" s="73"/>
      <c r="N905" s="73"/>
      <c r="O905" s="223"/>
      <c r="P905" s="73"/>
      <c r="Q905" s="73"/>
      <c r="R905" s="73"/>
      <c r="S905" s="73"/>
      <c r="T905" s="74" t="s">
        <v>7331</v>
      </c>
      <c r="U905" s="223"/>
      <c r="V905" s="73"/>
      <c r="W905" s="73"/>
      <c r="X905" s="73"/>
      <c r="Y905" s="73"/>
      <c r="Z905" s="73"/>
      <c r="AA905" s="73"/>
      <c r="AB905" s="73"/>
      <c r="AC905" s="73"/>
      <c r="AD905" s="75"/>
      <c r="AE905" s="75"/>
      <c r="AF905" s="75"/>
      <c r="AG905" s="75"/>
      <c r="AH905" s="75"/>
      <c r="AI905" s="75"/>
      <c r="AJ905" s="75"/>
      <c r="AK905" s="75"/>
      <c r="AL905" s="75"/>
      <c r="AM905" s="75"/>
      <c r="AN905" s="75"/>
      <c r="AO905" s="75"/>
      <c r="AP905" s="75"/>
      <c r="AQ905" s="75"/>
      <c r="AR905" s="75"/>
      <c r="AS905" s="75"/>
      <c r="AT905" s="75"/>
      <c r="AU905" s="75"/>
      <c r="AV905" s="75"/>
      <c r="AW905" s="75"/>
      <c r="AX905" s="75"/>
    </row>
    <row r="906" ht="15.75" customHeight="1">
      <c r="A906" s="280" t="s">
        <v>1306</v>
      </c>
      <c r="B906" s="281" t="s">
        <v>6268</v>
      </c>
      <c r="C906" s="27" t="s">
        <v>7332</v>
      </c>
      <c r="D906" s="27" t="s">
        <v>7333</v>
      </c>
      <c r="E906" s="27" t="s">
        <v>7334</v>
      </c>
      <c r="F906" s="45"/>
      <c r="G906" s="45"/>
      <c r="H906" s="45"/>
      <c r="I906" s="286"/>
      <c r="J906" s="287"/>
      <c r="K906" s="286"/>
      <c r="L906" s="286"/>
      <c r="M906" s="286"/>
      <c r="N906" s="286"/>
      <c r="O906" s="286"/>
      <c r="P906" s="286"/>
      <c r="Q906" s="290" t="s">
        <v>150</v>
      </c>
      <c r="R906" s="286"/>
      <c r="S906" s="286"/>
      <c r="T906" s="288"/>
      <c r="U906" s="286"/>
      <c r="V906" s="286"/>
      <c r="W906" s="286"/>
      <c r="X906" s="286"/>
      <c r="Y906" s="286"/>
      <c r="Z906" s="286"/>
      <c r="AA906" s="286"/>
      <c r="AB906" s="286"/>
      <c r="AC906" s="286"/>
      <c r="AD906" s="75"/>
      <c r="AE906" s="75"/>
      <c r="AF906" s="75"/>
      <c r="AG906" s="75"/>
      <c r="AH906" s="75"/>
      <c r="AI906" s="75"/>
      <c r="AJ906" s="75"/>
      <c r="AK906" s="75"/>
      <c r="AL906" s="75"/>
      <c r="AM906" s="75"/>
      <c r="AN906" s="75"/>
      <c r="AO906" s="75"/>
      <c r="AP906" s="75"/>
      <c r="AQ906" s="75"/>
      <c r="AR906" s="75"/>
      <c r="AS906" s="75"/>
      <c r="AT906" s="75"/>
      <c r="AU906" s="75"/>
      <c r="AV906" s="75"/>
      <c r="AW906" s="75"/>
      <c r="AX906" s="75"/>
    </row>
    <row r="907" ht="15.75" customHeight="1">
      <c r="A907" s="280" t="s">
        <v>6212</v>
      </c>
      <c r="B907" s="281" t="s">
        <v>6272</v>
      </c>
      <c r="C907" s="27" t="s">
        <v>7335</v>
      </c>
      <c r="D907" s="27" t="s">
        <v>7336</v>
      </c>
      <c r="E907" s="27" t="s">
        <v>7337</v>
      </c>
      <c r="F907" s="45"/>
      <c r="G907" s="45"/>
      <c r="H907" s="45"/>
      <c r="I907" s="286"/>
      <c r="J907" s="287"/>
      <c r="K907" s="286"/>
      <c r="L907" s="286"/>
      <c r="M907" s="286"/>
      <c r="N907" s="286"/>
      <c r="O907" s="290" t="s">
        <v>7338</v>
      </c>
      <c r="P907" s="286"/>
      <c r="Q907" s="290" t="s">
        <v>150</v>
      </c>
      <c r="R907" s="286"/>
      <c r="S907" s="286"/>
      <c r="T907" s="288"/>
      <c r="U907" s="286"/>
      <c r="V907" s="286"/>
      <c r="W907" s="286"/>
      <c r="X907" s="286"/>
      <c r="Y907" s="286"/>
      <c r="Z907" s="286"/>
      <c r="AA907" s="286"/>
      <c r="AB907" s="286"/>
      <c r="AC907" s="286"/>
      <c r="AD907" s="75"/>
      <c r="AE907" s="75"/>
      <c r="AF907" s="75"/>
      <c r="AG907" s="75"/>
      <c r="AH907" s="75"/>
      <c r="AI907" s="75"/>
      <c r="AJ907" s="75"/>
      <c r="AK907" s="75"/>
      <c r="AL907" s="75"/>
      <c r="AM907" s="75"/>
      <c r="AN907" s="75"/>
      <c r="AO907" s="75"/>
      <c r="AP907" s="75"/>
      <c r="AQ907" s="75"/>
      <c r="AR907" s="75"/>
      <c r="AS907" s="75"/>
      <c r="AT907" s="75"/>
      <c r="AU907" s="75"/>
      <c r="AV907" s="75"/>
      <c r="AW907" s="75"/>
      <c r="AX907" s="75"/>
    </row>
    <row r="908" ht="15.75" customHeight="1">
      <c r="A908" s="282" t="s">
        <v>252</v>
      </c>
      <c r="B908" s="283" t="s">
        <v>6273</v>
      </c>
      <c r="C908" s="27" t="s">
        <v>7339</v>
      </c>
      <c r="D908" s="27" t="s">
        <v>7340</v>
      </c>
      <c r="E908" s="27" t="s">
        <v>7341</v>
      </c>
      <c r="F908" s="45"/>
      <c r="G908" s="45"/>
      <c r="H908" s="45"/>
      <c r="I908" s="293"/>
      <c r="J908" s="294"/>
      <c r="K908" s="293"/>
      <c r="L908" s="293"/>
      <c r="M908" s="293"/>
      <c r="N908" s="293"/>
      <c r="O908" s="282" t="s">
        <v>7342</v>
      </c>
      <c r="P908" s="293"/>
      <c r="Q908" s="296" t="s">
        <v>150</v>
      </c>
      <c r="R908" s="293"/>
      <c r="S908" s="293"/>
      <c r="T908" s="293"/>
      <c r="U908" s="293"/>
      <c r="V908" s="293"/>
      <c r="W908" s="293"/>
      <c r="X908" s="293"/>
      <c r="Y908" s="293"/>
      <c r="Z908" s="293"/>
      <c r="AA908" s="293"/>
      <c r="AB908" s="293"/>
      <c r="AC908" s="293"/>
      <c r="AD908" s="75"/>
      <c r="AE908" s="75"/>
      <c r="AF908" s="75"/>
      <c r="AG908" s="75"/>
      <c r="AH908" s="75"/>
      <c r="AI908" s="75"/>
      <c r="AJ908" s="75"/>
      <c r="AK908" s="75"/>
      <c r="AL908" s="75"/>
      <c r="AM908" s="75"/>
      <c r="AN908" s="75"/>
      <c r="AO908" s="75"/>
      <c r="AP908" s="75"/>
      <c r="AQ908" s="75"/>
      <c r="AR908" s="75"/>
      <c r="AS908" s="75"/>
      <c r="AT908" s="75"/>
      <c r="AU908" s="75"/>
      <c r="AV908" s="75"/>
      <c r="AW908" s="75"/>
      <c r="AX908" s="75"/>
    </row>
    <row r="909" ht="15.75" customHeight="1">
      <c r="A909" s="168" t="s">
        <v>68</v>
      </c>
      <c r="B909" s="71" t="s">
        <v>6274</v>
      </c>
      <c r="C909" s="72"/>
      <c r="D909" s="72"/>
      <c r="E909" s="72"/>
      <c r="F909" s="73"/>
      <c r="G909" s="73"/>
      <c r="H909" s="73"/>
      <c r="I909" s="73"/>
      <c r="J909" s="73"/>
      <c r="K909" s="73"/>
      <c r="L909" s="73"/>
      <c r="M909" s="73"/>
      <c r="N909" s="73"/>
      <c r="O909" s="223"/>
      <c r="P909" s="73"/>
      <c r="Q909" s="73"/>
      <c r="R909" s="73"/>
      <c r="S909" s="73"/>
      <c r="T909" s="74" t="s">
        <v>7343</v>
      </c>
      <c r="U909" s="73"/>
      <c r="V909" s="73"/>
      <c r="W909" s="73"/>
      <c r="X909" s="73"/>
      <c r="Y909" s="73"/>
      <c r="Z909" s="73"/>
      <c r="AA909" s="73"/>
      <c r="AB909" s="73"/>
      <c r="AC909" s="73"/>
      <c r="AD909" s="75"/>
      <c r="AE909" s="75"/>
      <c r="AF909" s="75"/>
      <c r="AG909" s="75"/>
      <c r="AH909" s="75"/>
      <c r="AI909" s="75"/>
      <c r="AJ909" s="75"/>
      <c r="AK909" s="75"/>
      <c r="AL909" s="75"/>
      <c r="AM909" s="75"/>
      <c r="AN909" s="75"/>
      <c r="AO909" s="75"/>
      <c r="AP909" s="75"/>
      <c r="AQ909" s="75"/>
      <c r="AR909" s="75"/>
      <c r="AS909" s="75"/>
      <c r="AT909" s="75"/>
      <c r="AU909" s="75"/>
      <c r="AV909" s="75"/>
      <c r="AW909" s="75"/>
      <c r="AX909" s="75"/>
    </row>
    <row r="910" ht="15.75" customHeight="1">
      <c r="A910" s="291" t="s">
        <v>268</v>
      </c>
      <c r="B910" s="292" t="s">
        <v>6275</v>
      </c>
      <c r="C910" s="27" t="s">
        <v>7344</v>
      </c>
      <c r="D910" s="27" t="s">
        <v>7345</v>
      </c>
      <c r="E910" s="27" t="s">
        <v>7346</v>
      </c>
      <c r="F910" s="45"/>
      <c r="G910" s="45"/>
      <c r="H910" s="45"/>
      <c r="I910" s="306"/>
      <c r="J910" s="306"/>
      <c r="K910" s="308"/>
      <c r="L910" s="308"/>
      <c r="M910" s="306"/>
      <c r="N910" s="306"/>
      <c r="O910" s="309" t="s">
        <v>7338</v>
      </c>
      <c r="P910" s="306"/>
      <c r="Q910" s="309" t="s">
        <v>150</v>
      </c>
      <c r="R910" s="306"/>
      <c r="S910" s="306"/>
      <c r="T910" s="359"/>
      <c r="U910" s="306"/>
      <c r="V910" s="306"/>
      <c r="W910" s="306"/>
      <c r="X910" s="306"/>
      <c r="Y910" s="306"/>
      <c r="Z910" s="306"/>
      <c r="AA910" s="306"/>
      <c r="AB910" s="306"/>
      <c r="AC910" s="306"/>
      <c r="AD910" s="75"/>
      <c r="AE910" s="75"/>
      <c r="AF910" s="75"/>
      <c r="AG910" s="75"/>
      <c r="AH910" s="75"/>
      <c r="AI910" s="75"/>
      <c r="AJ910" s="75"/>
      <c r="AK910" s="75"/>
      <c r="AL910" s="75"/>
      <c r="AM910" s="75"/>
      <c r="AN910" s="75"/>
      <c r="AO910" s="75"/>
      <c r="AP910" s="75"/>
      <c r="AQ910" s="75"/>
      <c r="AR910" s="75"/>
      <c r="AS910" s="75"/>
      <c r="AT910" s="75"/>
      <c r="AU910" s="75"/>
      <c r="AV910" s="75"/>
      <c r="AW910" s="75"/>
      <c r="AX910" s="75"/>
    </row>
    <row r="911" ht="15.75" customHeight="1">
      <c r="A911" s="291" t="s">
        <v>268</v>
      </c>
      <c r="B911" s="292" t="s">
        <v>6279</v>
      </c>
      <c r="C911" s="27" t="s">
        <v>7347</v>
      </c>
      <c r="D911" s="27" t="s">
        <v>7348</v>
      </c>
      <c r="E911" s="27" t="s">
        <v>7349</v>
      </c>
      <c r="F911" s="45"/>
      <c r="G911" s="45"/>
      <c r="H911" s="45"/>
      <c r="I911" s="306"/>
      <c r="J911" s="306"/>
      <c r="K911" s="307" t="s">
        <v>7254</v>
      </c>
      <c r="L911" s="308"/>
      <c r="M911" s="306"/>
      <c r="N911" s="306"/>
      <c r="O911" s="309" t="s">
        <v>7338</v>
      </c>
      <c r="P911" s="306"/>
      <c r="Q911" s="309" t="s">
        <v>150</v>
      </c>
      <c r="R911" s="306"/>
      <c r="S911" s="306"/>
      <c r="T911" s="306"/>
      <c r="U911" s="306"/>
      <c r="V911" s="306"/>
      <c r="W911" s="306"/>
      <c r="X911" s="306"/>
      <c r="Y911" s="306"/>
      <c r="Z911" s="306"/>
      <c r="AA911" s="306"/>
      <c r="AB911" s="306"/>
      <c r="AC911" s="306"/>
      <c r="AD911" s="75"/>
      <c r="AE911" s="75"/>
      <c r="AF911" s="75"/>
      <c r="AG911" s="75"/>
      <c r="AH911" s="75"/>
      <c r="AI911" s="75"/>
      <c r="AJ911" s="75"/>
      <c r="AK911" s="75"/>
      <c r="AL911" s="75"/>
      <c r="AM911" s="75"/>
      <c r="AN911" s="75"/>
      <c r="AO911" s="75"/>
      <c r="AP911" s="75"/>
      <c r="AQ911" s="75"/>
      <c r="AR911" s="75"/>
      <c r="AS911" s="75"/>
      <c r="AT911" s="75"/>
      <c r="AU911" s="75"/>
      <c r="AV911" s="75"/>
      <c r="AW911" s="75"/>
      <c r="AX911" s="75"/>
    </row>
    <row r="912" ht="15.75" customHeight="1">
      <c r="A912" s="291" t="s">
        <v>268</v>
      </c>
      <c r="B912" s="292" t="s">
        <v>6283</v>
      </c>
      <c r="C912" s="27" t="s">
        <v>7350</v>
      </c>
      <c r="D912" s="27" t="s">
        <v>7351</v>
      </c>
      <c r="E912" s="27" t="s">
        <v>7352</v>
      </c>
      <c r="F912" s="45"/>
      <c r="G912" s="45"/>
      <c r="H912" s="45"/>
      <c r="I912" s="306"/>
      <c r="J912" s="306"/>
      <c r="K912" s="308"/>
      <c r="L912" s="308"/>
      <c r="M912" s="306"/>
      <c r="N912" s="306"/>
      <c r="O912" s="306"/>
      <c r="P912" s="306"/>
      <c r="Q912" s="309" t="s">
        <v>150</v>
      </c>
      <c r="R912" s="306"/>
      <c r="S912" s="306"/>
      <c r="T912" s="306"/>
      <c r="U912" s="306"/>
      <c r="V912" s="306"/>
      <c r="W912" s="306"/>
      <c r="X912" s="306"/>
      <c r="Y912" s="306"/>
      <c r="Z912" s="306"/>
      <c r="AA912" s="306"/>
      <c r="AB912" s="306"/>
      <c r="AC912" s="306"/>
      <c r="AD912" s="75"/>
      <c r="AE912" s="75"/>
      <c r="AF912" s="75"/>
      <c r="AG912" s="75"/>
      <c r="AH912" s="75"/>
      <c r="AI912" s="75"/>
      <c r="AJ912" s="75"/>
      <c r="AK912" s="75"/>
      <c r="AL912" s="75"/>
      <c r="AM912" s="75"/>
      <c r="AN912" s="75"/>
      <c r="AO912" s="75"/>
      <c r="AP912" s="75"/>
      <c r="AQ912" s="75"/>
      <c r="AR912" s="75"/>
      <c r="AS912" s="75"/>
      <c r="AT912" s="75"/>
      <c r="AU912" s="75"/>
      <c r="AV912" s="75"/>
      <c r="AW912" s="75"/>
      <c r="AX912" s="75"/>
    </row>
    <row r="913" ht="15.75" customHeight="1">
      <c r="A913" s="285" t="s">
        <v>468</v>
      </c>
      <c r="B913" s="185" t="s">
        <v>6259</v>
      </c>
      <c r="C913" s="186" t="s">
        <v>6260</v>
      </c>
      <c r="D913" s="186" t="s">
        <v>6261</v>
      </c>
      <c r="E913" s="186" t="s">
        <v>6262</v>
      </c>
      <c r="F913" s="304"/>
      <c r="G913" s="304"/>
      <c r="H913" s="304"/>
      <c r="I913" s="304"/>
      <c r="J913" s="304"/>
      <c r="K913" s="304"/>
      <c r="L913" s="304"/>
      <c r="M913" s="304"/>
      <c r="N913" s="304"/>
      <c r="O913" s="383"/>
      <c r="P913" s="304"/>
      <c r="Q913" s="304"/>
      <c r="R913" s="304"/>
      <c r="S913" s="304"/>
      <c r="T913" s="304"/>
      <c r="U913" s="304"/>
      <c r="V913" s="304"/>
      <c r="W913" s="304"/>
      <c r="X913" s="304"/>
      <c r="Y913" s="304"/>
      <c r="Z913" s="304"/>
      <c r="AA913" s="304"/>
      <c r="AB913" s="304"/>
      <c r="AC913" s="304"/>
      <c r="AD913" s="75"/>
      <c r="AE913" s="75"/>
      <c r="AF913" s="75"/>
      <c r="AG913" s="75"/>
      <c r="AH913" s="75"/>
      <c r="AI913" s="75"/>
      <c r="AJ913" s="75"/>
      <c r="AK913" s="75"/>
      <c r="AL913" s="75"/>
      <c r="AM913" s="75"/>
      <c r="AN913" s="75"/>
      <c r="AO913" s="75"/>
      <c r="AP913" s="75"/>
      <c r="AQ913" s="75"/>
      <c r="AR913" s="75"/>
      <c r="AS913" s="75"/>
      <c r="AT913" s="75"/>
      <c r="AU913" s="75"/>
      <c r="AV913" s="75"/>
      <c r="AW913" s="75"/>
      <c r="AX913" s="75"/>
    </row>
    <row r="914" ht="15.75" customHeight="1">
      <c r="A914" s="168" t="s">
        <v>127</v>
      </c>
      <c r="B914" s="71" t="s">
        <v>6287</v>
      </c>
      <c r="C914" s="72"/>
      <c r="D914" s="72"/>
      <c r="E914" s="72"/>
      <c r="F914" s="73"/>
      <c r="G914" s="73"/>
      <c r="H914" s="73"/>
      <c r="I914" s="73"/>
      <c r="J914" s="73"/>
      <c r="K914" s="73"/>
      <c r="L914" s="73"/>
      <c r="M914" s="73"/>
      <c r="N914" s="73"/>
      <c r="O914" s="223"/>
      <c r="P914" s="73"/>
      <c r="Q914" s="73"/>
      <c r="R914" s="73"/>
      <c r="S914" s="73"/>
      <c r="T914" s="74" t="s">
        <v>129</v>
      </c>
      <c r="U914" s="73"/>
      <c r="V914" s="73"/>
      <c r="W914" s="73"/>
      <c r="X914" s="73"/>
      <c r="Y914" s="73"/>
      <c r="Z914" s="73"/>
      <c r="AA914" s="73"/>
      <c r="AB914" s="73"/>
      <c r="AC914" s="73"/>
      <c r="AD914" s="75"/>
      <c r="AE914" s="75"/>
      <c r="AF914" s="75"/>
      <c r="AG914" s="75"/>
      <c r="AH914" s="75"/>
      <c r="AI914" s="75"/>
      <c r="AJ914" s="75"/>
      <c r="AK914" s="75"/>
      <c r="AL914" s="75"/>
      <c r="AM914" s="75"/>
      <c r="AN914" s="75"/>
      <c r="AO914" s="75"/>
      <c r="AP914" s="75"/>
      <c r="AQ914" s="75"/>
      <c r="AR914" s="75"/>
      <c r="AS914" s="75"/>
      <c r="AT914" s="75"/>
      <c r="AU914" s="75"/>
      <c r="AV914" s="75"/>
      <c r="AW914" s="75"/>
      <c r="AX914" s="75"/>
    </row>
    <row r="915" ht="15.75" customHeight="1">
      <c r="A915" s="168" t="s">
        <v>68</v>
      </c>
      <c r="B915" s="71" t="s">
        <v>6288</v>
      </c>
      <c r="C915" s="72"/>
      <c r="D915" s="72"/>
      <c r="E915" s="72"/>
      <c r="F915" s="73"/>
      <c r="G915" s="73"/>
      <c r="H915" s="73"/>
      <c r="I915" s="73"/>
      <c r="J915" s="73"/>
      <c r="K915" s="73"/>
      <c r="L915" s="73"/>
      <c r="M915" s="73"/>
      <c r="N915" s="73"/>
      <c r="O915" s="73"/>
      <c r="P915" s="73"/>
      <c r="Q915" s="73"/>
      <c r="R915" s="73"/>
      <c r="S915" s="73"/>
      <c r="T915" s="177" t="s">
        <v>7353</v>
      </c>
      <c r="U915" s="73"/>
      <c r="V915" s="73"/>
      <c r="W915" s="73"/>
      <c r="X915" s="73"/>
      <c r="Y915" s="73"/>
      <c r="Z915" s="73"/>
      <c r="AA915" s="73"/>
      <c r="AB915" s="73"/>
      <c r="AC915" s="73"/>
      <c r="AD915" s="75"/>
      <c r="AE915" s="75"/>
      <c r="AF915" s="75"/>
      <c r="AG915" s="75"/>
      <c r="AH915" s="75"/>
      <c r="AI915" s="75"/>
      <c r="AJ915" s="75"/>
      <c r="AK915" s="75"/>
      <c r="AL915" s="75"/>
      <c r="AM915" s="75"/>
      <c r="AN915" s="75"/>
      <c r="AO915" s="75"/>
      <c r="AP915" s="75"/>
      <c r="AQ915" s="75"/>
      <c r="AR915" s="75"/>
      <c r="AS915" s="75"/>
      <c r="AT915" s="75"/>
      <c r="AU915" s="75"/>
      <c r="AV915" s="75"/>
      <c r="AW915" s="75"/>
      <c r="AX915" s="75"/>
    </row>
    <row r="916" ht="15.75" customHeight="1">
      <c r="A916" s="320"/>
      <c r="B916" s="321"/>
      <c r="C916" s="191"/>
      <c r="D916" s="191"/>
      <c r="E916" s="191"/>
      <c r="F916" s="75"/>
      <c r="G916" s="75"/>
      <c r="H916" s="75"/>
      <c r="I916" s="75"/>
      <c r="J916" s="75"/>
      <c r="K916" s="75"/>
      <c r="L916" s="75"/>
      <c r="M916" s="75"/>
      <c r="N916" s="75"/>
      <c r="O916" s="75"/>
      <c r="P916" s="75"/>
      <c r="Q916" s="75"/>
      <c r="R916" s="75"/>
      <c r="S916" s="75"/>
      <c r="T916" s="320"/>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row>
    <row r="917" ht="15.75" customHeight="1">
      <c r="A917" s="298" t="s">
        <v>133</v>
      </c>
      <c r="B917" s="299" t="s">
        <v>6289</v>
      </c>
      <c r="C917" s="147" t="s">
        <v>6290</v>
      </c>
      <c r="D917" s="147"/>
      <c r="E917" s="147"/>
      <c r="F917" s="312"/>
      <c r="G917" s="312"/>
      <c r="H917" s="312"/>
      <c r="I917" s="312"/>
      <c r="J917" s="313"/>
      <c r="K917" s="312"/>
      <c r="L917" s="312"/>
      <c r="M917" s="313"/>
      <c r="N917" s="313"/>
      <c r="O917" s="313"/>
      <c r="P917" s="312"/>
      <c r="Q917" s="312"/>
      <c r="R917" s="312"/>
      <c r="S917" s="312"/>
      <c r="T917" s="302"/>
      <c r="U917" s="312"/>
      <c r="V917" s="312"/>
      <c r="W917" s="312"/>
      <c r="X917" s="312"/>
      <c r="Y917" s="312"/>
      <c r="Z917" s="312"/>
      <c r="AA917" s="312"/>
      <c r="AB917" s="312"/>
      <c r="AC917" s="312"/>
      <c r="AD917" s="312"/>
      <c r="AE917" s="312"/>
      <c r="AF917" s="312"/>
      <c r="AG917" s="312"/>
      <c r="AH917" s="312"/>
      <c r="AI917" s="312"/>
      <c r="AJ917" s="312"/>
      <c r="AK917" s="312"/>
      <c r="AL917" s="312"/>
      <c r="AM917" s="312"/>
      <c r="AN917" s="312"/>
      <c r="AO917" s="75"/>
      <c r="AP917" s="75"/>
      <c r="AQ917" s="75"/>
      <c r="AR917" s="75"/>
      <c r="AS917" s="75"/>
      <c r="AT917" s="75"/>
      <c r="AU917" s="75"/>
      <c r="AV917" s="75"/>
      <c r="AW917" s="75"/>
      <c r="AX917" s="75"/>
    </row>
    <row r="918" ht="15.75" customHeight="1">
      <c r="A918" s="168" t="s">
        <v>127</v>
      </c>
      <c r="B918" s="71" t="s">
        <v>6292</v>
      </c>
      <c r="C918" s="72"/>
      <c r="D918" s="72"/>
      <c r="E918" s="72"/>
      <c r="F918" s="73"/>
      <c r="G918" s="73"/>
      <c r="H918" s="73"/>
      <c r="I918" s="73"/>
      <c r="J918" s="73"/>
      <c r="K918" s="73"/>
      <c r="L918" s="73"/>
      <c r="M918" s="73"/>
      <c r="N918" s="73"/>
      <c r="O918" s="73"/>
      <c r="P918" s="73"/>
      <c r="Q918" s="73"/>
      <c r="R918" s="73"/>
      <c r="S918" s="73"/>
      <c r="T918" s="177" t="s">
        <v>129</v>
      </c>
      <c r="U918" s="73"/>
      <c r="V918" s="73"/>
      <c r="W918" s="73"/>
      <c r="X918" s="73"/>
      <c r="Y918" s="73"/>
      <c r="Z918" s="73"/>
      <c r="AA918" s="73"/>
      <c r="AB918" s="73"/>
      <c r="AC918" s="73"/>
      <c r="AD918" s="75"/>
      <c r="AE918" s="75"/>
      <c r="AF918" s="75"/>
      <c r="AG918" s="75"/>
      <c r="AH918" s="75"/>
      <c r="AI918" s="75"/>
      <c r="AJ918" s="75"/>
      <c r="AK918" s="75"/>
      <c r="AL918" s="75"/>
      <c r="AM918" s="75"/>
      <c r="AN918" s="75"/>
      <c r="AO918" s="75"/>
      <c r="AP918" s="75"/>
      <c r="AQ918" s="75"/>
      <c r="AR918" s="75"/>
      <c r="AS918" s="75"/>
      <c r="AT918" s="75"/>
      <c r="AU918" s="75"/>
      <c r="AV918" s="75"/>
      <c r="AW918" s="75"/>
      <c r="AX918" s="75"/>
    </row>
    <row r="919" ht="15.75" customHeight="1">
      <c r="A919" s="280" t="s">
        <v>2509</v>
      </c>
      <c r="B919" s="281" t="s">
        <v>6293</v>
      </c>
      <c r="C919" s="27" t="s">
        <v>7354</v>
      </c>
      <c r="D919" s="27" t="s">
        <v>7355</v>
      </c>
      <c r="E919" s="27" t="s">
        <v>7356</v>
      </c>
      <c r="F919" s="45"/>
      <c r="G919" s="45"/>
      <c r="H919" s="45"/>
      <c r="I919" s="286"/>
      <c r="J919" s="287"/>
      <c r="K919" s="286"/>
      <c r="L919" s="286"/>
      <c r="M919" s="286"/>
      <c r="N919" s="286"/>
      <c r="O919" s="286"/>
      <c r="P919" s="286"/>
      <c r="Q919" s="290" t="s">
        <v>150</v>
      </c>
      <c r="R919" s="286"/>
      <c r="S919" s="286"/>
      <c r="T919" s="288"/>
      <c r="U919" s="286"/>
      <c r="V919" s="286"/>
      <c r="W919" s="286"/>
      <c r="X919" s="286"/>
      <c r="Y919" s="286"/>
      <c r="Z919" s="286"/>
      <c r="AA919" s="286"/>
      <c r="AB919" s="286"/>
      <c r="AC919" s="286"/>
      <c r="AD919" s="286"/>
      <c r="AE919" s="286"/>
      <c r="AF919" s="286"/>
      <c r="AG919" s="286"/>
      <c r="AH919" s="286"/>
      <c r="AI919" s="286"/>
      <c r="AJ919" s="286"/>
      <c r="AK919" s="286"/>
      <c r="AL919" s="286"/>
      <c r="AM919" s="286"/>
      <c r="AN919" s="286"/>
      <c r="AO919" s="75"/>
      <c r="AP919" s="75"/>
      <c r="AQ919" s="75"/>
      <c r="AR919" s="75"/>
      <c r="AS919" s="75"/>
      <c r="AT919" s="75"/>
      <c r="AU919" s="75"/>
      <c r="AV919" s="75"/>
      <c r="AW919" s="75"/>
      <c r="AX919" s="75"/>
    </row>
    <row r="920" ht="15.75" customHeight="1">
      <c r="A920" s="291" t="s">
        <v>268</v>
      </c>
      <c r="B920" s="292" t="s">
        <v>6297</v>
      </c>
      <c r="C920" s="27" t="s">
        <v>7357</v>
      </c>
      <c r="D920" s="27" t="s">
        <v>7358</v>
      </c>
      <c r="E920" s="27" t="s">
        <v>7359</v>
      </c>
      <c r="F920" s="45"/>
      <c r="G920" s="45"/>
      <c r="H920" s="45"/>
      <c r="I920" s="306"/>
      <c r="J920" s="306"/>
      <c r="K920" s="307" t="s">
        <v>2550</v>
      </c>
      <c r="L920" s="308"/>
      <c r="M920" s="306"/>
      <c r="N920" s="306"/>
      <c r="O920" s="309" t="s">
        <v>7360</v>
      </c>
      <c r="P920" s="306"/>
      <c r="Q920" s="309" t="s">
        <v>150</v>
      </c>
      <c r="R920" s="306"/>
      <c r="S920" s="306"/>
      <c r="T920" s="359"/>
      <c r="U920" s="306"/>
      <c r="V920" s="306"/>
      <c r="W920" s="306"/>
      <c r="X920" s="306"/>
      <c r="Y920" s="306"/>
      <c r="Z920" s="306"/>
      <c r="AA920" s="306"/>
      <c r="AB920" s="306"/>
      <c r="AC920" s="306"/>
      <c r="AD920" s="306"/>
      <c r="AE920" s="306"/>
      <c r="AF920" s="306"/>
      <c r="AG920" s="306"/>
      <c r="AH920" s="306"/>
      <c r="AI920" s="306"/>
      <c r="AJ920" s="306"/>
      <c r="AK920" s="306"/>
      <c r="AL920" s="306"/>
      <c r="AM920" s="306"/>
      <c r="AN920" s="306"/>
      <c r="AO920" s="75"/>
      <c r="AP920" s="75"/>
      <c r="AQ920" s="75"/>
      <c r="AR920" s="75"/>
      <c r="AS920" s="75"/>
      <c r="AT920" s="75"/>
      <c r="AU920" s="75"/>
      <c r="AV920" s="75"/>
      <c r="AW920" s="75"/>
      <c r="AX920" s="75"/>
    </row>
    <row r="921" ht="15.75" customHeight="1">
      <c r="A921" s="280" t="s">
        <v>6301</v>
      </c>
      <c r="B921" s="281" t="s">
        <v>6302</v>
      </c>
      <c r="C921" s="27" t="s">
        <v>6381</v>
      </c>
      <c r="D921" s="27" t="s">
        <v>6382</v>
      </c>
      <c r="E921" s="27" t="s">
        <v>6383</v>
      </c>
      <c r="F921" s="45" t="s">
        <v>1920</v>
      </c>
      <c r="G921" s="45" t="s">
        <v>6183</v>
      </c>
      <c r="H921" s="45" t="s">
        <v>1922</v>
      </c>
      <c r="I921" s="286"/>
      <c r="J921" s="287"/>
      <c r="K921" s="286"/>
      <c r="L921" s="286"/>
      <c r="M921" s="286"/>
      <c r="N921" s="286"/>
      <c r="O921" s="290" t="s">
        <v>7360</v>
      </c>
      <c r="P921" s="286"/>
      <c r="Q921" s="290" t="s">
        <v>150</v>
      </c>
      <c r="R921" s="286"/>
      <c r="S921" s="286"/>
      <c r="T921" s="288"/>
      <c r="U921" s="286"/>
      <c r="V921" s="286"/>
      <c r="W921" s="286"/>
      <c r="X921" s="286"/>
      <c r="Y921" s="286"/>
      <c r="Z921" s="286"/>
      <c r="AA921" s="286"/>
      <c r="AB921" s="286"/>
      <c r="AC921" s="286"/>
      <c r="AD921" s="286"/>
      <c r="AE921" s="286"/>
      <c r="AF921" s="286"/>
      <c r="AG921" s="286"/>
      <c r="AH921" s="286"/>
      <c r="AI921" s="286"/>
      <c r="AJ921" s="286"/>
      <c r="AK921" s="286"/>
      <c r="AL921" s="286"/>
      <c r="AM921" s="286"/>
      <c r="AN921" s="286"/>
      <c r="AO921" s="75"/>
      <c r="AP921" s="75"/>
      <c r="AQ921" s="75"/>
      <c r="AR921" s="75"/>
      <c r="AS921" s="75"/>
      <c r="AT921" s="75"/>
      <c r="AU921" s="75"/>
      <c r="AV921" s="75"/>
      <c r="AW921" s="75"/>
      <c r="AX921" s="75"/>
    </row>
    <row r="922" ht="15.75" customHeight="1">
      <c r="A922" s="282" t="s">
        <v>252</v>
      </c>
      <c r="B922" s="283" t="s">
        <v>6306</v>
      </c>
      <c r="C922" s="27" t="s">
        <v>4350</v>
      </c>
      <c r="D922" s="27" t="s">
        <v>4351</v>
      </c>
      <c r="E922" s="27" t="s">
        <v>4352</v>
      </c>
      <c r="F922" s="45"/>
      <c r="G922" s="45"/>
      <c r="H922" s="45"/>
      <c r="I922" s="293"/>
      <c r="J922" s="294"/>
      <c r="K922" s="293"/>
      <c r="L922" s="293"/>
      <c r="M922" s="293"/>
      <c r="N922" s="293"/>
      <c r="O922" s="296" t="s">
        <v>7361</v>
      </c>
      <c r="P922" s="293"/>
      <c r="Q922" s="296" t="s">
        <v>150</v>
      </c>
      <c r="R922" s="293"/>
      <c r="S922" s="293"/>
      <c r="T922" s="386"/>
      <c r="U922" s="293"/>
      <c r="V922" s="293"/>
      <c r="W922" s="293"/>
      <c r="X922" s="293"/>
      <c r="Y922" s="293"/>
      <c r="Z922" s="293"/>
      <c r="AA922" s="293"/>
      <c r="AB922" s="293"/>
      <c r="AC922" s="293"/>
      <c r="AD922" s="293"/>
      <c r="AE922" s="293"/>
      <c r="AF922" s="293"/>
      <c r="AG922" s="293"/>
      <c r="AH922" s="293"/>
      <c r="AI922" s="293"/>
      <c r="AJ922" s="293"/>
      <c r="AK922" s="293"/>
      <c r="AL922" s="293"/>
      <c r="AM922" s="293"/>
      <c r="AN922" s="293"/>
      <c r="AO922" s="75"/>
      <c r="AP922" s="75"/>
      <c r="AQ922" s="75"/>
      <c r="AR922" s="75"/>
      <c r="AS922" s="75"/>
      <c r="AT922" s="75"/>
      <c r="AU922" s="75"/>
      <c r="AV922" s="75"/>
      <c r="AW922" s="75"/>
      <c r="AX922" s="75"/>
    </row>
    <row r="923" ht="15.75" customHeight="1">
      <c r="A923" s="280" t="s">
        <v>2509</v>
      </c>
      <c r="B923" s="281" t="s">
        <v>6310</v>
      </c>
      <c r="C923" s="27" t="s">
        <v>7362</v>
      </c>
      <c r="D923" s="27" t="s">
        <v>7363</v>
      </c>
      <c r="E923" s="27" t="s">
        <v>7364</v>
      </c>
      <c r="F923" s="45"/>
      <c r="G923" s="45"/>
      <c r="H923" s="45"/>
      <c r="I923" s="286"/>
      <c r="J923" s="287"/>
      <c r="K923" s="286"/>
      <c r="L923" s="286"/>
      <c r="M923" s="286"/>
      <c r="N923" s="286"/>
      <c r="O923" s="286"/>
      <c r="P923" s="286"/>
      <c r="Q923" s="290" t="s">
        <v>150</v>
      </c>
      <c r="R923" s="286"/>
      <c r="S923" s="286"/>
      <c r="T923" s="288"/>
      <c r="U923" s="286"/>
      <c r="V923" s="286"/>
      <c r="W923" s="286"/>
      <c r="X923" s="286"/>
      <c r="Y923" s="286"/>
      <c r="Z923" s="286"/>
      <c r="AA923" s="286"/>
      <c r="AB923" s="286"/>
      <c r="AC923" s="286"/>
      <c r="AD923" s="286"/>
      <c r="AE923" s="286"/>
      <c r="AF923" s="286"/>
      <c r="AG923" s="286"/>
      <c r="AH923" s="286"/>
      <c r="AI923" s="286"/>
      <c r="AJ923" s="286"/>
      <c r="AK923" s="286"/>
      <c r="AL923" s="286"/>
      <c r="AM923" s="286"/>
      <c r="AN923" s="286"/>
      <c r="AO923" s="75"/>
      <c r="AP923" s="75"/>
      <c r="AQ923" s="75"/>
      <c r="AR923" s="75"/>
      <c r="AS923" s="75"/>
      <c r="AT923" s="75"/>
      <c r="AU923" s="75"/>
      <c r="AV923" s="75"/>
      <c r="AW923" s="75"/>
      <c r="AX923" s="75"/>
    </row>
    <row r="924" ht="15.75" customHeight="1">
      <c r="A924" s="291" t="s">
        <v>268</v>
      </c>
      <c r="B924" s="292" t="s">
        <v>6315</v>
      </c>
      <c r="C924" s="27" t="s">
        <v>7365</v>
      </c>
      <c r="D924" s="27" t="s">
        <v>7366</v>
      </c>
      <c r="E924" s="27" t="s">
        <v>7367</v>
      </c>
      <c r="F924" s="45"/>
      <c r="G924" s="45"/>
      <c r="H924" s="45"/>
      <c r="I924" s="306"/>
      <c r="J924" s="306"/>
      <c r="K924" s="307" t="s">
        <v>2550</v>
      </c>
      <c r="L924" s="308"/>
      <c r="M924" s="306"/>
      <c r="N924" s="306"/>
      <c r="O924" s="309" t="s">
        <v>7368</v>
      </c>
      <c r="P924" s="306"/>
      <c r="Q924" s="309" t="s">
        <v>150</v>
      </c>
      <c r="R924" s="306"/>
      <c r="S924" s="306"/>
      <c r="T924" s="306"/>
      <c r="U924" s="306"/>
      <c r="V924" s="306"/>
      <c r="W924" s="306"/>
      <c r="X924" s="306"/>
      <c r="Y924" s="306"/>
      <c r="Z924" s="306"/>
      <c r="AA924" s="306"/>
      <c r="AB924" s="306"/>
      <c r="AC924" s="306"/>
      <c r="AD924" s="306"/>
      <c r="AE924" s="306"/>
      <c r="AF924" s="306"/>
      <c r="AG924" s="306"/>
      <c r="AH924" s="306"/>
      <c r="AI924" s="306"/>
      <c r="AJ924" s="306"/>
      <c r="AK924" s="306"/>
      <c r="AL924" s="306"/>
      <c r="AM924" s="306"/>
      <c r="AN924" s="306"/>
      <c r="AO924" s="75"/>
      <c r="AP924" s="75"/>
      <c r="AQ924" s="75"/>
      <c r="AR924" s="75"/>
      <c r="AS924" s="75"/>
      <c r="AT924" s="75"/>
      <c r="AU924" s="75"/>
      <c r="AV924" s="75"/>
      <c r="AW924" s="75"/>
      <c r="AX924" s="75"/>
    </row>
    <row r="925" ht="15.75" customHeight="1">
      <c r="A925" s="280" t="s">
        <v>6319</v>
      </c>
      <c r="B925" s="281" t="s">
        <v>6320</v>
      </c>
      <c r="C925" s="27" t="s">
        <v>4371</v>
      </c>
      <c r="D925" s="27" t="s">
        <v>4373</v>
      </c>
      <c r="E925" s="27" t="s">
        <v>7369</v>
      </c>
      <c r="F925" s="45" t="s">
        <v>1920</v>
      </c>
      <c r="G925" s="45" t="s">
        <v>6183</v>
      </c>
      <c r="H925" s="45" t="s">
        <v>1922</v>
      </c>
      <c r="I925" s="286"/>
      <c r="J925" s="287"/>
      <c r="K925" s="286"/>
      <c r="L925" s="286"/>
      <c r="M925" s="286"/>
      <c r="N925" s="286"/>
      <c r="O925" s="290" t="s">
        <v>7368</v>
      </c>
      <c r="P925" s="286"/>
      <c r="Q925" s="290" t="s">
        <v>150</v>
      </c>
      <c r="R925" s="286"/>
      <c r="S925" s="286"/>
      <c r="T925" s="286"/>
      <c r="U925" s="286"/>
      <c r="V925" s="286"/>
      <c r="W925" s="286"/>
      <c r="X925" s="286"/>
      <c r="Y925" s="286"/>
      <c r="Z925" s="286"/>
      <c r="AA925" s="286"/>
      <c r="AB925" s="286"/>
      <c r="AC925" s="286"/>
      <c r="AD925" s="286"/>
      <c r="AE925" s="286"/>
      <c r="AF925" s="286"/>
      <c r="AG925" s="286"/>
      <c r="AH925" s="286"/>
      <c r="AI925" s="286"/>
      <c r="AJ925" s="286"/>
      <c r="AK925" s="286"/>
      <c r="AL925" s="286"/>
      <c r="AM925" s="286"/>
      <c r="AN925" s="286"/>
      <c r="AO925" s="75"/>
      <c r="AP925" s="75"/>
      <c r="AQ925" s="75"/>
      <c r="AR925" s="75"/>
      <c r="AS925" s="75"/>
      <c r="AT925" s="75"/>
      <c r="AU925" s="75"/>
      <c r="AV925" s="75"/>
      <c r="AW925" s="75"/>
      <c r="AX925" s="75"/>
    </row>
    <row r="926" ht="15.75" customHeight="1">
      <c r="A926" s="282" t="s">
        <v>252</v>
      </c>
      <c r="B926" s="283" t="s">
        <v>6374</v>
      </c>
      <c r="C926" s="27" t="s">
        <v>6405</v>
      </c>
      <c r="D926" s="27" t="s">
        <v>6406</v>
      </c>
      <c r="E926" s="27" t="s">
        <v>6409</v>
      </c>
      <c r="F926" s="45"/>
      <c r="G926" s="45"/>
      <c r="H926" s="45"/>
      <c r="I926" s="293"/>
      <c r="J926" s="294"/>
      <c r="K926" s="293"/>
      <c r="L926" s="293"/>
      <c r="M926" s="293"/>
      <c r="N926" s="293"/>
      <c r="O926" s="282" t="s">
        <v>7370</v>
      </c>
      <c r="P926" s="293"/>
      <c r="Q926" s="296" t="s">
        <v>150</v>
      </c>
      <c r="R926" s="293"/>
      <c r="S926" s="293"/>
      <c r="T926" s="293"/>
      <c r="U926" s="386"/>
      <c r="V926" s="293"/>
      <c r="W926" s="293"/>
      <c r="X926" s="293"/>
      <c r="Y926" s="293"/>
      <c r="Z926" s="293"/>
      <c r="AA926" s="293"/>
      <c r="AB926" s="293"/>
      <c r="AC926" s="293"/>
      <c r="AD926" s="293"/>
      <c r="AE926" s="293"/>
      <c r="AF926" s="293"/>
      <c r="AG926" s="293"/>
      <c r="AH926" s="293"/>
      <c r="AI926" s="293"/>
      <c r="AJ926" s="293"/>
      <c r="AK926" s="293"/>
      <c r="AL926" s="293"/>
      <c r="AM926" s="293"/>
      <c r="AN926" s="293"/>
      <c r="AO926" s="75"/>
      <c r="AP926" s="75"/>
      <c r="AQ926" s="75"/>
      <c r="AR926" s="75"/>
      <c r="AS926" s="75"/>
      <c r="AT926" s="75"/>
      <c r="AU926" s="75"/>
      <c r="AV926" s="75"/>
      <c r="AW926" s="75"/>
      <c r="AX926" s="75"/>
    </row>
    <row r="927" ht="15.75" customHeight="1">
      <c r="A927" s="280" t="s">
        <v>2509</v>
      </c>
      <c r="B927" s="281" t="s">
        <v>6378</v>
      </c>
      <c r="C927" s="27" t="s">
        <v>7371</v>
      </c>
      <c r="D927" s="27" t="s">
        <v>7372</v>
      </c>
      <c r="E927" s="27" t="s">
        <v>7373</v>
      </c>
      <c r="F927" s="45"/>
      <c r="G927" s="45"/>
      <c r="H927" s="45"/>
      <c r="I927" s="286"/>
      <c r="J927" s="287"/>
      <c r="K927" s="286"/>
      <c r="L927" s="286"/>
      <c r="M927" s="286"/>
      <c r="N927" s="286"/>
      <c r="O927" s="286"/>
      <c r="P927" s="286"/>
      <c r="Q927" s="290" t="s">
        <v>150</v>
      </c>
      <c r="R927" s="286"/>
      <c r="S927" s="286"/>
      <c r="T927" s="288"/>
      <c r="U927" s="286"/>
      <c r="V927" s="286"/>
      <c r="W927" s="286"/>
      <c r="X927" s="286"/>
      <c r="Y927" s="286"/>
      <c r="Z927" s="286"/>
      <c r="AA927" s="286"/>
      <c r="AB927" s="286"/>
      <c r="AC927" s="286"/>
      <c r="AD927" s="286"/>
      <c r="AE927" s="286"/>
      <c r="AF927" s="286"/>
      <c r="AG927" s="286"/>
      <c r="AH927" s="286"/>
      <c r="AI927" s="286"/>
      <c r="AJ927" s="286"/>
      <c r="AK927" s="286"/>
      <c r="AL927" s="286"/>
      <c r="AM927" s="286"/>
      <c r="AN927" s="286"/>
      <c r="AO927" s="75"/>
      <c r="AP927" s="75"/>
      <c r="AQ927" s="75"/>
      <c r="AR927" s="75"/>
      <c r="AS927" s="75"/>
      <c r="AT927" s="75"/>
      <c r="AU927" s="75"/>
      <c r="AV927" s="75"/>
      <c r="AW927" s="75"/>
      <c r="AX927" s="75"/>
    </row>
    <row r="928" ht="15.75" customHeight="1">
      <c r="A928" s="291" t="s">
        <v>268</v>
      </c>
      <c r="B928" s="292" t="s">
        <v>6379</v>
      </c>
      <c r="C928" s="27" t="s">
        <v>7374</v>
      </c>
      <c r="D928" s="27" t="s">
        <v>7375</v>
      </c>
      <c r="E928" s="27" t="s">
        <v>7376</v>
      </c>
      <c r="F928" s="45"/>
      <c r="G928" s="45"/>
      <c r="H928" s="45"/>
      <c r="I928" s="306"/>
      <c r="J928" s="306"/>
      <c r="K928" s="307" t="s">
        <v>2550</v>
      </c>
      <c r="L928" s="308"/>
      <c r="M928" s="306"/>
      <c r="N928" s="306"/>
      <c r="O928" s="309" t="s">
        <v>7377</v>
      </c>
      <c r="P928" s="306"/>
      <c r="Q928" s="309" t="s">
        <v>150</v>
      </c>
      <c r="R928" s="306"/>
      <c r="S928" s="306"/>
      <c r="T928" s="306"/>
      <c r="U928" s="306"/>
      <c r="V928" s="306"/>
      <c r="W928" s="306"/>
      <c r="X928" s="306"/>
      <c r="Y928" s="306"/>
      <c r="Z928" s="306"/>
      <c r="AA928" s="306"/>
      <c r="AB928" s="306"/>
      <c r="AC928" s="306"/>
      <c r="AD928" s="306"/>
      <c r="AE928" s="306"/>
      <c r="AF928" s="306"/>
      <c r="AG928" s="306"/>
      <c r="AH928" s="306"/>
      <c r="AI928" s="306"/>
      <c r="AJ928" s="306"/>
      <c r="AK928" s="306"/>
      <c r="AL928" s="306"/>
      <c r="AM928" s="306"/>
      <c r="AN928" s="306"/>
      <c r="AO928" s="75"/>
      <c r="AP928" s="75"/>
      <c r="AQ928" s="75"/>
      <c r="AR928" s="75"/>
      <c r="AS928" s="75"/>
      <c r="AT928" s="75"/>
      <c r="AU928" s="75"/>
      <c r="AV928" s="75"/>
      <c r="AW928" s="75"/>
      <c r="AX928" s="75"/>
    </row>
    <row r="929" ht="15.75" customHeight="1">
      <c r="A929" s="280" t="s">
        <v>6301</v>
      </c>
      <c r="B929" s="281" t="s">
        <v>6380</v>
      </c>
      <c r="C929" s="27" t="s">
        <v>7378</v>
      </c>
      <c r="D929" s="27" t="s">
        <v>7379</v>
      </c>
      <c r="E929" s="27" t="s">
        <v>7380</v>
      </c>
      <c r="F929" s="45" t="s">
        <v>1920</v>
      </c>
      <c r="G929" s="45" t="s">
        <v>6183</v>
      </c>
      <c r="H929" s="45" t="s">
        <v>1922</v>
      </c>
      <c r="I929" s="286"/>
      <c r="J929" s="287"/>
      <c r="K929" s="286"/>
      <c r="L929" s="286"/>
      <c r="M929" s="286"/>
      <c r="N929" s="286"/>
      <c r="O929" s="290" t="s">
        <v>7377</v>
      </c>
      <c r="P929" s="286"/>
      <c r="Q929" s="290" t="s">
        <v>150</v>
      </c>
      <c r="R929" s="286"/>
      <c r="S929" s="286"/>
      <c r="T929" s="286"/>
      <c r="U929" s="286"/>
      <c r="V929" s="286"/>
      <c r="W929" s="286"/>
      <c r="X929" s="286"/>
      <c r="Y929" s="286"/>
      <c r="Z929" s="286"/>
      <c r="AA929" s="286"/>
      <c r="AB929" s="286"/>
      <c r="AC929" s="286"/>
      <c r="AD929" s="286"/>
      <c r="AE929" s="286"/>
      <c r="AF929" s="286"/>
      <c r="AG929" s="286"/>
      <c r="AH929" s="286"/>
      <c r="AI929" s="286"/>
      <c r="AJ929" s="286"/>
      <c r="AK929" s="286"/>
      <c r="AL929" s="286"/>
      <c r="AM929" s="286"/>
      <c r="AN929" s="286"/>
      <c r="AO929" s="75"/>
      <c r="AP929" s="75"/>
      <c r="AQ929" s="75"/>
      <c r="AR929" s="75"/>
      <c r="AS929" s="75"/>
      <c r="AT929" s="75"/>
      <c r="AU929" s="75"/>
      <c r="AV929" s="75"/>
      <c r="AW929" s="75"/>
      <c r="AX929" s="75"/>
    </row>
    <row r="930" ht="15.75" customHeight="1">
      <c r="A930" s="282" t="s">
        <v>252</v>
      </c>
      <c r="B930" s="283" t="s">
        <v>6384</v>
      </c>
      <c r="C930" s="27" t="s">
        <v>4411</v>
      </c>
      <c r="D930" s="27" t="s">
        <v>4412</v>
      </c>
      <c r="E930" s="27" t="s">
        <v>4413</v>
      </c>
      <c r="F930" s="45"/>
      <c r="G930" s="45"/>
      <c r="H930" s="45"/>
      <c r="I930" s="293"/>
      <c r="J930" s="294"/>
      <c r="K930" s="293"/>
      <c r="L930" s="293"/>
      <c r="M930" s="293"/>
      <c r="N930" s="293"/>
      <c r="O930" s="296" t="s">
        <v>7381</v>
      </c>
      <c r="P930" s="293"/>
      <c r="Q930" s="296" t="s">
        <v>150</v>
      </c>
      <c r="R930" s="293"/>
      <c r="S930" s="293"/>
      <c r="T930" s="293"/>
      <c r="U930" s="293"/>
      <c r="V930" s="293"/>
      <c r="W930" s="293"/>
      <c r="X930" s="293"/>
      <c r="Y930" s="293"/>
      <c r="Z930" s="293"/>
      <c r="AA930" s="293"/>
      <c r="AB930" s="293"/>
      <c r="AC930" s="293"/>
      <c r="AD930" s="293"/>
      <c r="AE930" s="293"/>
      <c r="AF930" s="293"/>
      <c r="AG930" s="293"/>
      <c r="AH930" s="293"/>
      <c r="AI930" s="293"/>
      <c r="AJ930" s="293"/>
      <c r="AK930" s="293"/>
      <c r="AL930" s="293"/>
      <c r="AM930" s="293"/>
      <c r="AN930" s="293"/>
      <c r="AO930" s="75"/>
      <c r="AP930" s="75"/>
      <c r="AQ930" s="75"/>
      <c r="AR930" s="75"/>
      <c r="AS930" s="75"/>
      <c r="AT930" s="75"/>
      <c r="AU930" s="75"/>
      <c r="AV930" s="75"/>
      <c r="AW930" s="75"/>
      <c r="AX930" s="75"/>
    </row>
    <row r="931" ht="15.75" customHeight="1">
      <c r="A931" s="280" t="s">
        <v>2509</v>
      </c>
      <c r="B931" s="281" t="s">
        <v>6385</v>
      </c>
      <c r="C931" s="27" t="s">
        <v>7382</v>
      </c>
      <c r="D931" s="27" t="s">
        <v>7383</v>
      </c>
      <c r="E931" s="27" t="s">
        <v>7384</v>
      </c>
      <c r="F931" s="45"/>
      <c r="G931" s="45"/>
      <c r="H931" s="45"/>
      <c r="I931" s="286"/>
      <c r="J931" s="287"/>
      <c r="K931" s="286"/>
      <c r="L931" s="286"/>
      <c r="M931" s="286"/>
      <c r="N931" s="286"/>
      <c r="O931" s="286"/>
      <c r="P931" s="286"/>
      <c r="Q931" s="290" t="s">
        <v>150</v>
      </c>
      <c r="R931" s="286"/>
      <c r="S931" s="286"/>
      <c r="T931" s="286"/>
      <c r="U931" s="286"/>
      <c r="V931" s="286"/>
      <c r="W931" s="286"/>
      <c r="X931" s="286"/>
      <c r="Y931" s="286"/>
      <c r="Z931" s="286"/>
      <c r="AA931" s="286"/>
      <c r="AB931" s="286"/>
      <c r="AC931" s="286"/>
      <c r="AD931" s="286"/>
      <c r="AE931" s="286"/>
      <c r="AF931" s="286"/>
      <c r="AG931" s="286"/>
      <c r="AH931" s="286"/>
      <c r="AI931" s="286"/>
      <c r="AJ931" s="286"/>
      <c r="AK931" s="286"/>
      <c r="AL931" s="286"/>
      <c r="AM931" s="286"/>
      <c r="AN931" s="286"/>
      <c r="AO931" s="75"/>
      <c r="AP931" s="75"/>
      <c r="AQ931" s="75"/>
      <c r="AR931" s="75"/>
      <c r="AS931" s="75"/>
      <c r="AT931" s="75"/>
      <c r="AU931" s="75"/>
      <c r="AV931" s="75"/>
      <c r="AW931" s="75"/>
      <c r="AX931" s="75"/>
    </row>
    <row r="932" ht="15.75" customHeight="1">
      <c r="A932" s="291" t="s">
        <v>268</v>
      </c>
      <c r="B932" s="292" t="s">
        <v>6390</v>
      </c>
      <c r="C932" s="27" t="s">
        <v>7385</v>
      </c>
      <c r="D932" s="27" t="s">
        <v>7386</v>
      </c>
      <c r="E932" s="27" t="s">
        <v>7387</v>
      </c>
      <c r="F932" s="45"/>
      <c r="G932" s="45"/>
      <c r="H932" s="45"/>
      <c r="I932" s="306"/>
      <c r="J932" s="306"/>
      <c r="K932" s="307" t="s">
        <v>2550</v>
      </c>
      <c r="L932" s="308"/>
      <c r="M932" s="306"/>
      <c r="N932" s="306"/>
      <c r="O932" s="309" t="s">
        <v>7388</v>
      </c>
      <c r="P932" s="306"/>
      <c r="Q932" s="309" t="s">
        <v>150</v>
      </c>
      <c r="R932" s="306"/>
      <c r="S932" s="306"/>
      <c r="T932" s="306"/>
      <c r="U932" s="306"/>
      <c r="V932" s="306"/>
      <c r="W932" s="306"/>
      <c r="X932" s="306"/>
      <c r="Y932" s="306"/>
      <c r="Z932" s="306"/>
      <c r="AA932" s="306"/>
      <c r="AB932" s="306"/>
      <c r="AC932" s="306"/>
      <c r="AD932" s="306"/>
      <c r="AE932" s="306"/>
      <c r="AF932" s="306"/>
      <c r="AG932" s="306"/>
      <c r="AH932" s="306"/>
      <c r="AI932" s="306"/>
      <c r="AJ932" s="306"/>
      <c r="AK932" s="306"/>
      <c r="AL932" s="306"/>
      <c r="AM932" s="306"/>
      <c r="AN932" s="306"/>
      <c r="AO932" s="75"/>
      <c r="AP932" s="75"/>
      <c r="AQ932" s="75"/>
      <c r="AR932" s="75"/>
      <c r="AS932" s="75"/>
      <c r="AT932" s="75"/>
      <c r="AU932" s="75"/>
      <c r="AV932" s="75"/>
      <c r="AW932" s="75"/>
      <c r="AX932" s="75"/>
    </row>
    <row r="933" ht="15.75" customHeight="1">
      <c r="A933" s="280" t="s">
        <v>6319</v>
      </c>
      <c r="B933" s="281" t="s">
        <v>6399</v>
      </c>
      <c r="C933" s="27" t="s">
        <v>7389</v>
      </c>
      <c r="D933" s="27" t="s">
        <v>7390</v>
      </c>
      <c r="E933" s="27" t="s">
        <v>7391</v>
      </c>
      <c r="F933" s="45" t="s">
        <v>1920</v>
      </c>
      <c r="G933" s="45" t="s">
        <v>6183</v>
      </c>
      <c r="H933" s="45" t="s">
        <v>1922</v>
      </c>
      <c r="I933" s="286"/>
      <c r="J933" s="287"/>
      <c r="K933" s="286"/>
      <c r="L933" s="286"/>
      <c r="M933" s="286"/>
      <c r="N933" s="286"/>
      <c r="O933" s="290" t="s">
        <v>7388</v>
      </c>
      <c r="P933" s="286"/>
      <c r="Q933" s="290" t="s">
        <v>150</v>
      </c>
      <c r="R933" s="286"/>
      <c r="S933" s="286"/>
      <c r="T933" s="286"/>
      <c r="U933" s="286"/>
      <c r="V933" s="286"/>
      <c r="W933" s="286"/>
      <c r="X933" s="286"/>
      <c r="Y933" s="286"/>
      <c r="Z933" s="286"/>
      <c r="AA933" s="286"/>
      <c r="AB933" s="286"/>
      <c r="AC933" s="286"/>
      <c r="AD933" s="286"/>
      <c r="AE933" s="286"/>
      <c r="AF933" s="286"/>
      <c r="AG933" s="286"/>
      <c r="AH933" s="286"/>
      <c r="AI933" s="286"/>
      <c r="AJ933" s="286"/>
      <c r="AK933" s="286"/>
      <c r="AL933" s="286"/>
      <c r="AM933" s="286"/>
      <c r="AN933" s="286"/>
      <c r="AO933" s="75"/>
      <c r="AP933" s="75"/>
      <c r="AQ933" s="75"/>
      <c r="AR933" s="75"/>
      <c r="AS933" s="75"/>
      <c r="AT933" s="75"/>
      <c r="AU933" s="75"/>
      <c r="AV933" s="75"/>
      <c r="AW933" s="75"/>
      <c r="AX933" s="75"/>
    </row>
    <row r="934" ht="15.75" customHeight="1">
      <c r="A934" s="282" t="s">
        <v>252</v>
      </c>
      <c r="B934" s="283" t="s">
        <v>6404</v>
      </c>
      <c r="C934" s="27" t="s">
        <v>6437</v>
      </c>
      <c r="D934" s="27" t="s">
        <v>7392</v>
      </c>
      <c r="E934" s="27" t="s">
        <v>6439</v>
      </c>
      <c r="F934" s="45"/>
      <c r="G934" s="45"/>
      <c r="H934" s="45"/>
      <c r="I934" s="293"/>
      <c r="J934" s="294"/>
      <c r="K934" s="293"/>
      <c r="L934" s="293"/>
      <c r="M934" s="293"/>
      <c r="N934" s="293"/>
      <c r="O934" s="282" t="s">
        <v>7393</v>
      </c>
      <c r="P934" s="293"/>
      <c r="Q934" s="296" t="s">
        <v>150</v>
      </c>
      <c r="R934" s="293"/>
      <c r="S934" s="293"/>
      <c r="T934" s="293"/>
      <c r="U934" s="293"/>
      <c r="V934" s="293"/>
      <c r="W934" s="293"/>
      <c r="X934" s="293"/>
      <c r="Y934" s="293"/>
      <c r="Z934" s="293"/>
      <c r="AA934" s="293"/>
      <c r="AB934" s="293"/>
      <c r="AC934" s="293"/>
      <c r="AD934" s="293"/>
      <c r="AE934" s="293"/>
      <c r="AF934" s="293"/>
      <c r="AG934" s="293"/>
      <c r="AH934" s="293"/>
      <c r="AI934" s="293"/>
      <c r="AJ934" s="293"/>
      <c r="AK934" s="293"/>
      <c r="AL934" s="293"/>
      <c r="AM934" s="293"/>
      <c r="AN934" s="293"/>
      <c r="AO934" s="75"/>
      <c r="AP934" s="75"/>
      <c r="AQ934" s="75"/>
      <c r="AR934" s="75"/>
      <c r="AS934" s="75"/>
      <c r="AT934" s="75"/>
      <c r="AU934" s="75"/>
      <c r="AV934" s="75"/>
      <c r="AW934" s="75"/>
      <c r="AX934" s="75"/>
    </row>
    <row r="935" ht="15.75" customHeight="1">
      <c r="A935" s="280" t="s">
        <v>2509</v>
      </c>
      <c r="B935" s="281" t="s">
        <v>6413</v>
      </c>
      <c r="C935" s="27" t="s">
        <v>7394</v>
      </c>
      <c r="D935" s="27" t="s">
        <v>7395</v>
      </c>
      <c r="E935" s="27" t="s">
        <v>7396</v>
      </c>
      <c r="F935" s="45"/>
      <c r="G935" s="45"/>
      <c r="H935" s="45"/>
      <c r="I935" s="286"/>
      <c r="J935" s="287"/>
      <c r="K935" s="286"/>
      <c r="L935" s="286"/>
      <c r="M935" s="286"/>
      <c r="N935" s="286"/>
      <c r="O935" s="288"/>
      <c r="P935" s="286"/>
      <c r="Q935" s="290" t="s">
        <v>150</v>
      </c>
      <c r="R935" s="286"/>
      <c r="S935" s="286"/>
      <c r="T935" s="286"/>
      <c r="U935" s="286"/>
      <c r="V935" s="286"/>
      <c r="W935" s="286"/>
      <c r="X935" s="286"/>
      <c r="Y935" s="286"/>
      <c r="Z935" s="286"/>
      <c r="AA935" s="286"/>
      <c r="AB935" s="286"/>
      <c r="AC935" s="286"/>
      <c r="AD935" s="286"/>
      <c r="AE935" s="286"/>
      <c r="AF935" s="286"/>
      <c r="AG935" s="286"/>
      <c r="AH935" s="286"/>
      <c r="AI935" s="286"/>
      <c r="AJ935" s="286"/>
      <c r="AK935" s="286"/>
      <c r="AL935" s="286"/>
      <c r="AM935" s="286"/>
      <c r="AN935" s="286"/>
      <c r="AO935" s="75"/>
      <c r="AP935" s="75"/>
      <c r="AQ935" s="75"/>
      <c r="AR935" s="75"/>
      <c r="AS935" s="75"/>
      <c r="AT935" s="75"/>
      <c r="AU935" s="75"/>
      <c r="AV935" s="75"/>
      <c r="AW935" s="75"/>
      <c r="AX935" s="75"/>
    </row>
    <row r="936" ht="15.75" customHeight="1">
      <c r="A936" s="291" t="s">
        <v>268</v>
      </c>
      <c r="B936" s="292" t="s">
        <v>6418</v>
      </c>
      <c r="C936" s="27" t="s">
        <v>7397</v>
      </c>
      <c r="D936" s="27" t="s">
        <v>7398</v>
      </c>
      <c r="E936" s="27" t="s">
        <v>7399</v>
      </c>
      <c r="F936" s="45"/>
      <c r="G936" s="45"/>
      <c r="H936" s="45"/>
      <c r="I936" s="306"/>
      <c r="J936" s="306"/>
      <c r="K936" s="307" t="s">
        <v>2550</v>
      </c>
      <c r="L936" s="308"/>
      <c r="M936" s="306"/>
      <c r="N936" s="306"/>
      <c r="O936" s="291" t="s">
        <v>7400</v>
      </c>
      <c r="P936" s="306"/>
      <c r="Q936" s="309" t="s">
        <v>150</v>
      </c>
      <c r="R936" s="306"/>
      <c r="S936" s="306"/>
      <c r="T936" s="306"/>
      <c r="U936" s="306"/>
      <c r="V936" s="306"/>
      <c r="W936" s="306"/>
      <c r="X936" s="306"/>
      <c r="Y936" s="306"/>
      <c r="Z936" s="306"/>
      <c r="AA936" s="306"/>
      <c r="AB936" s="306"/>
      <c r="AC936" s="306"/>
      <c r="AD936" s="306"/>
      <c r="AE936" s="306"/>
      <c r="AF936" s="306"/>
      <c r="AG936" s="306"/>
      <c r="AH936" s="306"/>
      <c r="AI936" s="306"/>
      <c r="AJ936" s="306"/>
      <c r="AK936" s="306"/>
      <c r="AL936" s="306"/>
      <c r="AM936" s="306"/>
      <c r="AN936" s="306"/>
      <c r="AO936" s="75"/>
      <c r="AP936" s="75"/>
      <c r="AQ936" s="75"/>
      <c r="AR936" s="75"/>
      <c r="AS936" s="75"/>
      <c r="AT936" s="75"/>
      <c r="AU936" s="75"/>
      <c r="AV936" s="75"/>
      <c r="AW936" s="75"/>
      <c r="AX936" s="75"/>
    </row>
    <row r="937" ht="15.75" customHeight="1">
      <c r="A937" s="280" t="s">
        <v>6301</v>
      </c>
      <c r="B937" s="281" t="s">
        <v>6419</v>
      </c>
      <c r="C937" s="27" t="s">
        <v>4448</v>
      </c>
      <c r="D937" s="27" t="s">
        <v>7401</v>
      </c>
      <c r="E937" s="27" t="s">
        <v>4450</v>
      </c>
      <c r="F937" s="45" t="s">
        <v>1920</v>
      </c>
      <c r="G937" s="45" t="s">
        <v>6183</v>
      </c>
      <c r="H937" s="45" t="s">
        <v>1922</v>
      </c>
      <c r="I937" s="286"/>
      <c r="J937" s="287"/>
      <c r="K937" s="286"/>
      <c r="L937" s="286"/>
      <c r="M937" s="286"/>
      <c r="N937" s="286"/>
      <c r="O937" s="280" t="s">
        <v>7400</v>
      </c>
      <c r="P937" s="286"/>
      <c r="Q937" s="290" t="s">
        <v>150</v>
      </c>
      <c r="R937" s="286"/>
      <c r="S937" s="286"/>
      <c r="T937" s="286"/>
      <c r="U937" s="286"/>
      <c r="V937" s="286"/>
      <c r="W937" s="286"/>
      <c r="X937" s="286"/>
      <c r="Y937" s="286"/>
      <c r="Z937" s="286"/>
      <c r="AA937" s="286"/>
      <c r="AB937" s="286"/>
      <c r="AC937" s="286"/>
      <c r="AD937" s="286"/>
      <c r="AE937" s="286"/>
      <c r="AF937" s="286"/>
      <c r="AG937" s="286"/>
      <c r="AH937" s="286"/>
      <c r="AI937" s="286"/>
      <c r="AJ937" s="286"/>
      <c r="AK937" s="286"/>
      <c r="AL937" s="286"/>
      <c r="AM937" s="286"/>
      <c r="AN937" s="286"/>
      <c r="AO937" s="75"/>
      <c r="AP937" s="75"/>
      <c r="AQ937" s="75"/>
      <c r="AR937" s="75"/>
      <c r="AS937" s="75"/>
      <c r="AT937" s="75"/>
      <c r="AU937" s="75"/>
      <c r="AV937" s="75"/>
      <c r="AW937" s="75"/>
      <c r="AX937" s="75"/>
    </row>
    <row r="938" ht="15.75" customHeight="1">
      <c r="A938" s="282" t="s">
        <v>252</v>
      </c>
      <c r="B938" s="283" t="s">
        <v>6423</v>
      </c>
      <c r="C938" s="27" t="s">
        <v>4456</v>
      </c>
      <c r="D938" s="27" t="s">
        <v>7402</v>
      </c>
      <c r="E938" s="27" t="s">
        <v>4459</v>
      </c>
      <c r="F938" s="45"/>
      <c r="G938" s="45"/>
      <c r="H938" s="45"/>
      <c r="I938" s="293"/>
      <c r="J938" s="294"/>
      <c r="K938" s="293"/>
      <c r="L938" s="293"/>
      <c r="M938" s="293"/>
      <c r="N938" s="293"/>
      <c r="O938" s="296" t="s">
        <v>7403</v>
      </c>
      <c r="P938" s="293"/>
      <c r="Q938" s="296" t="s">
        <v>150</v>
      </c>
      <c r="R938" s="293"/>
      <c r="S938" s="293"/>
      <c r="T938" s="386"/>
      <c r="U938" s="293"/>
      <c r="V938" s="293"/>
      <c r="W938" s="293"/>
      <c r="X938" s="293"/>
      <c r="Y938" s="293"/>
      <c r="Z938" s="293"/>
      <c r="AA938" s="293"/>
      <c r="AB938" s="293"/>
      <c r="AC938" s="293"/>
      <c r="AD938" s="293"/>
      <c r="AE938" s="293"/>
      <c r="AF938" s="293"/>
      <c r="AG938" s="293"/>
      <c r="AH938" s="293"/>
      <c r="AI938" s="293"/>
      <c r="AJ938" s="293"/>
      <c r="AK938" s="293"/>
      <c r="AL938" s="293"/>
      <c r="AM938" s="293"/>
      <c r="AN938" s="293"/>
      <c r="AO938" s="75"/>
      <c r="AP938" s="75"/>
      <c r="AQ938" s="75"/>
      <c r="AR938" s="75"/>
      <c r="AS938" s="75"/>
      <c r="AT938" s="75"/>
      <c r="AU938" s="75"/>
      <c r="AV938" s="75"/>
      <c r="AW938" s="75"/>
      <c r="AX938" s="75"/>
    </row>
    <row r="939" ht="15.75" customHeight="1">
      <c r="A939" s="280" t="s">
        <v>2509</v>
      </c>
      <c r="B939" s="281" t="s">
        <v>6424</v>
      </c>
      <c r="C939" s="27" t="s">
        <v>7404</v>
      </c>
      <c r="D939" s="27" t="s">
        <v>7405</v>
      </c>
      <c r="E939" s="27" t="s">
        <v>7406</v>
      </c>
      <c r="F939" s="45"/>
      <c r="G939" s="45"/>
      <c r="H939" s="45"/>
      <c r="I939" s="286"/>
      <c r="J939" s="287"/>
      <c r="K939" s="286"/>
      <c r="L939" s="286"/>
      <c r="M939" s="286"/>
      <c r="N939" s="286"/>
      <c r="O939" s="288"/>
      <c r="P939" s="286"/>
      <c r="Q939" s="290" t="s">
        <v>150</v>
      </c>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75"/>
      <c r="AP939" s="75"/>
      <c r="AQ939" s="75"/>
      <c r="AR939" s="75"/>
      <c r="AS939" s="75"/>
      <c r="AT939" s="75"/>
      <c r="AU939" s="75"/>
      <c r="AV939" s="75"/>
      <c r="AW939" s="75"/>
      <c r="AX939" s="75"/>
    </row>
    <row r="940" ht="15.75" customHeight="1">
      <c r="A940" s="291" t="s">
        <v>268</v>
      </c>
      <c r="B940" s="292" t="s">
        <v>6426</v>
      </c>
      <c r="C940" s="27" t="s">
        <v>7407</v>
      </c>
      <c r="D940" s="27" t="s">
        <v>7408</v>
      </c>
      <c r="E940" s="27" t="s">
        <v>7409</v>
      </c>
      <c r="F940" s="45"/>
      <c r="G940" s="45"/>
      <c r="H940" s="45"/>
      <c r="I940" s="306"/>
      <c r="J940" s="306"/>
      <c r="K940" s="307" t="s">
        <v>2550</v>
      </c>
      <c r="L940" s="308"/>
      <c r="M940" s="306"/>
      <c r="N940" s="306"/>
      <c r="O940" s="309" t="s">
        <v>7410</v>
      </c>
      <c r="P940" s="306"/>
      <c r="Q940" s="309" t="s">
        <v>150</v>
      </c>
      <c r="R940" s="306"/>
      <c r="S940" s="306"/>
      <c r="T940" s="306"/>
      <c r="U940" s="306"/>
      <c r="V940" s="306"/>
      <c r="W940" s="306"/>
      <c r="X940" s="306"/>
      <c r="Y940" s="306"/>
      <c r="Z940" s="306"/>
      <c r="AA940" s="306"/>
      <c r="AB940" s="306"/>
      <c r="AC940" s="306"/>
      <c r="AD940" s="306"/>
      <c r="AE940" s="306"/>
      <c r="AF940" s="306"/>
      <c r="AG940" s="306"/>
      <c r="AH940" s="306"/>
      <c r="AI940" s="306"/>
      <c r="AJ940" s="306"/>
      <c r="AK940" s="306"/>
      <c r="AL940" s="306"/>
      <c r="AM940" s="306"/>
      <c r="AN940" s="306"/>
      <c r="AO940" s="75"/>
      <c r="AP940" s="75"/>
      <c r="AQ940" s="75"/>
      <c r="AR940" s="75"/>
      <c r="AS940" s="75"/>
      <c r="AT940" s="75"/>
      <c r="AU940" s="75"/>
      <c r="AV940" s="75"/>
      <c r="AW940" s="75"/>
      <c r="AX940" s="75"/>
    </row>
    <row r="941" ht="15.75" customHeight="1">
      <c r="A941" s="280" t="s">
        <v>6319</v>
      </c>
      <c r="B941" s="281" t="s">
        <v>6430</v>
      </c>
      <c r="C941" s="27" t="s">
        <v>6470</v>
      </c>
      <c r="D941" s="27" t="s">
        <v>6471</v>
      </c>
      <c r="E941" s="27" t="s">
        <v>6472</v>
      </c>
      <c r="F941" s="45" t="s">
        <v>1920</v>
      </c>
      <c r="G941" s="45" t="s">
        <v>6183</v>
      </c>
      <c r="H941" s="45" t="s">
        <v>1922</v>
      </c>
      <c r="I941" s="286"/>
      <c r="J941" s="287"/>
      <c r="K941" s="286"/>
      <c r="L941" s="286"/>
      <c r="M941" s="286"/>
      <c r="N941" s="286"/>
      <c r="O941" s="280" t="s">
        <v>7410</v>
      </c>
      <c r="P941" s="286"/>
      <c r="Q941" s="290" t="s">
        <v>150</v>
      </c>
      <c r="R941" s="286"/>
      <c r="S941" s="286"/>
      <c r="T941" s="286"/>
      <c r="U941" s="286"/>
      <c r="V941" s="286"/>
      <c r="W941" s="286"/>
      <c r="X941" s="286"/>
      <c r="Y941" s="286"/>
      <c r="Z941" s="286"/>
      <c r="AA941" s="286"/>
      <c r="AB941" s="286"/>
      <c r="AC941" s="286"/>
      <c r="AD941" s="286"/>
      <c r="AE941" s="286"/>
      <c r="AF941" s="286"/>
      <c r="AG941" s="286"/>
      <c r="AH941" s="286"/>
      <c r="AI941" s="286"/>
      <c r="AJ941" s="286"/>
      <c r="AK941" s="286"/>
      <c r="AL941" s="286"/>
      <c r="AM941" s="286"/>
      <c r="AN941" s="286"/>
      <c r="AO941" s="75"/>
      <c r="AP941" s="75"/>
      <c r="AQ941" s="75"/>
      <c r="AR941" s="75"/>
      <c r="AS941" s="75"/>
      <c r="AT941" s="75"/>
      <c r="AU941" s="75"/>
      <c r="AV941" s="75"/>
      <c r="AW941" s="75"/>
      <c r="AX941" s="75"/>
    </row>
    <row r="942" ht="15.75" customHeight="1">
      <c r="A942" s="282" t="s">
        <v>252</v>
      </c>
      <c r="B942" s="283" t="s">
        <v>6435</v>
      </c>
      <c r="C942" s="27" t="s">
        <v>4486</v>
      </c>
      <c r="D942" s="27" t="s">
        <v>4487</v>
      </c>
      <c r="E942" s="27" t="s">
        <v>4488</v>
      </c>
      <c r="F942" s="45"/>
      <c r="G942" s="45"/>
      <c r="H942" s="45"/>
      <c r="I942" s="293"/>
      <c r="J942" s="294"/>
      <c r="K942" s="293"/>
      <c r="L942" s="293"/>
      <c r="M942" s="293"/>
      <c r="N942" s="293"/>
      <c r="O942" s="282" t="s">
        <v>7411</v>
      </c>
      <c r="P942" s="293"/>
      <c r="Q942" s="296" t="s">
        <v>150</v>
      </c>
      <c r="R942" s="293"/>
      <c r="S942" s="293"/>
      <c r="T942" s="293"/>
      <c r="U942" s="293"/>
      <c r="V942" s="293"/>
      <c r="W942" s="293"/>
      <c r="X942" s="293"/>
      <c r="Y942" s="293"/>
      <c r="Z942" s="293"/>
      <c r="AA942" s="293"/>
      <c r="AB942" s="293"/>
      <c r="AC942" s="293"/>
      <c r="AD942" s="293"/>
      <c r="AE942" s="293"/>
      <c r="AF942" s="293"/>
      <c r="AG942" s="293"/>
      <c r="AH942" s="293"/>
      <c r="AI942" s="293"/>
      <c r="AJ942" s="293"/>
      <c r="AK942" s="293"/>
      <c r="AL942" s="293"/>
      <c r="AM942" s="293"/>
      <c r="AN942" s="293"/>
      <c r="AO942" s="75"/>
      <c r="AP942" s="75"/>
      <c r="AQ942" s="75"/>
      <c r="AR942" s="75"/>
      <c r="AS942" s="75"/>
      <c r="AT942" s="75"/>
      <c r="AU942" s="75"/>
      <c r="AV942" s="75"/>
      <c r="AW942" s="75"/>
      <c r="AX942" s="75"/>
    </row>
    <row r="943" ht="15.75" customHeight="1">
      <c r="A943" s="280" t="s">
        <v>2509</v>
      </c>
      <c r="B943" s="281" t="s">
        <v>6440</v>
      </c>
      <c r="C943" s="27" t="s">
        <v>7412</v>
      </c>
      <c r="D943" s="27" t="s">
        <v>7413</v>
      </c>
      <c r="E943" s="27" t="s">
        <v>7414</v>
      </c>
      <c r="F943" s="45"/>
      <c r="G943" s="45"/>
      <c r="H943" s="45"/>
      <c r="I943" s="286"/>
      <c r="J943" s="287"/>
      <c r="K943" s="286"/>
      <c r="L943" s="286"/>
      <c r="M943" s="286"/>
      <c r="N943" s="286"/>
      <c r="O943" s="286"/>
      <c r="P943" s="286"/>
      <c r="Q943" s="290" t="s">
        <v>150</v>
      </c>
      <c r="R943" s="286"/>
      <c r="S943" s="286"/>
      <c r="T943" s="286"/>
      <c r="U943" s="286"/>
      <c r="V943" s="286"/>
      <c r="W943" s="286"/>
      <c r="X943" s="286"/>
      <c r="Y943" s="286"/>
      <c r="Z943" s="286"/>
      <c r="AA943" s="286"/>
      <c r="AB943" s="286"/>
      <c r="AC943" s="286"/>
      <c r="AD943" s="286"/>
      <c r="AE943" s="286"/>
      <c r="AF943" s="286"/>
      <c r="AG943" s="286"/>
      <c r="AH943" s="286"/>
      <c r="AI943" s="286"/>
      <c r="AJ943" s="286"/>
      <c r="AK943" s="286"/>
      <c r="AL943" s="286"/>
      <c r="AM943" s="286"/>
      <c r="AN943" s="286"/>
      <c r="AO943" s="75"/>
      <c r="AP943" s="75"/>
      <c r="AQ943" s="75"/>
      <c r="AR943" s="75"/>
      <c r="AS943" s="75"/>
      <c r="AT943" s="75"/>
      <c r="AU943" s="75"/>
      <c r="AV943" s="75"/>
      <c r="AW943" s="75"/>
      <c r="AX943" s="75"/>
    </row>
    <row r="944" ht="15.75" customHeight="1">
      <c r="A944" s="291" t="s">
        <v>268</v>
      </c>
      <c r="B944" s="292" t="s">
        <v>6446</v>
      </c>
      <c r="C944" s="27" t="s">
        <v>7415</v>
      </c>
      <c r="D944" s="27" t="s">
        <v>7416</v>
      </c>
      <c r="E944" s="27" t="s">
        <v>7417</v>
      </c>
      <c r="F944" s="45"/>
      <c r="G944" s="45"/>
      <c r="H944" s="45"/>
      <c r="I944" s="306"/>
      <c r="J944" s="306"/>
      <c r="K944" s="307" t="s">
        <v>2550</v>
      </c>
      <c r="L944" s="308"/>
      <c r="M944" s="306"/>
      <c r="N944" s="306"/>
      <c r="O944" s="309" t="s">
        <v>7418</v>
      </c>
      <c r="P944" s="306"/>
      <c r="Q944" s="309" t="s">
        <v>150</v>
      </c>
      <c r="R944" s="306"/>
      <c r="S944" s="306"/>
      <c r="T944" s="306"/>
      <c r="U944" s="306"/>
      <c r="V944" s="306"/>
      <c r="W944" s="306"/>
      <c r="X944" s="306"/>
      <c r="Y944" s="306"/>
      <c r="Z944" s="306"/>
      <c r="AA944" s="306"/>
      <c r="AB944" s="306"/>
      <c r="AC944" s="306"/>
      <c r="AD944" s="306"/>
      <c r="AE944" s="306"/>
      <c r="AF944" s="306"/>
      <c r="AG944" s="306"/>
      <c r="AH944" s="306"/>
      <c r="AI944" s="306"/>
      <c r="AJ944" s="306"/>
      <c r="AK944" s="306"/>
      <c r="AL944" s="306"/>
      <c r="AM944" s="306"/>
      <c r="AN944" s="306"/>
      <c r="AO944" s="75"/>
      <c r="AP944" s="75"/>
      <c r="AQ944" s="75"/>
      <c r="AR944" s="75"/>
      <c r="AS944" s="75"/>
      <c r="AT944" s="75"/>
      <c r="AU944" s="75"/>
      <c r="AV944" s="75"/>
      <c r="AW944" s="75"/>
      <c r="AX944" s="75"/>
    </row>
    <row r="945" ht="15.75" customHeight="1">
      <c r="A945" s="280" t="s">
        <v>6301</v>
      </c>
      <c r="B945" s="281" t="s">
        <v>6453</v>
      </c>
      <c r="C945" s="27" t="s">
        <v>7419</v>
      </c>
      <c r="D945" s="27" t="s">
        <v>7420</v>
      </c>
      <c r="E945" s="27" t="s">
        <v>7421</v>
      </c>
      <c r="F945" s="45" t="s">
        <v>1920</v>
      </c>
      <c r="G945" s="45" t="s">
        <v>6183</v>
      </c>
      <c r="H945" s="45" t="s">
        <v>1922</v>
      </c>
      <c r="I945" s="286"/>
      <c r="J945" s="287"/>
      <c r="K945" s="286"/>
      <c r="L945" s="286"/>
      <c r="M945" s="286"/>
      <c r="N945" s="286"/>
      <c r="O945" s="280" t="s">
        <v>7418</v>
      </c>
      <c r="P945" s="286"/>
      <c r="Q945" s="290" t="s">
        <v>150</v>
      </c>
      <c r="R945" s="286"/>
      <c r="S945" s="286"/>
      <c r="T945" s="286"/>
      <c r="U945" s="286"/>
      <c r="V945" s="286"/>
      <c r="W945" s="286"/>
      <c r="X945" s="286"/>
      <c r="Y945" s="286"/>
      <c r="Z945" s="286"/>
      <c r="AA945" s="286"/>
      <c r="AB945" s="286"/>
      <c r="AC945" s="286"/>
      <c r="AD945" s="286"/>
      <c r="AE945" s="286"/>
      <c r="AF945" s="286"/>
      <c r="AG945" s="286"/>
      <c r="AH945" s="286"/>
      <c r="AI945" s="286"/>
      <c r="AJ945" s="286"/>
      <c r="AK945" s="286"/>
      <c r="AL945" s="286"/>
      <c r="AM945" s="286"/>
      <c r="AN945" s="286"/>
      <c r="AO945" s="75"/>
      <c r="AP945" s="75"/>
      <c r="AQ945" s="75"/>
      <c r="AR945" s="75"/>
      <c r="AS945" s="75"/>
      <c r="AT945" s="75"/>
      <c r="AU945" s="75"/>
      <c r="AV945" s="75"/>
      <c r="AW945" s="75"/>
      <c r="AX945" s="75"/>
    </row>
    <row r="946" ht="15.75" customHeight="1">
      <c r="A946" s="282" t="s">
        <v>252</v>
      </c>
      <c r="B946" s="283" t="s">
        <v>6455</v>
      </c>
      <c r="C946" s="27" t="s">
        <v>7422</v>
      </c>
      <c r="D946" s="27" t="s">
        <v>7423</v>
      </c>
      <c r="E946" s="27" t="s">
        <v>7424</v>
      </c>
      <c r="F946" s="45"/>
      <c r="G946" s="45"/>
      <c r="H946" s="45"/>
      <c r="I946" s="293"/>
      <c r="J946" s="294"/>
      <c r="K946" s="293"/>
      <c r="L946" s="293"/>
      <c r="M946" s="293"/>
      <c r="N946" s="293"/>
      <c r="O946" s="296" t="s">
        <v>7425</v>
      </c>
      <c r="P946" s="293"/>
      <c r="Q946" s="296" t="s">
        <v>150</v>
      </c>
      <c r="R946" s="293"/>
      <c r="S946" s="293"/>
      <c r="T946" s="293"/>
      <c r="U946" s="293"/>
      <c r="V946" s="293"/>
      <c r="W946" s="293"/>
      <c r="X946" s="293"/>
      <c r="Y946" s="293"/>
      <c r="Z946" s="293"/>
      <c r="AA946" s="293"/>
      <c r="AB946" s="293"/>
      <c r="AC946" s="293"/>
      <c r="AD946" s="293"/>
      <c r="AE946" s="293"/>
      <c r="AF946" s="293"/>
      <c r="AG946" s="293"/>
      <c r="AH946" s="293"/>
      <c r="AI946" s="293"/>
      <c r="AJ946" s="293"/>
      <c r="AK946" s="293"/>
      <c r="AL946" s="293"/>
      <c r="AM946" s="293"/>
      <c r="AN946" s="293"/>
      <c r="AO946" s="75"/>
      <c r="AP946" s="75"/>
      <c r="AQ946" s="75"/>
      <c r="AR946" s="75"/>
      <c r="AS946" s="75"/>
      <c r="AT946" s="75"/>
      <c r="AU946" s="75"/>
      <c r="AV946" s="75"/>
      <c r="AW946" s="75"/>
      <c r="AX946" s="75"/>
    </row>
    <row r="947" ht="15.75" customHeight="1">
      <c r="A947" s="280" t="s">
        <v>2509</v>
      </c>
      <c r="B947" s="281" t="s">
        <v>6459</v>
      </c>
      <c r="C947" s="27" t="s">
        <v>7426</v>
      </c>
      <c r="D947" s="27" t="s">
        <v>7427</v>
      </c>
      <c r="E947" s="27" t="s">
        <v>7428</v>
      </c>
      <c r="F947" s="45"/>
      <c r="G947" s="45"/>
      <c r="H947" s="45"/>
      <c r="I947" s="286"/>
      <c r="J947" s="287"/>
      <c r="K947" s="286"/>
      <c r="L947" s="286"/>
      <c r="M947" s="286"/>
      <c r="N947" s="286"/>
      <c r="O947" s="286"/>
      <c r="P947" s="286"/>
      <c r="Q947" s="290" t="s">
        <v>150</v>
      </c>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75"/>
      <c r="AP947" s="75"/>
      <c r="AQ947" s="75"/>
      <c r="AR947" s="75"/>
      <c r="AS947" s="75"/>
      <c r="AT947" s="75"/>
      <c r="AU947" s="75"/>
      <c r="AV947" s="75"/>
      <c r="AW947" s="75"/>
      <c r="AX947" s="75"/>
    </row>
    <row r="948" ht="15.75" customHeight="1">
      <c r="A948" s="291" t="s">
        <v>268</v>
      </c>
      <c r="B948" s="292" t="s">
        <v>6461</v>
      </c>
      <c r="C948" s="27" t="s">
        <v>7429</v>
      </c>
      <c r="D948" s="27" t="s">
        <v>7430</v>
      </c>
      <c r="E948" s="27" t="s">
        <v>7431</v>
      </c>
      <c r="F948" s="45"/>
      <c r="G948" s="45"/>
      <c r="H948" s="45"/>
      <c r="I948" s="306"/>
      <c r="J948" s="306"/>
      <c r="K948" s="307" t="s">
        <v>2550</v>
      </c>
      <c r="L948" s="308"/>
      <c r="M948" s="306"/>
      <c r="N948" s="306"/>
      <c r="O948" s="309" t="s">
        <v>7432</v>
      </c>
      <c r="P948" s="306"/>
      <c r="Q948" s="309" t="s">
        <v>150</v>
      </c>
      <c r="R948" s="306"/>
      <c r="S948" s="306"/>
      <c r="T948" s="306"/>
      <c r="U948" s="306"/>
      <c r="V948" s="306"/>
      <c r="W948" s="306"/>
      <c r="X948" s="306"/>
      <c r="Y948" s="306"/>
      <c r="Z948" s="306"/>
      <c r="AA948" s="306"/>
      <c r="AB948" s="306"/>
      <c r="AC948" s="306"/>
      <c r="AD948" s="306"/>
      <c r="AE948" s="306"/>
      <c r="AF948" s="306"/>
      <c r="AG948" s="306"/>
      <c r="AH948" s="306"/>
      <c r="AI948" s="306"/>
      <c r="AJ948" s="306"/>
      <c r="AK948" s="306"/>
      <c r="AL948" s="306"/>
      <c r="AM948" s="306"/>
      <c r="AN948" s="306"/>
      <c r="AO948" s="75"/>
      <c r="AP948" s="75"/>
      <c r="AQ948" s="75"/>
      <c r="AR948" s="75"/>
      <c r="AS948" s="75"/>
      <c r="AT948" s="75"/>
      <c r="AU948" s="75"/>
      <c r="AV948" s="75"/>
      <c r="AW948" s="75"/>
      <c r="AX948" s="75"/>
    </row>
    <row r="949" ht="15.75" customHeight="1">
      <c r="A949" s="280" t="s">
        <v>6319</v>
      </c>
      <c r="B949" s="281" t="s">
        <v>6468</v>
      </c>
      <c r="C949" s="27" t="s">
        <v>7433</v>
      </c>
      <c r="D949" s="27" t="s">
        <v>7434</v>
      </c>
      <c r="E949" s="27" t="s">
        <v>7435</v>
      </c>
      <c r="F949" s="45" t="s">
        <v>1920</v>
      </c>
      <c r="G949" s="45" t="s">
        <v>6183</v>
      </c>
      <c r="H949" s="45" t="s">
        <v>1922</v>
      </c>
      <c r="I949" s="286"/>
      <c r="J949" s="287"/>
      <c r="K949" s="286"/>
      <c r="L949" s="286"/>
      <c r="M949" s="286"/>
      <c r="N949" s="286"/>
      <c r="O949" s="280" t="s">
        <v>7432</v>
      </c>
      <c r="P949" s="286"/>
      <c r="Q949" s="290" t="s">
        <v>150</v>
      </c>
      <c r="R949" s="286"/>
      <c r="S949" s="286"/>
      <c r="T949" s="286"/>
      <c r="U949" s="286"/>
      <c r="V949" s="286"/>
      <c r="W949" s="286"/>
      <c r="X949" s="286"/>
      <c r="Y949" s="286"/>
      <c r="Z949" s="286"/>
      <c r="AA949" s="286"/>
      <c r="AB949" s="286"/>
      <c r="AC949" s="286"/>
      <c r="AD949" s="286"/>
      <c r="AE949" s="286"/>
      <c r="AF949" s="286"/>
      <c r="AG949" s="286"/>
      <c r="AH949" s="286"/>
      <c r="AI949" s="286"/>
      <c r="AJ949" s="286"/>
      <c r="AK949" s="286"/>
      <c r="AL949" s="286"/>
      <c r="AM949" s="286"/>
      <c r="AN949" s="286"/>
      <c r="AO949" s="75"/>
      <c r="AP949" s="75"/>
      <c r="AQ949" s="75"/>
      <c r="AR949" s="75"/>
      <c r="AS949" s="75"/>
      <c r="AT949" s="75"/>
      <c r="AU949" s="75"/>
      <c r="AV949" s="75"/>
      <c r="AW949" s="75"/>
      <c r="AX949" s="75"/>
    </row>
    <row r="950" ht="15.75" customHeight="1">
      <c r="A950" s="282" t="s">
        <v>252</v>
      </c>
      <c r="B950" s="283" t="s">
        <v>6473</v>
      </c>
      <c r="C950" s="27" t="s">
        <v>7436</v>
      </c>
      <c r="D950" s="27" t="s">
        <v>7437</v>
      </c>
      <c r="E950" s="27" t="s">
        <v>7438</v>
      </c>
      <c r="F950" s="45"/>
      <c r="G950" s="45"/>
      <c r="H950" s="45"/>
      <c r="I950" s="293"/>
      <c r="J950" s="294"/>
      <c r="K950" s="293"/>
      <c r="L950" s="293"/>
      <c r="M950" s="293"/>
      <c r="N950" s="293"/>
      <c r="O950" s="282" t="s">
        <v>7439</v>
      </c>
      <c r="P950" s="293"/>
      <c r="Q950" s="296" t="s">
        <v>150</v>
      </c>
      <c r="R950" s="293"/>
      <c r="S950" s="293"/>
      <c r="T950" s="293"/>
      <c r="U950" s="293"/>
      <c r="V950" s="293"/>
      <c r="W950" s="293"/>
      <c r="X950" s="293"/>
      <c r="Y950" s="293"/>
      <c r="Z950" s="293"/>
      <c r="AA950" s="293"/>
      <c r="AB950" s="293"/>
      <c r="AC950" s="293"/>
      <c r="AD950" s="293"/>
      <c r="AE950" s="293"/>
      <c r="AF950" s="293"/>
      <c r="AG950" s="293"/>
      <c r="AH950" s="293"/>
      <c r="AI950" s="293"/>
      <c r="AJ950" s="293"/>
      <c r="AK950" s="293"/>
      <c r="AL950" s="293"/>
      <c r="AM950" s="293"/>
      <c r="AN950" s="293"/>
      <c r="AO950" s="75"/>
      <c r="AP950" s="75"/>
      <c r="AQ950" s="75"/>
      <c r="AR950" s="75"/>
      <c r="AS950" s="75"/>
      <c r="AT950" s="75"/>
      <c r="AU950" s="75"/>
      <c r="AV950" s="75"/>
      <c r="AW950" s="75"/>
      <c r="AX950" s="75"/>
    </row>
    <row r="951" ht="15.75" customHeight="1">
      <c r="A951" s="280" t="s">
        <v>6477</v>
      </c>
      <c r="B951" s="281" t="s">
        <v>6478</v>
      </c>
      <c r="C951" s="27" t="s">
        <v>7440</v>
      </c>
      <c r="D951" s="27" t="s">
        <v>7441</v>
      </c>
      <c r="E951" s="27" t="s">
        <v>7442</v>
      </c>
      <c r="F951" s="45" t="s">
        <v>7443</v>
      </c>
      <c r="G951" s="45" t="s">
        <v>7444</v>
      </c>
      <c r="H951" s="45" t="s">
        <v>7445</v>
      </c>
      <c r="I951" s="286"/>
      <c r="J951" s="287"/>
      <c r="K951" s="290" t="s">
        <v>2873</v>
      </c>
      <c r="L951" s="286"/>
      <c r="M951" s="286"/>
      <c r="N951" s="286"/>
      <c r="O951" s="286"/>
      <c r="P951" s="286"/>
      <c r="Q951" s="290" t="s">
        <v>150</v>
      </c>
      <c r="R951" s="286"/>
      <c r="S951" s="286"/>
      <c r="T951" s="288"/>
      <c r="U951" s="286"/>
      <c r="V951" s="286"/>
      <c r="W951" s="286"/>
      <c r="X951" s="286"/>
      <c r="Y951" s="286"/>
      <c r="Z951" s="286"/>
      <c r="AA951" s="286"/>
      <c r="AB951" s="286"/>
      <c r="AC951" s="286"/>
      <c r="AD951" s="75"/>
      <c r="AE951" s="75"/>
      <c r="AF951" s="75"/>
      <c r="AG951" s="75"/>
      <c r="AH951" s="75"/>
      <c r="AI951" s="75"/>
      <c r="AJ951" s="75"/>
      <c r="AK951" s="75"/>
      <c r="AL951" s="312"/>
      <c r="AM951" s="312"/>
      <c r="AN951" s="312"/>
      <c r="AO951" s="75"/>
      <c r="AP951" s="75"/>
      <c r="AQ951" s="75"/>
      <c r="AR951" s="75"/>
      <c r="AS951" s="75"/>
      <c r="AT951" s="75"/>
      <c r="AU951" s="75"/>
      <c r="AV951" s="75"/>
      <c r="AW951" s="75"/>
      <c r="AX951" s="75"/>
    </row>
    <row r="952" ht="15.75" customHeight="1">
      <c r="A952" s="291" t="s">
        <v>268</v>
      </c>
      <c r="B952" s="292" t="s">
        <v>6480</v>
      </c>
      <c r="C952" s="27" t="s">
        <v>7446</v>
      </c>
      <c r="D952" s="27" t="s">
        <v>7447</v>
      </c>
      <c r="E952" s="27" t="s">
        <v>7448</v>
      </c>
      <c r="F952" s="45"/>
      <c r="G952" s="45"/>
      <c r="H952" s="45"/>
      <c r="I952" s="306"/>
      <c r="J952" s="306"/>
      <c r="K952" s="309" t="s">
        <v>1760</v>
      </c>
      <c r="L952" s="308"/>
      <c r="M952" s="306"/>
      <c r="N952" s="306"/>
      <c r="O952" s="396" t="s">
        <v>7449</v>
      </c>
      <c r="P952" s="306"/>
      <c r="Q952" s="306"/>
      <c r="R952" s="306"/>
      <c r="S952" s="306"/>
      <c r="T952" s="306"/>
      <c r="U952" s="306"/>
      <c r="V952" s="306"/>
      <c r="W952" s="306"/>
      <c r="X952" s="306"/>
      <c r="Y952" s="306"/>
      <c r="Z952" s="306"/>
      <c r="AA952" s="306"/>
      <c r="AB952" s="306"/>
      <c r="AC952" s="306"/>
      <c r="AD952" s="75"/>
      <c r="AE952" s="75"/>
      <c r="AF952" s="75"/>
      <c r="AG952" s="75"/>
      <c r="AH952" s="75"/>
      <c r="AI952" s="75"/>
      <c r="AJ952" s="75"/>
      <c r="AK952" s="75"/>
      <c r="AL952" s="312"/>
      <c r="AM952" s="312"/>
      <c r="AN952" s="312"/>
      <c r="AO952" s="75"/>
      <c r="AP952" s="75"/>
      <c r="AQ952" s="75"/>
      <c r="AR952" s="75"/>
      <c r="AS952" s="75"/>
      <c r="AT952" s="75"/>
      <c r="AU952" s="75"/>
      <c r="AV952" s="75"/>
      <c r="AW952" s="75"/>
      <c r="AX952" s="75"/>
    </row>
    <row r="953" ht="15.75" customHeight="1">
      <c r="A953" s="291" t="s">
        <v>268</v>
      </c>
      <c r="B953" s="292" t="s">
        <v>6484</v>
      </c>
      <c r="C953" s="27" t="s">
        <v>7450</v>
      </c>
      <c r="D953" s="27" t="s">
        <v>7451</v>
      </c>
      <c r="E953" s="27" t="s">
        <v>7452</v>
      </c>
      <c r="F953" s="45" t="s">
        <v>7453</v>
      </c>
      <c r="G953" s="45" t="s">
        <v>7454</v>
      </c>
      <c r="H953" s="45" t="s">
        <v>7455</v>
      </c>
      <c r="I953" s="290"/>
      <c r="J953" s="306"/>
      <c r="K953" s="308"/>
      <c r="L953" s="308"/>
      <c r="M953" s="306"/>
      <c r="N953" s="306"/>
      <c r="O953" s="359"/>
      <c r="P953" s="306"/>
      <c r="Q953" s="309" t="s">
        <v>150</v>
      </c>
      <c r="R953" s="306"/>
      <c r="S953" s="306"/>
      <c r="T953" s="306"/>
      <c r="U953" s="306"/>
      <c r="V953" s="306"/>
      <c r="W953" s="306"/>
      <c r="X953" s="306"/>
      <c r="Y953" s="306"/>
      <c r="Z953" s="306"/>
      <c r="AA953" s="306"/>
      <c r="AB953" s="306"/>
      <c r="AC953" s="306"/>
      <c r="AD953" s="75"/>
      <c r="AE953" s="75"/>
      <c r="AF953" s="75"/>
      <c r="AG953" s="75"/>
      <c r="AH953" s="75"/>
      <c r="AI953" s="75"/>
      <c r="AJ953" s="75"/>
      <c r="AK953" s="75"/>
      <c r="AL953" s="312"/>
      <c r="AM953" s="312"/>
      <c r="AN953" s="312"/>
      <c r="AO953" s="75"/>
      <c r="AP953" s="75"/>
      <c r="AQ953" s="75"/>
      <c r="AR953" s="75"/>
      <c r="AS953" s="75"/>
      <c r="AT953" s="75"/>
      <c r="AU953" s="75"/>
      <c r="AV953" s="75"/>
      <c r="AW953" s="75"/>
      <c r="AX953" s="75"/>
    </row>
    <row r="954" ht="15.75" customHeight="1">
      <c r="A954" s="168" t="s">
        <v>127</v>
      </c>
      <c r="B954" s="71" t="s">
        <v>6488</v>
      </c>
      <c r="C954" s="72"/>
      <c r="D954" s="72"/>
      <c r="E954" s="72"/>
      <c r="F954" s="73"/>
      <c r="G954" s="73"/>
      <c r="H954" s="73"/>
      <c r="I954" s="73"/>
      <c r="J954" s="73"/>
      <c r="K954" s="73"/>
      <c r="L954" s="73"/>
      <c r="M954" s="73"/>
      <c r="N954" s="73"/>
      <c r="O954" s="223"/>
      <c r="P954" s="73"/>
      <c r="Q954" s="73"/>
      <c r="R954" s="73"/>
      <c r="S954" s="73"/>
      <c r="T954" s="74" t="s">
        <v>129</v>
      </c>
      <c r="U954" s="73"/>
      <c r="V954" s="73"/>
      <c r="W954" s="73"/>
      <c r="X954" s="73"/>
      <c r="Y954" s="73"/>
      <c r="Z954" s="73"/>
      <c r="AA954" s="73"/>
      <c r="AB954" s="73"/>
      <c r="AC954" s="73"/>
      <c r="AD954" s="75"/>
      <c r="AE954" s="75"/>
      <c r="AF954" s="75"/>
      <c r="AG954" s="75"/>
      <c r="AH954" s="75"/>
      <c r="AI954" s="75"/>
      <c r="AJ954" s="75"/>
      <c r="AK954" s="75"/>
      <c r="AL954" s="75"/>
      <c r="AM954" s="75"/>
      <c r="AN954" s="75"/>
      <c r="AO954" s="75"/>
      <c r="AP954" s="75"/>
      <c r="AQ954" s="75"/>
      <c r="AR954" s="75"/>
      <c r="AS954" s="75"/>
      <c r="AT954" s="75"/>
      <c r="AU954" s="75"/>
      <c r="AV954" s="75"/>
      <c r="AW954" s="75"/>
      <c r="AX954" s="75"/>
    </row>
    <row r="955" ht="15.75" customHeight="1">
      <c r="A955" s="168" t="s">
        <v>68</v>
      </c>
      <c r="B955" s="71" t="s">
        <v>6489</v>
      </c>
      <c r="C955" s="72"/>
      <c r="D955" s="72"/>
      <c r="E955" s="72"/>
      <c r="F955" s="73"/>
      <c r="G955" s="73"/>
      <c r="H955" s="73"/>
      <c r="I955" s="73"/>
      <c r="J955" s="73"/>
      <c r="K955" s="73"/>
      <c r="L955" s="73"/>
      <c r="M955" s="73"/>
      <c r="N955" s="73"/>
      <c r="O955" s="73"/>
      <c r="P955" s="73"/>
      <c r="Q955" s="73"/>
      <c r="R955" s="73"/>
      <c r="S955" s="73"/>
      <c r="T955" s="74" t="s">
        <v>7456</v>
      </c>
      <c r="U955" s="223"/>
      <c r="V955" s="73"/>
      <c r="W955" s="73"/>
      <c r="X955" s="73"/>
      <c r="Y955" s="73"/>
      <c r="Z955" s="73"/>
      <c r="AA955" s="73"/>
      <c r="AB955" s="73"/>
      <c r="AC955" s="73"/>
      <c r="AD955" s="75"/>
      <c r="AE955" s="75"/>
      <c r="AF955" s="75"/>
      <c r="AG955" s="75"/>
      <c r="AH955" s="75"/>
      <c r="AI955" s="75"/>
      <c r="AJ955" s="75"/>
      <c r="AK955" s="75"/>
      <c r="AL955" s="75"/>
      <c r="AM955" s="75"/>
      <c r="AN955" s="75"/>
      <c r="AO955" s="75"/>
      <c r="AP955" s="75"/>
      <c r="AQ955" s="75"/>
      <c r="AR955" s="75"/>
      <c r="AS955" s="75"/>
      <c r="AT955" s="75"/>
      <c r="AU955" s="75"/>
      <c r="AV955" s="75"/>
      <c r="AW955" s="75"/>
      <c r="AX955" s="75"/>
    </row>
    <row r="956" ht="15.75" customHeight="1">
      <c r="A956" s="298" t="s">
        <v>237</v>
      </c>
      <c r="B956" s="310" t="s">
        <v>6289</v>
      </c>
      <c r="C956" s="226" t="s">
        <v>6290</v>
      </c>
      <c r="D956" s="226"/>
      <c r="E956" s="226"/>
      <c r="F956" s="312"/>
      <c r="G956" s="312"/>
      <c r="H956" s="312"/>
      <c r="I956" s="312"/>
      <c r="J956" s="312"/>
      <c r="K956" s="312"/>
      <c r="L956" s="312"/>
      <c r="M956" s="312"/>
      <c r="N956" s="312"/>
      <c r="O956" s="312"/>
      <c r="P956" s="312"/>
      <c r="Q956" s="312"/>
      <c r="R956" s="312"/>
      <c r="S956" s="312"/>
      <c r="T956" s="302"/>
      <c r="U956" s="312"/>
      <c r="V956" s="312"/>
      <c r="W956" s="312"/>
      <c r="X956" s="312"/>
      <c r="Y956" s="312"/>
      <c r="Z956" s="312"/>
      <c r="AA956" s="312"/>
      <c r="AB956" s="312"/>
      <c r="AC956" s="312"/>
      <c r="AD956" s="312"/>
      <c r="AE956" s="312"/>
      <c r="AF956" s="312"/>
      <c r="AG956" s="312"/>
      <c r="AH956" s="312"/>
      <c r="AI956" s="312"/>
      <c r="AJ956" s="312"/>
      <c r="AK956" s="312"/>
      <c r="AL956" s="312"/>
      <c r="AM956" s="312"/>
      <c r="AN956" s="312"/>
      <c r="AO956" s="75"/>
      <c r="AP956" s="75"/>
      <c r="AQ956" s="75"/>
      <c r="AR956" s="75"/>
      <c r="AS956" s="75"/>
      <c r="AT956" s="75"/>
      <c r="AU956" s="75"/>
      <c r="AV956" s="75"/>
      <c r="AW956" s="75"/>
      <c r="AX956" s="75"/>
    </row>
    <row r="957" ht="15.75" customHeight="1">
      <c r="A957" s="168" t="s">
        <v>127</v>
      </c>
      <c r="B957" s="71" t="s">
        <v>6490</v>
      </c>
      <c r="C957" s="72"/>
      <c r="D957" s="72"/>
      <c r="E957" s="72"/>
      <c r="F957" s="73"/>
      <c r="G957" s="73"/>
      <c r="H957" s="73"/>
      <c r="I957" s="73"/>
      <c r="J957" s="73"/>
      <c r="K957" s="73"/>
      <c r="L957" s="73"/>
      <c r="M957" s="73"/>
      <c r="N957" s="73"/>
      <c r="O957" s="73"/>
      <c r="P957" s="73"/>
      <c r="Q957" s="73"/>
      <c r="R957" s="73"/>
      <c r="S957" s="73"/>
      <c r="T957" s="177" t="s">
        <v>129</v>
      </c>
      <c r="U957" s="73"/>
      <c r="V957" s="73"/>
      <c r="W957" s="73"/>
      <c r="X957" s="73"/>
      <c r="Y957" s="73"/>
      <c r="Z957" s="73"/>
      <c r="AA957" s="73"/>
      <c r="AB957" s="73"/>
      <c r="AC957" s="73"/>
      <c r="AD957" s="75"/>
      <c r="AE957" s="75"/>
      <c r="AF957" s="75"/>
      <c r="AG957" s="75"/>
      <c r="AH957" s="75"/>
      <c r="AI957" s="75"/>
      <c r="AJ957" s="75"/>
      <c r="AK957" s="75"/>
      <c r="AL957" s="75"/>
      <c r="AM957" s="75"/>
      <c r="AN957" s="75"/>
      <c r="AO957" s="75"/>
      <c r="AP957" s="75"/>
      <c r="AQ957" s="75"/>
      <c r="AR957" s="75"/>
      <c r="AS957" s="75"/>
      <c r="AT957" s="75"/>
      <c r="AU957" s="75"/>
      <c r="AV957" s="75"/>
      <c r="AW957" s="75"/>
      <c r="AX957" s="75"/>
    </row>
    <row r="958" ht="15.75" customHeight="1">
      <c r="A958" s="298" t="s">
        <v>133</v>
      </c>
      <c r="B958" s="299" t="s">
        <v>6491</v>
      </c>
      <c r="C958" s="147" t="s">
        <v>6492</v>
      </c>
      <c r="D958" s="147" t="s">
        <v>6493</v>
      </c>
      <c r="E958" s="147" t="s">
        <v>6494</v>
      </c>
      <c r="F958" s="312"/>
      <c r="G958" s="312"/>
      <c r="H958" s="312"/>
      <c r="I958" s="312"/>
      <c r="J958" s="314" t="s">
        <v>1982</v>
      </c>
      <c r="K958" s="312"/>
      <c r="L958" s="312"/>
      <c r="M958" s="313"/>
      <c r="N958" s="313"/>
      <c r="O958" s="313"/>
      <c r="P958" s="312"/>
      <c r="Q958" s="312"/>
      <c r="R958" s="312"/>
      <c r="S958" s="312"/>
      <c r="T958" s="302"/>
      <c r="U958" s="312"/>
      <c r="V958" s="312"/>
      <c r="W958" s="312"/>
      <c r="X958" s="312"/>
      <c r="Y958" s="312"/>
      <c r="Z958" s="312"/>
      <c r="AA958" s="312"/>
      <c r="AB958" s="312"/>
      <c r="AC958" s="312"/>
      <c r="AD958" s="75"/>
      <c r="AE958" s="75"/>
      <c r="AF958" s="75"/>
      <c r="AG958" s="75"/>
      <c r="AH958" s="75"/>
      <c r="AI958" s="75"/>
      <c r="AJ958" s="75"/>
      <c r="AK958" s="75"/>
      <c r="AL958" s="75"/>
      <c r="AM958" s="75"/>
      <c r="AN958" s="75"/>
      <c r="AO958" s="75"/>
      <c r="AP958" s="75"/>
      <c r="AQ958" s="75"/>
      <c r="AR958" s="75"/>
      <c r="AS958" s="75"/>
      <c r="AT958" s="75"/>
      <c r="AU958" s="75"/>
      <c r="AV958" s="75"/>
      <c r="AW958" s="75"/>
      <c r="AX958" s="75"/>
    </row>
    <row r="959" ht="15.75" customHeight="1">
      <c r="A959" s="280" t="s">
        <v>1306</v>
      </c>
      <c r="B959" s="281" t="s">
        <v>6495</v>
      </c>
      <c r="C959" s="27" t="s">
        <v>7457</v>
      </c>
      <c r="D959" s="27" t="s">
        <v>7458</v>
      </c>
      <c r="E959" s="27" t="s">
        <v>7459</v>
      </c>
      <c r="F959" s="45"/>
      <c r="G959" s="45"/>
      <c r="H959" s="45"/>
      <c r="I959" s="286"/>
      <c r="J959" s="297" t="s">
        <v>8</v>
      </c>
      <c r="K959" s="286"/>
      <c r="L959" s="286"/>
      <c r="M959" s="286"/>
      <c r="N959" s="286"/>
      <c r="O959" s="288"/>
      <c r="P959" s="286"/>
      <c r="Q959" s="286"/>
      <c r="R959" s="286"/>
      <c r="S959" s="286"/>
      <c r="T959" s="286"/>
      <c r="U959" s="286"/>
      <c r="V959" s="286"/>
      <c r="W959" s="286"/>
      <c r="X959" s="286"/>
      <c r="Y959" s="286"/>
      <c r="Z959" s="286"/>
      <c r="AA959" s="286"/>
      <c r="AB959" s="286"/>
      <c r="AC959" s="286"/>
      <c r="AD959" s="75"/>
      <c r="AE959" s="75"/>
      <c r="AF959" s="75"/>
      <c r="AG959" s="75"/>
      <c r="AH959" s="75"/>
      <c r="AI959" s="75"/>
      <c r="AJ959" s="75"/>
      <c r="AK959" s="75"/>
      <c r="AL959" s="286"/>
      <c r="AM959" s="286"/>
      <c r="AN959" s="286"/>
      <c r="AO959" s="75"/>
      <c r="AP959" s="75"/>
      <c r="AQ959" s="75"/>
      <c r="AR959" s="75"/>
      <c r="AS959" s="75"/>
      <c r="AT959" s="75"/>
      <c r="AU959" s="75"/>
      <c r="AV959" s="75"/>
      <c r="AW959" s="75"/>
      <c r="AX959" s="75"/>
    </row>
    <row r="960" ht="15.75" customHeight="1">
      <c r="A960" s="280" t="s">
        <v>1306</v>
      </c>
      <c r="B960" s="281" t="s">
        <v>6499</v>
      </c>
      <c r="C960" s="27" t="s">
        <v>7460</v>
      </c>
      <c r="D960" s="27" t="s">
        <v>7461</v>
      </c>
      <c r="E960" s="27" t="s">
        <v>7462</v>
      </c>
      <c r="F960" s="45"/>
      <c r="G960" s="45"/>
      <c r="H960" s="45"/>
      <c r="I960" s="286"/>
      <c r="J960" s="297" t="s">
        <v>2000</v>
      </c>
      <c r="K960" s="286"/>
      <c r="L960" s="286"/>
      <c r="M960" s="286"/>
      <c r="N960" s="286"/>
      <c r="O960" s="286"/>
      <c r="P960" s="286"/>
      <c r="Q960" s="290" t="s">
        <v>150</v>
      </c>
      <c r="R960" s="286"/>
      <c r="S960" s="286"/>
      <c r="T960" s="286"/>
      <c r="U960" s="286"/>
      <c r="V960" s="286"/>
      <c r="W960" s="286"/>
      <c r="X960" s="286"/>
      <c r="Y960" s="286"/>
      <c r="Z960" s="286"/>
      <c r="AA960" s="286"/>
      <c r="AB960" s="286"/>
      <c r="AC960" s="286"/>
      <c r="AD960" s="75"/>
      <c r="AE960" s="75"/>
      <c r="AF960" s="75"/>
      <c r="AG960" s="75"/>
      <c r="AH960" s="75"/>
      <c r="AI960" s="75"/>
      <c r="AJ960" s="75"/>
      <c r="AK960" s="75"/>
      <c r="AL960" s="286"/>
      <c r="AM960" s="286"/>
      <c r="AN960" s="286"/>
      <c r="AO960" s="75"/>
      <c r="AP960" s="75"/>
      <c r="AQ960" s="75"/>
      <c r="AR960" s="75"/>
      <c r="AS960" s="75"/>
      <c r="AT960" s="75"/>
      <c r="AU960" s="75"/>
      <c r="AV960" s="75"/>
      <c r="AW960" s="75"/>
      <c r="AX960" s="75"/>
    </row>
    <row r="961" ht="15.75" customHeight="1">
      <c r="A961" s="280" t="s">
        <v>1306</v>
      </c>
      <c r="B961" s="281" t="s">
        <v>6503</v>
      </c>
      <c r="C961" s="27" t="s">
        <v>7463</v>
      </c>
      <c r="D961" s="27" t="s">
        <v>7464</v>
      </c>
      <c r="E961" s="27" t="s">
        <v>7465</v>
      </c>
      <c r="F961" s="45"/>
      <c r="G961" s="45"/>
      <c r="H961" s="45"/>
      <c r="I961" s="286"/>
      <c r="J961" s="297" t="s">
        <v>2000</v>
      </c>
      <c r="K961" s="286"/>
      <c r="L961" s="286"/>
      <c r="M961" s="286"/>
      <c r="N961" s="286"/>
      <c r="O961" s="288"/>
      <c r="P961" s="286"/>
      <c r="Q961" s="290" t="s">
        <v>150</v>
      </c>
      <c r="R961" s="286"/>
      <c r="S961" s="286"/>
      <c r="T961" s="286"/>
      <c r="U961" s="286"/>
      <c r="V961" s="286"/>
      <c r="W961" s="286"/>
      <c r="X961" s="286"/>
      <c r="Y961" s="286"/>
      <c r="Z961" s="286"/>
      <c r="AA961" s="286"/>
      <c r="AB961" s="286"/>
      <c r="AC961" s="286"/>
      <c r="AD961" s="75"/>
      <c r="AE961" s="75"/>
      <c r="AF961" s="75"/>
      <c r="AG961" s="75"/>
      <c r="AH961" s="75"/>
      <c r="AI961" s="75"/>
      <c r="AJ961" s="75"/>
      <c r="AK961" s="75"/>
      <c r="AL961" s="286"/>
      <c r="AM961" s="286"/>
      <c r="AN961" s="286"/>
      <c r="AO961" s="75"/>
      <c r="AP961" s="75"/>
      <c r="AQ961" s="75"/>
      <c r="AR961" s="75"/>
      <c r="AS961" s="75"/>
      <c r="AT961" s="75"/>
      <c r="AU961" s="75"/>
      <c r="AV961" s="75"/>
      <c r="AW961" s="75"/>
      <c r="AX961" s="75"/>
    </row>
    <row r="962" ht="15.75" customHeight="1">
      <c r="A962" s="280" t="s">
        <v>1306</v>
      </c>
      <c r="B962" s="281" t="s">
        <v>6507</v>
      </c>
      <c r="C962" s="27" t="s">
        <v>7466</v>
      </c>
      <c r="D962" s="27" t="s">
        <v>7467</v>
      </c>
      <c r="E962" s="27" t="s">
        <v>7468</v>
      </c>
      <c r="F962" s="45"/>
      <c r="G962" s="45"/>
      <c r="H962" s="45"/>
      <c r="I962" s="286"/>
      <c r="J962" s="297" t="s">
        <v>2000</v>
      </c>
      <c r="K962" s="286"/>
      <c r="L962" s="286"/>
      <c r="M962" s="286"/>
      <c r="N962" s="286"/>
      <c r="O962" s="288"/>
      <c r="P962" s="286"/>
      <c r="Q962" s="290" t="s">
        <v>150</v>
      </c>
      <c r="R962" s="286"/>
      <c r="S962" s="286"/>
      <c r="T962" s="286"/>
      <c r="U962" s="286"/>
      <c r="V962" s="286"/>
      <c r="W962" s="286"/>
      <c r="X962" s="286"/>
      <c r="Y962" s="286"/>
      <c r="Z962" s="286"/>
      <c r="AA962" s="286"/>
      <c r="AB962" s="286"/>
      <c r="AC962" s="286"/>
      <c r="AD962" s="75"/>
      <c r="AE962" s="75"/>
      <c r="AF962" s="75"/>
      <c r="AG962" s="75"/>
      <c r="AH962" s="75"/>
      <c r="AI962" s="75"/>
      <c r="AJ962" s="75"/>
      <c r="AK962" s="75"/>
      <c r="AL962" s="286"/>
      <c r="AM962" s="286"/>
      <c r="AN962" s="286"/>
      <c r="AO962" s="75"/>
      <c r="AP962" s="75"/>
      <c r="AQ962" s="75"/>
      <c r="AR962" s="75"/>
      <c r="AS962" s="75"/>
      <c r="AT962" s="75"/>
      <c r="AU962" s="75"/>
      <c r="AV962" s="75"/>
      <c r="AW962" s="75"/>
      <c r="AX962" s="75"/>
    </row>
    <row r="963" ht="15.75" customHeight="1">
      <c r="A963" s="280" t="s">
        <v>1306</v>
      </c>
      <c r="B963" s="281" t="s">
        <v>6511</v>
      </c>
      <c r="C963" s="27" t="s">
        <v>7469</v>
      </c>
      <c r="D963" s="27" t="s">
        <v>7470</v>
      </c>
      <c r="E963" s="27" t="s">
        <v>7471</v>
      </c>
      <c r="F963" s="45"/>
      <c r="G963" s="45"/>
      <c r="H963" s="45"/>
      <c r="I963" s="286"/>
      <c r="J963" s="297" t="s">
        <v>2000</v>
      </c>
      <c r="K963" s="286"/>
      <c r="L963" s="286"/>
      <c r="M963" s="286"/>
      <c r="N963" s="286"/>
      <c r="O963" s="286"/>
      <c r="P963" s="286"/>
      <c r="Q963" s="290" t="s">
        <v>150</v>
      </c>
      <c r="R963" s="286"/>
      <c r="S963" s="286"/>
      <c r="T963" s="288"/>
      <c r="U963" s="286"/>
      <c r="V963" s="286"/>
      <c r="W963" s="286"/>
      <c r="X963" s="286"/>
      <c r="Y963" s="286"/>
      <c r="Z963" s="286"/>
      <c r="AA963" s="286"/>
      <c r="AB963" s="286"/>
      <c r="AC963" s="286"/>
      <c r="AD963" s="75"/>
      <c r="AE963" s="75"/>
      <c r="AF963" s="75"/>
      <c r="AG963" s="75"/>
      <c r="AH963" s="75"/>
      <c r="AI963" s="75"/>
      <c r="AJ963" s="75"/>
      <c r="AK963" s="75"/>
      <c r="AL963" s="286"/>
      <c r="AM963" s="286"/>
      <c r="AN963" s="286"/>
      <c r="AO963" s="75"/>
      <c r="AP963" s="75"/>
      <c r="AQ963" s="75"/>
      <c r="AR963" s="75"/>
      <c r="AS963" s="75"/>
      <c r="AT963" s="75"/>
      <c r="AU963" s="75"/>
      <c r="AV963" s="75"/>
      <c r="AW963" s="75"/>
      <c r="AX963" s="75"/>
    </row>
    <row r="964" ht="15.75" customHeight="1">
      <c r="A964" s="280" t="s">
        <v>1306</v>
      </c>
      <c r="B964" s="281" t="s">
        <v>6513</v>
      </c>
      <c r="C964" s="27" t="s">
        <v>7472</v>
      </c>
      <c r="D964" s="27" t="s">
        <v>7473</v>
      </c>
      <c r="E964" s="27" t="s">
        <v>7474</v>
      </c>
      <c r="F964" s="45"/>
      <c r="G964" s="45"/>
      <c r="H964" s="45"/>
      <c r="I964" s="286"/>
      <c r="J964" s="297" t="s">
        <v>2000</v>
      </c>
      <c r="K964" s="286"/>
      <c r="L964" s="286"/>
      <c r="M964" s="286"/>
      <c r="N964" s="286"/>
      <c r="O964" s="288"/>
      <c r="P964" s="286"/>
      <c r="Q964" s="290" t="s">
        <v>150</v>
      </c>
      <c r="R964" s="286"/>
      <c r="S964" s="286"/>
      <c r="T964" s="286"/>
      <c r="U964" s="286"/>
      <c r="V964" s="286"/>
      <c r="W964" s="286"/>
      <c r="X964" s="286"/>
      <c r="Y964" s="286"/>
      <c r="Z964" s="286"/>
      <c r="AA964" s="286"/>
      <c r="AB964" s="286"/>
      <c r="AC964" s="286"/>
      <c r="AD964" s="75"/>
      <c r="AE964" s="75"/>
      <c r="AF964" s="75"/>
      <c r="AG964" s="75"/>
      <c r="AH964" s="75"/>
      <c r="AI964" s="75"/>
      <c r="AJ964" s="75"/>
      <c r="AK964" s="75"/>
      <c r="AL964" s="286"/>
      <c r="AM964" s="286"/>
      <c r="AN964" s="286"/>
      <c r="AO964" s="75"/>
      <c r="AP964" s="75"/>
      <c r="AQ964" s="75"/>
      <c r="AR964" s="75"/>
      <c r="AS964" s="75"/>
      <c r="AT964" s="75"/>
      <c r="AU964" s="75"/>
      <c r="AV964" s="75"/>
      <c r="AW964" s="75"/>
      <c r="AX964" s="75"/>
    </row>
    <row r="965" ht="15.75" customHeight="1">
      <c r="A965" s="298" t="s">
        <v>237</v>
      </c>
      <c r="B965" s="310" t="s">
        <v>6491</v>
      </c>
      <c r="C965" s="226" t="s">
        <v>6492</v>
      </c>
      <c r="D965" s="226" t="s">
        <v>6493</v>
      </c>
      <c r="E965" s="226" t="s">
        <v>6494</v>
      </c>
      <c r="F965" s="312"/>
      <c r="G965" s="312"/>
      <c r="H965" s="312"/>
      <c r="I965" s="312"/>
      <c r="J965" s="312"/>
      <c r="K965" s="312"/>
      <c r="L965" s="312"/>
      <c r="M965" s="312"/>
      <c r="N965" s="312"/>
      <c r="O965" s="312"/>
      <c r="P965" s="312"/>
      <c r="Q965" s="312"/>
      <c r="R965" s="312"/>
      <c r="S965" s="312"/>
      <c r="T965" s="312"/>
      <c r="U965" s="312"/>
      <c r="V965" s="312"/>
      <c r="W965" s="312"/>
      <c r="X965" s="312"/>
      <c r="Y965" s="312"/>
      <c r="Z965" s="312"/>
      <c r="AA965" s="312"/>
      <c r="AB965" s="312"/>
      <c r="AC965" s="312"/>
      <c r="AD965" s="75"/>
      <c r="AE965" s="75"/>
      <c r="AF965" s="75"/>
      <c r="AG965" s="75"/>
      <c r="AH965" s="75"/>
      <c r="AI965" s="75"/>
      <c r="AJ965" s="75"/>
      <c r="AK965" s="75"/>
      <c r="AL965" s="286"/>
      <c r="AM965" s="286"/>
      <c r="AN965" s="286"/>
      <c r="AO965" s="75"/>
      <c r="AP965" s="75"/>
      <c r="AQ965" s="75"/>
      <c r="AR965" s="75"/>
      <c r="AS965" s="75"/>
      <c r="AT965" s="75"/>
      <c r="AU965" s="75"/>
      <c r="AV965" s="75"/>
      <c r="AW965" s="75"/>
      <c r="AX965" s="75"/>
    </row>
    <row r="966" ht="15.75" customHeight="1">
      <c r="A966" s="282" t="s">
        <v>252</v>
      </c>
      <c r="B966" s="283" t="s">
        <v>6517</v>
      </c>
      <c r="C966" s="27" t="s">
        <v>7475</v>
      </c>
      <c r="D966" s="27" t="s">
        <v>7476</v>
      </c>
      <c r="E966" s="27" t="s">
        <v>7477</v>
      </c>
      <c r="F966" s="45"/>
      <c r="G966" s="45"/>
      <c r="H966" s="45"/>
      <c r="I966" s="293"/>
      <c r="J966" s="294"/>
      <c r="K966" s="293"/>
      <c r="L966" s="293"/>
      <c r="M966" s="293"/>
      <c r="N966" s="293"/>
      <c r="O966" s="296" t="s">
        <v>7478</v>
      </c>
      <c r="P966" s="293"/>
      <c r="Q966" s="296" t="s">
        <v>150</v>
      </c>
      <c r="R966" s="293"/>
      <c r="S966" s="293"/>
      <c r="T966" s="293"/>
      <c r="U966" s="386"/>
      <c r="V966" s="293"/>
      <c r="W966" s="293"/>
      <c r="X966" s="293"/>
      <c r="Y966" s="293"/>
      <c r="Z966" s="293"/>
      <c r="AA966" s="293"/>
      <c r="AB966" s="293"/>
      <c r="AC966" s="293"/>
      <c r="AD966" s="75"/>
      <c r="AE966" s="75"/>
      <c r="AF966" s="75"/>
      <c r="AG966" s="75"/>
      <c r="AH966" s="75"/>
      <c r="AI966" s="75"/>
      <c r="AJ966" s="75"/>
      <c r="AK966" s="75"/>
      <c r="AL966" s="286"/>
      <c r="AM966" s="286"/>
      <c r="AN966" s="286"/>
      <c r="AO966" s="75"/>
      <c r="AP966" s="75"/>
      <c r="AQ966" s="75"/>
      <c r="AR966" s="75"/>
      <c r="AS966" s="75"/>
      <c r="AT966" s="75"/>
      <c r="AU966" s="75"/>
      <c r="AV966" s="75"/>
      <c r="AW966" s="75"/>
      <c r="AX966" s="75"/>
    </row>
    <row r="967" ht="15.75" customHeight="1">
      <c r="A967" s="291" t="s">
        <v>268</v>
      </c>
      <c r="B967" s="292" t="s">
        <v>6522</v>
      </c>
      <c r="C967" s="27" t="s">
        <v>7479</v>
      </c>
      <c r="D967" s="27" t="s">
        <v>7480</v>
      </c>
      <c r="E967" s="27" t="s">
        <v>7481</v>
      </c>
      <c r="F967" s="45"/>
      <c r="G967" s="45"/>
      <c r="H967" s="45"/>
      <c r="I967" s="306"/>
      <c r="J967" s="306"/>
      <c r="K967" s="308"/>
      <c r="L967" s="308"/>
      <c r="M967" s="306"/>
      <c r="N967" s="306"/>
      <c r="O967" s="309" t="s">
        <v>7482</v>
      </c>
      <c r="P967" s="306"/>
      <c r="Q967" s="309" t="s">
        <v>150</v>
      </c>
      <c r="R967" s="306"/>
      <c r="S967" s="306"/>
      <c r="T967" s="359"/>
      <c r="U967" s="306"/>
      <c r="V967" s="306"/>
      <c r="W967" s="306"/>
      <c r="X967" s="306"/>
      <c r="Y967" s="306"/>
      <c r="Z967" s="306"/>
      <c r="AA967" s="306"/>
      <c r="AB967" s="306"/>
      <c r="AC967" s="306"/>
      <c r="AD967" s="75"/>
      <c r="AE967" s="75"/>
      <c r="AF967" s="75"/>
      <c r="AG967" s="75"/>
      <c r="AH967" s="75"/>
      <c r="AI967" s="75"/>
      <c r="AJ967" s="75"/>
      <c r="AK967" s="75"/>
      <c r="AL967" s="286"/>
      <c r="AM967" s="286"/>
      <c r="AN967" s="286"/>
      <c r="AO967" s="75"/>
      <c r="AP967" s="75"/>
      <c r="AQ967" s="75"/>
      <c r="AR967" s="75"/>
      <c r="AS967" s="75"/>
      <c r="AT967" s="75"/>
      <c r="AU967" s="75"/>
      <c r="AV967" s="75"/>
      <c r="AW967" s="75"/>
      <c r="AX967" s="75"/>
    </row>
    <row r="968" ht="15.75" customHeight="1">
      <c r="A968" s="280" t="s">
        <v>1306</v>
      </c>
      <c r="B968" s="281" t="s">
        <v>6526</v>
      </c>
      <c r="C968" s="27" t="s">
        <v>7483</v>
      </c>
      <c r="D968" s="27" t="s">
        <v>7484</v>
      </c>
      <c r="E968" s="27" t="s">
        <v>7485</v>
      </c>
      <c r="F968" s="45"/>
      <c r="G968" s="45"/>
      <c r="H968" s="45"/>
      <c r="I968" s="286"/>
      <c r="J968" s="287"/>
      <c r="K968" s="286"/>
      <c r="L968" s="286"/>
      <c r="M968" s="286"/>
      <c r="N968" s="286"/>
      <c r="O968" s="290" t="s">
        <v>7293</v>
      </c>
      <c r="P968" s="286"/>
      <c r="Q968" s="290" t="s">
        <v>150</v>
      </c>
      <c r="R968" s="286"/>
      <c r="S968" s="286"/>
      <c r="T968" s="288"/>
      <c r="U968" s="286"/>
      <c r="V968" s="286"/>
      <c r="W968" s="286"/>
      <c r="X968" s="286"/>
      <c r="Y968" s="286"/>
      <c r="Z968" s="286"/>
      <c r="AA968" s="286"/>
      <c r="AB968" s="286"/>
      <c r="AC968" s="286"/>
      <c r="AD968" s="75"/>
      <c r="AE968" s="75"/>
      <c r="AF968" s="75"/>
      <c r="AG968" s="75"/>
      <c r="AH968" s="75"/>
      <c r="AI968" s="75"/>
      <c r="AJ968" s="75"/>
      <c r="AK968" s="75"/>
      <c r="AL968" s="286"/>
      <c r="AM968" s="286"/>
      <c r="AN968" s="286"/>
      <c r="AO968" s="75"/>
      <c r="AP968" s="75"/>
      <c r="AQ968" s="75"/>
      <c r="AR968" s="75"/>
      <c r="AS968" s="75"/>
      <c r="AT968" s="75"/>
      <c r="AU968" s="75"/>
      <c r="AV968" s="75"/>
      <c r="AW968" s="75"/>
      <c r="AX968" s="75"/>
    </row>
    <row r="969" ht="15.75" customHeight="1">
      <c r="A969" s="282" t="s">
        <v>252</v>
      </c>
      <c r="B969" s="283" t="s">
        <v>6530</v>
      </c>
      <c r="C969" s="27" t="s">
        <v>7486</v>
      </c>
      <c r="D969" s="27" t="s">
        <v>7487</v>
      </c>
      <c r="E969" s="27" t="s">
        <v>7488</v>
      </c>
      <c r="F969" s="45"/>
      <c r="G969" s="45"/>
      <c r="H969" s="45"/>
      <c r="I969" s="293"/>
      <c r="J969" s="294"/>
      <c r="K969" s="293"/>
      <c r="L969" s="293"/>
      <c r="M969" s="293"/>
      <c r="N969" s="293"/>
      <c r="O969" s="296" t="s">
        <v>7489</v>
      </c>
      <c r="P969" s="293"/>
      <c r="Q969" s="296" t="s">
        <v>150</v>
      </c>
      <c r="R969" s="293"/>
      <c r="S969" s="293"/>
      <c r="T969" s="293"/>
      <c r="U969" s="293"/>
      <c r="V969" s="293"/>
      <c r="W969" s="293"/>
      <c r="X969" s="293"/>
      <c r="Y969" s="293"/>
      <c r="Z969" s="293"/>
      <c r="AA969" s="293"/>
      <c r="AB969" s="293"/>
      <c r="AC969" s="293"/>
      <c r="AD969" s="75"/>
      <c r="AE969" s="75"/>
      <c r="AF969" s="75"/>
      <c r="AG969" s="75"/>
      <c r="AH969" s="75"/>
      <c r="AI969" s="75"/>
      <c r="AJ969" s="75"/>
      <c r="AK969" s="75"/>
      <c r="AL969" s="286"/>
      <c r="AM969" s="286"/>
      <c r="AN969" s="286"/>
      <c r="AO969" s="75"/>
      <c r="AP969" s="75"/>
      <c r="AQ969" s="75"/>
      <c r="AR969" s="75"/>
      <c r="AS969" s="75"/>
      <c r="AT969" s="75"/>
      <c r="AU969" s="75"/>
      <c r="AV969" s="75"/>
      <c r="AW969" s="75"/>
      <c r="AX969" s="75"/>
    </row>
    <row r="970" ht="15.75" customHeight="1">
      <c r="A970" s="280" t="s">
        <v>1306</v>
      </c>
      <c r="B970" s="281" t="s">
        <v>6534</v>
      </c>
      <c r="C970" s="27" t="s">
        <v>7490</v>
      </c>
      <c r="D970" s="27" t="s">
        <v>7491</v>
      </c>
      <c r="E970" s="27" t="s">
        <v>7492</v>
      </c>
      <c r="F970" s="45"/>
      <c r="G970" s="45"/>
      <c r="H970" s="45"/>
      <c r="I970" s="286"/>
      <c r="J970" s="287"/>
      <c r="K970" s="286"/>
      <c r="L970" s="286"/>
      <c r="M970" s="286"/>
      <c r="N970" s="286"/>
      <c r="O970" s="288"/>
      <c r="P970" s="286"/>
      <c r="Q970" s="290" t="s">
        <v>150</v>
      </c>
      <c r="R970" s="286"/>
      <c r="S970" s="286"/>
      <c r="T970" s="286"/>
      <c r="U970" s="286"/>
      <c r="V970" s="286"/>
      <c r="W970" s="286"/>
      <c r="X970" s="286"/>
      <c r="Y970" s="286"/>
      <c r="Z970" s="286"/>
      <c r="AA970" s="286"/>
      <c r="AB970" s="286"/>
      <c r="AC970" s="286"/>
      <c r="AD970" s="75"/>
      <c r="AE970" s="75"/>
      <c r="AF970" s="75"/>
      <c r="AG970" s="75"/>
      <c r="AH970" s="75"/>
      <c r="AI970" s="75"/>
      <c r="AJ970" s="75"/>
      <c r="AK970" s="75"/>
      <c r="AL970" s="286"/>
      <c r="AM970" s="286"/>
      <c r="AN970" s="286"/>
      <c r="AO970" s="75"/>
      <c r="AP970" s="75"/>
      <c r="AQ970" s="75"/>
      <c r="AR970" s="75"/>
      <c r="AS970" s="75"/>
      <c r="AT970" s="75"/>
      <c r="AU970" s="75"/>
      <c r="AV970" s="75"/>
      <c r="AW970" s="75"/>
      <c r="AX970" s="75"/>
    </row>
    <row r="971" ht="15.75" customHeight="1">
      <c r="A971" s="282" t="s">
        <v>252</v>
      </c>
      <c r="B971" s="283" t="s">
        <v>6535</v>
      </c>
      <c r="C971" s="27" t="s">
        <v>7493</v>
      </c>
      <c r="D971" s="27" t="s">
        <v>7494</v>
      </c>
      <c r="E971" s="27" t="s">
        <v>7495</v>
      </c>
      <c r="F971" s="45"/>
      <c r="G971" s="45"/>
      <c r="H971" s="45"/>
      <c r="I971" s="293"/>
      <c r="J971" s="294"/>
      <c r="K971" s="293"/>
      <c r="L971" s="293"/>
      <c r="M971" s="293"/>
      <c r="N971" s="293"/>
      <c r="O971" s="282" t="s">
        <v>7496</v>
      </c>
      <c r="P971" s="293"/>
      <c r="Q971" s="296" t="s">
        <v>150</v>
      </c>
      <c r="R971" s="293"/>
      <c r="S971" s="293"/>
      <c r="T971" s="293"/>
      <c r="U971" s="293"/>
      <c r="V971" s="293"/>
      <c r="W971" s="293"/>
      <c r="X971" s="293"/>
      <c r="Y971" s="293"/>
      <c r="Z971" s="293"/>
      <c r="AA971" s="293"/>
      <c r="AB971" s="293"/>
      <c r="AC971" s="293"/>
      <c r="AD971" s="75"/>
      <c r="AE971" s="75"/>
      <c r="AF971" s="75"/>
      <c r="AG971" s="75"/>
      <c r="AH971" s="75"/>
      <c r="AI971" s="75"/>
      <c r="AJ971" s="75"/>
      <c r="AK971" s="75"/>
      <c r="AL971" s="286"/>
      <c r="AM971" s="286"/>
      <c r="AN971" s="286"/>
      <c r="AO971" s="75"/>
      <c r="AP971" s="75"/>
      <c r="AQ971" s="75"/>
      <c r="AR971" s="75"/>
      <c r="AS971" s="75"/>
      <c r="AT971" s="75"/>
      <c r="AU971" s="75"/>
      <c r="AV971" s="75"/>
      <c r="AW971" s="75"/>
      <c r="AX971" s="75"/>
    </row>
    <row r="972" ht="15.75" customHeight="1">
      <c r="A972" s="168" t="s">
        <v>127</v>
      </c>
      <c r="B972" s="71" t="s">
        <v>6539</v>
      </c>
      <c r="C972" s="72"/>
      <c r="D972" s="72"/>
      <c r="E972" s="72"/>
      <c r="F972" s="73"/>
      <c r="G972" s="73"/>
      <c r="H972" s="73"/>
      <c r="I972" s="73"/>
      <c r="J972" s="73"/>
      <c r="K972" s="73"/>
      <c r="L972" s="73"/>
      <c r="M972" s="73"/>
      <c r="N972" s="73"/>
      <c r="O972" s="73"/>
      <c r="P972" s="73"/>
      <c r="Q972" s="73"/>
      <c r="R972" s="73"/>
      <c r="S972" s="73"/>
      <c r="T972" s="177" t="s">
        <v>129</v>
      </c>
      <c r="U972" s="73"/>
      <c r="V972" s="73"/>
      <c r="W972" s="73"/>
      <c r="X972" s="73"/>
      <c r="Y972" s="73"/>
      <c r="Z972" s="73"/>
      <c r="AA972" s="73"/>
      <c r="AB972" s="73"/>
      <c r="AC972" s="73"/>
      <c r="AD972" s="75"/>
      <c r="AE972" s="75"/>
      <c r="AF972" s="75"/>
      <c r="AG972" s="75"/>
      <c r="AH972" s="75"/>
      <c r="AI972" s="75"/>
      <c r="AJ972" s="75"/>
      <c r="AK972" s="75"/>
      <c r="AL972" s="75"/>
      <c r="AM972" s="75"/>
      <c r="AN972" s="75"/>
      <c r="AO972" s="75"/>
      <c r="AP972" s="75"/>
      <c r="AQ972" s="75"/>
      <c r="AR972" s="75"/>
      <c r="AS972" s="75"/>
      <c r="AT972" s="75"/>
      <c r="AU972" s="75"/>
      <c r="AV972" s="75"/>
      <c r="AW972" s="75"/>
      <c r="AX972" s="75"/>
    </row>
    <row r="973" ht="15.75" customHeight="1">
      <c r="A973" s="168" t="s">
        <v>68</v>
      </c>
      <c r="B973" s="71" t="s">
        <v>6541</v>
      </c>
      <c r="C973" s="72"/>
      <c r="D973" s="72"/>
      <c r="E973" s="72"/>
      <c r="F973" s="73"/>
      <c r="G973" s="73"/>
      <c r="H973" s="73"/>
      <c r="I973" s="73"/>
      <c r="J973" s="73"/>
      <c r="K973" s="73"/>
      <c r="L973" s="73"/>
      <c r="M973" s="73"/>
      <c r="N973" s="73"/>
      <c r="O973" s="223"/>
      <c r="P973" s="73"/>
      <c r="Q973" s="73"/>
      <c r="R973" s="73"/>
      <c r="S973" s="73"/>
      <c r="T973" s="177" t="s">
        <v>7497</v>
      </c>
      <c r="U973" s="73"/>
      <c r="V973" s="73"/>
      <c r="W973" s="73"/>
      <c r="X973" s="73"/>
      <c r="Y973" s="73"/>
      <c r="Z973" s="73"/>
      <c r="AA973" s="73"/>
      <c r="AB973" s="73"/>
      <c r="AC973" s="73"/>
      <c r="AD973" s="75"/>
      <c r="AE973" s="75"/>
      <c r="AF973" s="75"/>
      <c r="AG973" s="75"/>
      <c r="AH973" s="75"/>
      <c r="AI973" s="75"/>
      <c r="AJ973" s="75"/>
      <c r="AK973" s="75"/>
      <c r="AL973" s="75"/>
      <c r="AM973" s="75"/>
      <c r="AN973" s="75"/>
      <c r="AO973" s="75"/>
      <c r="AP973" s="75"/>
      <c r="AQ973" s="75"/>
      <c r="AR973" s="75"/>
      <c r="AS973" s="75"/>
      <c r="AT973" s="75"/>
      <c r="AU973" s="75"/>
      <c r="AV973" s="75"/>
      <c r="AW973" s="75"/>
      <c r="AX973" s="75"/>
    </row>
    <row r="974" ht="15.75" customHeight="1">
      <c r="A974" s="168" t="s">
        <v>127</v>
      </c>
      <c r="B974" s="71" t="s">
        <v>6542</v>
      </c>
      <c r="C974" s="72"/>
      <c r="D974" s="72"/>
      <c r="E974" s="72"/>
      <c r="F974" s="73"/>
      <c r="G974" s="73"/>
      <c r="H974" s="73"/>
      <c r="I974" s="73"/>
      <c r="J974" s="73"/>
      <c r="K974" s="73"/>
      <c r="L974" s="73"/>
      <c r="M974" s="73"/>
      <c r="N974" s="73"/>
      <c r="O974" s="223"/>
      <c r="P974" s="73"/>
      <c r="Q974" s="73"/>
      <c r="R974" s="73"/>
      <c r="S974" s="73"/>
      <c r="T974" s="74" t="s">
        <v>129</v>
      </c>
      <c r="U974" s="73"/>
      <c r="V974" s="73"/>
      <c r="W974" s="73"/>
      <c r="X974" s="73"/>
      <c r="Y974" s="73"/>
      <c r="Z974" s="73"/>
      <c r="AA974" s="73"/>
      <c r="AB974" s="73"/>
      <c r="AC974" s="73"/>
      <c r="AD974" s="75"/>
      <c r="AE974" s="75"/>
      <c r="AF974" s="75"/>
      <c r="AG974" s="75"/>
      <c r="AH974" s="75"/>
      <c r="AI974" s="75"/>
      <c r="AJ974" s="75"/>
      <c r="AK974" s="75"/>
      <c r="AL974" s="75"/>
      <c r="AM974" s="75"/>
      <c r="AN974" s="75"/>
      <c r="AO974" s="75"/>
      <c r="AP974" s="75"/>
      <c r="AQ974" s="75"/>
      <c r="AR974" s="75"/>
      <c r="AS974" s="75"/>
      <c r="AT974" s="75"/>
      <c r="AU974" s="75"/>
      <c r="AV974" s="75"/>
      <c r="AW974" s="75"/>
      <c r="AX974" s="75"/>
    </row>
    <row r="975" ht="15.75" customHeight="1">
      <c r="A975" s="278" t="s">
        <v>38</v>
      </c>
      <c r="B975" s="279" t="s">
        <v>6543</v>
      </c>
      <c r="C975" s="27" t="s">
        <v>7498</v>
      </c>
      <c r="D975" s="27" t="s">
        <v>7499</v>
      </c>
      <c r="E975" s="27" t="s">
        <v>7500</v>
      </c>
      <c r="F975" s="45"/>
      <c r="G975" s="45"/>
      <c r="H975" s="45"/>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75"/>
      <c r="AE975" s="75"/>
      <c r="AF975" s="75"/>
      <c r="AG975" s="75"/>
      <c r="AH975" s="75"/>
      <c r="AI975" s="75"/>
      <c r="AJ975" s="75"/>
      <c r="AK975" s="75"/>
      <c r="AL975" s="286"/>
      <c r="AM975" s="286"/>
      <c r="AN975" s="286"/>
      <c r="AO975" s="75"/>
      <c r="AP975" s="75"/>
      <c r="AQ975" s="75"/>
      <c r="AR975" s="75"/>
      <c r="AS975" s="75"/>
      <c r="AT975" s="75"/>
      <c r="AU975" s="75"/>
      <c r="AV975" s="75"/>
      <c r="AW975" s="75"/>
      <c r="AX975" s="75"/>
    </row>
    <row r="976" ht="15.75" customHeight="1">
      <c r="A976" s="280" t="s">
        <v>3502</v>
      </c>
      <c r="B976" s="281" t="s">
        <v>6549</v>
      </c>
      <c r="C976" s="27" t="s">
        <v>7501</v>
      </c>
      <c r="D976" s="27" t="s">
        <v>7502</v>
      </c>
      <c r="E976" s="27" t="s">
        <v>7503</v>
      </c>
      <c r="F976" s="45"/>
      <c r="G976" s="45"/>
      <c r="H976" s="45"/>
      <c r="I976" s="286"/>
      <c r="J976" s="287"/>
      <c r="K976" s="290" t="s">
        <v>4902</v>
      </c>
      <c r="L976" s="286"/>
      <c r="M976" s="286"/>
      <c r="N976" s="286"/>
      <c r="O976" s="286"/>
      <c r="P976" s="286"/>
      <c r="Q976" s="290" t="s">
        <v>150</v>
      </c>
      <c r="R976" s="286"/>
      <c r="S976" s="286"/>
      <c r="T976" s="286"/>
      <c r="U976" s="286"/>
      <c r="V976" s="286"/>
      <c r="W976" s="286"/>
      <c r="X976" s="286"/>
      <c r="Y976" s="286"/>
      <c r="Z976" s="286"/>
      <c r="AA976" s="286"/>
      <c r="AB976" s="286"/>
      <c r="AC976" s="286"/>
      <c r="AD976" s="75"/>
      <c r="AE976" s="75"/>
      <c r="AF976" s="75"/>
      <c r="AG976" s="75"/>
      <c r="AH976" s="75"/>
      <c r="AI976" s="75"/>
      <c r="AJ976" s="75"/>
      <c r="AK976" s="75"/>
      <c r="AL976" s="286"/>
      <c r="AM976" s="286"/>
      <c r="AN976" s="286"/>
      <c r="AO976" s="75"/>
      <c r="AP976" s="75"/>
      <c r="AQ976" s="75"/>
      <c r="AR976" s="75"/>
      <c r="AS976" s="75"/>
      <c r="AT976" s="75"/>
      <c r="AU976" s="75"/>
      <c r="AV976" s="75"/>
      <c r="AW976" s="75"/>
      <c r="AX976" s="75"/>
    </row>
    <row r="977" ht="15.75" customHeight="1">
      <c r="A977" s="282" t="s">
        <v>252</v>
      </c>
      <c r="B977" s="283" t="s">
        <v>6558</v>
      </c>
      <c r="C977" s="27" t="s">
        <v>7504</v>
      </c>
      <c r="D977" s="27" t="s">
        <v>7505</v>
      </c>
      <c r="E977" s="27" t="s">
        <v>7506</v>
      </c>
      <c r="F977" s="45"/>
      <c r="G977" s="45"/>
      <c r="H977" s="45"/>
      <c r="I977" s="293"/>
      <c r="J977" s="294"/>
      <c r="K977" s="293"/>
      <c r="L977" s="293"/>
      <c r="M977" s="293"/>
      <c r="N977" s="293"/>
      <c r="O977" s="296" t="s">
        <v>7507</v>
      </c>
      <c r="P977" s="293"/>
      <c r="Q977" s="296" t="s">
        <v>150</v>
      </c>
      <c r="R977" s="293"/>
      <c r="S977" s="293"/>
      <c r="T977" s="293"/>
      <c r="U977" s="293"/>
      <c r="V977" s="293"/>
      <c r="W977" s="293"/>
      <c r="X977" s="293"/>
      <c r="Y977" s="293"/>
      <c r="Z977" s="293"/>
      <c r="AA977" s="293"/>
      <c r="AB977" s="293"/>
      <c r="AC977" s="293"/>
      <c r="AD977" s="75"/>
      <c r="AE977" s="75"/>
      <c r="AF977" s="75"/>
      <c r="AG977" s="75"/>
      <c r="AH977" s="75"/>
      <c r="AI977" s="75"/>
      <c r="AJ977" s="75"/>
      <c r="AK977" s="75"/>
      <c r="AL977" s="286"/>
      <c r="AM977" s="286"/>
      <c r="AN977" s="286"/>
      <c r="AO977" s="75"/>
      <c r="AP977" s="75"/>
      <c r="AQ977" s="75"/>
      <c r="AR977" s="75"/>
      <c r="AS977" s="75"/>
      <c r="AT977" s="75"/>
      <c r="AU977" s="75"/>
      <c r="AV977" s="75"/>
      <c r="AW977" s="75"/>
      <c r="AX977" s="75"/>
    </row>
    <row r="978" ht="15.75" customHeight="1">
      <c r="A978" s="285" t="s">
        <v>426</v>
      </c>
      <c r="B978" s="171" t="s">
        <v>6562</v>
      </c>
      <c r="C978" s="172" t="s">
        <v>3532</v>
      </c>
      <c r="D978" s="172" t="s">
        <v>3534</v>
      </c>
      <c r="E978" s="172" t="s">
        <v>3538</v>
      </c>
      <c r="F978" s="304"/>
      <c r="G978" s="304"/>
      <c r="H978" s="304"/>
      <c r="I978" s="304"/>
      <c r="J978" s="304"/>
      <c r="K978" s="304"/>
      <c r="L978" s="304"/>
      <c r="M978" s="305"/>
      <c r="N978" s="305"/>
      <c r="O978" s="176" t="s">
        <v>7508</v>
      </c>
      <c r="P978" s="304"/>
      <c r="Q978" s="304"/>
      <c r="R978" s="304"/>
      <c r="S978" s="304"/>
      <c r="T978" s="304"/>
      <c r="U978" s="176" t="s">
        <v>7509</v>
      </c>
      <c r="V978" s="304"/>
      <c r="W978" s="304"/>
      <c r="X978" s="304"/>
      <c r="Y978" s="304"/>
      <c r="Z978" s="304"/>
      <c r="AA978" s="304"/>
      <c r="AB978" s="304"/>
      <c r="AC978" s="304"/>
      <c r="AD978" s="75"/>
      <c r="AE978" s="75"/>
      <c r="AF978" s="75"/>
      <c r="AG978" s="75"/>
      <c r="AH978" s="75"/>
      <c r="AI978" s="75"/>
      <c r="AJ978" s="75"/>
      <c r="AK978" s="75"/>
      <c r="AL978" s="286"/>
      <c r="AM978" s="286"/>
      <c r="AN978" s="286"/>
      <c r="AO978" s="75"/>
      <c r="AP978" s="75"/>
      <c r="AQ978" s="75"/>
      <c r="AR978" s="75"/>
      <c r="AS978" s="75"/>
      <c r="AT978" s="75"/>
      <c r="AU978" s="75"/>
      <c r="AV978" s="75"/>
      <c r="AW978" s="75"/>
      <c r="AX978" s="75"/>
    </row>
    <row r="979" ht="15.75" customHeight="1">
      <c r="A979" s="168" t="s">
        <v>68</v>
      </c>
      <c r="B979" s="71" t="s">
        <v>6563</v>
      </c>
      <c r="C979" s="72"/>
      <c r="D979" s="72"/>
      <c r="E979" s="72"/>
      <c r="F979" s="73"/>
      <c r="G979" s="73"/>
      <c r="H979" s="73"/>
      <c r="I979" s="73"/>
      <c r="J979" s="73"/>
      <c r="K979" s="73"/>
      <c r="L979" s="73"/>
      <c r="M979" s="73"/>
      <c r="N979" s="73"/>
      <c r="O979" s="73"/>
      <c r="P979" s="73"/>
      <c r="Q979" s="73"/>
      <c r="R979" s="73"/>
      <c r="S979" s="73"/>
      <c r="T979" s="74" t="s">
        <v>7510</v>
      </c>
      <c r="U979" s="73"/>
      <c r="V979" s="73"/>
      <c r="W979" s="73"/>
      <c r="X979" s="73"/>
      <c r="Y979" s="73"/>
      <c r="Z979" s="73"/>
      <c r="AA979" s="73"/>
      <c r="AB979" s="73"/>
      <c r="AC979" s="73"/>
      <c r="AD979" s="75"/>
      <c r="AE979" s="75"/>
      <c r="AF979" s="75"/>
      <c r="AG979" s="75"/>
      <c r="AH979" s="75"/>
      <c r="AI979" s="75"/>
      <c r="AJ979" s="75"/>
      <c r="AK979" s="75"/>
      <c r="AL979" s="286"/>
      <c r="AM979" s="286"/>
      <c r="AN979" s="286"/>
      <c r="AO979" s="75"/>
      <c r="AP979" s="75"/>
      <c r="AQ979" s="75"/>
      <c r="AR979" s="75"/>
      <c r="AS979" s="75"/>
      <c r="AT979" s="75"/>
      <c r="AU979" s="75"/>
      <c r="AV979" s="75"/>
      <c r="AW979" s="75"/>
      <c r="AX979" s="75"/>
    </row>
    <row r="980" ht="15.75" customHeight="1">
      <c r="A980" s="168" t="s">
        <v>68</v>
      </c>
      <c r="B980" s="71" t="s">
        <v>6564</v>
      </c>
      <c r="C980" s="72" t="s">
        <v>3544</v>
      </c>
      <c r="D980" s="72" t="s">
        <v>3545</v>
      </c>
      <c r="E980" s="72" t="s">
        <v>6565</v>
      </c>
      <c r="F980" s="73"/>
      <c r="G980" s="73"/>
      <c r="H980" s="73"/>
      <c r="I980" s="73"/>
      <c r="J980" s="73"/>
      <c r="K980" s="73"/>
      <c r="L980" s="73"/>
      <c r="M980" s="73"/>
      <c r="N980" s="73"/>
      <c r="O980" s="73"/>
      <c r="P980" s="73"/>
      <c r="Q980" s="73"/>
      <c r="R980" s="73"/>
      <c r="S980" s="73"/>
      <c r="T980" s="74" t="s">
        <v>7511</v>
      </c>
      <c r="U980" s="73"/>
      <c r="V980" s="73"/>
      <c r="W980" s="73"/>
      <c r="X980" s="73"/>
      <c r="Y980" s="73"/>
      <c r="Z980" s="73"/>
      <c r="AA980" s="73"/>
      <c r="AB980" s="73"/>
      <c r="AC980" s="73"/>
      <c r="AD980" s="75"/>
      <c r="AE980" s="75"/>
      <c r="AF980" s="75"/>
      <c r="AG980" s="75"/>
      <c r="AH980" s="75"/>
      <c r="AI980" s="75"/>
      <c r="AJ980" s="75"/>
      <c r="AK980" s="75"/>
      <c r="AL980" s="286"/>
      <c r="AM980" s="286"/>
      <c r="AN980" s="286"/>
      <c r="AO980" s="75"/>
      <c r="AP980" s="75"/>
      <c r="AQ980" s="75"/>
      <c r="AR980" s="75"/>
      <c r="AS980" s="75"/>
      <c r="AT980" s="75"/>
      <c r="AU980" s="75"/>
      <c r="AV980" s="75"/>
      <c r="AW980" s="75"/>
      <c r="AX980" s="75"/>
    </row>
    <row r="981" ht="15.75" customHeight="1">
      <c r="A981" s="291" t="s">
        <v>268</v>
      </c>
      <c r="B981" s="292" t="s">
        <v>6566</v>
      </c>
      <c r="C981" s="27" t="s">
        <v>7512</v>
      </c>
      <c r="D981" s="27" t="s">
        <v>7513</v>
      </c>
      <c r="E981" s="27" t="s">
        <v>7514</v>
      </c>
      <c r="F981" s="45"/>
      <c r="G981" s="45"/>
      <c r="H981" s="45"/>
      <c r="I981" s="306"/>
      <c r="J981" s="306"/>
      <c r="K981" s="308"/>
      <c r="L981" s="307" t="s">
        <v>1760</v>
      </c>
      <c r="M981" s="306"/>
      <c r="N981" s="306"/>
      <c r="O981" s="306"/>
      <c r="P981" s="306"/>
      <c r="Q981" s="309" t="s">
        <v>150</v>
      </c>
      <c r="R981" s="306"/>
      <c r="S981" s="306"/>
      <c r="T981" s="306"/>
      <c r="U981" s="306"/>
      <c r="V981" s="306"/>
      <c r="W981" s="306"/>
      <c r="X981" s="306"/>
      <c r="Y981" s="306"/>
      <c r="Z981" s="306"/>
      <c r="AA981" s="306"/>
      <c r="AB981" s="306"/>
      <c r="AC981" s="306"/>
      <c r="AD981" s="75"/>
      <c r="AE981" s="75"/>
      <c r="AF981" s="75"/>
      <c r="AG981" s="75"/>
      <c r="AH981" s="75"/>
      <c r="AI981" s="75"/>
      <c r="AJ981" s="75"/>
      <c r="AK981" s="75"/>
      <c r="AL981" s="286"/>
      <c r="AM981" s="286"/>
      <c r="AN981" s="286"/>
      <c r="AO981" s="75"/>
      <c r="AP981" s="75"/>
      <c r="AQ981" s="75"/>
      <c r="AR981" s="75"/>
      <c r="AS981" s="75"/>
      <c r="AT981" s="75"/>
      <c r="AU981" s="75"/>
      <c r="AV981" s="75"/>
      <c r="AW981" s="75"/>
      <c r="AX981" s="75"/>
    </row>
    <row r="982" ht="15.75" customHeight="1">
      <c r="A982" s="280" t="s">
        <v>1306</v>
      </c>
      <c r="B982" s="281" t="s">
        <v>6573</v>
      </c>
      <c r="C982" s="27" t="s">
        <v>7515</v>
      </c>
      <c r="D982" s="27" t="s">
        <v>7516</v>
      </c>
      <c r="E982" s="27" t="s">
        <v>7517</v>
      </c>
      <c r="F982" s="45"/>
      <c r="G982" s="45"/>
      <c r="H982" s="45"/>
      <c r="I982" s="286"/>
      <c r="J982" s="287"/>
      <c r="K982" s="286"/>
      <c r="L982" s="286"/>
      <c r="M982" s="286"/>
      <c r="N982" s="286"/>
      <c r="O982" s="290" t="s">
        <v>7518</v>
      </c>
      <c r="P982" s="286"/>
      <c r="Q982" s="290" t="s">
        <v>150</v>
      </c>
      <c r="R982" s="286"/>
      <c r="S982" s="286"/>
      <c r="T982" s="286"/>
      <c r="U982" s="286"/>
      <c r="V982" s="286"/>
      <c r="W982" s="286"/>
      <c r="X982" s="286"/>
      <c r="Y982" s="286"/>
      <c r="Z982" s="286"/>
      <c r="AA982" s="286"/>
      <c r="AB982" s="286"/>
      <c r="AC982" s="286"/>
      <c r="AD982" s="75"/>
      <c r="AE982" s="75"/>
      <c r="AF982" s="75"/>
      <c r="AG982" s="75"/>
      <c r="AH982" s="75"/>
      <c r="AI982" s="75"/>
      <c r="AJ982" s="75"/>
      <c r="AK982" s="75"/>
      <c r="AL982" s="286"/>
      <c r="AM982" s="286"/>
      <c r="AN982" s="286"/>
      <c r="AO982" s="75"/>
      <c r="AP982" s="75"/>
      <c r="AQ982" s="75"/>
      <c r="AR982" s="75"/>
      <c r="AS982" s="75"/>
      <c r="AT982" s="75"/>
      <c r="AU982" s="75"/>
      <c r="AV982" s="75"/>
      <c r="AW982" s="75"/>
      <c r="AX982" s="75"/>
    </row>
    <row r="983" ht="15.75" customHeight="1">
      <c r="A983" s="285" t="s">
        <v>468</v>
      </c>
      <c r="B983" s="185" t="s">
        <v>6562</v>
      </c>
      <c r="C983" s="186" t="s">
        <v>3532</v>
      </c>
      <c r="D983" s="186" t="s">
        <v>3534</v>
      </c>
      <c r="E983" s="186" t="s">
        <v>3538</v>
      </c>
      <c r="F983" s="304"/>
      <c r="G983" s="304"/>
      <c r="H983" s="304"/>
      <c r="I983" s="304"/>
      <c r="J983" s="304"/>
      <c r="K983" s="304"/>
      <c r="L983" s="304"/>
      <c r="M983" s="304"/>
      <c r="N983" s="304"/>
      <c r="O983" s="304"/>
      <c r="P983" s="304"/>
      <c r="Q983" s="304"/>
      <c r="R983" s="304"/>
      <c r="S983" s="304"/>
      <c r="T983" s="304"/>
      <c r="U983" s="304"/>
      <c r="V983" s="304"/>
      <c r="W983" s="304"/>
      <c r="X983" s="304"/>
      <c r="Y983" s="304"/>
      <c r="Z983" s="304"/>
      <c r="AA983" s="304"/>
      <c r="AB983" s="304"/>
      <c r="AC983" s="304"/>
      <c r="AD983" s="75"/>
      <c r="AE983" s="75"/>
      <c r="AF983" s="75"/>
      <c r="AG983" s="75"/>
      <c r="AH983" s="75"/>
      <c r="AI983" s="75"/>
      <c r="AJ983" s="75"/>
      <c r="AK983" s="75"/>
      <c r="AL983" s="286"/>
      <c r="AM983" s="286"/>
      <c r="AN983" s="286"/>
      <c r="AO983" s="75"/>
      <c r="AP983" s="75"/>
      <c r="AQ983" s="75"/>
      <c r="AR983" s="75"/>
      <c r="AS983" s="75"/>
      <c r="AT983" s="75"/>
      <c r="AU983" s="75"/>
      <c r="AV983" s="75"/>
      <c r="AW983" s="75"/>
      <c r="AX983" s="75"/>
    </row>
    <row r="984" ht="15.75" customHeight="1">
      <c r="A984" s="168" t="s">
        <v>127</v>
      </c>
      <c r="B984" s="71" t="s">
        <v>6578</v>
      </c>
      <c r="C984" s="72"/>
      <c r="D984" s="72"/>
      <c r="E984" s="72"/>
      <c r="F984" s="73"/>
      <c r="G984" s="73"/>
      <c r="H984" s="73"/>
      <c r="I984" s="73"/>
      <c r="J984" s="73"/>
      <c r="K984" s="73"/>
      <c r="L984" s="73"/>
      <c r="M984" s="73"/>
      <c r="N984" s="73"/>
      <c r="O984" s="73"/>
      <c r="P984" s="73"/>
      <c r="Q984" s="73"/>
      <c r="R984" s="73"/>
      <c r="S984" s="73"/>
      <c r="T984" s="74" t="s">
        <v>129</v>
      </c>
      <c r="U984" s="73"/>
      <c r="V984" s="73"/>
      <c r="W984" s="73"/>
      <c r="X984" s="73"/>
      <c r="Y984" s="73"/>
      <c r="Z984" s="73"/>
      <c r="AA984" s="73"/>
      <c r="AB984" s="73"/>
      <c r="AC984" s="73"/>
      <c r="AD984" s="75"/>
      <c r="AE984" s="75"/>
      <c r="AF984" s="75"/>
      <c r="AG984" s="75"/>
      <c r="AH984" s="75"/>
      <c r="AI984" s="75"/>
      <c r="AJ984" s="75"/>
      <c r="AK984" s="75"/>
      <c r="AL984" s="75"/>
      <c r="AM984" s="75"/>
      <c r="AN984" s="75"/>
      <c r="AO984" s="75"/>
      <c r="AP984" s="75"/>
      <c r="AQ984" s="75"/>
      <c r="AR984" s="75"/>
      <c r="AS984" s="75"/>
      <c r="AT984" s="75"/>
      <c r="AU984" s="75"/>
      <c r="AV984" s="75"/>
      <c r="AW984" s="75"/>
      <c r="AX984" s="75"/>
    </row>
    <row r="985" ht="15.75" customHeight="1">
      <c r="A985" s="168" t="s">
        <v>68</v>
      </c>
      <c r="B985" s="71" t="s">
        <v>6579</v>
      </c>
      <c r="C985" s="72"/>
      <c r="D985" s="72"/>
      <c r="E985" s="72"/>
      <c r="F985" s="73"/>
      <c r="G985" s="73"/>
      <c r="H985" s="73"/>
      <c r="I985" s="73"/>
      <c r="J985" s="73"/>
      <c r="K985" s="73"/>
      <c r="L985" s="73"/>
      <c r="M985" s="73"/>
      <c r="N985" s="73"/>
      <c r="O985" s="73"/>
      <c r="P985" s="73"/>
      <c r="Q985" s="73"/>
      <c r="R985" s="73"/>
      <c r="S985" s="73"/>
      <c r="T985" s="74" t="s">
        <v>7519</v>
      </c>
      <c r="U985" s="73"/>
      <c r="V985" s="73"/>
      <c r="W985" s="73"/>
      <c r="X985" s="73"/>
      <c r="Y985" s="73"/>
      <c r="Z985" s="73"/>
      <c r="AA985" s="73"/>
      <c r="AB985" s="73"/>
      <c r="AC985" s="73"/>
      <c r="AD985" s="75"/>
      <c r="AE985" s="75"/>
      <c r="AF985" s="75"/>
      <c r="AG985" s="75"/>
      <c r="AH985" s="75"/>
      <c r="AI985" s="75"/>
      <c r="AJ985" s="75"/>
      <c r="AK985" s="75"/>
      <c r="AL985" s="75"/>
      <c r="AM985" s="75"/>
      <c r="AN985" s="75"/>
      <c r="AO985" s="75"/>
      <c r="AP985" s="75"/>
      <c r="AQ985" s="75"/>
      <c r="AR985" s="75"/>
      <c r="AS985" s="75"/>
      <c r="AT985" s="75"/>
      <c r="AU985" s="75"/>
      <c r="AV985" s="75"/>
      <c r="AW985" s="75"/>
      <c r="AX985" s="75"/>
    </row>
    <row r="986" ht="15.75" customHeight="1">
      <c r="A986" s="168" t="s">
        <v>68</v>
      </c>
      <c r="B986" s="71" t="s">
        <v>6583</v>
      </c>
      <c r="C986" s="72"/>
      <c r="D986" s="72"/>
      <c r="E986" s="72"/>
      <c r="F986" s="73"/>
      <c r="G986" s="73"/>
      <c r="H986" s="73"/>
      <c r="I986" s="73"/>
      <c r="J986" s="73"/>
      <c r="K986" s="73"/>
      <c r="L986" s="73"/>
      <c r="M986" s="73"/>
      <c r="N986" s="73"/>
      <c r="O986" s="73"/>
      <c r="P986" s="73"/>
      <c r="Q986" s="73"/>
      <c r="R986" s="73"/>
      <c r="S986" s="73"/>
      <c r="T986" s="74" t="s">
        <v>7520</v>
      </c>
      <c r="U986" s="73"/>
      <c r="V986" s="73"/>
      <c r="W986" s="73"/>
      <c r="X986" s="73"/>
      <c r="Y986" s="73"/>
      <c r="Z986" s="73"/>
      <c r="AA986" s="73"/>
      <c r="AB986" s="73"/>
      <c r="AC986" s="73"/>
      <c r="AD986" s="75"/>
      <c r="AE986" s="75"/>
      <c r="AF986" s="75"/>
      <c r="AG986" s="75"/>
      <c r="AH986" s="75"/>
      <c r="AI986" s="75"/>
      <c r="AJ986" s="75"/>
      <c r="AK986" s="75"/>
      <c r="AL986" s="286"/>
      <c r="AM986" s="286"/>
      <c r="AN986" s="286"/>
      <c r="AO986" s="75"/>
      <c r="AP986" s="75"/>
      <c r="AQ986" s="75"/>
      <c r="AR986" s="75"/>
      <c r="AS986" s="75"/>
      <c r="AT986" s="75"/>
      <c r="AU986" s="75"/>
      <c r="AV986" s="75"/>
      <c r="AW986" s="75"/>
      <c r="AX986" s="75"/>
    </row>
    <row r="987" ht="15.75" customHeight="1">
      <c r="A987" s="280" t="s">
        <v>1306</v>
      </c>
      <c r="B987" s="281" t="s">
        <v>6585</v>
      </c>
      <c r="C987" s="27" t="s">
        <v>7521</v>
      </c>
      <c r="D987" s="27" t="s">
        <v>7522</v>
      </c>
      <c r="E987" s="27" t="s">
        <v>7523</v>
      </c>
      <c r="F987" s="45"/>
      <c r="G987" s="45"/>
      <c r="H987" s="45"/>
      <c r="I987" s="286"/>
      <c r="J987" s="287"/>
      <c r="K987" s="290" t="s">
        <v>7165</v>
      </c>
      <c r="L987" s="290" t="s">
        <v>7524</v>
      </c>
      <c r="M987" s="286"/>
      <c r="N987" s="286"/>
      <c r="O987" s="286"/>
      <c r="P987" s="286"/>
      <c r="Q987" s="290" t="s">
        <v>150</v>
      </c>
      <c r="R987" s="286"/>
      <c r="S987" s="286"/>
      <c r="T987" s="286"/>
      <c r="U987" s="286"/>
      <c r="V987" s="286"/>
      <c r="W987" s="286"/>
      <c r="X987" s="286"/>
      <c r="Y987" s="286"/>
      <c r="Z987" s="286"/>
      <c r="AA987" s="286"/>
      <c r="AB987" s="286"/>
      <c r="AC987" s="286"/>
      <c r="AD987" s="75"/>
      <c r="AE987" s="75"/>
      <c r="AF987" s="75"/>
      <c r="AG987" s="75"/>
      <c r="AH987" s="75"/>
      <c r="AI987" s="75"/>
      <c r="AJ987" s="75"/>
      <c r="AK987" s="75"/>
      <c r="AL987" s="286"/>
      <c r="AM987" s="286"/>
      <c r="AN987" s="286"/>
      <c r="AO987" s="75"/>
      <c r="AP987" s="75"/>
      <c r="AQ987" s="75"/>
      <c r="AR987" s="75"/>
      <c r="AS987" s="75"/>
      <c r="AT987" s="75"/>
      <c r="AU987" s="75"/>
      <c r="AV987" s="75"/>
      <c r="AW987" s="75"/>
      <c r="AX987" s="75"/>
    </row>
    <row r="988" ht="15.75" customHeight="1">
      <c r="A988" s="288"/>
      <c r="B988" s="360"/>
      <c r="C988" s="228"/>
      <c r="D988" s="228"/>
      <c r="E988" s="228"/>
      <c r="F988" s="286"/>
      <c r="G988" s="286"/>
      <c r="H988" s="286"/>
      <c r="I988" s="286"/>
      <c r="J988" s="287"/>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c r="AJ988" s="286"/>
      <c r="AK988" s="286"/>
      <c r="AL988" s="286"/>
      <c r="AM988" s="286"/>
      <c r="AN988" s="286"/>
      <c r="AO988" s="75"/>
      <c r="AP988" s="75"/>
      <c r="AQ988" s="75"/>
      <c r="AR988" s="75"/>
      <c r="AS988" s="75"/>
      <c r="AT988" s="75"/>
      <c r="AU988" s="75"/>
      <c r="AV988" s="75"/>
      <c r="AW988" s="75"/>
      <c r="AX988" s="75"/>
    </row>
    <row r="989" ht="15.75" customHeight="1">
      <c r="A989" s="280" t="s">
        <v>4465</v>
      </c>
      <c r="B989" s="281" t="s">
        <v>6590</v>
      </c>
      <c r="C989" s="27" t="s">
        <v>7525</v>
      </c>
      <c r="D989" s="27" t="s">
        <v>7526</v>
      </c>
      <c r="E989" s="27" t="s">
        <v>7527</v>
      </c>
      <c r="F989" s="45" t="s">
        <v>4901</v>
      </c>
      <c r="G989" s="45" t="s">
        <v>7528</v>
      </c>
      <c r="H989" s="45" t="s">
        <v>7529</v>
      </c>
      <c r="I989" s="286"/>
      <c r="J989" s="287"/>
      <c r="K989" s="290" t="s">
        <v>4902</v>
      </c>
      <c r="L989" s="286"/>
      <c r="M989" s="286"/>
      <c r="N989" s="286"/>
      <c r="O989" s="286"/>
      <c r="P989" s="286"/>
      <c r="Q989" s="290" t="s">
        <v>150</v>
      </c>
      <c r="R989" s="286"/>
      <c r="S989" s="286"/>
      <c r="T989" s="286"/>
      <c r="U989" s="286"/>
      <c r="V989" s="286"/>
      <c r="W989" s="286"/>
      <c r="X989" s="286"/>
      <c r="Y989" s="286"/>
      <c r="Z989" s="286"/>
      <c r="AA989" s="286"/>
      <c r="AB989" s="286"/>
      <c r="AC989" s="286"/>
      <c r="AD989" s="286"/>
      <c r="AE989" s="286"/>
      <c r="AF989" s="286"/>
      <c r="AG989" s="286"/>
      <c r="AH989" s="286"/>
      <c r="AI989" s="286"/>
      <c r="AJ989" s="286"/>
      <c r="AK989" s="286"/>
      <c r="AL989" s="286"/>
      <c r="AM989" s="286"/>
      <c r="AN989" s="286"/>
      <c r="AO989" s="75"/>
      <c r="AP989" s="75"/>
      <c r="AQ989" s="75"/>
      <c r="AR989" s="75"/>
      <c r="AS989" s="75"/>
      <c r="AT989" s="75"/>
      <c r="AU989" s="75"/>
      <c r="AV989" s="75"/>
      <c r="AW989" s="75"/>
      <c r="AX989" s="75"/>
    </row>
    <row r="990" ht="15.75" customHeight="1">
      <c r="A990" s="282" t="s">
        <v>252</v>
      </c>
      <c r="B990" s="283" t="s">
        <v>6594</v>
      </c>
      <c r="C990" s="27" t="s">
        <v>7530</v>
      </c>
      <c r="D990" s="27" t="s">
        <v>7531</v>
      </c>
      <c r="E990" s="27" t="s">
        <v>7532</v>
      </c>
      <c r="F990" s="45"/>
      <c r="G990" s="45"/>
      <c r="H990" s="45"/>
      <c r="I990" s="293"/>
      <c r="J990" s="294"/>
      <c r="K990" s="293"/>
      <c r="L990" s="293"/>
      <c r="M990" s="293"/>
      <c r="N990" s="293"/>
      <c r="O990" s="296" t="s">
        <v>7533</v>
      </c>
      <c r="P990" s="293"/>
      <c r="Q990" s="296" t="s">
        <v>150</v>
      </c>
      <c r="R990" s="293"/>
      <c r="S990" s="293"/>
      <c r="T990" s="293"/>
      <c r="U990" s="293"/>
      <c r="V990" s="293"/>
      <c r="W990" s="293"/>
      <c r="X990" s="293"/>
      <c r="Y990" s="293"/>
      <c r="Z990" s="293"/>
      <c r="AA990" s="293"/>
      <c r="AB990" s="293"/>
      <c r="AC990" s="293"/>
      <c r="AD990" s="293"/>
      <c r="AE990" s="293"/>
      <c r="AF990" s="293"/>
      <c r="AG990" s="293"/>
      <c r="AH990" s="293"/>
      <c r="AI990" s="293"/>
      <c r="AJ990" s="293"/>
      <c r="AK990" s="293"/>
      <c r="AL990" s="293"/>
      <c r="AM990" s="293"/>
      <c r="AN990" s="293"/>
      <c r="AO990" s="75"/>
      <c r="AP990" s="75"/>
      <c r="AQ990" s="75"/>
      <c r="AR990" s="75"/>
      <c r="AS990" s="75"/>
      <c r="AT990" s="75"/>
      <c r="AU990" s="75"/>
      <c r="AV990" s="75"/>
      <c r="AW990" s="75"/>
      <c r="AX990" s="75"/>
    </row>
    <row r="991" ht="15.75" customHeight="1">
      <c r="A991" s="168" t="s">
        <v>127</v>
      </c>
      <c r="B991" s="71" t="s">
        <v>6598</v>
      </c>
      <c r="C991" s="72"/>
      <c r="D991" s="72"/>
      <c r="E991" s="72"/>
      <c r="F991" s="73"/>
      <c r="G991" s="73"/>
      <c r="H991" s="73"/>
      <c r="I991" s="73"/>
      <c r="J991" s="73"/>
      <c r="K991" s="73"/>
      <c r="L991" s="73"/>
      <c r="M991" s="73"/>
      <c r="N991" s="73"/>
      <c r="O991" s="73"/>
      <c r="P991" s="73"/>
      <c r="Q991" s="73"/>
      <c r="R991" s="73"/>
      <c r="S991" s="73"/>
      <c r="T991" s="74" t="s">
        <v>129</v>
      </c>
      <c r="U991" s="73"/>
      <c r="V991" s="73"/>
      <c r="W991" s="73"/>
      <c r="X991" s="73"/>
      <c r="Y991" s="73"/>
      <c r="Z991" s="73"/>
      <c r="AA991" s="73"/>
      <c r="AB991" s="73"/>
      <c r="AC991" s="73"/>
      <c r="AD991" s="75"/>
      <c r="AE991" s="75"/>
      <c r="AF991" s="75"/>
      <c r="AG991" s="75"/>
      <c r="AH991" s="75"/>
      <c r="AI991" s="75"/>
      <c r="AJ991" s="75"/>
      <c r="AK991" s="75"/>
      <c r="AL991" s="75"/>
      <c r="AM991" s="75"/>
      <c r="AN991" s="75"/>
      <c r="AO991" s="75"/>
      <c r="AP991" s="75"/>
      <c r="AQ991" s="75"/>
      <c r="AR991" s="75"/>
      <c r="AS991" s="75"/>
      <c r="AT991" s="75"/>
      <c r="AU991" s="75"/>
      <c r="AV991" s="75"/>
      <c r="AW991" s="75"/>
      <c r="AX991" s="75"/>
    </row>
    <row r="992" ht="15.75" customHeight="1">
      <c r="A992" s="285" t="s">
        <v>426</v>
      </c>
      <c r="B992" s="171" t="s">
        <v>6599</v>
      </c>
      <c r="C992" s="172" t="s">
        <v>4481</v>
      </c>
      <c r="D992" s="172"/>
      <c r="E992" s="172"/>
      <c r="F992" s="304"/>
      <c r="G992" s="304"/>
      <c r="H992" s="304"/>
      <c r="I992" s="304"/>
      <c r="J992" s="304"/>
      <c r="K992" s="304"/>
      <c r="L992" s="304"/>
      <c r="M992" s="305"/>
      <c r="N992" s="305"/>
      <c r="O992" s="176" t="s">
        <v>7534</v>
      </c>
      <c r="P992" s="304"/>
      <c r="Q992" s="304"/>
      <c r="R992" s="304"/>
      <c r="S992" s="304"/>
      <c r="T992" s="304"/>
      <c r="U992" s="176" t="s">
        <v>4927</v>
      </c>
      <c r="V992" s="304"/>
      <c r="W992" s="304"/>
      <c r="X992" s="304"/>
      <c r="Y992" s="304"/>
      <c r="Z992" s="304"/>
      <c r="AA992" s="304"/>
      <c r="AB992" s="304"/>
      <c r="AC992" s="304"/>
      <c r="AD992" s="304"/>
      <c r="AE992" s="304"/>
      <c r="AF992" s="304"/>
      <c r="AG992" s="304"/>
      <c r="AH992" s="304"/>
      <c r="AI992" s="304"/>
      <c r="AJ992" s="304"/>
      <c r="AK992" s="304"/>
      <c r="AL992" s="304"/>
      <c r="AM992" s="304"/>
      <c r="AN992" s="304"/>
      <c r="AO992" s="75"/>
      <c r="AP992" s="75"/>
      <c r="AQ992" s="75"/>
      <c r="AR992" s="75"/>
      <c r="AS992" s="75"/>
      <c r="AT992" s="75"/>
      <c r="AU992" s="75"/>
      <c r="AV992" s="75"/>
      <c r="AW992" s="75"/>
      <c r="AX992" s="75"/>
    </row>
    <row r="993" ht="15.75" customHeight="1">
      <c r="A993" s="168" t="s">
        <v>68</v>
      </c>
      <c r="B993" s="71" t="s">
        <v>6600</v>
      </c>
      <c r="C993" s="72" t="s">
        <v>4490</v>
      </c>
      <c r="D993" s="72"/>
      <c r="E993" s="72"/>
      <c r="F993" s="73"/>
      <c r="G993" s="73"/>
      <c r="H993" s="73"/>
      <c r="I993" s="73"/>
      <c r="J993" s="73"/>
      <c r="K993" s="73"/>
      <c r="L993" s="73"/>
      <c r="M993" s="73"/>
      <c r="N993" s="73"/>
      <c r="O993" s="73"/>
      <c r="P993" s="73"/>
      <c r="Q993" s="73"/>
      <c r="R993" s="73"/>
      <c r="S993" s="73"/>
      <c r="T993" s="74" t="s">
        <v>7535</v>
      </c>
      <c r="U993" s="73"/>
      <c r="V993" s="73"/>
      <c r="W993" s="73"/>
      <c r="X993" s="73"/>
      <c r="Y993" s="73"/>
      <c r="Z993" s="73"/>
      <c r="AA993" s="73"/>
      <c r="AB993" s="73"/>
      <c r="AC993" s="73"/>
      <c r="AD993" s="73"/>
      <c r="AE993" s="73"/>
      <c r="AF993" s="73"/>
      <c r="AG993" s="73"/>
      <c r="AH993" s="73"/>
      <c r="AI993" s="73"/>
      <c r="AJ993" s="73"/>
      <c r="AK993" s="73"/>
      <c r="AL993" s="73"/>
      <c r="AM993" s="73"/>
      <c r="AN993" s="73"/>
      <c r="AO993" s="75"/>
      <c r="AP993" s="75"/>
      <c r="AQ993" s="75"/>
      <c r="AR993" s="75"/>
      <c r="AS993" s="75"/>
      <c r="AT993" s="75"/>
      <c r="AU993" s="75"/>
      <c r="AV993" s="75"/>
      <c r="AW993" s="75"/>
      <c r="AX993" s="75"/>
    </row>
    <row r="994" ht="15.75" customHeight="1">
      <c r="A994" s="298" t="s">
        <v>133</v>
      </c>
      <c r="B994" s="299" t="s">
        <v>6601</v>
      </c>
      <c r="C994" s="147"/>
      <c r="D994" s="147"/>
      <c r="E994" s="147"/>
      <c r="F994" s="312"/>
      <c r="G994" s="312"/>
      <c r="H994" s="312"/>
      <c r="I994" s="312"/>
      <c r="J994" s="314" t="s">
        <v>1982</v>
      </c>
      <c r="K994" s="312"/>
      <c r="L994" s="312"/>
      <c r="M994" s="313"/>
      <c r="N994" s="313"/>
      <c r="O994" s="313"/>
      <c r="P994" s="312"/>
      <c r="Q994" s="312"/>
      <c r="R994" s="312"/>
      <c r="S994" s="312"/>
      <c r="T994" s="312"/>
      <c r="U994" s="312"/>
      <c r="V994" s="312"/>
      <c r="W994" s="312"/>
      <c r="X994" s="312"/>
      <c r="Y994" s="312"/>
      <c r="Z994" s="312"/>
      <c r="AA994" s="312"/>
      <c r="AB994" s="312"/>
      <c r="AC994" s="312"/>
      <c r="AD994" s="312"/>
      <c r="AE994" s="312"/>
      <c r="AF994" s="312"/>
      <c r="AG994" s="312"/>
      <c r="AH994" s="312"/>
      <c r="AI994" s="312"/>
      <c r="AJ994" s="312"/>
      <c r="AK994" s="312"/>
      <c r="AL994" s="312"/>
      <c r="AM994" s="312"/>
      <c r="AN994" s="312"/>
      <c r="AO994" s="75"/>
      <c r="AP994" s="75"/>
      <c r="AQ994" s="75"/>
      <c r="AR994" s="75"/>
      <c r="AS994" s="75"/>
      <c r="AT994" s="75"/>
      <c r="AU994" s="75"/>
      <c r="AV994" s="75"/>
      <c r="AW994" s="75"/>
      <c r="AX994" s="75"/>
    </row>
    <row r="995" ht="15.75" customHeight="1">
      <c r="A995" s="280" t="s">
        <v>2509</v>
      </c>
      <c r="B995" s="281" t="s">
        <v>6602</v>
      </c>
      <c r="C995" s="27" t="s">
        <v>7536</v>
      </c>
      <c r="D995" s="27" t="s">
        <v>7537</v>
      </c>
      <c r="E995" s="27" t="s">
        <v>7538</v>
      </c>
      <c r="F995" s="45"/>
      <c r="G995" s="45"/>
      <c r="H995" s="45"/>
      <c r="I995" s="286"/>
      <c r="J995" s="297" t="s">
        <v>8</v>
      </c>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c r="AJ995" s="286"/>
      <c r="AK995" s="286"/>
      <c r="AL995" s="286"/>
      <c r="AM995" s="286"/>
      <c r="AN995" s="286"/>
      <c r="AO995" s="75"/>
      <c r="AP995" s="75"/>
      <c r="AQ995" s="75"/>
      <c r="AR995" s="75"/>
      <c r="AS995" s="75"/>
      <c r="AT995" s="75"/>
      <c r="AU995" s="75"/>
      <c r="AV995" s="75"/>
      <c r="AW995" s="75"/>
      <c r="AX995" s="75"/>
    </row>
    <row r="996" ht="15.75" customHeight="1">
      <c r="A996" s="280" t="s">
        <v>2509</v>
      </c>
      <c r="B996" s="281" t="s">
        <v>6607</v>
      </c>
      <c r="C996" s="27" t="s">
        <v>7539</v>
      </c>
      <c r="D996" s="27" t="s">
        <v>7540</v>
      </c>
      <c r="E996" s="27" t="s">
        <v>7541</v>
      </c>
      <c r="F996" s="45"/>
      <c r="G996" s="45"/>
      <c r="H996" s="45"/>
      <c r="I996" s="286"/>
      <c r="J996" s="297" t="s">
        <v>2000</v>
      </c>
      <c r="K996" s="286"/>
      <c r="L996" s="286"/>
      <c r="M996" s="286"/>
      <c r="N996" s="286"/>
      <c r="O996" s="286"/>
      <c r="P996" s="286"/>
      <c r="Q996" s="290" t="s">
        <v>150</v>
      </c>
      <c r="R996" s="286"/>
      <c r="S996" s="286"/>
      <c r="T996" s="286"/>
      <c r="U996" s="286"/>
      <c r="V996" s="286"/>
      <c r="W996" s="286"/>
      <c r="X996" s="286"/>
      <c r="Y996" s="286"/>
      <c r="Z996" s="286"/>
      <c r="AA996" s="286"/>
      <c r="AB996" s="286"/>
      <c r="AC996" s="286"/>
      <c r="AD996" s="286"/>
      <c r="AE996" s="286"/>
      <c r="AF996" s="286"/>
      <c r="AG996" s="286"/>
      <c r="AH996" s="286"/>
      <c r="AI996" s="286"/>
      <c r="AJ996" s="286"/>
      <c r="AK996" s="286"/>
      <c r="AL996" s="286"/>
      <c r="AM996" s="286"/>
      <c r="AN996" s="286"/>
      <c r="AO996" s="75"/>
      <c r="AP996" s="75"/>
      <c r="AQ996" s="75"/>
      <c r="AR996" s="75"/>
      <c r="AS996" s="75"/>
      <c r="AT996" s="75"/>
      <c r="AU996" s="75"/>
      <c r="AV996" s="75"/>
      <c r="AW996" s="75"/>
      <c r="AX996" s="75"/>
    </row>
    <row r="997" ht="15.75" customHeight="1">
      <c r="A997" s="280" t="s">
        <v>2509</v>
      </c>
      <c r="B997" s="281" t="s">
        <v>6614</v>
      </c>
      <c r="C997" s="27" t="s">
        <v>7542</v>
      </c>
      <c r="D997" s="27" t="s">
        <v>7543</v>
      </c>
      <c r="E997" s="27" t="s">
        <v>7544</v>
      </c>
      <c r="F997" s="45"/>
      <c r="G997" s="45"/>
      <c r="H997" s="45"/>
      <c r="I997" s="286"/>
      <c r="J997" s="297" t="s">
        <v>2000</v>
      </c>
      <c r="K997" s="286"/>
      <c r="L997" s="286"/>
      <c r="M997" s="286"/>
      <c r="N997" s="286"/>
      <c r="O997" s="286"/>
      <c r="P997" s="286"/>
      <c r="Q997" s="290" t="s">
        <v>150</v>
      </c>
      <c r="R997" s="286"/>
      <c r="S997" s="286"/>
      <c r="T997" s="286"/>
      <c r="U997" s="286"/>
      <c r="V997" s="286"/>
      <c r="W997" s="286"/>
      <c r="X997" s="286"/>
      <c r="Y997" s="286"/>
      <c r="Z997" s="286"/>
      <c r="AA997" s="286"/>
      <c r="AB997" s="286"/>
      <c r="AC997" s="286"/>
      <c r="AD997" s="286"/>
      <c r="AE997" s="286"/>
      <c r="AF997" s="286"/>
      <c r="AG997" s="286"/>
      <c r="AH997" s="286"/>
      <c r="AI997" s="286"/>
      <c r="AJ997" s="286"/>
      <c r="AK997" s="286"/>
      <c r="AL997" s="286"/>
      <c r="AM997" s="286"/>
      <c r="AN997" s="286"/>
      <c r="AO997" s="75"/>
      <c r="AP997" s="75"/>
      <c r="AQ997" s="75"/>
      <c r="AR997" s="75"/>
      <c r="AS997" s="75"/>
      <c r="AT997" s="75"/>
      <c r="AU997" s="75"/>
      <c r="AV997" s="75"/>
      <c r="AW997" s="75"/>
      <c r="AX997" s="75"/>
    </row>
    <row r="998" ht="15.75" customHeight="1">
      <c r="A998" s="280" t="s">
        <v>2509</v>
      </c>
      <c r="B998" s="281" t="s">
        <v>6615</v>
      </c>
      <c r="C998" s="27" t="s">
        <v>7545</v>
      </c>
      <c r="D998" s="27" t="s">
        <v>7546</v>
      </c>
      <c r="E998" s="27" t="s">
        <v>7547</v>
      </c>
      <c r="F998" s="45"/>
      <c r="G998" s="45"/>
      <c r="H998" s="45"/>
      <c r="I998" s="286"/>
      <c r="J998" s="297" t="s">
        <v>2000</v>
      </c>
      <c r="K998" s="286"/>
      <c r="L998" s="286"/>
      <c r="M998" s="286"/>
      <c r="N998" s="286"/>
      <c r="O998" s="286"/>
      <c r="P998" s="286"/>
      <c r="Q998" s="290" t="s">
        <v>150</v>
      </c>
      <c r="R998" s="286"/>
      <c r="S998" s="286"/>
      <c r="T998" s="286"/>
      <c r="U998" s="286"/>
      <c r="V998" s="286"/>
      <c r="W998" s="286"/>
      <c r="X998" s="286"/>
      <c r="Y998" s="286"/>
      <c r="Z998" s="286"/>
      <c r="AA998" s="286"/>
      <c r="AB998" s="286"/>
      <c r="AC998" s="286"/>
      <c r="AD998" s="286"/>
      <c r="AE998" s="286"/>
      <c r="AF998" s="286"/>
      <c r="AG998" s="286"/>
      <c r="AH998" s="286"/>
      <c r="AI998" s="286"/>
      <c r="AJ998" s="286"/>
      <c r="AK998" s="286"/>
      <c r="AL998" s="286"/>
      <c r="AM998" s="286"/>
      <c r="AN998" s="286"/>
      <c r="AO998" s="75"/>
      <c r="AP998" s="75"/>
      <c r="AQ998" s="75"/>
      <c r="AR998" s="75"/>
      <c r="AS998" s="75"/>
      <c r="AT998" s="75"/>
      <c r="AU998" s="75"/>
      <c r="AV998" s="75"/>
      <c r="AW998" s="75"/>
      <c r="AX998" s="75"/>
    </row>
    <row r="999" ht="15.75" customHeight="1">
      <c r="A999" s="280" t="s">
        <v>2509</v>
      </c>
      <c r="B999" s="281" t="s">
        <v>6624</v>
      </c>
      <c r="C999" s="27" t="s">
        <v>7548</v>
      </c>
      <c r="D999" s="27" t="s">
        <v>7549</v>
      </c>
      <c r="E999" s="27" t="s">
        <v>7550</v>
      </c>
      <c r="F999" s="45"/>
      <c r="G999" s="45"/>
      <c r="H999" s="45"/>
      <c r="I999" s="286"/>
      <c r="J999" s="297" t="s">
        <v>2000</v>
      </c>
      <c r="K999" s="286"/>
      <c r="L999" s="286"/>
      <c r="M999" s="286"/>
      <c r="N999" s="286"/>
      <c r="O999" s="286"/>
      <c r="P999" s="286"/>
      <c r="Q999" s="290" t="s">
        <v>150</v>
      </c>
      <c r="R999" s="286"/>
      <c r="S999" s="286"/>
      <c r="T999" s="286"/>
      <c r="U999" s="286"/>
      <c r="V999" s="286"/>
      <c r="W999" s="286"/>
      <c r="X999" s="286"/>
      <c r="Y999" s="286"/>
      <c r="Z999" s="286"/>
      <c r="AA999" s="286"/>
      <c r="AB999" s="286"/>
      <c r="AC999" s="286"/>
      <c r="AD999" s="286"/>
      <c r="AE999" s="286"/>
      <c r="AF999" s="286"/>
      <c r="AG999" s="286"/>
      <c r="AH999" s="286"/>
      <c r="AI999" s="286"/>
      <c r="AJ999" s="286"/>
      <c r="AK999" s="286"/>
      <c r="AL999" s="286"/>
      <c r="AM999" s="286"/>
      <c r="AN999" s="286"/>
      <c r="AO999" s="75"/>
      <c r="AP999" s="75"/>
      <c r="AQ999" s="75"/>
      <c r="AR999" s="75"/>
      <c r="AS999" s="75"/>
      <c r="AT999" s="75"/>
      <c r="AU999" s="75"/>
      <c r="AV999" s="75"/>
      <c r="AW999" s="75"/>
      <c r="AX999" s="75"/>
    </row>
    <row r="1000" ht="15.75" customHeight="1">
      <c r="A1000" s="298" t="s">
        <v>237</v>
      </c>
      <c r="B1000" s="310" t="s">
        <v>6601</v>
      </c>
      <c r="C1000" s="226"/>
      <c r="D1000" s="226"/>
      <c r="E1000" s="226"/>
      <c r="F1000" s="312"/>
      <c r="G1000" s="312"/>
      <c r="H1000" s="312"/>
      <c r="I1000" s="312"/>
      <c r="J1000" s="312"/>
      <c r="K1000" s="312"/>
      <c r="L1000" s="312"/>
      <c r="M1000" s="312"/>
      <c r="N1000" s="312"/>
      <c r="O1000" s="312"/>
      <c r="P1000" s="312"/>
      <c r="Q1000" s="312"/>
      <c r="R1000" s="312"/>
      <c r="S1000" s="312"/>
      <c r="T1000" s="312"/>
      <c r="U1000" s="312"/>
      <c r="V1000" s="312"/>
      <c r="W1000" s="312"/>
      <c r="X1000" s="312"/>
      <c r="Y1000" s="312"/>
      <c r="Z1000" s="312"/>
      <c r="AA1000" s="312"/>
      <c r="AB1000" s="312"/>
      <c r="AC1000" s="312"/>
      <c r="AD1000" s="312"/>
      <c r="AE1000" s="312"/>
      <c r="AF1000" s="312"/>
      <c r="AG1000" s="312"/>
      <c r="AH1000" s="312"/>
      <c r="AI1000" s="312"/>
      <c r="AJ1000" s="312"/>
      <c r="AK1000" s="312"/>
      <c r="AL1000" s="312"/>
      <c r="AM1000" s="312"/>
      <c r="AN1000" s="312"/>
      <c r="AO1000" s="75"/>
      <c r="AP1000" s="75"/>
      <c r="AQ1000" s="75"/>
      <c r="AR1000" s="75"/>
      <c r="AS1000" s="75"/>
      <c r="AT1000" s="75"/>
      <c r="AU1000" s="75"/>
      <c r="AV1000" s="75"/>
      <c r="AW1000" s="75"/>
      <c r="AX1000" s="75"/>
    </row>
    <row r="1001" ht="15.75" customHeight="1">
      <c r="A1001" s="298" t="s">
        <v>133</v>
      </c>
      <c r="B1001" s="299" t="s">
        <v>6628</v>
      </c>
      <c r="C1001" s="147"/>
      <c r="D1001" s="147"/>
      <c r="E1001" s="147"/>
      <c r="F1001" s="312"/>
      <c r="G1001" s="312"/>
      <c r="H1001" s="312"/>
      <c r="I1001" s="312"/>
      <c r="J1001" s="314" t="s">
        <v>1982</v>
      </c>
      <c r="K1001" s="312"/>
      <c r="L1001" s="312"/>
      <c r="M1001" s="313"/>
      <c r="N1001" s="313"/>
      <c r="O1001" s="314" t="s">
        <v>7551</v>
      </c>
      <c r="P1001" s="312"/>
      <c r="Q1001" s="312"/>
      <c r="R1001" s="312"/>
      <c r="S1001" s="312"/>
      <c r="T1001" s="312"/>
      <c r="U1001" s="312"/>
      <c r="V1001" s="312"/>
      <c r="W1001" s="312"/>
      <c r="X1001" s="312"/>
      <c r="Y1001" s="312"/>
      <c r="Z1001" s="312"/>
      <c r="AA1001" s="312"/>
      <c r="AB1001" s="312"/>
      <c r="AC1001" s="312"/>
      <c r="AD1001" s="312"/>
      <c r="AE1001" s="312"/>
      <c r="AF1001" s="312"/>
      <c r="AG1001" s="312"/>
      <c r="AH1001" s="312"/>
      <c r="AI1001" s="312"/>
      <c r="AJ1001" s="312"/>
      <c r="AK1001" s="312"/>
      <c r="AL1001" s="312"/>
      <c r="AM1001" s="312"/>
      <c r="AN1001" s="312"/>
      <c r="AO1001" s="75"/>
      <c r="AP1001" s="75"/>
      <c r="AQ1001" s="75"/>
      <c r="AR1001" s="75"/>
      <c r="AS1001" s="75"/>
      <c r="AT1001" s="75"/>
      <c r="AU1001" s="75"/>
      <c r="AV1001" s="75"/>
      <c r="AW1001" s="75"/>
      <c r="AX1001" s="75"/>
    </row>
    <row r="1002" ht="15.75" customHeight="1">
      <c r="A1002" s="278" t="s">
        <v>38</v>
      </c>
      <c r="B1002" s="279" t="s">
        <v>6632</v>
      </c>
      <c r="C1002" s="27" t="s">
        <v>7552</v>
      </c>
      <c r="D1002" s="27" t="s">
        <v>7553</v>
      </c>
      <c r="E1002" s="27" t="s">
        <v>7554</v>
      </c>
      <c r="F1002" s="45"/>
      <c r="G1002" s="45"/>
      <c r="H1002" s="45"/>
      <c r="I1002" s="284"/>
      <c r="J1002" s="323" t="s">
        <v>8</v>
      </c>
      <c r="K1002" s="284"/>
      <c r="L1002" s="284"/>
      <c r="M1002" s="284"/>
      <c r="N1002" s="284"/>
      <c r="O1002" s="284"/>
      <c r="P1002" s="284"/>
      <c r="Q1002" s="284"/>
      <c r="R1002" s="284"/>
      <c r="S1002" s="284"/>
      <c r="T1002" s="284"/>
      <c r="U1002" s="284"/>
      <c r="V1002" s="284"/>
      <c r="W1002" s="284"/>
      <c r="X1002" s="284"/>
      <c r="Y1002" s="284"/>
      <c r="Z1002" s="284"/>
      <c r="AA1002" s="284"/>
      <c r="AB1002" s="284"/>
      <c r="AC1002" s="284"/>
      <c r="AD1002" s="284"/>
      <c r="AE1002" s="284"/>
      <c r="AF1002" s="284"/>
      <c r="AG1002" s="284"/>
      <c r="AH1002" s="284"/>
      <c r="AI1002" s="284"/>
      <c r="AJ1002" s="284"/>
      <c r="AK1002" s="284"/>
      <c r="AL1002" s="284"/>
      <c r="AM1002" s="284"/>
      <c r="AN1002" s="284"/>
      <c r="AO1002" s="75"/>
      <c r="AP1002" s="75"/>
      <c r="AQ1002" s="75"/>
      <c r="AR1002" s="75"/>
      <c r="AS1002" s="75"/>
      <c r="AT1002" s="75"/>
      <c r="AU1002" s="75"/>
      <c r="AV1002" s="75"/>
      <c r="AW1002" s="75"/>
      <c r="AX1002" s="75"/>
    </row>
    <row r="1003" ht="15.75" customHeight="1">
      <c r="A1003" s="291" t="s">
        <v>268</v>
      </c>
      <c r="B1003" s="292" t="s">
        <v>6639</v>
      </c>
      <c r="C1003" s="27" t="s">
        <v>7555</v>
      </c>
      <c r="D1003" s="27" t="s">
        <v>7556</v>
      </c>
      <c r="E1003" s="27" t="s">
        <v>7557</v>
      </c>
      <c r="F1003" s="45" t="s">
        <v>5024</v>
      </c>
      <c r="G1003" s="45" t="s">
        <v>5025</v>
      </c>
      <c r="H1003" s="45" t="s">
        <v>5026</v>
      </c>
      <c r="I1003" s="306"/>
      <c r="J1003" s="309" t="s">
        <v>2000</v>
      </c>
      <c r="K1003" s="307" t="s">
        <v>2550</v>
      </c>
      <c r="L1003" s="308"/>
      <c r="M1003" s="306"/>
      <c r="N1003" s="306"/>
      <c r="O1003" s="309" t="s">
        <v>7558</v>
      </c>
      <c r="P1003" s="306"/>
      <c r="Q1003" s="309" t="s">
        <v>150</v>
      </c>
      <c r="R1003" s="306"/>
      <c r="S1003" s="306"/>
      <c r="T1003" s="306"/>
      <c r="U1003" s="306"/>
      <c r="V1003" s="306"/>
      <c r="W1003" s="306"/>
      <c r="X1003" s="306"/>
      <c r="Y1003" s="306"/>
      <c r="Z1003" s="306"/>
      <c r="AA1003" s="306"/>
      <c r="AB1003" s="306"/>
      <c r="AC1003" s="306"/>
      <c r="AD1003" s="306"/>
      <c r="AE1003" s="306"/>
      <c r="AF1003" s="306"/>
      <c r="AG1003" s="306"/>
      <c r="AH1003" s="306"/>
      <c r="AI1003" s="306"/>
      <c r="AJ1003" s="306"/>
      <c r="AK1003" s="306"/>
      <c r="AL1003" s="306"/>
      <c r="AM1003" s="306"/>
      <c r="AN1003" s="306"/>
      <c r="AO1003" s="75"/>
      <c r="AP1003" s="75"/>
      <c r="AQ1003" s="75"/>
      <c r="AR1003" s="75"/>
      <c r="AS1003" s="75"/>
      <c r="AT1003" s="75"/>
      <c r="AU1003" s="75"/>
      <c r="AV1003" s="75"/>
      <c r="AW1003" s="75"/>
      <c r="AX1003" s="75"/>
    </row>
    <row r="1004" ht="15.75" customHeight="1">
      <c r="A1004" s="291" t="s">
        <v>268</v>
      </c>
      <c r="B1004" s="292" t="s">
        <v>6643</v>
      </c>
      <c r="C1004" s="27" t="s">
        <v>7559</v>
      </c>
      <c r="D1004" s="27" t="s">
        <v>7560</v>
      </c>
      <c r="E1004" s="27" t="s">
        <v>7561</v>
      </c>
      <c r="F1004" s="45"/>
      <c r="G1004" s="45"/>
      <c r="H1004" s="45"/>
      <c r="I1004" s="306"/>
      <c r="J1004" s="309" t="s">
        <v>2000</v>
      </c>
      <c r="K1004" s="307" t="s">
        <v>2550</v>
      </c>
      <c r="L1004" s="308"/>
      <c r="M1004" s="306"/>
      <c r="N1004" s="306"/>
      <c r="O1004" s="309" t="s">
        <v>7562</v>
      </c>
      <c r="P1004" s="306"/>
      <c r="Q1004" s="309" t="s">
        <v>150</v>
      </c>
      <c r="R1004" s="306"/>
      <c r="S1004" s="306"/>
      <c r="T1004" s="306"/>
      <c r="U1004" s="306"/>
      <c r="V1004" s="306"/>
      <c r="W1004" s="306"/>
      <c r="X1004" s="306"/>
      <c r="Y1004" s="306"/>
      <c r="Z1004" s="306"/>
      <c r="AA1004" s="306"/>
      <c r="AB1004" s="306"/>
      <c r="AC1004" s="306"/>
      <c r="AD1004" s="306"/>
      <c r="AE1004" s="306"/>
      <c r="AF1004" s="306"/>
      <c r="AG1004" s="306"/>
      <c r="AH1004" s="306"/>
      <c r="AI1004" s="306"/>
      <c r="AJ1004" s="306"/>
      <c r="AK1004" s="306"/>
      <c r="AL1004" s="306"/>
      <c r="AM1004" s="306"/>
      <c r="AN1004" s="306"/>
      <c r="AO1004" s="75"/>
      <c r="AP1004" s="75"/>
      <c r="AQ1004" s="75"/>
      <c r="AR1004" s="75"/>
      <c r="AS1004" s="75"/>
      <c r="AT1004" s="75"/>
      <c r="AU1004" s="75"/>
      <c r="AV1004" s="75"/>
      <c r="AW1004" s="75"/>
      <c r="AX1004" s="75"/>
    </row>
    <row r="1005" ht="15.75" customHeight="1">
      <c r="A1005" s="291" t="s">
        <v>268</v>
      </c>
      <c r="B1005" s="292" t="s">
        <v>6648</v>
      </c>
      <c r="C1005" s="27" t="s">
        <v>7563</v>
      </c>
      <c r="D1005" s="27" t="s">
        <v>7564</v>
      </c>
      <c r="E1005" s="27" t="s">
        <v>7565</v>
      </c>
      <c r="F1005" s="45"/>
      <c r="G1005" s="45"/>
      <c r="H1005" s="45"/>
      <c r="I1005" s="306"/>
      <c r="J1005" s="309" t="s">
        <v>2000</v>
      </c>
      <c r="K1005" s="307" t="s">
        <v>2550</v>
      </c>
      <c r="L1005" s="308"/>
      <c r="M1005" s="306"/>
      <c r="N1005" s="306"/>
      <c r="O1005" s="309" t="s">
        <v>7566</v>
      </c>
      <c r="P1005" s="306"/>
      <c r="Q1005" s="309" t="s">
        <v>150</v>
      </c>
      <c r="R1005" s="306"/>
      <c r="S1005" s="306"/>
      <c r="T1005" s="306"/>
      <c r="U1005" s="306"/>
      <c r="V1005" s="306"/>
      <c r="W1005" s="306"/>
      <c r="X1005" s="306"/>
      <c r="Y1005" s="306"/>
      <c r="Z1005" s="306"/>
      <c r="AA1005" s="306"/>
      <c r="AB1005" s="306"/>
      <c r="AC1005" s="306"/>
      <c r="AD1005" s="306"/>
      <c r="AE1005" s="306"/>
      <c r="AF1005" s="306"/>
      <c r="AG1005" s="306"/>
      <c r="AH1005" s="306"/>
      <c r="AI1005" s="306"/>
      <c r="AJ1005" s="306"/>
      <c r="AK1005" s="306"/>
      <c r="AL1005" s="306"/>
      <c r="AM1005" s="306"/>
      <c r="AN1005" s="306"/>
      <c r="AO1005" s="75"/>
      <c r="AP1005" s="75"/>
      <c r="AQ1005" s="75"/>
      <c r="AR1005" s="75"/>
      <c r="AS1005" s="75"/>
      <c r="AT1005" s="75"/>
      <c r="AU1005" s="75"/>
      <c r="AV1005" s="75"/>
      <c r="AW1005" s="75"/>
      <c r="AX1005" s="75"/>
    </row>
    <row r="1006" ht="15.75" customHeight="1">
      <c r="A1006" s="298" t="s">
        <v>237</v>
      </c>
      <c r="B1006" s="310" t="s">
        <v>6628</v>
      </c>
      <c r="C1006" s="226"/>
      <c r="D1006" s="226"/>
      <c r="E1006" s="226"/>
      <c r="F1006" s="312"/>
      <c r="G1006" s="312"/>
      <c r="H1006" s="312"/>
      <c r="I1006" s="312"/>
      <c r="J1006" s="312"/>
      <c r="K1006" s="312"/>
      <c r="L1006" s="312"/>
      <c r="M1006" s="312"/>
      <c r="N1006" s="312"/>
      <c r="O1006" s="312"/>
      <c r="P1006" s="312"/>
      <c r="Q1006" s="312"/>
      <c r="R1006" s="312"/>
      <c r="S1006" s="312"/>
      <c r="T1006" s="312"/>
      <c r="U1006" s="312"/>
      <c r="V1006" s="312"/>
      <c r="W1006" s="312"/>
      <c r="X1006" s="312"/>
      <c r="Y1006" s="312"/>
      <c r="Z1006" s="312"/>
      <c r="AA1006" s="312"/>
      <c r="AB1006" s="312"/>
      <c r="AC1006" s="312"/>
      <c r="AD1006" s="312"/>
      <c r="AE1006" s="312"/>
      <c r="AF1006" s="312"/>
      <c r="AG1006" s="312"/>
      <c r="AH1006" s="312"/>
      <c r="AI1006" s="312"/>
      <c r="AJ1006" s="312"/>
      <c r="AK1006" s="312"/>
      <c r="AL1006" s="312"/>
      <c r="AM1006" s="312"/>
      <c r="AN1006" s="312"/>
      <c r="AO1006" s="75"/>
      <c r="AP1006" s="75"/>
      <c r="AQ1006" s="75"/>
      <c r="AR1006" s="75"/>
      <c r="AS1006" s="75"/>
      <c r="AT1006" s="75"/>
      <c r="AU1006" s="75"/>
      <c r="AV1006" s="75"/>
      <c r="AW1006" s="75"/>
      <c r="AX1006" s="75"/>
    </row>
    <row r="1007" ht="15.75" customHeight="1">
      <c r="A1007" s="285" t="s">
        <v>468</v>
      </c>
      <c r="B1007" s="185" t="s">
        <v>6599</v>
      </c>
      <c r="C1007" s="186" t="s">
        <v>4481</v>
      </c>
      <c r="D1007" s="186"/>
      <c r="E1007" s="186"/>
      <c r="F1007" s="304"/>
      <c r="G1007" s="304"/>
      <c r="H1007" s="304"/>
      <c r="I1007" s="304"/>
      <c r="J1007" s="304"/>
      <c r="K1007" s="304"/>
      <c r="L1007" s="304"/>
      <c r="M1007" s="304"/>
      <c r="N1007" s="304"/>
      <c r="O1007" s="304"/>
      <c r="P1007" s="304"/>
      <c r="Q1007" s="304"/>
      <c r="R1007" s="304"/>
      <c r="S1007" s="304"/>
      <c r="T1007" s="304"/>
      <c r="U1007" s="304"/>
      <c r="V1007" s="304"/>
      <c r="W1007" s="304"/>
      <c r="X1007" s="304"/>
      <c r="Y1007" s="304"/>
      <c r="Z1007" s="304"/>
      <c r="AA1007" s="304"/>
      <c r="AB1007" s="304"/>
      <c r="AC1007" s="304"/>
      <c r="AD1007" s="304"/>
      <c r="AE1007" s="304"/>
      <c r="AF1007" s="304"/>
      <c r="AG1007" s="304"/>
      <c r="AH1007" s="304"/>
      <c r="AI1007" s="304"/>
      <c r="AJ1007" s="304"/>
      <c r="AK1007" s="304"/>
      <c r="AL1007" s="304"/>
      <c r="AM1007" s="304"/>
      <c r="AN1007" s="304"/>
      <c r="AO1007" s="75"/>
      <c r="AP1007" s="75"/>
      <c r="AQ1007" s="75"/>
      <c r="AR1007" s="75"/>
      <c r="AS1007" s="75"/>
      <c r="AT1007" s="75"/>
      <c r="AU1007" s="75"/>
      <c r="AV1007" s="75"/>
      <c r="AW1007" s="75"/>
      <c r="AX1007" s="75"/>
    </row>
    <row r="1008" ht="15.75" customHeight="1">
      <c r="A1008" s="168" t="s">
        <v>127</v>
      </c>
      <c r="B1008" s="71" t="s">
        <v>6653</v>
      </c>
      <c r="C1008" s="72"/>
      <c r="D1008" s="72"/>
      <c r="E1008" s="72"/>
      <c r="F1008" s="73"/>
      <c r="G1008" s="73"/>
      <c r="H1008" s="73"/>
      <c r="I1008" s="73"/>
      <c r="J1008" s="73"/>
      <c r="K1008" s="73"/>
      <c r="L1008" s="73"/>
      <c r="M1008" s="73"/>
      <c r="N1008" s="73"/>
      <c r="O1008" s="73"/>
      <c r="P1008" s="73"/>
      <c r="Q1008" s="73"/>
      <c r="R1008" s="73"/>
      <c r="S1008" s="73"/>
      <c r="T1008" s="74" t="s">
        <v>129</v>
      </c>
      <c r="U1008" s="73"/>
      <c r="V1008" s="73"/>
      <c r="W1008" s="73"/>
      <c r="X1008" s="73"/>
      <c r="Y1008" s="73"/>
      <c r="Z1008" s="73"/>
      <c r="AA1008" s="73"/>
      <c r="AB1008" s="73"/>
      <c r="AC1008" s="73"/>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row>
    <row r="1009" ht="15.75" customHeight="1">
      <c r="A1009" s="168" t="s">
        <v>68</v>
      </c>
      <c r="B1009" s="71" t="s">
        <v>6654</v>
      </c>
      <c r="C1009" s="72"/>
      <c r="D1009" s="72"/>
      <c r="E1009" s="72"/>
      <c r="F1009" s="73"/>
      <c r="G1009" s="73"/>
      <c r="H1009" s="73"/>
      <c r="I1009" s="73"/>
      <c r="J1009" s="73"/>
      <c r="K1009" s="73"/>
      <c r="L1009" s="73"/>
      <c r="M1009" s="73"/>
      <c r="N1009" s="73"/>
      <c r="O1009" s="73"/>
      <c r="P1009" s="73"/>
      <c r="Q1009" s="73"/>
      <c r="R1009" s="73"/>
      <c r="S1009" s="73"/>
      <c r="T1009" s="74" t="s">
        <v>7567</v>
      </c>
      <c r="U1009" s="73"/>
      <c r="V1009" s="73"/>
      <c r="W1009" s="73"/>
      <c r="X1009" s="73"/>
      <c r="Y1009" s="73"/>
      <c r="Z1009" s="73"/>
      <c r="AA1009" s="73"/>
      <c r="AB1009" s="73"/>
      <c r="AC1009" s="73"/>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row>
    <row r="1010" ht="15.75" customHeight="1">
      <c r="A1010" s="168" t="s">
        <v>127</v>
      </c>
      <c r="B1010" s="71" t="s">
        <v>6655</v>
      </c>
      <c r="C1010" s="72"/>
      <c r="D1010" s="72"/>
      <c r="E1010" s="72"/>
      <c r="F1010" s="73"/>
      <c r="G1010" s="73"/>
      <c r="H1010" s="73"/>
      <c r="I1010" s="73"/>
      <c r="J1010" s="73"/>
      <c r="K1010" s="73"/>
      <c r="L1010" s="73"/>
      <c r="M1010" s="73"/>
      <c r="N1010" s="73"/>
      <c r="O1010" s="73"/>
      <c r="P1010" s="73"/>
      <c r="Q1010" s="73"/>
      <c r="R1010" s="73"/>
      <c r="S1010" s="73"/>
      <c r="T1010" s="74" t="s">
        <v>129</v>
      </c>
      <c r="U1010" s="73"/>
      <c r="V1010" s="73"/>
      <c r="W1010" s="73"/>
      <c r="X1010" s="73"/>
      <c r="Y1010" s="73"/>
      <c r="Z1010" s="73"/>
      <c r="AA1010" s="73"/>
      <c r="AB1010" s="73"/>
      <c r="AC1010" s="73"/>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row>
    <row r="1011" ht="15.75" customHeight="1">
      <c r="A1011" s="278" t="s">
        <v>38</v>
      </c>
      <c r="B1011" s="279" t="s">
        <v>6656</v>
      </c>
      <c r="C1011" s="27" t="s">
        <v>7568</v>
      </c>
      <c r="D1011" s="27" t="s">
        <v>7569</v>
      </c>
      <c r="E1011" s="27" t="s">
        <v>7570</v>
      </c>
      <c r="F1011" s="45"/>
      <c r="G1011" s="45"/>
      <c r="H1011" s="45"/>
      <c r="I1011" s="284"/>
      <c r="J1011" s="284"/>
      <c r="K1011" s="284"/>
      <c r="L1011" s="284"/>
      <c r="M1011" s="284"/>
      <c r="N1011" s="284"/>
      <c r="O1011" s="284"/>
      <c r="P1011" s="284"/>
      <c r="Q1011" s="284"/>
      <c r="R1011" s="284"/>
      <c r="S1011" s="284"/>
      <c r="T1011" s="284"/>
      <c r="U1011" s="284"/>
      <c r="V1011" s="284"/>
      <c r="W1011" s="284"/>
      <c r="X1011" s="284"/>
      <c r="Y1011" s="284"/>
      <c r="Z1011" s="284"/>
      <c r="AA1011" s="284"/>
      <c r="AB1011" s="284"/>
      <c r="AC1011" s="284"/>
      <c r="AD1011" s="75"/>
      <c r="AE1011" s="75"/>
      <c r="AF1011" s="75"/>
      <c r="AG1011" s="75"/>
      <c r="AH1011" s="75"/>
      <c r="AI1011" s="75"/>
      <c r="AJ1011" s="75"/>
      <c r="AK1011" s="75"/>
      <c r="AL1011" s="284"/>
      <c r="AM1011" s="284"/>
      <c r="AN1011" s="284"/>
      <c r="AO1011" s="75"/>
      <c r="AP1011" s="75"/>
      <c r="AQ1011" s="75"/>
      <c r="AR1011" s="75"/>
      <c r="AS1011" s="75"/>
      <c r="AT1011" s="75"/>
      <c r="AU1011" s="75"/>
      <c r="AV1011" s="75"/>
      <c r="AW1011" s="75"/>
      <c r="AX1011" s="75"/>
    </row>
    <row r="1012" ht="15.75" customHeight="1">
      <c r="A1012" s="280" t="s">
        <v>2509</v>
      </c>
      <c r="B1012" s="281" t="s">
        <v>6661</v>
      </c>
      <c r="C1012" s="27" t="s">
        <v>7571</v>
      </c>
      <c r="D1012" s="27" t="s">
        <v>7572</v>
      </c>
      <c r="E1012" s="27" t="s">
        <v>7573</v>
      </c>
      <c r="F1012" s="45"/>
      <c r="G1012" s="45"/>
      <c r="H1012" s="45"/>
      <c r="I1012" s="286"/>
      <c r="J1012" s="287"/>
      <c r="K1012" s="286"/>
      <c r="L1012" s="286"/>
      <c r="M1012" s="286"/>
      <c r="N1012" s="286"/>
      <c r="O1012" s="286"/>
      <c r="P1012" s="286"/>
      <c r="Q1012" s="290" t="s">
        <v>150</v>
      </c>
      <c r="R1012" s="286"/>
      <c r="S1012" s="286"/>
      <c r="T1012" s="286"/>
      <c r="U1012" s="286"/>
      <c r="V1012" s="286"/>
      <c r="W1012" s="286"/>
      <c r="X1012" s="286"/>
      <c r="Y1012" s="286"/>
      <c r="Z1012" s="286"/>
      <c r="AA1012" s="286"/>
      <c r="AB1012" s="286"/>
      <c r="AC1012" s="286"/>
      <c r="AD1012" s="75"/>
      <c r="AE1012" s="75"/>
      <c r="AF1012" s="75"/>
      <c r="AG1012" s="75"/>
      <c r="AH1012" s="75"/>
      <c r="AI1012" s="75"/>
      <c r="AJ1012" s="75"/>
      <c r="AK1012" s="75"/>
      <c r="AL1012" s="284"/>
      <c r="AM1012" s="284"/>
      <c r="AN1012" s="284"/>
      <c r="AO1012" s="75"/>
      <c r="AP1012" s="75"/>
      <c r="AQ1012" s="75"/>
      <c r="AR1012" s="75"/>
      <c r="AS1012" s="75"/>
      <c r="AT1012" s="75"/>
      <c r="AU1012" s="75"/>
      <c r="AV1012" s="75"/>
      <c r="AW1012" s="75"/>
      <c r="AX1012" s="75"/>
    </row>
    <row r="1013" ht="15.75" customHeight="1">
      <c r="A1013" s="291" t="s">
        <v>268</v>
      </c>
      <c r="B1013" s="292" t="s">
        <v>6665</v>
      </c>
      <c r="C1013" s="27" t="s">
        <v>7574</v>
      </c>
      <c r="D1013" s="27" t="s">
        <v>7575</v>
      </c>
      <c r="E1013" s="27" t="s">
        <v>7576</v>
      </c>
      <c r="F1013" s="45"/>
      <c r="G1013" s="45"/>
      <c r="H1013" s="45"/>
      <c r="I1013" s="306"/>
      <c r="J1013" s="306"/>
      <c r="K1013" s="308"/>
      <c r="L1013" s="308"/>
      <c r="M1013" s="306"/>
      <c r="N1013" s="306"/>
      <c r="O1013" s="309" t="s">
        <v>7577</v>
      </c>
      <c r="P1013" s="306"/>
      <c r="Q1013" s="309" t="s">
        <v>150</v>
      </c>
      <c r="R1013" s="306"/>
      <c r="S1013" s="306"/>
      <c r="T1013" s="306"/>
      <c r="U1013" s="306"/>
      <c r="V1013" s="306"/>
      <c r="W1013" s="306"/>
      <c r="X1013" s="306"/>
      <c r="Y1013" s="306"/>
      <c r="Z1013" s="306"/>
      <c r="AA1013" s="306"/>
      <c r="AB1013" s="306"/>
      <c r="AC1013" s="306"/>
      <c r="AD1013" s="75"/>
      <c r="AE1013" s="75"/>
      <c r="AF1013" s="75"/>
      <c r="AG1013" s="75"/>
      <c r="AH1013" s="75"/>
      <c r="AI1013" s="75"/>
      <c r="AJ1013" s="75"/>
      <c r="AK1013" s="75"/>
      <c r="AL1013" s="284"/>
      <c r="AM1013" s="284"/>
      <c r="AN1013" s="284"/>
      <c r="AO1013" s="75"/>
      <c r="AP1013" s="75"/>
      <c r="AQ1013" s="75"/>
      <c r="AR1013" s="75"/>
      <c r="AS1013" s="75"/>
      <c r="AT1013" s="75"/>
      <c r="AU1013" s="75"/>
      <c r="AV1013" s="75"/>
      <c r="AW1013" s="75"/>
      <c r="AX1013" s="75"/>
    </row>
    <row r="1014" ht="15.75" customHeight="1">
      <c r="A1014" s="291" t="s">
        <v>268</v>
      </c>
      <c r="B1014" s="292" t="s">
        <v>6670</v>
      </c>
      <c r="C1014" s="27" t="s">
        <v>7578</v>
      </c>
      <c r="D1014" s="27" t="s">
        <v>7579</v>
      </c>
      <c r="E1014" s="27" t="s">
        <v>7580</v>
      </c>
      <c r="F1014" s="45"/>
      <c r="G1014" s="45"/>
      <c r="H1014" s="45"/>
      <c r="I1014" s="306"/>
      <c r="J1014" s="306"/>
      <c r="K1014" s="308"/>
      <c r="L1014" s="308"/>
      <c r="M1014" s="306"/>
      <c r="N1014" s="306"/>
      <c r="O1014" s="306"/>
      <c r="P1014" s="306"/>
      <c r="Q1014" s="309" t="s">
        <v>150</v>
      </c>
      <c r="R1014" s="306"/>
      <c r="S1014" s="306"/>
      <c r="T1014" s="306"/>
      <c r="U1014" s="306"/>
      <c r="V1014" s="306"/>
      <c r="W1014" s="306"/>
      <c r="X1014" s="306"/>
      <c r="Y1014" s="306"/>
      <c r="Z1014" s="306"/>
      <c r="AA1014" s="306"/>
      <c r="AB1014" s="306"/>
      <c r="AC1014" s="306"/>
      <c r="AD1014" s="75"/>
      <c r="AE1014" s="75"/>
      <c r="AF1014" s="75"/>
      <c r="AG1014" s="75"/>
      <c r="AH1014" s="75"/>
      <c r="AI1014" s="75"/>
      <c r="AJ1014" s="75"/>
      <c r="AK1014" s="75"/>
      <c r="AL1014" s="284"/>
      <c r="AM1014" s="284"/>
      <c r="AN1014" s="284"/>
      <c r="AO1014" s="75"/>
      <c r="AP1014" s="75"/>
      <c r="AQ1014" s="75"/>
      <c r="AR1014" s="75"/>
      <c r="AS1014" s="75"/>
      <c r="AT1014" s="75"/>
      <c r="AU1014" s="75"/>
      <c r="AV1014" s="75"/>
      <c r="AW1014" s="75"/>
      <c r="AX1014" s="75"/>
    </row>
    <row r="1015" ht="15.75" customHeight="1">
      <c r="A1015" s="280" t="s">
        <v>2509</v>
      </c>
      <c r="B1015" s="281" t="s">
        <v>6674</v>
      </c>
      <c r="C1015" s="27" t="s">
        <v>7581</v>
      </c>
      <c r="D1015" s="27" t="s">
        <v>7582</v>
      </c>
      <c r="E1015" s="27" t="s">
        <v>7583</v>
      </c>
      <c r="F1015" s="45"/>
      <c r="G1015" s="45"/>
      <c r="H1015" s="45"/>
      <c r="I1015" s="286"/>
      <c r="J1015" s="287"/>
      <c r="K1015" s="286"/>
      <c r="L1015" s="286"/>
      <c r="M1015" s="286"/>
      <c r="N1015" s="286"/>
      <c r="O1015" s="290" t="s">
        <v>7584</v>
      </c>
      <c r="P1015" s="286"/>
      <c r="Q1015" s="290" t="s">
        <v>150</v>
      </c>
      <c r="R1015" s="286"/>
      <c r="S1015" s="286"/>
      <c r="T1015" s="286"/>
      <c r="U1015" s="286"/>
      <c r="V1015" s="286"/>
      <c r="W1015" s="286"/>
      <c r="X1015" s="286"/>
      <c r="Y1015" s="286"/>
      <c r="Z1015" s="286"/>
      <c r="AA1015" s="286"/>
      <c r="AB1015" s="286"/>
      <c r="AC1015" s="286"/>
      <c r="AD1015" s="284"/>
      <c r="AE1015" s="284"/>
      <c r="AF1015" s="284"/>
      <c r="AG1015" s="284"/>
      <c r="AH1015" s="284"/>
      <c r="AI1015" s="284"/>
      <c r="AJ1015" s="284"/>
      <c r="AK1015" s="284"/>
      <c r="AL1015" s="284"/>
      <c r="AM1015" s="284"/>
      <c r="AN1015" s="284"/>
      <c r="AO1015" s="75"/>
      <c r="AP1015" s="75"/>
      <c r="AQ1015" s="75"/>
      <c r="AR1015" s="75"/>
      <c r="AS1015" s="75"/>
      <c r="AT1015" s="75"/>
      <c r="AU1015" s="75"/>
      <c r="AV1015" s="75"/>
      <c r="AW1015" s="75"/>
      <c r="AX1015" s="75"/>
    </row>
    <row r="1016" ht="15.75" customHeight="1">
      <c r="A1016" s="280" t="s">
        <v>1306</v>
      </c>
      <c r="B1016" s="281" t="s">
        <v>6679</v>
      </c>
      <c r="C1016" s="27" t="s">
        <v>7585</v>
      </c>
      <c r="D1016" s="27" t="s">
        <v>7586</v>
      </c>
      <c r="E1016" s="27" t="s">
        <v>7587</v>
      </c>
      <c r="F1016" s="45"/>
      <c r="G1016" s="45"/>
      <c r="H1016" s="45"/>
      <c r="I1016" s="286"/>
      <c r="J1016" s="287"/>
      <c r="K1016" s="286"/>
      <c r="L1016" s="286"/>
      <c r="M1016" s="286"/>
      <c r="N1016" s="286"/>
      <c r="O1016" s="286"/>
      <c r="P1016" s="286"/>
      <c r="Q1016" s="290" t="s">
        <v>150</v>
      </c>
      <c r="R1016" s="286"/>
      <c r="S1016" s="286"/>
      <c r="T1016" s="286"/>
      <c r="U1016" s="286"/>
      <c r="V1016" s="286"/>
      <c r="W1016" s="286"/>
      <c r="X1016" s="286"/>
      <c r="Y1016" s="286"/>
      <c r="Z1016" s="286"/>
      <c r="AA1016" s="286"/>
      <c r="AB1016" s="286"/>
      <c r="AC1016" s="286"/>
      <c r="AD1016" s="284"/>
      <c r="AE1016" s="284"/>
      <c r="AF1016" s="284"/>
      <c r="AG1016" s="284"/>
      <c r="AH1016" s="284"/>
      <c r="AI1016" s="284"/>
      <c r="AJ1016" s="284"/>
      <c r="AK1016" s="284"/>
      <c r="AL1016" s="284"/>
      <c r="AM1016" s="284"/>
      <c r="AN1016" s="284"/>
      <c r="AO1016" s="75"/>
      <c r="AP1016" s="75"/>
      <c r="AQ1016" s="75"/>
      <c r="AR1016" s="75"/>
      <c r="AS1016" s="75"/>
      <c r="AT1016" s="75"/>
      <c r="AU1016" s="75"/>
      <c r="AV1016" s="75"/>
      <c r="AW1016" s="75"/>
      <c r="AX1016" s="75"/>
    </row>
    <row r="1017" ht="15.75" customHeight="1">
      <c r="A1017" s="280" t="s">
        <v>2509</v>
      </c>
      <c r="B1017" s="281" t="s">
        <v>6683</v>
      </c>
      <c r="C1017" s="27" t="s">
        <v>7588</v>
      </c>
      <c r="D1017" s="27" t="s">
        <v>7589</v>
      </c>
      <c r="E1017" s="27" t="s">
        <v>7590</v>
      </c>
      <c r="F1017" s="45"/>
      <c r="G1017" s="45"/>
      <c r="H1017" s="45"/>
      <c r="I1017" s="286"/>
      <c r="J1017" s="287"/>
      <c r="K1017" s="286"/>
      <c r="L1017" s="286"/>
      <c r="M1017" s="286"/>
      <c r="N1017" s="286"/>
      <c r="O1017" s="290" t="s">
        <v>7591</v>
      </c>
      <c r="P1017" s="286"/>
      <c r="Q1017" s="290" t="s">
        <v>150</v>
      </c>
      <c r="R1017" s="286"/>
      <c r="S1017" s="286"/>
      <c r="T1017" s="286"/>
      <c r="U1017" s="286"/>
      <c r="V1017" s="286"/>
      <c r="W1017" s="286"/>
      <c r="X1017" s="286"/>
      <c r="Y1017" s="286"/>
      <c r="Z1017" s="286"/>
      <c r="AA1017" s="286"/>
      <c r="AB1017" s="286"/>
      <c r="AC1017" s="286"/>
      <c r="AD1017" s="284"/>
      <c r="AE1017" s="284"/>
      <c r="AF1017" s="284"/>
      <c r="AG1017" s="284"/>
      <c r="AH1017" s="284"/>
      <c r="AI1017" s="284"/>
      <c r="AJ1017" s="284"/>
      <c r="AK1017" s="284"/>
      <c r="AL1017" s="284"/>
      <c r="AM1017" s="284"/>
      <c r="AN1017" s="284"/>
      <c r="AO1017" s="75"/>
      <c r="AP1017" s="75"/>
      <c r="AQ1017" s="75"/>
      <c r="AR1017" s="75"/>
      <c r="AS1017" s="75"/>
      <c r="AT1017" s="75"/>
      <c r="AU1017" s="75"/>
      <c r="AV1017" s="75"/>
      <c r="AW1017" s="75"/>
      <c r="AX1017" s="75"/>
    </row>
    <row r="1018" ht="15.75" customHeight="1">
      <c r="A1018" s="168" t="s">
        <v>127</v>
      </c>
      <c r="B1018" s="71" t="s">
        <v>6687</v>
      </c>
      <c r="C1018" s="72"/>
      <c r="D1018" s="72"/>
      <c r="E1018" s="72"/>
      <c r="F1018" s="73"/>
      <c r="G1018" s="73"/>
      <c r="H1018" s="73"/>
      <c r="I1018" s="73"/>
      <c r="J1018" s="73"/>
      <c r="K1018" s="73"/>
      <c r="L1018" s="73"/>
      <c r="M1018" s="73"/>
      <c r="N1018" s="73"/>
      <c r="O1018" s="73"/>
      <c r="P1018" s="73"/>
      <c r="Q1018" s="73"/>
      <c r="R1018" s="73"/>
      <c r="S1018" s="73"/>
      <c r="T1018" s="74" t="s">
        <v>129</v>
      </c>
      <c r="U1018" s="73"/>
      <c r="V1018" s="73"/>
      <c r="W1018" s="73"/>
      <c r="X1018" s="73"/>
      <c r="Y1018" s="73"/>
      <c r="Z1018" s="73"/>
      <c r="AA1018" s="73"/>
      <c r="AB1018" s="73"/>
      <c r="AC1018" s="73"/>
      <c r="AD1018" s="75"/>
      <c r="AE1018" s="75"/>
      <c r="AF1018" s="75"/>
      <c r="AG1018" s="75"/>
      <c r="AH1018" s="75"/>
      <c r="AI1018" s="75"/>
      <c r="AJ1018" s="75"/>
      <c r="AK1018" s="75"/>
      <c r="AL1018" s="75"/>
      <c r="AM1018" s="75"/>
      <c r="AN1018" s="75"/>
      <c r="AO1018" s="75"/>
      <c r="AP1018" s="75"/>
      <c r="AQ1018" s="75"/>
      <c r="AR1018" s="75"/>
      <c r="AS1018" s="75"/>
      <c r="AT1018" s="75"/>
      <c r="AU1018" s="75"/>
      <c r="AV1018" s="75"/>
      <c r="AW1018" s="75"/>
      <c r="AX1018" s="75"/>
    </row>
    <row r="1019" ht="15.75" customHeight="1">
      <c r="A1019" s="168" t="s">
        <v>68</v>
      </c>
      <c r="B1019" s="71" t="s">
        <v>6688</v>
      </c>
      <c r="C1019" s="72"/>
      <c r="D1019" s="72"/>
      <c r="E1019" s="72"/>
      <c r="F1019" s="73"/>
      <c r="G1019" s="73"/>
      <c r="H1019" s="73"/>
      <c r="I1019" s="73"/>
      <c r="J1019" s="73"/>
      <c r="K1019" s="73"/>
      <c r="L1019" s="73"/>
      <c r="M1019" s="73"/>
      <c r="N1019" s="73"/>
      <c r="O1019" s="73"/>
      <c r="P1019" s="73"/>
      <c r="Q1019" s="73"/>
      <c r="R1019" s="73"/>
      <c r="S1019" s="73"/>
      <c r="T1019" s="74" t="s">
        <v>7592</v>
      </c>
      <c r="U1019" s="73"/>
      <c r="V1019" s="73"/>
      <c r="W1019" s="73"/>
      <c r="X1019" s="73"/>
      <c r="Y1019" s="73"/>
      <c r="Z1019" s="73"/>
      <c r="AA1019" s="73"/>
      <c r="AB1019" s="73"/>
      <c r="AC1019" s="73"/>
      <c r="AD1019" s="75"/>
      <c r="AE1019" s="75"/>
      <c r="AF1019" s="75"/>
      <c r="AG1019" s="75"/>
      <c r="AH1019" s="75"/>
      <c r="AI1019" s="75"/>
      <c r="AJ1019" s="75"/>
      <c r="AK1019" s="75"/>
      <c r="AL1019" s="75"/>
      <c r="AM1019" s="75"/>
      <c r="AN1019" s="75"/>
      <c r="AO1019" s="75"/>
      <c r="AP1019" s="75"/>
      <c r="AQ1019" s="75"/>
      <c r="AR1019" s="75"/>
      <c r="AS1019" s="75"/>
      <c r="AT1019" s="75"/>
      <c r="AU1019" s="75"/>
      <c r="AV1019" s="75"/>
      <c r="AW1019" s="75"/>
      <c r="AX1019" s="75"/>
    </row>
    <row r="1020" ht="15.75" customHeight="1">
      <c r="A1020" s="168" t="s">
        <v>127</v>
      </c>
      <c r="B1020" s="71" t="s">
        <v>6689</v>
      </c>
      <c r="C1020" s="72"/>
      <c r="D1020" s="72"/>
      <c r="E1020" s="72"/>
      <c r="F1020" s="73"/>
      <c r="G1020" s="73"/>
      <c r="H1020" s="73"/>
      <c r="I1020" s="73"/>
      <c r="J1020" s="73"/>
      <c r="K1020" s="73"/>
      <c r="L1020" s="73"/>
      <c r="M1020" s="73"/>
      <c r="N1020" s="73"/>
      <c r="O1020" s="73"/>
      <c r="P1020" s="73"/>
      <c r="Q1020" s="73"/>
      <c r="R1020" s="73"/>
      <c r="S1020" s="73"/>
      <c r="T1020" s="74" t="s">
        <v>129</v>
      </c>
      <c r="U1020" s="73"/>
      <c r="V1020" s="73"/>
      <c r="W1020" s="73"/>
      <c r="X1020" s="73"/>
      <c r="Y1020" s="73"/>
      <c r="Z1020" s="73"/>
      <c r="AA1020" s="73"/>
      <c r="AB1020" s="73"/>
      <c r="AC1020" s="73"/>
      <c r="AD1020" s="75"/>
      <c r="AE1020" s="75"/>
      <c r="AF1020" s="75"/>
      <c r="AG1020" s="75"/>
      <c r="AH1020" s="75"/>
      <c r="AI1020" s="75"/>
      <c r="AJ1020" s="75"/>
      <c r="AK1020" s="75"/>
      <c r="AL1020" s="75"/>
      <c r="AM1020" s="75"/>
      <c r="AN1020" s="75"/>
      <c r="AO1020" s="75"/>
      <c r="AP1020" s="75"/>
      <c r="AQ1020" s="75"/>
      <c r="AR1020" s="75"/>
      <c r="AS1020" s="75"/>
      <c r="AT1020" s="75"/>
      <c r="AU1020" s="75"/>
      <c r="AV1020" s="75"/>
      <c r="AW1020" s="75"/>
      <c r="AX1020" s="75"/>
    </row>
    <row r="1021" ht="15.75" customHeight="1">
      <c r="A1021" s="278" t="s">
        <v>38</v>
      </c>
      <c r="B1021" s="279" t="s">
        <v>6690</v>
      </c>
      <c r="C1021" s="27" t="s">
        <v>7593</v>
      </c>
      <c r="D1021" s="27" t="s">
        <v>7594</v>
      </c>
      <c r="E1021" s="27" t="s">
        <v>7595</v>
      </c>
      <c r="F1021" s="45"/>
      <c r="G1021" s="45"/>
      <c r="H1021" s="45"/>
      <c r="I1021" s="284"/>
      <c r="J1021" s="284"/>
      <c r="K1021" s="284"/>
      <c r="L1021" s="284"/>
      <c r="M1021" s="284"/>
      <c r="N1021" s="284"/>
      <c r="O1021" s="284"/>
      <c r="P1021" s="284"/>
      <c r="Q1021" s="284"/>
      <c r="R1021" s="284"/>
      <c r="S1021" s="284"/>
      <c r="T1021" s="284"/>
      <c r="U1021" s="284"/>
      <c r="V1021" s="284"/>
      <c r="W1021" s="284"/>
      <c r="X1021" s="284"/>
      <c r="Y1021" s="284"/>
      <c r="Z1021" s="284"/>
      <c r="AA1021" s="284"/>
      <c r="AB1021" s="284"/>
      <c r="AC1021" s="284"/>
      <c r="AD1021" s="284"/>
      <c r="AE1021" s="284"/>
      <c r="AF1021" s="284"/>
      <c r="AG1021" s="284"/>
      <c r="AH1021" s="284"/>
      <c r="AI1021" s="284"/>
      <c r="AJ1021" s="284"/>
      <c r="AK1021" s="284"/>
      <c r="AL1021" s="284"/>
      <c r="AM1021" s="284"/>
      <c r="AN1021" s="284"/>
      <c r="AO1021" s="75"/>
      <c r="AP1021" s="75"/>
      <c r="AQ1021" s="75"/>
      <c r="AR1021" s="75"/>
      <c r="AS1021" s="75"/>
      <c r="AT1021" s="75"/>
      <c r="AU1021" s="75"/>
      <c r="AV1021" s="75"/>
      <c r="AW1021" s="75"/>
      <c r="AX1021" s="75"/>
    </row>
    <row r="1022" ht="15.75" customHeight="1">
      <c r="A1022" s="280" t="s">
        <v>2509</v>
      </c>
      <c r="B1022" s="281" t="s">
        <v>6694</v>
      </c>
      <c r="C1022" s="27" t="s">
        <v>7596</v>
      </c>
      <c r="D1022" s="27" t="s">
        <v>7597</v>
      </c>
      <c r="E1022" s="27" t="s">
        <v>7598</v>
      </c>
      <c r="F1022" s="45"/>
      <c r="G1022" s="45"/>
      <c r="H1022" s="45"/>
      <c r="I1022" s="286"/>
      <c r="J1022" s="287"/>
      <c r="K1022" s="286"/>
      <c r="L1022" s="286"/>
      <c r="M1022" s="286"/>
      <c r="N1022" s="286"/>
      <c r="O1022" s="286"/>
      <c r="P1022" s="286"/>
      <c r="Q1022" s="290" t="s">
        <v>150</v>
      </c>
      <c r="R1022" s="286"/>
      <c r="S1022" s="286"/>
      <c r="T1022" s="286"/>
      <c r="U1022" s="286"/>
      <c r="V1022" s="286"/>
      <c r="W1022" s="286"/>
      <c r="X1022" s="286"/>
      <c r="Y1022" s="286"/>
      <c r="Z1022" s="286"/>
      <c r="AA1022" s="286"/>
      <c r="AB1022" s="286"/>
      <c r="AC1022" s="286"/>
      <c r="AD1022" s="286"/>
      <c r="AE1022" s="286"/>
      <c r="AF1022" s="286"/>
      <c r="AG1022" s="286"/>
      <c r="AH1022" s="286"/>
      <c r="AI1022" s="286"/>
      <c r="AJ1022" s="286"/>
      <c r="AK1022" s="286"/>
      <c r="AL1022" s="286"/>
      <c r="AM1022" s="286"/>
      <c r="AN1022" s="286"/>
      <c r="AO1022" s="75"/>
      <c r="AP1022" s="75"/>
      <c r="AQ1022" s="75"/>
      <c r="AR1022" s="75"/>
      <c r="AS1022" s="75"/>
      <c r="AT1022" s="75"/>
      <c r="AU1022" s="75"/>
      <c r="AV1022" s="75"/>
      <c r="AW1022" s="75"/>
      <c r="AX1022" s="75"/>
    </row>
    <row r="1023" ht="15.75" customHeight="1">
      <c r="A1023" s="291" t="s">
        <v>268</v>
      </c>
      <c r="B1023" s="292" t="s">
        <v>6698</v>
      </c>
      <c r="C1023" s="27" t="s">
        <v>7599</v>
      </c>
      <c r="D1023" s="27" t="s">
        <v>7600</v>
      </c>
      <c r="E1023" s="27" t="s">
        <v>7601</v>
      </c>
      <c r="F1023" s="45"/>
      <c r="G1023" s="45"/>
      <c r="H1023" s="45"/>
      <c r="I1023" s="306"/>
      <c r="J1023" s="306"/>
      <c r="K1023" s="307" t="s">
        <v>4558</v>
      </c>
      <c r="L1023" s="308"/>
      <c r="M1023" s="306"/>
      <c r="N1023" s="306"/>
      <c r="O1023" s="309" t="s">
        <v>7602</v>
      </c>
      <c r="P1023" s="306"/>
      <c r="Q1023" s="309" t="s">
        <v>150</v>
      </c>
      <c r="R1023" s="306"/>
      <c r="S1023" s="306"/>
      <c r="T1023" s="306"/>
      <c r="U1023" s="306"/>
      <c r="V1023" s="306"/>
      <c r="W1023" s="306"/>
      <c r="X1023" s="306"/>
      <c r="Y1023" s="306"/>
      <c r="Z1023" s="306"/>
      <c r="AA1023" s="306"/>
      <c r="AB1023" s="306"/>
      <c r="AC1023" s="306"/>
      <c r="AD1023" s="306"/>
      <c r="AE1023" s="306"/>
      <c r="AF1023" s="306"/>
      <c r="AG1023" s="306"/>
      <c r="AH1023" s="306"/>
      <c r="AI1023" s="306"/>
      <c r="AJ1023" s="306"/>
      <c r="AK1023" s="306"/>
      <c r="AL1023" s="306"/>
      <c r="AM1023" s="306"/>
      <c r="AN1023" s="306"/>
      <c r="AO1023" s="75"/>
      <c r="AP1023" s="75"/>
      <c r="AQ1023" s="75"/>
      <c r="AR1023" s="75"/>
      <c r="AS1023" s="75"/>
      <c r="AT1023" s="75"/>
      <c r="AU1023" s="75"/>
      <c r="AV1023" s="75"/>
      <c r="AW1023" s="75"/>
      <c r="AX1023" s="75"/>
    </row>
    <row r="1024" ht="15.75" customHeight="1">
      <c r="A1024" s="280" t="s">
        <v>2509</v>
      </c>
      <c r="B1024" s="281" t="s">
        <v>6702</v>
      </c>
      <c r="C1024" s="27" t="s">
        <v>7603</v>
      </c>
      <c r="D1024" s="27" t="s">
        <v>7604</v>
      </c>
      <c r="E1024" s="27" t="s">
        <v>7605</v>
      </c>
      <c r="F1024" s="45"/>
      <c r="G1024" s="45"/>
      <c r="H1024" s="45"/>
      <c r="I1024" s="286"/>
      <c r="J1024" s="287"/>
      <c r="K1024" s="286"/>
      <c r="L1024" s="286"/>
      <c r="M1024" s="286"/>
      <c r="N1024" s="286"/>
      <c r="O1024" s="286"/>
      <c r="P1024" s="286"/>
      <c r="Q1024" s="290" t="s">
        <v>150</v>
      </c>
      <c r="R1024" s="286"/>
      <c r="S1024" s="286"/>
      <c r="T1024" s="286"/>
      <c r="U1024" s="286"/>
      <c r="V1024" s="286"/>
      <c r="W1024" s="286"/>
      <c r="X1024" s="286"/>
      <c r="Y1024" s="286"/>
      <c r="Z1024" s="286"/>
      <c r="AA1024" s="286"/>
      <c r="AB1024" s="286"/>
      <c r="AC1024" s="286"/>
      <c r="AD1024" s="286"/>
      <c r="AE1024" s="286"/>
      <c r="AF1024" s="286"/>
      <c r="AG1024" s="286"/>
      <c r="AH1024" s="286"/>
      <c r="AI1024" s="286"/>
      <c r="AJ1024" s="286"/>
      <c r="AK1024" s="286"/>
      <c r="AL1024" s="286"/>
      <c r="AM1024" s="286"/>
      <c r="AN1024" s="286"/>
      <c r="AO1024" s="75"/>
      <c r="AP1024" s="75"/>
      <c r="AQ1024" s="75"/>
      <c r="AR1024" s="75"/>
      <c r="AS1024" s="75"/>
      <c r="AT1024" s="75"/>
      <c r="AU1024" s="75"/>
      <c r="AV1024" s="75"/>
      <c r="AW1024" s="75"/>
      <c r="AX1024" s="75"/>
    </row>
    <row r="1025" ht="15.75" customHeight="1">
      <c r="A1025" s="291" t="s">
        <v>268</v>
      </c>
      <c r="B1025" s="292" t="s">
        <v>6706</v>
      </c>
      <c r="C1025" s="27" t="s">
        <v>7606</v>
      </c>
      <c r="D1025" s="27" t="s">
        <v>7607</v>
      </c>
      <c r="E1025" s="27" t="s">
        <v>7608</v>
      </c>
      <c r="F1025" s="45"/>
      <c r="G1025" s="45"/>
      <c r="H1025" s="45"/>
      <c r="I1025" s="306"/>
      <c r="J1025" s="306"/>
      <c r="K1025" s="307" t="s">
        <v>4558</v>
      </c>
      <c r="L1025" s="308"/>
      <c r="M1025" s="306"/>
      <c r="N1025" s="306"/>
      <c r="O1025" s="309" t="s">
        <v>7609</v>
      </c>
      <c r="P1025" s="306"/>
      <c r="Q1025" s="309" t="s">
        <v>150</v>
      </c>
      <c r="R1025" s="306"/>
      <c r="S1025" s="306"/>
      <c r="T1025" s="306"/>
      <c r="U1025" s="306"/>
      <c r="V1025" s="306"/>
      <c r="W1025" s="306"/>
      <c r="X1025" s="306"/>
      <c r="Y1025" s="306"/>
      <c r="Z1025" s="306"/>
      <c r="AA1025" s="306"/>
      <c r="AB1025" s="306"/>
      <c r="AC1025" s="306"/>
      <c r="AD1025" s="306"/>
      <c r="AE1025" s="306"/>
      <c r="AF1025" s="306"/>
      <c r="AG1025" s="306"/>
      <c r="AH1025" s="306"/>
      <c r="AI1025" s="306"/>
      <c r="AJ1025" s="306"/>
      <c r="AK1025" s="306"/>
      <c r="AL1025" s="306"/>
      <c r="AM1025" s="306"/>
      <c r="AN1025" s="306"/>
      <c r="AO1025" s="75"/>
      <c r="AP1025" s="75"/>
      <c r="AQ1025" s="75"/>
      <c r="AR1025" s="75"/>
      <c r="AS1025" s="75"/>
      <c r="AT1025" s="75"/>
      <c r="AU1025" s="75"/>
      <c r="AV1025" s="75"/>
      <c r="AW1025" s="75"/>
      <c r="AX1025" s="75"/>
    </row>
    <row r="1026" ht="15.75" customHeight="1">
      <c r="A1026" s="291" t="s">
        <v>268</v>
      </c>
      <c r="B1026" s="292" t="s">
        <v>6708</v>
      </c>
      <c r="C1026" s="27" t="s">
        <v>7610</v>
      </c>
      <c r="D1026" s="27" t="s">
        <v>7611</v>
      </c>
      <c r="E1026" s="27" t="s">
        <v>7612</v>
      </c>
      <c r="F1026" s="45"/>
      <c r="G1026" s="45"/>
      <c r="H1026" s="45"/>
      <c r="I1026" s="306"/>
      <c r="J1026" s="306"/>
      <c r="K1026" s="307" t="s">
        <v>4558</v>
      </c>
      <c r="L1026" s="308"/>
      <c r="M1026" s="306"/>
      <c r="N1026" s="306"/>
      <c r="O1026" s="306"/>
      <c r="P1026" s="306"/>
      <c r="Q1026" s="309" t="s">
        <v>150</v>
      </c>
      <c r="R1026" s="306"/>
      <c r="S1026" s="306"/>
      <c r="T1026" s="306"/>
      <c r="U1026" s="306"/>
      <c r="V1026" s="306"/>
      <c r="W1026" s="306"/>
      <c r="X1026" s="306"/>
      <c r="Y1026" s="306"/>
      <c r="Z1026" s="306"/>
      <c r="AA1026" s="306"/>
      <c r="AB1026" s="306"/>
      <c r="AC1026" s="306"/>
      <c r="AD1026" s="306"/>
      <c r="AE1026" s="306"/>
      <c r="AF1026" s="306"/>
      <c r="AG1026" s="306"/>
      <c r="AH1026" s="306"/>
      <c r="AI1026" s="306"/>
      <c r="AJ1026" s="306"/>
      <c r="AK1026" s="306"/>
      <c r="AL1026" s="306"/>
      <c r="AM1026" s="306"/>
      <c r="AN1026" s="306"/>
      <c r="AO1026" s="75"/>
      <c r="AP1026" s="75"/>
      <c r="AQ1026" s="75"/>
      <c r="AR1026" s="75"/>
      <c r="AS1026" s="75"/>
      <c r="AT1026" s="75"/>
      <c r="AU1026" s="75"/>
      <c r="AV1026" s="75"/>
      <c r="AW1026" s="75"/>
      <c r="AX1026" s="75"/>
    </row>
    <row r="1027" ht="15.75" customHeight="1">
      <c r="A1027" s="280" t="s">
        <v>2509</v>
      </c>
      <c r="B1027" s="281" t="s">
        <v>6712</v>
      </c>
      <c r="C1027" s="27" t="s">
        <v>7613</v>
      </c>
      <c r="D1027" s="27" t="s">
        <v>7614</v>
      </c>
      <c r="E1027" s="27" t="s">
        <v>7615</v>
      </c>
      <c r="F1027" s="45"/>
      <c r="G1027" s="45"/>
      <c r="H1027" s="45"/>
      <c r="I1027" s="286"/>
      <c r="J1027" s="287"/>
      <c r="K1027" s="286"/>
      <c r="L1027" s="286"/>
      <c r="M1027" s="286"/>
      <c r="N1027" s="286"/>
      <c r="O1027" s="286"/>
      <c r="P1027" s="286"/>
      <c r="Q1027" s="290" t="s">
        <v>150</v>
      </c>
      <c r="R1027" s="286"/>
      <c r="S1027" s="286"/>
      <c r="T1027" s="286"/>
      <c r="U1027" s="286"/>
      <c r="V1027" s="286"/>
      <c r="W1027" s="286"/>
      <c r="X1027" s="286"/>
      <c r="Y1027" s="286"/>
      <c r="Z1027" s="286"/>
      <c r="AA1027" s="286"/>
      <c r="AB1027" s="286"/>
      <c r="AC1027" s="286"/>
      <c r="AD1027" s="286"/>
      <c r="AE1027" s="286"/>
      <c r="AF1027" s="286"/>
      <c r="AG1027" s="286"/>
      <c r="AH1027" s="286"/>
      <c r="AI1027" s="286"/>
      <c r="AJ1027" s="286"/>
      <c r="AK1027" s="286"/>
      <c r="AL1027" s="286"/>
      <c r="AM1027" s="286"/>
      <c r="AN1027" s="286"/>
      <c r="AO1027" s="75"/>
      <c r="AP1027" s="75"/>
      <c r="AQ1027" s="75"/>
      <c r="AR1027" s="75"/>
      <c r="AS1027" s="75"/>
      <c r="AT1027" s="75"/>
      <c r="AU1027" s="75"/>
      <c r="AV1027" s="75"/>
      <c r="AW1027" s="75"/>
      <c r="AX1027" s="75"/>
    </row>
    <row r="1028" ht="15.75" customHeight="1">
      <c r="A1028" s="291" t="s">
        <v>268</v>
      </c>
      <c r="B1028" s="292" t="s">
        <v>6718</v>
      </c>
      <c r="C1028" s="27" t="s">
        <v>7616</v>
      </c>
      <c r="D1028" s="27" t="s">
        <v>7617</v>
      </c>
      <c r="E1028" s="27" t="s">
        <v>7618</v>
      </c>
      <c r="F1028" s="45"/>
      <c r="G1028" s="45"/>
      <c r="H1028" s="45"/>
      <c r="I1028" s="306"/>
      <c r="J1028" s="306"/>
      <c r="K1028" s="307" t="s">
        <v>4558</v>
      </c>
      <c r="L1028" s="308"/>
      <c r="M1028" s="306"/>
      <c r="N1028" s="306"/>
      <c r="O1028" s="309" t="s">
        <v>7619</v>
      </c>
      <c r="P1028" s="306"/>
      <c r="Q1028" s="309" t="s">
        <v>150</v>
      </c>
      <c r="R1028" s="306"/>
      <c r="S1028" s="306"/>
      <c r="T1028" s="306"/>
      <c r="U1028" s="306"/>
      <c r="V1028" s="306"/>
      <c r="W1028" s="306"/>
      <c r="X1028" s="306"/>
      <c r="Y1028" s="306"/>
      <c r="Z1028" s="306"/>
      <c r="AA1028" s="306"/>
      <c r="AB1028" s="306"/>
      <c r="AC1028" s="306"/>
      <c r="AD1028" s="306"/>
      <c r="AE1028" s="306"/>
      <c r="AF1028" s="306"/>
      <c r="AG1028" s="306"/>
      <c r="AH1028" s="306"/>
      <c r="AI1028" s="306"/>
      <c r="AJ1028" s="306"/>
      <c r="AK1028" s="306"/>
      <c r="AL1028" s="306"/>
      <c r="AM1028" s="306"/>
      <c r="AN1028" s="306"/>
      <c r="AO1028" s="75"/>
      <c r="AP1028" s="75"/>
      <c r="AQ1028" s="75"/>
      <c r="AR1028" s="75"/>
      <c r="AS1028" s="75"/>
      <c r="AT1028" s="75"/>
      <c r="AU1028" s="75"/>
      <c r="AV1028" s="75"/>
      <c r="AW1028" s="75"/>
      <c r="AX1028" s="75"/>
    </row>
    <row r="1029" ht="15.75" customHeight="1">
      <c r="A1029" s="280" t="s">
        <v>2509</v>
      </c>
      <c r="B1029" s="281" t="s">
        <v>6722</v>
      </c>
      <c r="C1029" s="27" t="s">
        <v>7620</v>
      </c>
      <c r="D1029" s="27" t="s">
        <v>7621</v>
      </c>
      <c r="E1029" s="27" t="s">
        <v>7622</v>
      </c>
      <c r="F1029" s="45"/>
      <c r="G1029" s="45"/>
      <c r="H1029" s="45"/>
      <c r="I1029" s="286"/>
      <c r="J1029" s="287"/>
      <c r="K1029" s="286"/>
      <c r="L1029" s="286"/>
      <c r="M1029" s="286"/>
      <c r="N1029" s="286"/>
      <c r="O1029" s="286"/>
      <c r="P1029" s="286"/>
      <c r="Q1029" s="290" t="s">
        <v>150</v>
      </c>
      <c r="R1029" s="286"/>
      <c r="S1029" s="286"/>
      <c r="T1029" s="286"/>
      <c r="U1029" s="286"/>
      <c r="V1029" s="286"/>
      <c r="W1029" s="286"/>
      <c r="X1029" s="286"/>
      <c r="Y1029" s="286"/>
      <c r="Z1029" s="286"/>
      <c r="AA1029" s="286"/>
      <c r="AB1029" s="286"/>
      <c r="AC1029" s="286"/>
      <c r="AD1029" s="286"/>
      <c r="AE1029" s="286"/>
      <c r="AF1029" s="286"/>
      <c r="AG1029" s="286"/>
      <c r="AH1029" s="286"/>
      <c r="AI1029" s="286"/>
      <c r="AJ1029" s="286"/>
      <c r="AK1029" s="286"/>
      <c r="AL1029" s="286"/>
      <c r="AM1029" s="286"/>
      <c r="AN1029" s="286"/>
      <c r="AO1029" s="75"/>
      <c r="AP1029" s="75"/>
      <c r="AQ1029" s="75"/>
      <c r="AR1029" s="75"/>
      <c r="AS1029" s="75"/>
      <c r="AT1029" s="75"/>
      <c r="AU1029" s="75"/>
      <c r="AV1029" s="75"/>
      <c r="AW1029" s="75"/>
      <c r="AX1029" s="75"/>
    </row>
    <row r="1030" ht="15.75" customHeight="1">
      <c r="A1030" s="291" t="s">
        <v>268</v>
      </c>
      <c r="B1030" s="292" t="s">
        <v>6726</v>
      </c>
      <c r="C1030" s="27" t="s">
        <v>7623</v>
      </c>
      <c r="D1030" s="27" t="s">
        <v>7624</v>
      </c>
      <c r="E1030" s="27" t="s">
        <v>7625</v>
      </c>
      <c r="F1030" s="45"/>
      <c r="G1030" s="45"/>
      <c r="H1030" s="45"/>
      <c r="I1030" s="306"/>
      <c r="J1030" s="306"/>
      <c r="K1030" s="307" t="s">
        <v>4558</v>
      </c>
      <c r="L1030" s="308"/>
      <c r="M1030" s="306"/>
      <c r="N1030" s="306"/>
      <c r="O1030" s="309" t="s">
        <v>7626</v>
      </c>
      <c r="P1030" s="306"/>
      <c r="Q1030" s="309" t="s">
        <v>150</v>
      </c>
      <c r="R1030" s="306"/>
      <c r="S1030" s="306"/>
      <c r="T1030" s="306"/>
      <c r="U1030" s="306"/>
      <c r="V1030" s="306"/>
      <c r="W1030" s="306"/>
      <c r="X1030" s="306"/>
      <c r="Y1030" s="306"/>
      <c r="Z1030" s="306"/>
      <c r="AA1030" s="306"/>
      <c r="AB1030" s="306"/>
      <c r="AC1030" s="306"/>
      <c r="AD1030" s="306"/>
      <c r="AE1030" s="306"/>
      <c r="AF1030" s="306"/>
      <c r="AG1030" s="306"/>
      <c r="AH1030" s="306"/>
      <c r="AI1030" s="306"/>
      <c r="AJ1030" s="306"/>
      <c r="AK1030" s="306"/>
      <c r="AL1030" s="306"/>
      <c r="AM1030" s="306"/>
      <c r="AN1030" s="306"/>
      <c r="AO1030" s="75"/>
      <c r="AP1030" s="75"/>
      <c r="AQ1030" s="75"/>
      <c r="AR1030" s="75"/>
      <c r="AS1030" s="75"/>
      <c r="AT1030" s="75"/>
      <c r="AU1030" s="75"/>
      <c r="AV1030" s="75"/>
      <c r="AW1030" s="75"/>
      <c r="AX1030" s="75"/>
    </row>
    <row r="1031" ht="15.75" customHeight="1">
      <c r="A1031" s="291" t="s">
        <v>268</v>
      </c>
      <c r="B1031" s="292" t="s">
        <v>6730</v>
      </c>
      <c r="C1031" s="27" t="s">
        <v>7627</v>
      </c>
      <c r="D1031" s="27" t="s">
        <v>7628</v>
      </c>
      <c r="E1031" s="27" t="s">
        <v>7629</v>
      </c>
      <c r="F1031" s="45"/>
      <c r="G1031" s="45"/>
      <c r="H1031" s="45"/>
      <c r="I1031" s="306"/>
      <c r="J1031" s="306"/>
      <c r="K1031" s="307" t="s">
        <v>4558</v>
      </c>
      <c r="L1031" s="308"/>
      <c r="M1031" s="306"/>
      <c r="N1031" s="306"/>
      <c r="O1031" s="306"/>
      <c r="P1031" s="306"/>
      <c r="Q1031" s="309" t="s">
        <v>150</v>
      </c>
      <c r="R1031" s="306"/>
      <c r="S1031" s="306"/>
      <c r="T1031" s="306"/>
      <c r="U1031" s="306"/>
      <c r="V1031" s="306"/>
      <c r="W1031" s="306"/>
      <c r="X1031" s="306"/>
      <c r="Y1031" s="306"/>
      <c r="Z1031" s="306"/>
      <c r="AA1031" s="306"/>
      <c r="AB1031" s="306"/>
      <c r="AC1031" s="306"/>
      <c r="AD1031" s="306"/>
      <c r="AE1031" s="306"/>
      <c r="AF1031" s="306"/>
      <c r="AG1031" s="306"/>
      <c r="AH1031" s="306"/>
      <c r="AI1031" s="306"/>
      <c r="AJ1031" s="306"/>
      <c r="AK1031" s="306"/>
      <c r="AL1031" s="306"/>
      <c r="AM1031" s="306"/>
      <c r="AN1031" s="306"/>
      <c r="AO1031" s="75"/>
      <c r="AP1031" s="75"/>
      <c r="AQ1031" s="75"/>
      <c r="AR1031" s="75"/>
      <c r="AS1031" s="75"/>
      <c r="AT1031" s="75"/>
      <c r="AU1031" s="75"/>
      <c r="AV1031" s="75"/>
      <c r="AW1031" s="75"/>
      <c r="AX1031" s="75"/>
    </row>
    <row r="1032" ht="15.75" customHeight="1">
      <c r="A1032" s="168" t="s">
        <v>127</v>
      </c>
      <c r="B1032" s="71" t="s">
        <v>6735</v>
      </c>
      <c r="C1032" s="72"/>
      <c r="D1032" s="72"/>
      <c r="E1032" s="72"/>
      <c r="F1032" s="73"/>
      <c r="G1032" s="73"/>
      <c r="H1032" s="73"/>
      <c r="I1032" s="73"/>
      <c r="J1032" s="73"/>
      <c r="K1032" s="73"/>
      <c r="L1032" s="73"/>
      <c r="M1032" s="73"/>
      <c r="N1032" s="73"/>
      <c r="O1032" s="73"/>
      <c r="P1032" s="73"/>
      <c r="Q1032" s="73"/>
      <c r="R1032" s="73"/>
      <c r="S1032" s="73"/>
      <c r="T1032" s="74" t="s">
        <v>129</v>
      </c>
      <c r="U1032" s="73"/>
      <c r="V1032" s="73"/>
      <c r="W1032" s="73"/>
      <c r="X1032" s="73"/>
      <c r="Y1032" s="73"/>
      <c r="Z1032" s="73"/>
      <c r="AA1032" s="73"/>
      <c r="AB1032" s="73"/>
      <c r="AC1032" s="73"/>
      <c r="AD1032" s="75"/>
      <c r="AE1032" s="75"/>
      <c r="AF1032" s="75"/>
      <c r="AG1032" s="75"/>
      <c r="AH1032" s="75"/>
      <c r="AI1032" s="75"/>
      <c r="AJ1032" s="75"/>
      <c r="AK1032" s="75"/>
      <c r="AL1032" s="75"/>
      <c r="AM1032" s="75"/>
      <c r="AN1032" s="75"/>
      <c r="AO1032" s="75"/>
      <c r="AP1032" s="75"/>
      <c r="AQ1032" s="75"/>
      <c r="AR1032" s="75"/>
      <c r="AS1032" s="75"/>
      <c r="AT1032" s="75"/>
      <c r="AU1032" s="75"/>
      <c r="AV1032" s="75"/>
      <c r="AW1032" s="75"/>
      <c r="AX1032" s="75"/>
    </row>
    <row r="1033" ht="15.75" customHeight="1">
      <c r="A1033" s="168" t="s">
        <v>68</v>
      </c>
      <c r="B1033" s="71" t="s">
        <v>6736</v>
      </c>
      <c r="C1033" s="72"/>
      <c r="D1033" s="72"/>
      <c r="E1033" s="72"/>
      <c r="F1033" s="73"/>
      <c r="G1033" s="73"/>
      <c r="H1033" s="73"/>
      <c r="I1033" s="73"/>
      <c r="J1033" s="73"/>
      <c r="K1033" s="73"/>
      <c r="L1033" s="73"/>
      <c r="M1033" s="73"/>
      <c r="N1033" s="73"/>
      <c r="O1033" s="73"/>
      <c r="P1033" s="73"/>
      <c r="Q1033" s="73"/>
      <c r="R1033" s="73"/>
      <c r="S1033" s="73"/>
      <c r="T1033" s="74" t="s">
        <v>7630</v>
      </c>
      <c r="U1033" s="73"/>
      <c r="V1033" s="73"/>
      <c r="W1033" s="73"/>
      <c r="X1033" s="73"/>
      <c r="Y1033" s="73"/>
      <c r="Z1033" s="73"/>
      <c r="AA1033" s="73"/>
      <c r="AB1033" s="73"/>
      <c r="AC1033" s="73"/>
      <c r="AD1033" s="75"/>
      <c r="AE1033" s="75"/>
      <c r="AF1033" s="75"/>
      <c r="AG1033" s="75"/>
      <c r="AH1033" s="75"/>
      <c r="AI1033" s="75"/>
      <c r="AJ1033" s="75"/>
      <c r="AK1033" s="75"/>
      <c r="AL1033" s="75"/>
      <c r="AM1033" s="75"/>
      <c r="AN1033" s="75"/>
      <c r="AO1033" s="75"/>
      <c r="AP1033" s="75"/>
      <c r="AQ1033" s="75"/>
      <c r="AR1033" s="75"/>
      <c r="AS1033" s="75"/>
      <c r="AT1033" s="75"/>
      <c r="AU1033" s="75"/>
      <c r="AV1033" s="75"/>
      <c r="AW1033" s="75"/>
      <c r="AX1033" s="75"/>
    </row>
    <row r="1034" ht="15.75" customHeight="1">
      <c r="A1034" s="320"/>
      <c r="B1034" s="321"/>
      <c r="C1034" s="191" t="s">
        <v>50</v>
      </c>
      <c r="D1034" s="191" t="s">
        <v>50</v>
      </c>
      <c r="E1034" s="191" t="s">
        <v>50</v>
      </c>
      <c r="F1034" s="75"/>
      <c r="G1034" s="75"/>
      <c r="H1034" s="75"/>
      <c r="I1034" s="75"/>
      <c r="J1034" s="75"/>
      <c r="K1034" s="75"/>
      <c r="L1034" s="75"/>
      <c r="M1034" s="75"/>
      <c r="N1034" s="75"/>
      <c r="O1034" s="75"/>
      <c r="P1034" s="75"/>
      <c r="Q1034" s="75"/>
      <c r="R1034" s="75"/>
      <c r="S1034" s="75"/>
      <c r="T1034" s="75"/>
      <c r="U1034" s="75"/>
      <c r="V1034" s="75"/>
      <c r="W1034" s="75"/>
      <c r="X1034" s="75"/>
      <c r="Y1034" s="75"/>
      <c r="Z1034" s="75"/>
      <c r="AA1034" s="75"/>
      <c r="AB1034" s="75"/>
      <c r="AC1034" s="75"/>
      <c r="AD1034" s="75"/>
      <c r="AE1034" s="75"/>
      <c r="AF1034" s="75"/>
      <c r="AG1034" s="75"/>
      <c r="AH1034" s="75"/>
      <c r="AI1034" s="75"/>
      <c r="AJ1034" s="75"/>
      <c r="AK1034" s="75"/>
      <c r="AL1034" s="75"/>
      <c r="AM1034" s="75"/>
      <c r="AN1034" s="75"/>
      <c r="AO1034" s="75"/>
      <c r="AP1034" s="75"/>
      <c r="AQ1034" s="75"/>
      <c r="AR1034" s="75"/>
      <c r="AS1034" s="75"/>
      <c r="AT1034" s="75"/>
      <c r="AU1034" s="75"/>
      <c r="AV1034" s="75"/>
      <c r="AW1034" s="75"/>
      <c r="AX1034" s="75"/>
    </row>
    <row r="1035" ht="15.75" customHeight="1">
      <c r="A1035" s="298" t="s">
        <v>133</v>
      </c>
      <c r="B1035" s="299" t="s">
        <v>6737</v>
      </c>
      <c r="C1035" s="147"/>
      <c r="D1035" s="147"/>
      <c r="E1035" s="147"/>
      <c r="F1035" s="312"/>
      <c r="G1035" s="312"/>
      <c r="H1035" s="312"/>
      <c r="I1035" s="312"/>
      <c r="J1035" s="313"/>
      <c r="K1035" s="312"/>
      <c r="L1035" s="312"/>
      <c r="M1035" s="313"/>
      <c r="N1035" s="313"/>
      <c r="O1035" s="313"/>
      <c r="P1035" s="312"/>
      <c r="Q1035" s="312"/>
      <c r="R1035" s="312"/>
      <c r="S1035" s="312"/>
      <c r="T1035" s="312"/>
      <c r="U1035" s="312"/>
      <c r="V1035" s="312"/>
      <c r="W1035" s="312"/>
      <c r="X1035" s="312"/>
      <c r="Y1035" s="312"/>
      <c r="Z1035" s="312"/>
      <c r="AA1035" s="312"/>
      <c r="AB1035" s="312"/>
      <c r="AC1035" s="312"/>
      <c r="AD1035" s="75"/>
      <c r="AE1035" s="75"/>
      <c r="AF1035" s="75"/>
      <c r="AG1035" s="75"/>
      <c r="AH1035" s="75"/>
      <c r="AI1035" s="75"/>
      <c r="AJ1035" s="75"/>
      <c r="AK1035" s="75"/>
      <c r="AL1035" s="75"/>
      <c r="AM1035" s="75"/>
      <c r="AN1035" s="75"/>
      <c r="AO1035" s="75"/>
      <c r="AP1035" s="75"/>
      <c r="AQ1035" s="75"/>
      <c r="AR1035" s="75"/>
      <c r="AS1035" s="75"/>
      <c r="AT1035" s="75"/>
      <c r="AU1035" s="75"/>
      <c r="AV1035" s="75"/>
      <c r="AW1035" s="75"/>
      <c r="AX1035" s="75"/>
    </row>
    <row r="1036" ht="15.75" customHeight="1">
      <c r="A1036" s="168" t="s">
        <v>127</v>
      </c>
      <c r="B1036" s="71" t="s">
        <v>6738</v>
      </c>
      <c r="C1036" s="72"/>
      <c r="D1036" s="72"/>
      <c r="E1036" s="72"/>
      <c r="F1036" s="73"/>
      <c r="G1036" s="73"/>
      <c r="H1036" s="73"/>
      <c r="I1036" s="73"/>
      <c r="J1036" s="73"/>
      <c r="K1036" s="73"/>
      <c r="L1036" s="73"/>
      <c r="M1036" s="73"/>
      <c r="N1036" s="73"/>
      <c r="O1036" s="73"/>
      <c r="P1036" s="73"/>
      <c r="Q1036" s="73"/>
      <c r="R1036" s="73"/>
      <c r="S1036" s="73"/>
      <c r="T1036" s="74" t="s">
        <v>129</v>
      </c>
      <c r="U1036" s="73"/>
      <c r="V1036" s="73"/>
      <c r="W1036" s="73"/>
      <c r="X1036" s="73"/>
      <c r="Y1036" s="73"/>
      <c r="Z1036" s="73"/>
      <c r="AA1036" s="73"/>
      <c r="AB1036" s="73"/>
      <c r="AC1036" s="73"/>
      <c r="AD1036" s="75"/>
      <c r="AE1036" s="75"/>
      <c r="AF1036" s="75"/>
      <c r="AG1036" s="75"/>
      <c r="AH1036" s="75"/>
      <c r="AI1036" s="75"/>
      <c r="AJ1036" s="75"/>
      <c r="AK1036" s="75"/>
      <c r="AL1036" s="75"/>
      <c r="AM1036" s="75"/>
      <c r="AN1036" s="75"/>
      <c r="AO1036" s="75"/>
      <c r="AP1036" s="75"/>
      <c r="AQ1036" s="75"/>
      <c r="AR1036" s="75"/>
      <c r="AS1036" s="75"/>
      <c r="AT1036" s="75"/>
      <c r="AU1036" s="75"/>
      <c r="AV1036" s="75"/>
      <c r="AW1036" s="75"/>
      <c r="AX1036" s="75"/>
    </row>
    <row r="1037" ht="15.75" customHeight="1">
      <c r="A1037" s="280" t="s">
        <v>4334</v>
      </c>
      <c r="B1037" s="281" t="s">
        <v>6739</v>
      </c>
      <c r="C1037" s="27" t="s">
        <v>7631</v>
      </c>
      <c r="D1037" s="27" t="s">
        <v>7632</v>
      </c>
      <c r="E1037" s="27" t="s">
        <v>7633</v>
      </c>
      <c r="F1037" s="45"/>
      <c r="G1037" s="45"/>
      <c r="H1037" s="45"/>
      <c r="I1037" s="286"/>
      <c r="J1037" s="287"/>
      <c r="K1037" s="290" t="s">
        <v>4695</v>
      </c>
      <c r="L1037" s="286"/>
      <c r="M1037" s="286"/>
      <c r="N1037" s="286"/>
      <c r="O1037" s="286"/>
      <c r="P1037" s="286"/>
      <c r="Q1037" s="290" t="s">
        <v>150</v>
      </c>
      <c r="R1037" s="286"/>
      <c r="S1037" s="286"/>
      <c r="T1037" s="286"/>
      <c r="U1037" s="286"/>
      <c r="V1037" s="286"/>
      <c r="W1037" s="286"/>
      <c r="X1037" s="286"/>
      <c r="Y1037" s="286"/>
      <c r="Z1037" s="286"/>
      <c r="AA1037" s="286"/>
      <c r="AB1037" s="286"/>
      <c r="AC1037" s="286"/>
      <c r="AD1037" s="286"/>
      <c r="AE1037" s="286"/>
      <c r="AF1037" s="286"/>
      <c r="AG1037" s="286"/>
      <c r="AH1037" s="286"/>
      <c r="AI1037" s="286"/>
      <c r="AJ1037" s="286"/>
      <c r="AK1037" s="286"/>
      <c r="AL1037" s="286"/>
      <c r="AM1037" s="286"/>
      <c r="AN1037" s="286"/>
      <c r="AO1037" s="75"/>
      <c r="AP1037" s="75"/>
      <c r="AQ1037" s="75"/>
      <c r="AR1037" s="75"/>
      <c r="AS1037" s="75"/>
      <c r="AT1037" s="75"/>
      <c r="AU1037" s="75"/>
      <c r="AV1037" s="75"/>
      <c r="AW1037" s="75"/>
      <c r="AX1037" s="75"/>
    </row>
    <row r="1038" ht="15.75" customHeight="1">
      <c r="A1038" s="285" t="s">
        <v>426</v>
      </c>
      <c r="B1038" s="171" t="s">
        <v>6744</v>
      </c>
      <c r="C1038" s="172" t="s">
        <v>4347</v>
      </c>
      <c r="D1038" s="172" t="s">
        <v>4348</v>
      </c>
      <c r="E1038" s="172" t="s">
        <v>4349</v>
      </c>
      <c r="F1038" s="304"/>
      <c r="G1038" s="304"/>
      <c r="H1038" s="304"/>
      <c r="I1038" s="304"/>
      <c r="J1038" s="304"/>
      <c r="K1038" s="304"/>
      <c r="L1038" s="304"/>
      <c r="M1038" s="305"/>
      <c r="N1038" s="305"/>
      <c r="O1038" s="176" t="s">
        <v>7634</v>
      </c>
      <c r="P1038" s="304"/>
      <c r="Q1038" s="304"/>
      <c r="R1038" s="304"/>
      <c r="S1038" s="304"/>
      <c r="T1038" s="304"/>
      <c r="U1038" s="176" t="s">
        <v>7635</v>
      </c>
      <c r="V1038" s="304"/>
      <c r="W1038" s="304"/>
      <c r="X1038" s="304"/>
      <c r="Y1038" s="304"/>
      <c r="Z1038" s="304"/>
      <c r="AA1038" s="304"/>
      <c r="AB1038" s="304"/>
      <c r="AC1038" s="304"/>
      <c r="AD1038" s="304"/>
      <c r="AE1038" s="304"/>
      <c r="AF1038" s="304"/>
      <c r="AG1038" s="304"/>
      <c r="AH1038" s="304"/>
      <c r="AI1038" s="304"/>
      <c r="AJ1038" s="304"/>
      <c r="AK1038" s="304"/>
      <c r="AL1038" s="304"/>
      <c r="AM1038" s="304"/>
      <c r="AN1038" s="304"/>
      <c r="AO1038" s="75"/>
      <c r="AP1038" s="75"/>
      <c r="AQ1038" s="75"/>
      <c r="AR1038" s="75"/>
      <c r="AS1038" s="75"/>
      <c r="AT1038" s="75"/>
      <c r="AU1038" s="75"/>
      <c r="AV1038" s="75"/>
      <c r="AW1038" s="75"/>
      <c r="AX1038" s="75"/>
    </row>
    <row r="1039" ht="15.75" customHeight="1">
      <c r="A1039" s="168" t="s">
        <v>68</v>
      </c>
      <c r="B1039" s="71" t="s">
        <v>6745</v>
      </c>
      <c r="C1039" s="72" t="s">
        <v>4354</v>
      </c>
      <c r="D1039" s="72" t="s">
        <v>4355</v>
      </c>
      <c r="E1039" s="72" t="s">
        <v>4356</v>
      </c>
      <c r="F1039" s="73"/>
      <c r="G1039" s="73"/>
      <c r="H1039" s="73"/>
      <c r="I1039" s="73"/>
      <c r="J1039" s="73"/>
      <c r="K1039" s="73"/>
      <c r="L1039" s="73"/>
      <c r="M1039" s="73"/>
      <c r="N1039" s="73"/>
      <c r="O1039" s="73"/>
      <c r="P1039" s="73"/>
      <c r="Q1039" s="73"/>
      <c r="R1039" s="73"/>
      <c r="S1039" s="73"/>
      <c r="T1039" s="74" t="s">
        <v>7636</v>
      </c>
      <c r="U1039" s="73"/>
      <c r="V1039" s="73"/>
      <c r="W1039" s="73"/>
      <c r="X1039" s="73"/>
      <c r="Y1039" s="73"/>
      <c r="Z1039" s="73"/>
      <c r="AA1039" s="73"/>
      <c r="AB1039" s="73"/>
      <c r="AC1039" s="73"/>
      <c r="AD1039" s="73"/>
      <c r="AE1039" s="73"/>
      <c r="AF1039" s="73"/>
      <c r="AG1039" s="73"/>
      <c r="AH1039" s="73"/>
      <c r="AI1039" s="73"/>
      <c r="AJ1039" s="73"/>
      <c r="AK1039" s="73"/>
      <c r="AL1039" s="73"/>
      <c r="AM1039" s="73"/>
      <c r="AN1039" s="73"/>
      <c r="AO1039" s="75"/>
      <c r="AP1039" s="75"/>
      <c r="AQ1039" s="75"/>
      <c r="AR1039" s="75"/>
      <c r="AS1039" s="75"/>
      <c r="AT1039" s="75"/>
      <c r="AU1039" s="75"/>
      <c r="AV1039" s="75"/>
      <c r="AW1039" s="75"/>
      <c r="AX1039" s="75"/>
    </row>
    <row r="1040" ht="15.75" customHeight="1">
      <c r="A1040" s="291" t="s">
        <v>268</v>
      </c>
      <c r="B1040" s="292" t="s">
        <v>6746</v>
      </c>
      <c r="C1040" s="27" t="s">
        <v>7637</v>
      </c>
      <c r="D1040" s="27" t="s">
        <v>7638</v>
      </c>
      <c r="E1040" s="27" t="s">
        <v>7639</v>
      </c>
      <c r="F1040" s="45"/>
      <c r="G1040" s="45"/>
      <c r="H1040" s="45"/>
      <c r="I1040" s="306"/>
      <c r="J1040" s="306"/>
      <c r="K1040" s="307" t="s">
        <v>2550</v>
      </c>
      <c r="L1040" s="308"/>
      <c r="M1040" s="306"/>
      <c r="N1040" s="306"/>
      <c r="O1040" s="306"/>
      <c r="P1040" s="306"/>
      <c r="Q1040" s="309" t="s">
        <v>150</v>
      </c>
      <c r="R1040" s="306"/>
      <c r="S1040" s="306"/>
      <c r="T1040" s="306"/>
      <c r="U1040" s="306"/>
      <c r="V1040" s="306"/>
      <c r="W1040" s="306"/>
      <c r="X1040" s="306"/>
      <c r="Y1040" s="306"/>
      <c r="Z1040" s="306"/>
      <c r="AA1040" s="306"/>
      <c r="AB1040" s="306"/>
      <c r="AC1040" s="306"/>
      <c r="AD1040" s="306"/>
      <c r="AE1040" s="306"/>
      <c r="AF1040" s="306"/>
      <c r="AG1040" s="306"/>
      <c r="AH1040" s="306"/>
      <c r="AI1040" s="306"/>
      <c r="AJ1040" s="306"/>
      <c r="AK1040" s="306"/>
      <c r="AL1040" s="306"/>
      <c r="AM1040" s="306"/>
      <c r="AN1040" s="306"/>
      <c r="AO1040" s="75"/>
      <c r="AP1040" s="75"/>
      <c r="AQ1040" s="75"/>
      <c r="AR1040" s="75"/>
      <c r="AS1040" s="75"/>
      <c r="AT1040" s="75"/>
      <c r="AU1040" s="75"/>
      <c r="AV1040" s="75"/>
      <c r="AW1040" s="75"/>
      <c r="AX1040" s="75"/>
    </row>
    <row r="1041" ht="15.75" customHeight="1">
      <c r="A1041" s="285" t="s">
        <v>468</v>
      </c>
      <c r="B1041" s="185" t="s">
        <v>6744</v>
      </c>
      <c r="C1041" s="186" t="s">
        <v>4347</v>
      </c>
      <c r="D1041" s="186" t="s">
        <v>4348</v>
      </c>
      <c r="E1041" s="186" t="s">
        <v>4349</v>
      </c>
      <c r="F1041" s="304"/>
      <c r="G1041" s="304"/>
      <c r="H1041" s="304"/>
      <c r="I1041" s="304"/>
      <c r="J1041" s="304"/>
      <c r="K1041" s="304"/>
      <c r="L1041" s="304"/>
      <c r="M1041" s="304"/>
      <c r="N1041" s="304"/>
      <c r="O1041" s="304"/>
      <c r="P1041" s="304"/>
      <c r="Q1041" s="304"/>
      <c r="R1041" s="304"/>
      <c r="S1041" s="304"/>
      <c r="T1041" s="304"/>
      <c r="U1041" s="304"/>
      <c r="V1041" s="304"/>
      <c r="W1041" s="304"/>
      <c r="X1041" s="304"/>
      <c r="Y1041" s="304"/>
      <c r="Z1041" s="304"/>
      <c r="AA1041" s="304"/>
      <c r="AB1041" s="304"/>
      <c r="AC1041" s="304"/>
      <c r="AD1041" s="304"/>
      <c r="AE1041" s="304"/>
      <c r="AF1041" s="304"/>
      <c r="AG1041" s="304"/>
      <c r="AH1041" s="304"/>
      <c r="AI1041" s="304"/>
      <c r="AJ1041" s="304"/>
      <c r="AK1041" s="304"/>
      <c r="AL1041" s="304"/>
      <c r="AM1041" s="304"/>
      <c r="AN1041" s="304"/>
      <c r="AO1041" s="75"/>
      <c r="AP1041" s="75"/>
      <c r="AQ1041" s="75"/>
      <c r="AR1041" s="75"/>
      <c r="AS1041" s="75"/>
      <c r="AT1041" s="75"/>
      <c r="AU1041" s="75"/>
      <c r="AV1041" s="75"/>
      <c r="AW1041" s="75"/>
      <c r="AX1041" s="75"/>
    </row>
    <row r="1042" ht="15.75" customHeight="1">
      <c r="A1042" s="280" t="s">
        <v>4376</v>
      </c>
      <c r="B1042" s="281" t="s">
        <v>6750</v>
      </c>
      <c r="C1042" s="27" t="s">
        <v>7640</v>
      </c>
      <c r="D1042" s="27" t="s">
        <v>7641</v>
      </c>
      <c r="E1042" s="27" t="s">
        <v>7642</v>
      </c>
      <c r="F1042" s="45"/>
      <c r="G1042" s="45"/>
      <c r="H1042" s="45"/>
      <c r="I1042" s="286"/>
      <c r="J1042" s="287"/>
      <c r="K1042" s="290" t="s">
        <v>4695</v>
      </c>
      <c r="L1042" s="286"/>
      <c r="M1042" s="286"/>
      <c r="N1042" s="286"/>
      <c r="O1042" s="286"/>
      <c r="P1042" s="286"/>
      <c r="Q1042" s="290" t="s">
        <v>150</v>
      </c>
      <c r="R1042" s="286"/>
      <c r="S1042" s="286"/>
      <c r="T1042" s="286"/>
      <c r="U1042" s="286"/>
      <c r="V1042" s="286"/>
      <c r="W1042" s="286"/>
      <c r="X1042" s="286"/>
      <c r="Y1042" s="286"/>
      <c r="Z1042" s="286"/>
      <c r="AA1042" s="286"/>
      <c r="AB1042" s="286"/>
      <c r="AC1042" s="286"/>
      <c r="AD1042" s="286"/>
      <c r="AE1042" s="286"/>
      <c r="AF1042" s="286"/>
      <c r="AG1042" s="286"/>
      <c r="AH1042" s="286"/>
      <c r="AI1042" s="286"/>
      <c r="AJ1042" s="286"/>
      <c r="AK1042" s="286"/>
      <c r="AL1042" s="286"/>
      <c r="AM1042" s="286"/>
      <c r="AN1042" s="286"/>
      <c r="AO1042" s="75"/>
      <c r="AP1042" s="75"/>
      <c r="AQ1042" s="75"/>
      <c r="AR1042" s="75"/>
      <c r="AS1042" s="75"/>
      <c r="AT1042" s="75"/>
      <c r="AU1042" s="75"/>
      <c r="AV1042" s="75"/>
      <c r="AW1042" s="75"/>
      <c r="AX1042" s="75"/>
    </row>
    <row r="1043" ht="15.75" customHeight="1">
      <c r="A1043" s="285" t="s">
        <v>426</v>
      </c>
      <c r="B1043" s="171" t="s">
        <v>6759</v>
      </c>
      <c r="C1043" s="172" t="s">
        <v>4382</v>
      </c>
      <c r="D1043" s="172" t="s">
        <v>4383</v>
      </c>
      <c r="E1043" s="172" t="s">
        <v>4384</v>
      </c>
      <c r="F1043" s="304"/>
      <c r="G1043" s="304"/>
      <c r="H1043" s="304"/>
      <c r="I1043" s="304"/>
      <c r="J1043" s="304"/>
      <c r="K1043" s="304"/>
      <c r="L1043" s="304"/>
      <c r="M1043" s="305"/>
      <c r="N1043" s="305"/>
      <c r="O1043" s="176" t="s">
        <v>7643</v>
      </c>
      <c r="P1043" s="304"/>
      <c r="Q1043" s="304"/>
      <c r="R1043" s="304"/>
      <c r="S1043" s="304"/>
      <c r="T1043" s="304"/>
      <c r="U1043" s="176" t="s">
        <v>7644</v>
      </c>
      <c r="V1043" s="304"/>
      <c r="W1043" s="304"/>
      <c r="X1043" s="304"/>
      <c r="Y1043" s="304"/>
      <c r="Z1043" s="304"/>
      <c r="AA1043" s="304"/>
      <c r="AB1043" s="304"/>
      <c r="AC1043" s="304"/>
      <c r="AD1043" s="304"/>
      <c r="AE1043" s="304"/>
      <c r="AF1043" s="304"/>
      <c r="AG1043" s="304"/>
      <c r="AH1043" s="304"/>
      <c r="AI1043" s="304"/>
      <c r="AJ1043" s="304"/>
      <c r="AK1043" s="304"/>
      <c r="AL1043" s="304"/>
      <c r="AM1043" s="304"/>
      <c r="AN1043" s="304"/>
      <c r="AO1043" s="75"/>
      <c r="AP1043" s="75"/>
      <c r="AQ1043" s="75"/>
      <c r="AR1043" s="75"/>
      <c r="AS1043" s="75"/>
      <c r="AT1043" s="75"/>
      <c r="AU1043" s="75"/>
      <c r="AV1043" s="75"/>
      <c r="AW1043" s="75"/>
      <c r="AX1043" s="75"/>
    </row>
    <row r="1044" ht="15.75" customHeight="1">
      <c r="A1044" s="168" t="s">
        <v>68</v>
      </c>
      <c r="B1044" s="71" t="s">
        <v>6760</v>
      </c>
      <c r="C1044" s="72" t="s">
        <v>4395</v>
      </c>
      <c r="D1044" s="72" t="s">
        <v>4396</v>
      </c>
      <c r="E1044" s="72" t="s">
        <v>4397</v>
      </c>
      <c r="F1044" s="73"/>
      <c r="G1044" s="73"/>
      <c r="H1044" s="73"/>
      <c r="I1044" s="73"/>
      <c r="J1044" s="73"/>
      <c r="K1044" s="73"/>
      <c r="L1044" s="73"/>
      <c r="M1044" s="73"/>
      <c r="N1044" s="73"/>
      <c r="O1044" s="73"/>
      <c r="P1044" s="73"/>
      <c r="Q1044" s="73"/>
      <c r="R1044" s="73"/>
      <c r="S1044" s="73"/>
      <c r="T1044" s="74" t="s">
        <v>7645</v>
      </c>
      <c r="U1044" s="73"/>
      <c r="V1044" s="73"/>
      <c r="W1044" s="73"/>
      <c r="X1044" s="73"/>
      <c r="Y1044" s="73"/>
      <c r="Z1044" s="73"/>
      <c r="AA1044" s="73"/>
      <c r="AB1044" s="73"/>
      <c r="AC1044" s="73"/>
      <c r="AD1044" s="73"/>
      <c r="AE1044" s="73"/>
      <c r="AF1044" s="73"/>
      <c r="AG1044" s="73"/>
      <c r="AH1044" s="73"/>
      <c r="AI1044" s="73"/>
      <c r="AJ1044" s="73"/>
      <c r="AK1044" s="73"/>
      <c r="AL1044" s="73"/>
      <c r="AM1044" s="73"/>
      <c r="AN1044" s="73"/>
      <c r="AO1044" s="75"/>
      <c r="AP1044" s="75"/>
      <c r="AQ1044" s="75"/>
      <c r="AR1044" s="75"/>
      <c r="AS1044" s="75"/>
      <c r="AT1044" s="75"/>
      <c r="AU1044" s="75"/>
      <c r="AV1044" s="75"/>
      <c r="AW1044" s="75"/>
      <c r="AX1044" s="75"/>
    </row>
    <row r="1045" ht="15.75" customHeight="1">
      <c r="A1045" s="291" t="s">
        <v>268</v>
      </c>
      <c r="B1045" s="292" t="s">
        <v>6761</v>
      </c>
      <c r="C1045" s="27" t="s">
        <v>7646</v>
      </c>
      <c r="D1045" s="27" t="s">
        <v>7647</v>
      </c>
      <c r="E1045" s="27" t="s">
        <v>7648</v>
      </c>
      <c r="F1045" s="45"/>
      <c r="G1045" s="45"/>
      <c r="H1045" s="45"/>
      <c r="I1045" s="306"/>
      <c r="J1045" s="306"/>
      <c r="K1045" s="307" t="s">
        <v>2550</v>
      </c>
      <c r="L1045" s="308"/>
      <c r="M1045" s="306"/>
      <c r="N1045" s="306"/>
      <c r="O1045" s="306"/>
      <c r="P1045" s="306"/>
      <c r="Q1045" s="309" t="s">
        <v>150</v>
      </c>
      <c r="R1045" s="306"/>
      <c r="S1045" s="306"/>
      <c r="T1045" s="306"/>
      <c r="U1045" s="306"/>
      <c r="V1045" s="306"/>
      <c r="W1045" s="306"/>
      <c r="X1045" s="306"/>
      <c r="Y1045" s="306"/>
      <c r="Z1045" s="306"/>
      <c r="AA1045" s="306"/>
      <c r="AB1045" s="306"/>
      <c r="AC1045" s="306"/>
      <c r="AD1045" s="306"/>
      <c r="AE1045" s="306"/>
      <c r="AF1045" s="306"/>
      <c r="AG1045" s="306"/>
      <c r="AH1045" s="306"/>
      <c r="AI1045" s="306"/>
      <c r="AJ1045" s="306"/>
      <c r="AK1045" s="306"/>
      <c r="AL1045" s="306"/>
      <c r="AM1045" s="306"/>
      <c r="AN1045" s="306"/>
      <c r="AO1045" s="75"/>
      <c r="AP1045" s="75"/>
      <c r="AQ1045" s="75"/>
      <c r="AR1045" s="75"/>
      <c r="AS1045" s="75"/>
      <c r="AT1045" s="75"/>
      <c r="AU1045" s="75"/>
      <c r="AV1045" s="75"/>
      <c r="AW1045" s="75"/>
      <c r="AX1045" s="75"/>
    </row>
    <row r="1046" ht="15.75" customHeight="1">
      <c r="A1046" s="285" t="s">
        <v>468</v>
      </c>
      <c r="B1046" s="185" t="s">
        <v>6759</v>
      </c>
      <c r="C1046" s="186" t="s">
        <v>4382</v>
      </c>
      <c r="D1046" s="186" t="s">
        <v>4383</v>
      </c>
      <c r="E1046" s="186" t="s">
        <v>4384</v>
      </c>
      <c r="F1046" s="304"/>
      <c r="G1046" s="304"/>
      <c r="H1046" s="304"/>
      <c r="I1046" s="304"/>
      <c r="J1046" s="304"/>
      <c r="K1046" s="304"/>
      <c r="L1046" s="304"/>
      <c r="M1046" s="304"/>
      <c r="N1046" s="304"/>
      <c r="O1046" s="304"/>
      <c r="P1046" s="304"/>
      <c r="Q1046" s="304"/>
      <c r="R1046" s="304"/>
      <c r="S1046" s="304"/>
      <c r="T1046" s="304"/>
      <c r="U1046" s="304"/>
      <c r="V1046" s="304"/>
      <c r="W1046" s="304"/>
      <c r="X1046" s="304"/>
      <c r="Y1046" s="304"/>
      <c r="Z1046" s="304"/>
      <c r="AA1046" s="304"/>
      <c r="AB1046" s="304"/>
      <c r="AC1046" s="304"/>
      <c r="AD1046" s="304"/>
      <c r="AE1046" s="304"/>
      <c r="AF1046" s="304"/>
      <c r="AG1046" s="304"/>
      <c r="AH1046" s="304"/>
      <c r="AI1046" s="304"/>
      <c r="AJ1046" s="304"/>
      <c r="AK1046" s="304"/>
      <c r="AL1046" s="304"/>
      <c r="AM1046" s="304"/>
      <c r="AN1046" s="304"/>
      <c r="AO1046" s="75"/>
      <c r="AP1046" s="75"/>
      <c r="AQ1046" s="75"/>
      <c r="AR1046" s="75"/>
      <c r="AS1046" s="75"/>
      <c r="AT1046" s="75"/>
      <c r="AU1046" s="75"/>
      <c r="AV1046" s="75"/>
      <c r="AW1046" s="75"/>
      <c r="AX1046" s="75"/>
    </row>
    <row r="1047" ht="15.75" customHeight="1">
      <c r="A1047" s="298" t="s">
        <v>133</v>
      </c>
      <c r="B1047" s="299" t="s">
        <v>6769</v>
      </c>
      <c r="C1047" s="147"/>
      <c r="D1047" s="147"/>
      <c r="E1047" s="147"/>
      <c r="F1047" s="312"/>
      <c r="G1047" s="312"/>
      <c r="H1047" s="312"/>
      <c r="I1047" s="312"/>
      <c r="J1047" s="314" t="s">
        <v>1982</v>
      </c>
      <c r="K1047" s="312"/>
      <c r="L1047" s="312"/>
      <c r="M1047" s="313"/>
      <c r="N1047" s="313"/>
      <c r="O1047" s="313"/>
      <c r="P1047" s="312"/>
      <c r="Q1047" s="312"/>
      <c r="R1047" s="312"/>
      <c r="S1047" s="312"/>
      <c r="T1047" s="312"/>
      <c r="U1047" s="312"/>
      <c r="V1047" s="312"/>
      <c r="W1047" s="312"/>
      <c r="X1047" s="312"/>
      <c r="Y1047" s="312"/>
      <c r="Z1047" s="312"/>
      <c r="AA1047" s="312"/>
      <c r="AB1047" s="312"/>
      <c r="AC1047" s="312"/>
      <c r="AD1047" s="75"/>
      <c r="AE1047" s="75"/>
      <c r="AF1047" s="75"/>
      <c r="AG1047" s="75"/>
      <c r="AH1047" s="75"/>
      <c r="AI1047" s="75"/>
      <c r="AJ1047" s="75"/>
      <c r="AK1047" s="75"/>
      <c r="AL1047" s="75"/>
      <c r="AM1047" s="75"/>
      <c r="AN1047" s="75"/>
      <c r="AO1047" s="75"/>
      <c r="AP1047" s="75"/>
      <c r="AQ1047" s="75"/>
      <c r="AR1047" s="75"/>
      <c r="AS1047" s="75"/>
      <c r="AT1047" s="75"/>
      <c r="AU1047" s="75"/>
      <c r="AV1047" s="75"/>
      <c r="AW1047" s="75"/>
      <c r="AX1047" s="75"/>
    </row>
    <row r="1048" ht="15.75" customHeight="1">
      <c r="A1048" s="280" t="s">
        <v>2509</v>
      </c>
      <c r="B1048" s="281" t="s">
        <v>6770</v>
      </c>
      <c r="C1048" s="27" t="s">
        <v>7649</v>
      </c>
      <c r="D1048" s="27" t="s">
        <v>7650</v>
      </c>
      <c r="E1048" s="27" t="s">
        <v>7651</v>
      </c>
      <c r="F1048" s="45"/>
      <c r="G1048" s="45"/>
      <c r="H1048" s="45"/>
      <c r="I1048" s="286"/>
      <c r="J1048" s="297" t="s">
        <v>8</v>
      </c>
      <c r="K1048" s="286"/>
      <c r="L1048" s="286"/>
      <c r="M1048" s="286"/>
      <c r="N1048" s="286"/>
      <c r="O1048" s="286"/>
      <c r="P1048" s="286"/>
      <c r="Q1048" s="286"/>
      <c r="R1048" s="286"/>
      <c r="S1048" s="286"/>
      <c r="T1048" s="286"/>
      <c r="U1048" s="286"/>
      <c r="V1048" s="286"/>
      <c r="W1048" s="286"/>
      <c r="X1048" s="286"/>
      <c r="Y1048" s="286"/>
      <c r="Z1048" s="286"/>
      <c r="AA1048" s="286"/>
      <c r="AB1048" s="286"/>
      <c r="AC1048" s="286"/>
      <c r="AD1048" s="75"/>
      <c r="AE1048" s="75"/>
      <c r="AF1048" s="75"/>
      <c r="AG1048" s="75"/>
      <c r="AH1048" s="75"/>
      <c r="AI1048" s="75"/>
      <c r="AJ1048" s="75"/>
      <c r="AK1048" s="75"/>
      <c r="AL1048" s="75"/>
      <c r="AM1048" s="75"/>
      <c r="AN1048" s="75"/>
      <c r="AO1048" s="75"/>
      <c r="AP1048" s="75"/>
      <c r="AQ1048" s="75"/>
      <c r="AR1048" s="75"/>
      <c r="AS1048" s="75"/>
      <c r="AT1048" s="75"/>
      <c r="AU1048" s="75"/>
      <c r="AV1048" s="75"/>
      <c r="AW1048" s="75"/>
      <c r="AX1048" s="75"/>
    </row>
    <row r="1049" ht="15.75" customHeight="1">
      <c r="A1049" s="280" t="s">
        <v>2509</v>
      </c>
      <c r="B1049" s="281" t="s">
        <v>6778</v>
      </c>
      <c r="C1049" s="27" t="s">
        <v>7652</v>
      </c>
      <c r="D1049" s="27" t="s">
        <v>7653</v>
      </c>
      <c r="E1049" s="27" t="s">
        <v>7654</v>
      </c>
      <c r="F1049" s="45"/>
      <c r="G1049" s="45"/>
      <c r="H1049" s="45"/>
      <c r="I1049" s="286"/>
      <c r="J1049" s="297" t="s">
        <v>2000</v>
      </c>
      <c r="K1049" s="286"/>
      <c r="L1049" s="286"/>
      <c r="M1049" s="286"/>
      <c r="N1049" s="286"/>
      <c r="O1049" s="286"/>
      <c r="P1049" s="286"/>
      <c r="Q1049" s="290" t="s">
        <v>150</v>
      </c>
      <c r="R1049" s="286"/>
      <c r="S1049" s="286"/>
      <c r="T1049" s="286"/>
      <c r="U1049" s="286"/>
      <c r="V1049" s="286"/>
      <c r="W1049" s="286"/>
      <c r="X1049" s="286"/>
      <c r="Y1049" s="286"/>
      <c r="Z1049" s="286"/>
      <c r="AA1049" s="286"/>
      <c r="AB1049" s="286"/>
      <c r="AC1049" s="286"/>
      <c r="AD1049" s="75"/>
      <c r="AE1049" s="75"/>
      <c r="AF1049" s="75"/>
      <c r="AG1049" s="75"/>
      <c r="AH1049" s="75"/>
      <c r="AI1049" s="75"/>
      <c r="AJ1049" s="75"/>
      <c r="AK1049" s="75"/>
      <c r="AL1049" s="75"/>
      <c r="AM1049" s="75"/>
      <c r="AN1049" s="75"/>
      <c r="AO1049" s="75"/>
      <c r="AP1049" s="75"/>
      <c r="AQ1049" s="75"/>
      <c r="AR1049" s="75"/>
      <c r="AS1049" s="75"/>
      <c r="AT1049" s="75"/>
      <c r="AU1049" s="75"/>
      <c r="AV1049" s="75"/>
      <c r="AW1049" s="75"/>
      <c r="AX1049" s="75"/>
    </row>
    <row r="1050" ht="15.75" customHeight="1">
      <c r="A1050" s="280" t="s">
        <v>2509</v>
      </c>
      <c r="B1050" s="281" t="s">
        <v>6782</v>
      </c>
      <c r="C1050" s="27" t="s">
        <v>7655</v>
      </c>
      <c r="D1050" s="27" t="s">
        <v>7656</v>
      </c>
      <c r="E1050" s="27" t="s">
        <v>7657</v>
      </c>
      <c r="F1050" s="45"/>
      <c r="G1050" s="45"/>
      <c r="H1050" s="45"/>
      <c r="I1050" s="286"/>
      <c r="J1050" s="297" t="s">
        <v>2000</v>
      </c>
      <c r="K1050" s="286"/>
      <c r="L1050" s="286"/>
      <c r="M1050" s="286"/>
      <c r="N1050" s="286"/>
      <c r="O1050" s="286"/>
      <c r="P1050" s="286"/>
      <c r="Q1050" s="290" t="s">
        <v>150</v>
      </c>
      <c r="R1050" s="286"/>
      <c r="S1050" s="286"/>
      <c r="T1050" s="286"/>
      <c r="U1050" s="286"/>
      <c r="V1050" s="286"/>
      <c r="W1050" s="286"/>
      <c r="X1050" s="286"/>
      <c r="Y1050" s="286"/>
      <c r="Z1050" s="286"/>
      <c r="AA1050" s="286"/>
      <c r="AB1050" s="286"/>
      <c r="AC1050" s="286"/>
      <c r="AD1050" s="75"/>
      <c r="AE1050" s="75"/>
      <c r="AF1050" s="75"/>
      <c r="AG1050" s="75"/>
      <c r="AH1050" s="75"/>
      <c r="AI1050" s="75"/>
      <c r="AJ1050" s="75"/>
      <c r="AK1050" s="75"/>
      <c r="AL1050" s="75"/>
      <c r="AM1050" s="75"/>
      <c r="AN1050" s="75"/>
      <c r="AO1050" s="75"/>
      <c r="AP1050" s="75"/>
      <c r="AQ1050" s="75"/>
      <c r="AR1050" s="75"/>
      <c r="AS1050" s="75"/>
      <c r="AT1050" s="75"/>
      <c r="AU1050" s="75"/>
      <c r="AV1050" s="75"/>
      <c r="AW1050" s="75"/>
      <c r="AX1050" s="75"/>
    </row>
    <row r="1051" ht="15.75" customHeight="1">
      <c r="A1051" s="280" t="s">
        <v>2509</v>
      </c>
      <c r="B1051" s="281" t="s">
        <v>6787</v>
      </c>
      <c r="C1051" s="27" t="s">
        <v>7658</v>
      </c>
      <c r="D1051" s="27" t="s">
        <v>7659</v>
      </c>
      <c r="E1051" s="27" t="s">
        <v>7660</v>
      </c>
      <c r="F1051" s="45"/>
      <c r="G1051" s="45"/>
      <c r="H1051" s="45"/>
      <c r="I1051" s="286"/>
      <c r="J1051" s="297" t="s">
        <v>2000</v>
      </c>
      <c r="K1051" s="286"/>
      <c r="L1051" s="286"/>
      <c r="M1051" s="286"/>
      <c r="N1051" s="286"/>
      <c r="O1051" s="286"/>
      <c r="P1051" s="286"/>
      <c r="Q1051" s="290" t="s">
        <v>150</v>
      </c>
      <c r="R1051" s="286"/>
      <c r="S1051" s="286"/>
      <c r="T1051" s="286"/>
      <c r="U1051" s="286"/>
      <c r="V1051" s="286"/>
      <c r="W1051" s="286"/>
      <c r="X1051" s="286"/>
      <c r="Y1051" s="286"/>
      <c r="Z1051" s="286"/>
      <c r="AA1051" s="286"/>
      <c r="AB1051" s="286"/>
      <c r="AC1051" s="286"/>
      <c r="AD1051" s="75"/>
      <c r="AE1051" s="75"/>
      <c r="AF1051" s="75"/>
      <c r="AG1051" s="75"/>
      <c r="AH1051" s="75"/>
      <c r="AI1051" s="75"/>
      <c r="AJ1051" s="75"/>
      <c r="AK1051" s="75"/>
      <c r="AL1051" s="75"/>
      <c r="AM1051" s="75"/>
      <c r="AN1051" s="75"/>
      <c r="AO1051" s="75"/>
      <c r="AP1051" s="75"/>
      <c r="AQ1051" s="75"/>
      <c r="AR1051" s="75"/>
      <c r="AS1051" s="75"/>
      <c r="AT1051" s="75"/>
      <c r="AU1051" s="75"/>
      <c r="AV1051" s="75"/>
      <c r="AW1051" s="75"/>
      <c r="AX1051" s="75"/>
    </row>
    <row r="1052" ht="15.75" customHeight="1">
      <c r="A1052" s="280" t="s">
        <v>2509</v>
      </c>
      <c r="B1052" s="281" t="s">
        <v>6791</v>
      </c>
      <c r="C1052" s="27" t="s">
        <v>7661</v>
      </c>
      <c r="D1052" s="27" t="s">
        <v>7662</v>
      </c>
      <c r="E1052" s="27" t="s">
        <v>7663</v>
      </c>
      <c r="F1052" s="45"/>
      <c r="G1052" s="45"/>
      <c r="H1052" s="45"/>
      <c r="I1052" s="286"/>
      <c r="J1052" s="297" t="s">
        <v>2000</v>
      </c>
      <c r="K1052" s="286"/>
      <c r="L1052" s="286"/>
      <c r="M1052" s="286"/>
      <c r="N1052" s="286"/>
      <c r="O1052" s="286"/>
      <c r="P1052" s="286"/>
      <c r="Q1052" s="290" t="s">
        <v>150</v>
      </c>
      <c r="R1052" s="286"/>
      <c r="S1052" s="286"/>
      <c r="T1052" s="286"/>
      <c r="U1052" s="286"/>
      <c r="V1052" s="286"/>
      <c r="W1052" s="286"/>
      <c r="X1052" s="286"/>
      <c r="Y1052" s="286"/>
      <c r="Z1052" s="286"/>
      <c r="AA1052" s="286"/>
      <c r="AB1052" s="286"/>
      <c r="AC1052" s="286"/>
      <c r="AD1052" s="75"/>
      <c r="AE1052" s="75"/>
      <c r="AF1052" s="75"/>
      <c r="AG1052" s="75"/>
      <c r="AH1052" s="75"/>
      <c r="AI1052" s="75"/>
      <c r="AJ1052" s="75"/>
      <c r="AK1052" s="75"/>
      <c r="AL1052" s="75"/>
      <c r="AM1052" s="75"/>
      <c r="AN1052" s="75"/>
      <c r="AO1052" s="75"/>
      <c r="AP1052" s="75"/>
      <c r="AQ1052" s="75"/>
      <c r="AR1052" s="75"/>
      <c r="AS1052" s="75"/>
      <c r="AT1052" s="75"/>
      <c r="AU1052" s="75"/>
      <c r="AV1052" s="75"/>
      <c r="AW1052" s="75"/>
      <c r="AX1052" s="75"/>
    </row>
    <row r="1053" ht="15.75" customHeight="1">
      <c r="A1053" s="298" t="s">
        <v>237</v>
      </c>
      <c r="B1053" s="310" t="s">
        <v>6769</v>
      </c>
      <c r="C1053" s="226"/>
      <c r="D1053" s="226"/>
      <c r="E1053" s="226"/>
      <c r="F1053" s="312"/>
      <c r="G1053" s="312"/>
      <c r="H1053" s="312"/>
      <c r="I1053" s="312"/>
      <c r="J1053" s="312"/>
      <c r="K1053" s="312"/>
      <c r="L1053" s="312"/>
      <c r="M1053" s="312"/>
      <c r="N1053" s="312"/>
      <c r="O1053" s="312"/>
      <c r="P1053" s="312"/>
      <c r="Q1053" s="312"/>
      <c r="R1053" s="312"/>
      <c r="S1053" s="312"/>
      <c r="T1053" s="312"/>
      <c r="U1053" s="312"/>
      <c r="V1053" s="312"/>
      <c r="W1053" s="312"/>
      <c r="X1053" s="312"/>
      <c r="Y1053" s="312"/>
      <c r="Z1053" s="312"/>
      <c r="AA1053" s="312"/>
      <c r="AB1053" s="312"/>
      <c r="AC1053" s="312"/>
      <c r="AD1053" s="75"/>
      <c r="AE1053" s="75"/>
      <c r="AF1053" s="75"/>
      <c r="AG1053" s="75"/>
      <c r="AH1053" s="75"/>
      <c r="AI1053" s="75"/>
      <c r="AJ1053" s="75"/>
      <c r="AK1053" s="75"/>
      <c r="AL1053" s="75"/>
      <c r="AM1053" s="75"/>
      <c r="AN1053" s="75"/>
      <c r="AO1053" s="75"/>
      <c r="AP1053" s="75"/>
      <c r="AQ1053" s="75"/>
      <c r="AR1053" s="75"/>
      <c r="AS1053" s="75"/>
      <c r="AT1053" s="75"/>
      <c r="AU1053" s="75"/>
      <c r="AV1053" s="75"/>
      <c r="AW1053" s="75"/>
      <c r="AX1053" s="75"/>
    </row>
    <row r="1054" ht="15.75" customHeight="1">
      <c r="A1054" s="298" t="s">
        <v>237</v>
      </c>
      <c r="B1054" s="310" t="s">
        <v>6737</v>
      </c>
      <c r="C1054" s="226"/>
      <c r="D1054" s="226"/>
      <c r="E1054" s="226"/>
      <c r="F1054" s="312"/>
      <c r="G1054" s="312"/>
      <c r="H1054" s="312"/>
      <c r="I1054" s="312"/>
      <c r="J1054" s="312"/>
      <c r="K1054" s="312"/>
      <c r="L1054" s="312"/>
      <c r="M1054" s="312"/>
      <c r="N1054" s="312"/>
      <c r="O1054" s="312"/>
      <c r="P1054" s="312"/>
      <c r="Q1054" s="312"/>
      <c r="R1054" s="312"/>
      <c r="S1054" s="312"/>
      <c r="T1054" s="312"/>
      <c r="U1054" s="312"/>
      <c r="V1054" s="312"/>
      <c r="W1054" s="312"/>
      <c r="X1054" s="312"/>
      <c r="Y1054" s="312"/>
      <c r="Z1054" s="312"/>
      <c r="AA1054" s="312"/>
      <c r="AB1054" s="312"/>
      <c r="AC1054" s="312"/>
      <c r="AD1054" s="75"/>
      <c r="AE1054" s="75"/>
      <c r="AF1054" s="75"/>
      <c r="AG1054" s="75"/>
      <c r="AH1054" s="75"/>
      <c r="AI1054" s="75"/>
      <c r="AJ1054" s="75"/>
      <c r="AK1054" s="75"/>
      <c r="AL1054" s="75"/>
      <c r="AM1054" s="75"/>
      <c r="AN1054" s="75"/>
      <c r="AO1054" s="75"/>
      <c r="AP1054" s="75"/>
      <c r="AQ1054" s="75"/>
      <c r="AR1054" s="75"/>
      <c r="AS1054" s="75"/>
      <c r="AT1054" s="75"/>
      <c r="AU1054" s="75"/>
      <c r="AV1054" s="75"/>
      <c r="AW1054" s="75"/>
      <c r="AX1054" s="75"/>
    </row>
    <row r="1055" ht="15.75" customHeight="1">
      <c r="A1055" s="168" t="s">
        <v>127</v>
      </c>
      <c r="B1055" s="71" t="s">
        <v>6799</v>
      </c>
      <c r="C1055" s="72"/>
      <c r="D1055" s="72"/>
      <c r="E1055" s="72"/>
      <c r="F1055" s="73"/>
      <c r="G1055" s="73"/>
      <c r="H1055" s="73"/>
      <c r="I1055" s="73"/>
      <c r="J1055" s="73"/>
      <c r="K1055" s="73"/>
      <c r="L1055" s="73"/>
      <c r="M1055" s="73"/>
      <c r="N1055" s="73"/>
      <c r="O1055" s="73"/>
      <c r="P1055" s="73"/>
      <c r="Q1055" s="73"/>
      <c r="R1055" s="73"/>
      <c r="S1055" s="73"/>
      <c r="T1055" s="74" t="s">
        <v>129</v>
      </c>
      <c r="U1055" s="73"/>
      <c r="V1055" s="73"/>
      <c r="W1055" s="73"/>
      <c r="X1055" s="73"/>
      <c r="Y1055" s="73"/>
      <c r="Z1055" s="73"/>
      <c r="AA1055" s="73"/>
      <c r="AB1055" s="73"/>
      <c r="AC1055" s="73"/>
      <c r="AD1055" s="75"/>
      <c r="AE1055" s="75"/>
      <c r="AF1055" s="75"/>
      <c r="AG1055" s="75"/>
      <c r="AH1055" s="75"/>
      <c r="AI1055" s="75"/>
      <c r="AJ1055" s="75"/>
      <c r="AK1055" s="75"/>
      <c r="AL1055" s="75"/>
      <c r="AM1055" s="75"/>
      <c r="AN1055" s="75"/>
      <c r="AO1055" s="75"/>
      <c r="AP1055" s="75"/>
      <c r="AQ1055" s="75"/>
      <c r="AR1055" s="75"/>
      <c r="AS1055" s="75"/>
      <c r="AT1055" s="75"/>
      <c r="AU1055" s="75"/>
      <c r="AV1055" s="75"/>
      <c r="AW1055" s="75"/>
      <c r="AX1055" s="75"/>
    </row>
    <row r="1056" ht="15.75" customHeight="1">
      <c r="A1056" s="168" t="s">
        <v>68</v>
      </c>
      <c r="B1056" s="71" t="s">
        <v>6800</v>
      </c>
      <c r="C1056" s="72"/>
      <c r="D1056" s="72"/>
      <c r="E1056" s="72"/>
      <c r="F1056" s="73"/>
      <c r="G1056" s="73"/>
      <c r="H1056" s="73"/>
      <c r="I1056" s="73"/>
      <c r="J1056" s="73"/>
      <c r="K1056" s="73"/>
      <c r="L1056" s="73"/>
      <c r="M1056" s="73"/>
      <c r="N1056" s="73"/>
      <c r="O1056" s="73"/>
      <c r="P1056" s="73"/>
      <c r="Q1056" s="73"/>
      <c r="R1056" s="73"/>
      <c r="S1056" s="73"/>
      <c r="T1056" s="74" t="s">
        <v>7664</v>
      </c>
      <c r="U1056" s="73"/>
      <c r="V1056" s="73"/>
      <c r="W1056" s="73"/>
      <c r="X1056" s="73"/>
      <c r="Y1056" s="73"/>
      <c r="Z1056" s="73"/>
      <c r="AA1056" s="73"/>
      <c r="AB1056" s="73"/>
      <c r="AC1056" s="73"/>
      <c r="AD1056" s="75"/>
      <c r="AE1056" s="75"/>
      <c r="AF1056" s="75"/>
      <c r="AG1056" s="75"/>
      <c r="AH1056" s="75"/>
      <c r="AI1056" s="75"/>
      <c r="AJ1056" s="75"/>
      <c r="AK1056" s="75"/>
      <c r="AL1056" s="75"/>
      <c r="AM1056" s="75"/>
      <c r="AN1056" s="75"/>
      <c r="AO1056" s="75"/>
      <c r="AP1056" s="75"/>
      <c r="AQ1056" s="75"/>
      <c r="AR1056" s="75"/>
      <c r="AS1056" s="75"/>
      <c r="AT1056" s="75"/>
      <c r="AU1056" s="75"/>
      <c r="AV1056" s="75"/>
      <c r="AW1056" s="75"/>
      <c r="AX1056" s="75"/>
    </row>
    <row r="1057" ht="15.75" customHeight="1">
      <c r="A1057" s="298" t="s">
        <v>237</v>
      </c>
      <c r="B1057" s="310" t="s">
        <v>5757</v>
      </c>
      <c r="C1057" s="226"/>
      <c r="D1057" s="226"/>
      <c r="E1057" s="226"/>
      <c r="F1057" s="312"/>
      <c r="G1057" s="312"/>
      <c r="H1057" s="312"/>
      <c r="I1057" s="312"/>
      <c r="J1057" s="312"/>
      <c r="K1057" s="312"/>
      <c r="L1057" s="312"/>
      <c r="M1057" s="312"/>
      <c r="N1057" s="312"/>
      <c r="O1057" s="312"/>
      <c r="P1057" s="312"/>
      <c r="Q1057" s="312"/>
      <c r="R1057" s="312"/>
      <c r="S1057" s="312"/>
      <c r="T1057" s="312"/>
      <c r="U1057" s="312"/>
      <c r="V1057" s="312"/>
      <c r="W1057" s="312"/>
      <c r="X1057" s="312"/>
      <c r="Y1057" s="312"/>
      <c r="Z1057" s="312"/>
      <c r="AA1057" s="312"/>
      <c r="AB1057" s="312"/>
      <c r="AC1057" s="312"/>
      <c r="AD1057" s="75"/>
      <c r="AE1057" s="75"/>
      <c r="AF1057" s="75"/>
      <c r="AG1057" s="75"/>
      <c r="AH1057" s="75"/>
      <c r="AI1057" s="75"/>
      <c r="AJ1057" s="75"/>
      <c r="AK1057" s="75"/>
      <c r="AL1057" s="75"/>
      <c r="AM1057" s="75"/>
      <c r="AN1057" s="75"/>
      <c r="AO1057" s="75"/>
      <c r="AP1057" s="75"/>
      <c r="AQ1057" s="75"/>
      <c r="AR1057" s="75"/>
      <c r="AS1057" s="75"/>
      <c r="AT1057" s="75"/>
      <c r="AU1057" s="75"/>
      <c r="AV1057" s="75"/>
      <c r="AW1057" s="75"/>
      <c r="AX1057" s="75"/>
    </row>
    <row r="1058" ht="15.75" customHeight="1">
      <c r="A1058" s="298" t="s">
        <v>237</v>
      </c>
      <c r="B1058" s="310" t="s">
        <v>5307</v>
      </c>
      <c r="C1058" s="226" t="s">
        <v>5308</v>
      </c>
      <c r="D1058" s="226"/>
      <c r="E1058" s="226"/>
      <c r="F1058" s="312"/>
      <c r="G1058" s="312"/>
      <c r="H1058" s="312"/>
      <c r="I1058" s="312"/>
      <c r="J1058" s="312"/>
      <c r="K1058" s="312"/>
      <c r="L1058" s="312"/>
      <c r="M1058" s="312"/>
      <c r="N1058" s="312"/>
      <c r="O1058" s="312"/>
      <c r="P1058" s="312"/>
      <c r="Q1058" s="312"/>
      <c r="R1058" s="312"/>
      <c r="S1058" s="312"/>
      <c r="T1058" s="312"/>
      <c r="U1058" s="312"/>
      <c r="V1058" s="312"/>
      <c r="W1058" s="312"/>
      <c r="X1058" s="312"/>
      <c r="Y1058" s="312"/>
      <c r="Z1058" s="312"/>
      <c r="AA1058" s="312"/>
      <c r="AB1058" s="312"/>
      <c r="AC1058" s="312"/>
      <c r="AD1058" s="75"/>
      <c r="AE1058" s="75"/>
      <c r="AF1058" s="75"/>
      <c r="AG1058" s="75"/>
      <c r="AH1058" s="75"/>
      <c r="AI1058" s="75"/>
      <c r="AJ1058" s="75"/>
      <c r="AK1058" s="75"/>
      <c r="AL1058" s="75"/>
      <c r="AM1058" s="75"/>
      <c r="AN1058" s="75"/>
      <c r="AO1058" s="75"/>
      <c r="AP1058" s="75"/>
      <c r="AQ1058" s="75"/>
      <c r="AR1058" s="75"/>
      <c r="AS1058" s="75"/>
      <c r="AT1058" s="75"/>
      <c r="AU1058" s="75"/>
      <c r="AV1058" s="75"/>
      <c r="AW1058" s="75"/>
      <c r="AX1058" s="75"/>
    </row>
    <row r="1059" ht="15.75" customHeight="1">
      <c r="A1059" s="168" t="s">
        <v>127</v>
      </c>
      <c r="B1059" s="71" t="s">
        <v>6801</v>
      </c>
      <c r="C1059" s="103"/>
      <c r="D1059" s="72"/>
      <c r="E1059" s="72"/>
      <c r="F1059" s="73"/>
      <c r="G1059" s="73"/>
      <c r="H1059" s="73"/>
      <c r="I1059" s="73"/>
      <c r="J1059" s="73"/>
      <c r="K1059" s="73"/>
      <c r="L1059" s="73"/>
      <c r="M1059" s="73"/>
      <c r="N1059" s="73"/>
      <c r="O1059" s="73"/>
      <c r="P1059" s="73"/>
      <c r="Q1059" s="73"/>
      <c r="R1059" s="73"/>
      <c r="S1059" s="73"/>
      <c r="T1059" s="74" t="s">
        <v>129</v>
      </c>
      <c r="U1059" s="73"/>
      <c r="V1059" s="73"/>
      <c r="W1059" s="73"/>
      <c r="X1059" s="73"/>
      <c r="Y1059" s="73"/>
      <c r="Z1059" s="73"/>
      <c r="AA1059" s="73"/>
      <c r="AB1059" s="73"/>
      <c r="AC1059" s="73"/>
      <c r="AD1059" s="75"/>
      <c r="AE1059" s="75"/>
      <c r="AF1059" s="75"/>
      <c r="AG1059" s="75"/>
      <c r="AH1059" s="75"/>
      <c r="AI1059" s="75"/>
      <c r="AJ1059" s="75"/>
      <c r="AK1059" s="75"/>
      <c r="AL1059" s="75"/>
      <c r="AM1059" s="75"/>
      <c r="AN1059" s="75"/>
      <c r="AO1059" s="75"/>
      <c r="AP1059" s="75"/>
      <c r="AQ1059" s="75"/>
      <c r="AR1059" s="75"/>
      <c r="AS1059" s="75"/>
      <c r="AT1059" s="75"/>
      <c r="AU1059" s="75"/>
      <c r="AV1059" s="75"/>
      <c r="AW1059" s="75"/>
      <c r="AX1059" s="75"/>
    </row>
    <row r="1060" ht="15.75" customHeight="1">
      <c r="A1060" s="168" t="s">
        <v>68</v>
      </c>
      <c r="B1060" s="71" t="s">
        <v>6802</v>
      </c>
      <c r="C1060" s="72"/>
      <c r="D1060" s="72"/>
      <c r="E1060" s="72"/>
      <c r="F1060" s="73"/>
      <c r="G1060" s="73"/>
      <c r="H1060" s="73"/>
      <c r="I1060" s="73"/>
      <c r="J1060" s="73"/>
      <c r="K1060" s="73"/>
      <c r="L1060" s="73"/>
      <c r="M1060" s="73"/>
      <c r="N1060" s="73"/>
      <c r="O1060" s="73"/>
      <c r="P1060" s="73"/>
      <c r="Q1060" s="73"/>
      <c r="R1060" s="73"/>
      <c r="S1060" s="73"/>
      <c r="T1060" s="74" t="s">
        <v>7665</v>
      </c>
      <c r="U1060" s="73"/>
      <c r="V1060" s="73"/>
      <c r="W1060" s="73"/>
      <c r="X1060" s="73"/>
      <c r="Y1060" s="73"/>
      <c r="Z1060" s="73"/>
      <c r="AA1060" s="73"/>
      <c r="AB1060" s="73"/>
      <c r="AC1060" s="73"/>
      <c r="AD1060" s="75"/>
      <c r="AE1060" s="75"/>
      <c r="AF1060" s="75"/>
      <c r="AG1060" s="75"/>
      <c r="AH1060" s="75"/>
      <c r="AI1060" s="75"/>
      <c r="AJ1060" s="75"/>
      <c r="AK1060" s="75"/>
      <c r="AL1060" s="75"/>
      <c r="AM1060" s="75"/>
      <c r="AN1060" s="75"/>
      <c r="AO1060" s="75"/>
      <c r="AP1060" s="75"/>
      <c r="AQ1060" s="75"/>
      <c r="AR1060" s="75"/>
      <c r="AS1060" s="75"/>
      <c r="AT1060" s="75"/>
      <c r="AU1060" s="75"/>
      <c r="AV1060" s="75"/>
      <c r="AW1060" s="75"/>
      <c r="AX1060" s="75"/>
    </row>
    <row r="1061" ht="15.75" customHeight="1">
      <c r="A1061" s="90"/>
      <c r="B1061" s="90"/>
      <c r="C1061" s="191"/>
      <c r="D1061" s="90"/>
      <c r="E1061" s="90"/>
      <c r="F1061" s="90"/>
      <c r="G1061" s="90"/>
      <c r="H1061" s="90"/>
      <c r="I1061" s="90"/>
      <c r="J1061" s="90"/>
      <c r="K1061" s="90"/>
      <c r="L1061" s="90"/>
      <c r="M1061" s="90"/>
      <c r="N1061" s="90"/>
      <c r="O1061" s="90"/>
      <c r="P1061" s="90"/>
      <c r="Q1061" s="90"/>
      <c r="R1061" s="90"/>
      <c r="S1061" s="90"/>
      <c r="T1061" s="90"/>
      <c r="U1061" s="90"/>
      <c r="V1061" s="90"/>
      <c r="W1061" s="90"/>
      <c r="X1061" s="90"/>
      <c r="Y1061" s="90"/>
      <c r="Z1061" s="90"/>
      <c r="AA1061" s="90"/>
      <c r="AB1061" s="90"/>
      <c r="AC1061" s="90"/>
      <c r="AD1061" s="90"/>
      <c r="AE1061" s="90"/>
      <c r="AF1061" s="90"/>
      <c r="AG1061" s="90"/>
      <c r="AH1061" s="90"/>
      <c r="AI1061" s="90"/>
      <c r="AJ1061" s="90"/>
      <c r="AK1061" s="90"/>
      <c r="AL1061" s="90"/>
      <c r="AM1061" s="90"/>
      <c r="AN1061" s="90"/>
      <c r="AO1061" s="90"/>
      <c r="AP1061" s="90"/>
      <c r="AQ1061" s="90"/>
      <c r="AR1061" s="90"/>
      <c r="AS1061" s="90"/>
      <c r="AT1061" s="90"/>
      <c r="AU1061" s="90"/>
      <c r="AV1061" s="90"/>
      <c r="AW1061" s="90"/>
      <c r="AX1061" s="90"/>
    </row>
    <row r="1062" ht="15.75" customHeight="1">
      <c r="A1062" s="317" t="s">
        <v>237</v>
      </c>
      <c r="B1062" s="317" t="s">
        <v>1517</v>
      </c>
      <c r="C1062" s="226"/>
      <c r="D1062" s="149"/>
      <c r="E1062" s="149"/>
      <c r="F1062" s="312"/>
      <c r="G1062" s="312"/>
      <c r="H1062" s="312"/>
      <c r="I1062" s="312"/>
      <c r="J1062" s="312"/>
      <c r="K1062" s="312"/>
      <c r="L1062" s="312"/>
      <c r="M1062" s="312"/>
      <c r="N1062" s="312"/>
      <c r="O1062" s="312"/>
      <c r="P1062" s="312"/>
      <c r="Q1062" s="312"/>
      <c r="R1062" s="312"/>
      <c r="S1062" s="312"/>
      <c r="T1062" s="312"/>
      <c r="U1062" s="312"/>
      <c r="V1062" s="312"/>
      <c r="W1062" s="312"/>
      <c r="X1062" s="312"/>
      <c r="Y1062" s="312"/>
      <c r="Z1062" s="312"/>
      <c r="AA1062" s="312"/>
      <c r="AB1062" s="312"/>
      <c r="AC1062" s="312"/>
      <c r="AD1062" s="75"/>
      <c r="AE1062" s="75"/>
      <c r="AF1062" s="75"/>
      <c r="AG1062" s="75"/>
      <c r="AH1062" s="75"/>
      <c r="AI1062" s="75"/>
      <c r="AJ1062" s="75"/>
      <c r="AK1062" s="75"/>
      <c r="AL1062" s="75"/>
      <c r="AM1062" s="75"/>
      <c r="AN1062" s="75"/>
      <c r="AO1062" s="75"/>
      <c r="AP1062" s="75"/>
      <c r="AQ1062" s="75"/>
      <c r="AR1062" s="75"/>
      <c r="AS1062" s="75"/>
      <c r="AT1062" s="75"/>
      <c r="AU1062" s="75"/>
      <c r="AV1062" s="75"/>
      <c r="AW1062" s="75"/>
      <c r="AX1062" s="75"/>
    </row>
    <row r="1063" ht="15.75" customHeight="1">
      <c r="A1063" s="90"/>
      <c r="B1063" s="90"/>
      <c r="C1063" s="191"/>
      <c r="D1063" s="90"/>
      <c r="E1063" s="90"/>
      <c r="F1063" s="90"/>
      <c r="G1063" s="90"/>
      <c r="H1063" s="90"/>
      <c r="I1063" s="90"/>
      <c r="J1063" s="90"/>
      <c r="K1063" s="90"/>
      <c r="L1063" s="90"/>
      <c r="M1063" s="90"/>
      <c r="N1063" s="90"/>
      <c r="O1063" s="90"/>
      <c r="P1063" s="90"/>
      <c r="Q1063" s="90"/>
      <c r="R1063" s="90"/>
      <c r="S1063" s="90"/>
      <c r="T1063" s="90"/>
      <c r="U1063" s="90"/>
      <c r="V1063" s="90"/>
      <c r="W1063" s="90"/>
      <c r="X1063" s="90"/>
      <c r="Y1063" s="90"/>
      <c r="Z1063" s="90"/>
      <c r="AA1063" s="90"/>
      <c r="AB1063" s="90"/>
      <c r="AC1063" s="90"/>
      <c r="AD1063" s="90"/>
      <c r="AE1063" s="90"/>
      <c r="AF1063" s="90"/>
      <c r="AG1063" s="90"/>
      <c r="AH1063" s="90"/>
      <c r="AI1063" s="90"/>
      <c r="AJ1063" s="90"/>
      <c r="AK1063" s="90"/>
      <c r="AL1063" s="90"/>
      <c r="AM1063" s="90"/>
      <c r="AN1063" s="90"/>
      <c r="AO1063" s="90"/>
      <c r="AP1063" s="90"/>
      <c r="AQ1063" s="90"/>
      <c r="AR1063" s="90"/>
      <c r="AS1063" s="90"/>
      <c r="AT1063" s="90"/>
      <c r="AU1063" s="90"/>
      <c r="AV1063" s="90"/>
      <c r="AW1063" s="90"/>
      <c r="AX1063" s="90"/>
    </row>
    <row r="1064" ht="15.75" customHeight="1">
      <c r="A1064" s="149" t="s">
        <v>133</v>
      </c>
      <c r="B1064" s="150" t="s">
        <v>6803</v>
      </c>
      <c r="C1064" s="147" t="s">
        <v>6804</v>
      </c>
      <c r="D1064" s="149" t="s">
        <v>6805</v>
      </c>
      <c r="E1064" s="149" t="s">
        <v>6806</v>
      </c>
      <c r="F1064" s="149"/>
      <c r="G1064" s="149"/>
      <c r="H1064" s="149"/>
      <c r="I1064" s="149"/>
      <c r="J1064" s="150"/>
      <c r="K1064" s="149"/>
      <c r="L1064" s="149"/>
      <c r="M1064" s="150"/>
      <c r="N1064" s="150"/>
      <c r="O1064" s="150"/>
      <c r="P1064" s="149"/>
      <c r="Q1064" s="149"/>
      <c r="R1064" s="149"/>
      <c r="S1064" s="149"/>
      <c r="T1064" s="149"/>
      <c r="U1064" s="149"/>
      <c r="V1064" s="149"/>
      <c r="W1064" s="149"/>
      <c r="X1064" s="149"/>
      <c r="Y1064" s="149"/>
      <c r="Z1064" s="149"/>
      <c r="AA1064" s="149"/>
      <c r="AB1064" s="149"/>
      <c r="AC1064" s="149"/>
      <c r="AD1064" s="90"/>
      <c r="AE1064" s="90"/>
      <c r="AF1064" s="90"/>
      <c r="AG1064" s="90"/>
      <c r="AH1064" s="90"/>
      <c r="AI1064" s="90"/>
      <c r="AJ1064" s="90"/>
      <c r="AK1064" s="90"/>
      <c r="AL1064" s="90"/>
      <c r="AM1064" s="90"/>
      <c r="AN1064" s="90"/>
      <c r="AO1064" s="90"/>
      <c r="AP1064" s="90"/>
      <c r="AQ1064" s="90"/>
      <c r="AR1064" s="90"/>
      <c r="AS1064" s="90"/>
      <c r="AT1064" s="90"/>
      <c r="AU1064" s="90"/>
      <c r="AV1064" s="90"/>
      <c r="AW1064" s="90"/>
      <c r="AX1064" s="90"/>
    </row>
    <row r="1065" ht="15.75" customHeight="1">
      <c r="A1065" s="220" t="s">
        <v>38</v>
      </c>
      <c r="B1065" s="361" t="s">
        <v>6807</v>
      </c>
      <c r="C1065" s="27" t="s">
        <v>7666</v>
      </c>
      <c r="D1065" s="27" t="s">
        <v>7667</v>
      </c>
      <c r="E1065" s="27" t="s">
        <v>7668</v>
      </c>
      <c r="F1065" s="45"/>
      <c r="G1065" s="45"/>
      <c r="H1065" s="45"/>
      <c r="I1065" s="220"/>
      <c r="J1065" s="220"/>
      <c r="K1065" s="220"/>
      <c r="L1065" s="220"/>
      <c r="M1065" s="220"/>
      <c r="N1065" s="220"/>
      <c r="O1065" s="220"/>
      <c r="P1065" s="220"/>
      <c r="Q1065" s="220"/>
      <c r="R1065" s="220"/>
      <c r="S1065" s="220"/>
      <c r="T1065" s="220"/>
      <c r="U1065" s="220"/>
      <c r="V1065" s="220"/>
      <c r="W1065" s="220"/>
      <c r="X1065" s="220"/>
      <c r="Y1065" s="220"/>
      <c r="Z1065" s="220"/>
      <c r="AA1065" s="220"/>
      <c r="AB1065" s="220"/>
      <c r="AC1065" s="220"/>
      <c r="AD1065" s="90"/>
      <c r="AE1065" s="90"/>
      <c r="AF1065" s="90"/>
      <c r="AG1065" s="90"/>
      <c r="AH1065" s="90"/>
      <c r="AI1065" s="90"/>
      <c r="AJ1065" s="90"/>
      <c r="AK1065" s="90"/>
      <c r="AL1065" s="90"/>
      <c r="AM1065" s="90"/>
      <c r="AN1065" s="90"/>
      <c r="AO1065" s="90"/>
      <c r="AP1065" s="90"/>
      <c r="AQ1065" s="90"/>
      <c r="AR1065" s="90"/>
      <c r="AS1065" s="90"/>
      <c r="AT1065" s="90"/>
      <c r="AU1065" s="90"/>
      <c r="AV1065" s="90"/>
      <c r="AW1065" s="90"/>
      <c r="AX1065" s="90"/>
    </row>
    <row r="1066" ht="15.75" customHeight="1">
      <c r="A1066" s="238" t="s">
        <v>252</v>
      </c>
      <c r="B1066" s="240" t="s">
        <v>6811</v>
      </c>
      <c r="C1066" s="27" t="s">
        <v>7669</v>
      </c>
      <c r="D1066" s="27" t="s">
        <v>7670</v>
      </c>
      <c r="E1066" s="27" t="s">
        <v>7671</v>
      </c>
      <c r="F1066" s="45" t="s">
        <v>7672</v>
      </c>
      <c r="G1066" s="45" t="s">
        <v>7673</v>
      </c>
      <c r="H1066" s="45" t="s">
        <v>7674</v>
      </c>
      <c r="I1066" s="238"/>
      <c r="J1066" s="240" t="s">
        <v>7675</v>
      </c>
      <c r="K1066" s="238" t="s">
        <v>7676</v>
      </c>
      <c r="L1066" s="238"/>
      <c r="M1066" s="238"/>
      <c r="N1066" s="238"/>
      <c r="O1066" s="238"/>
      <c r="P1066" s="238"/>
      <c r="Q1066" s="238" t="s">
        <v>150</v>
      </c>
      <c r="R1066" s="238"/>
      <c r="S1066" s="238"/>
      <c r="T1066" s="238"/>
      <c r="U1066" s="238"/>
      <c r="V1066" s="238"/>
      <c r="W1066" s="238"/>
      <c r="X1066" s="238"/>
      <c r="Y1066" s="238"/>
      <c r="Z1066" s="238"/>
      <c r="AA1066" s="238"/>
      <c r="AB1066" s="238"/>
      <c r="AC1066" s="238"/>
      <c r="AD1066" s="90"/>
      <c r="AE1066" s="90"/>
      <c r="AF1066" s="90"/>
      <c r="AG1066" s="90"/>
      <c r="AH1066" s="90"/>
      <c r="AI1066" s="90"/>
      <c r="AJ1066" s="90"/>
      <c r="AK1066" s="90"/>
      <c r="AL1066" s="90"/>
      <c r="AM1066" s="90"/>
      <c r="AN1066" s="90"/>
      <c r="AO1066" s="90"/>
      <c r="AP1066" s="90"/>
      <c r="AQ1066" s="90"/>
      <c r="AR1066" s="90"/>
      <c r="AS1066" s="90"/>
      <c r="AT1066" s="90"/>
      <c r="AU1066" s="90"/>
      <c r="AV1066" s="90"/>
      <c r="AW1066" s="90"/>
      <c r="AX1066" s="90"/>
    </row>
    <row r="1067" ht="15.75" customHeight="1">
      <c r="A1067" s="83" t="s">
        <v>1306</v>
      </c>
      <c r="B1067" s="84" t="s">
        <v>6815</v>
      </c>
      <c r="C1067" s="27" t="s">
        <v>7677</v>
      </c>
      <c r="D1067" s="27" t="s">
        <v>7678</v>
      </c>
      <c r="E1067" s="27" t="s">
        <v>7679</v>
      </c>
      <c r="F1067" s="45"/>
      <c r="G1067" s="45"/>
      <c r="H1067" s="45"/>
      <c r="I1067" s="83"/>
      <c r="J1067" s="84"/>
      <c r="K1067" s="83"/>
      <c r="L1067" s="83"/>
      <c r="M1067" s="83"/>
      <c r="N1067" s="83"/>
      <c r="O1067" s="83"/>
      <c r="P1067" s="83"/>
      <c r="Q1067" s="83" t="s">
        <v>150</v>
      </c>
      <c r="R1067" s="83"/>
      <c r="S1067" s="83"/>
      <c r="T1067" s="83"/>
      <c r="U1067" s="83"/>
      <c r="V1067" s="83"/>
      <c r="W1067" s="83"/>
      <c r="X1067" s="83"/>
      <c r="Y1067" s="83"/>
      <c r="Z1067" s="83"/>
      <c r="AA1067" s="83"/>
      <c r="AB1067" s="83"/>
      <c r="AC1067" s="83"/>
      <c r="AD1067" s="90"/>
      <c r="AE1067" s="90"/>
      <c r="AF1067" s="90"/>
      <c r="AG1067" s="90"/>
      <c r="AH1067" s="90"/>
      <c r="AI1067" s="90"/>
      <c r="AJ1067" s="90"/>
      <c r="AK1067" s="90"/>
      <c r="AL1067" s="90"/>
      <c r="AM1067" s="90"/>
      <c r="AN1067" s="90"/>
      <c r="AO1067" s="90"/>
      <c r="AP1067" s="90"/>
      <c r="AQ1067" s="90"/>
      <c r="AR1067" s="90"/>
      <c r="AS1067" s="90"/>
      <c r="AT1067" s="90"/>
      <c r="AU1067" s="90"/>
      <c r="AV1067" s="90"/>
      <c r="AW1067" s="90"/>
      <c r="AX1067" s="90"/>
    </row>
    <row r="1068" ht="15.75" customHeight="1">
      <c r="A1068" s="220" t="s">
        <v>38</v>
      </c>
      <c r="B1068" s="361" t="s">
        <v>6819</v>
      </c>
      <c r="C1068" s="27" t="s">
        <v>7680</v>
      </c>
      <c r="D1068" s="27" t="s">
        <v>7681</v>
      </c>
      <c r="E1068" s="27" t="s">
        <v>7682</v>
      </c>
      <c r="F1068" s="45"/>
      <c r="G1068" s="45"/>
      <c r="H1068" s="45"/>
      <c r="I1068" s="220"/>
      <c r="J1068" s="220"/>
      <c r="K1068" s="220"/>
      <c r="L1068" s="220"/>
      <c r="M1068" s="220"/>
      <c r="N1068" s="220"/>
      <c r="O1068" s="220" t="s">
        <v>7683</v>
      </c>
      <c r="P1068" s="220"/>
      <c r="Q1068" s="220" t="s">
        <v>150</v>
      </c>
      <c r="R1068" s="220"/>
      <c r="S1068" s="220"/>
      <c r="T1068" s="220"/>
      <c r="U1068" s="220"/>
      <c r="V1068" s="220"/>
      <c r="W1068" s="220"/>
      <c r="X1068" s="220"/>
      <c r="Y1068" s="220"/>
      <c r="Z1068" s="220"/>
      <c r="AA1068" s="220"/>
      <c r="AB1068" s="220"/>
      <c r="AC1068" s="220"/>
      <c r="AD1068" s="90"/>
      <c r="AE1068" s="90"/>
      <c r="AF1068" s="90"/>
      <c r="AG1068" s="90"/>
      <c r="AH1068" s="90"/>
      <c r="AI1068" s="90"/>
      <c r="AJ1068" s="90"/>
      <c r="AK1068" s="90"/>
      <c r="AL1068" s="90"/>
      <c r="AM1068" s="90"/>
      <c r="AN1068" s="90"/>
      <c r="AO1068" s="90"/>
      <c r="AP1068" s="90"/>
      <c r="AQ1068" s="90"/>
      <c r="AR1068" s="90"/>
      <c r="AS1068" s="90"/>
      <c r="AT1068" s="90"/>
      <c r="AU1068" s="90"/>
      <c r="AV1068" s="90"/>
      <c r="AW1068" s="90"/>
      <c r="AX1068" s="90"/>
    </row>
    <row r="1069" ht="15.75" customHeight="1">
      <c r="A1069" s="83" t="s">
        <v>6823</v>
      </c>
      <c r="B1069" s="84" t="s">
        <v>6824</v>
      </c>
      <c r="C1069" s="27" t="s">
        <v>7684</v>
      </c>
      <c r="D1069" s="27" t="s">
        <v>7685</v>
      </c>
      <c r="E1069" s="27" t="s">
        <v>7686</v>
      </c>
      <c r="F1069" s="45" t="s">
        <v>7687</v>
      </c>
      <c r="G1069" s="45" t="s">
        <v>7688</v>
      </c>
      <c r="H1069" s="45" t="s">
        <v>7689</v>
      </c>
      <c r="I1069" s="83"/>
      <c r="J1069" s="84"/>
      <c r="K1069" s="83"/>
      <c r="L1069" s="83"/>
      <c r="M1069" s="83"/>
      <c r="N1069" s="83"/>
      <c r="O1069" s="83"/>
      <c r="P1069" s="83"/>
      <c r="Q1069" s="83" t="s">
        <v>150</v>
      </c>
      <c r="R1069" s="83"/>
      <c r="S1069" s="83"/>
      <c r="T1069" s="83"/>
      <c r="U1069" s="83"/>
      <c r="V1069" s="83"/>
      <c r="W1069" s="83"/>
      <c r="X1069" s="83"/>
      <c r="Y1069" s="83"/>
      <c r="Z1069" s="83"/>
      <c r="AA1069" s="83"/>
      <c r="AB1069" s="83"/>
      <c r="AC1069" s="83"/>
      <c r="AD1069" s="90"/>
      <c r="AE1069" s="90"/>
      <c r="AF1069" s="90"/>
      <c r="AG1069" s="90"/>
      <c r="AH1069" s="90"/>
      <c r="AI1069" s="90"/>
      <c r="AJ1069" s="90"/>
      <c r="AK1069" s="90"/>
      <c r="AL1069" s="90"/>
      <c r="AM1069" s="90"/>
      <c r="AN1069" s="90"/>
      <c r="AO1069" s="90"/>
      <c r="AP1069" s="90"/>
      <c r="AQ1069" s="90"/>
      <c r="AR1069" s="90"/>
      <c r="AS1069" s="90"/>
      <c r="AT1069" s="90"/>
      <c r="AU1069" s="90"/>
      <c r="AV1069" s="90"/>
      <c r="AW1069" s="90"/>
      <c r="AX1069" s="90"/>
    </row>
    <row r="1070" ht="15.75" customHeight="1">
      <c r="A1070" s="220" t="s">
        <v>38</v>
      </c>
      <c r="B1070" s="361" t="s">
        <v>6828</v>
      </c>
      <c r="C1070" s="27" t="s">
        <v>7690</v>
      </c>
      <c r="D1070" s="27" t="s">
        <v>7691</v>
      </c>
      <c r="E1070" s="27" t="s">
        <v>7692</v>
      </c>
      <c r="F1070" s="45"/>
      <c r="G1070" s="45"/>
      <c r="H1070" s="45"/>
      <c r="I1070" s="220"/>
      <c r="J1070" s="220"/>
      <c r="K1070" s="220"/>
      <c r="L1070" s="220"/>
      <c r="M1070" s="220"/>
      <c r="N1070" s="220"/>
      <c r="O1070" s="220" t="s">
        <v>7693</v>
      </c>
      <c r="P1070" s="220"/>
      <c r="Q1070" s="220" t="s">
        <v>150</v>
      </c>
      <c r="R1070" s="220"/>
      <c r="S1070" s="220"/>
      <c r="T1070" s="220"/>
      <c r="U1070" s="220"/>
      <c r="V1070" s="220"/>
      <c r="W1070" s="220"/>
      <c r="X1070" s="220"/>
      <c r="Y1070" s="220"/>
      <c r="Z1070" s="220"/>
      <c r="AA1070" s="220"/>
      <c r="AB1070" s="220"/>
      <c r="AC1070" s="220"/>
      <c r="AD1070" s="90"/>
      <c r="AE1070" s="90"/>
      <c r="AF1070" s="90"/>
      <c r="AG1070" s="90"/>
      <c r="AH1070" s="90"/>
      <c r="AI1070" s="90"/>
      <c r="AJ1070" s="90"/>
      <c r="AK1070" s="90"/>
      <c r="AL1070" s="90"/>
      <c r="AM1070" s="90"/>
      <c r="AN1070" s="90"/>
      <c r="AO1070" s="90"/>
      <c r="AP1070" s="90"/>
      <c r="AQ1070" s="90"/>
      <c r="AR1070" s="90"/>
      <c r="AS1070" s="90"/>
      <c r="AT1070" s="90"/>
      <c r="AU1070" s="90"/>
      <c r="AV1070" s="90"/>
      <c r="AW1070" s="90"/>
      <c r="AX1070" s="90"/>
    </row>
    <row r="1071" ht="15.75" customHeight="1">
      <c r="A1071" s="83" t="s">
        <v>1306</v>
      </c>
      <c r="B1071" s="84" t="s">
        <v>6833</v>
      </c>
      <c r="C1071" s="27" t="s">
        <v>7694</v>
      </c>
      <c r="D1071" s="27" t="s">
        <v>7695</v>
      </c>
      <c r="E1071" s="27" t="s">
        <v>7696</v>
      </c>
      <c r="F1071" s="45"/>
      <c r="G1071" s="45"/>
      <c r="H1071" s="45"/>
      <c r="I1071" s="83"/>
      <c r="J1071" s="84"/>
      <c r="K1071" s="83"/>
      <c r="L1071" s="83"/>
      <c r="M1071" s="83"/>
      <c r="N1071" s="83"/>
      <c r="O1071" s="83"/>
      <c r="P1071" s="83"/>
      <c r="Q1071" s="83" t="s">
        <v>150</v>
      </c>
      <c r="R1071" s="83"/>
      <c r="S1071" s="83"/>
      <c r="T1071" s="83"/>
      <c r="U1071" s="83"/>
      <c r="V1071" s="83"/>
      <c r="W1071" s="83"/>
      <c r="X1071" s="83"/>
      <c r="Y1071" s="83"/>
      <c r="Z1071" s="83"/>
      <c r="AA1071" s="83"/>
      <c r="AB1071" s="83"/>
      <c r="AC1071" s="83"/>
      <c r="AD1071" s="90"/>
      <c r="AE1071" s="90"/>
      <c r="AF1071" s="90"/>
      <c r="AG1071" s="90"/>
      <c r="AH1071" s="90"/>
      <c r="AI1071" s="90"/>
      <c r="AJ1071" s="90"/>
      <c r="AK1071" s="90"/>
      <c r="AL1071" s="90"/>
      <c r="AM1071" s="90"/>
      <c r="AN1071" s="90"/>
      <c r="AO1071" s="90"/>
      <c r="AP1071" s="90"/>
      <c r="AQ1071" s="90"/>
      <c r="AR1071" s="90"/>
      <c r="AS1071" s="90"/>
      <c r="AT1071" s="90"/>
      <c r="AU1071" s="90"/>
      <c r="AV1071" s="90"/>
      <c r="AW1071" s="90"/>
      <c r="AX1071" s="90"/>
    </row>
    <row r="1072" ht="15.75" customHeight="1">
      <c r="A1072" s="83" t="s">
        <v>1306</v>
      </c>
      <c r="B1072" s="84" t="s">
        <v>6840</v>
      </c>
      <c r="C1072" s="27" t="s">
        <v>7697</v>
      </c>
      <c r="D1072" s="27" t="s">
        <v>7698</v>
      </c>
      <c r="E1072" s="27" t="s">
        <v>7699</v>
      </c>
      <c r="F1072" s="45"/>
      <c r="G1072" s="45"/>
      <c r="H1072" s="45"/>
      <c r="I1072" s="83"/>
      <c r="J1072" s="84"/>
      <c r="K1072" s="83"/>
      <c r="L1072" s="83"/>
      <c r="M1072" s="83"/>
      <c r="N1072" s="83"/>
      <c r="O1072" s="83" t="s">
        <v>7700</v>
      </c>
      <c r="P1072" s="83"/>
      <c r="Q1072" s="83" t="s">
        <v>150</v>
      </c>
      <c r="R1072" s="83"/>
      <c r="S1072" s="83"/>
      <c r="T1072" s="83"/>
      <c r="U1072" s="83"/>
      <c r="V1072" s="83"/>
      <c r="W1072" s="83"/>
      <c r="X1072" s="83"/>
      <c r="Y1072" s="83"/>
      <c r="Z1072" s="83"/>
      <c r="AA1072" s="83"/>
      <c r="AB1072" s="83"/>
      <c r="AC1072" s="83"/>
      <c r="AD1072" s="90"/>
      <c r="AE1072" s="90"/>
      <c r="AF1072" s="90"/>
      <c r="AG1072" s="90"/>
      <c r="AH1072" s="90"/>
      <c r="AI1072" s="90"/>
      <c r="AJ1072" s="90"/>
      <c r="AK1072" s="90"/>
      <c r="AL1072" s="90"/>
      <c r="AM1072" s="90"/>
      <c r="AN1072" s="90"/>
      <c r="AO1072" s="90"/>
      <c r="AP1072" s="90"/>
      <c r="AQ1072" s="90"/>
      <c r="AR1072" s="90"/>
      <c r="AS1072" s="90"/>
      <c r="AT1072" s="90"/>
      <c r="AU1072" s="90"/>
      <c r="AV1072" s="90"/>
      <c r="AW1072" s="90"/>
      <c r="AX1072" s="90"/>
    </row>
    <row r="1073" ht="15.75" customHeight="1">
      <c r="A1073" s="238" t="s">
        <v>252</v>
      </c>
      <c r="B1073" s="240" t="s">
        <v>6844</v>
      </c>
      <c r="C1073" s="27" t="s">
        <v>7701</v>
      </c>
      <c r="D1073" s="27" t="s">
        <v>7702</v>
      </c>
      <c r="E1073" s="27" t="s">
        <v>7703</v>
      </c>
      <c r="F1073" s="45" t="s">
        <v>7672</v>
      </c>
      <c r="G1073" s="45" t="s">
        <v>7673</v>
      </c>
      <c r="H1073" s="45" t="s">
        <v>7674</v>
      </c>
      <c r="I1073" s="238"/>
      <c r="J1073" s="240" t="s">
        <v>7675</v>
      </c>
      <c r="K1073" s="238" t="s">
        <v>7676</v>
      </c>
      <c r="L1073" s="238"/>
      <c r="M1073" s="238"/>
      <c r="N1073" s="238"/>
      <c r="O1073" s="238" t="s">
        <v>7704</v>
      </c>
      <c r="P1073" s="238"/>
      <c r="Q1073" s="238" t="s">
        <v>150</v>
      </c>
      <c r="R1073" s="238"/>
      <c r="S1073" s="238"/>
      <c r="T1073" s="238"/>
      <c r="U1073" s="238"/>
      <c r="V1073" s="238"/>
      <c r="W1073" s="238"/>
      <c r="X1073" s="238"/>
      <c r="Y1073" s="238"/>
      <c r="Z1073" s="238"/>
      <c r="AA1073" s="238"/>
      <c r="AB1073" s="238"/>
      <c r="AC1073" s="238"/>
      <c r="AD1073" s="90"/>
      <c r="AE1073" s="90"/>
      <c r="AF1073" s="90"/>
      <c r="AG1073" s="90"/>
      <c r="AH1073" s="90"/>
      <c r="AI1073" s="90"/>
      <c r="AJ1073" s="90"/>
      <c r="AK1073" s="90"/>
      <c r="AL1073" s="90"/>
      <c r="AM1073" s="90"/>
      <c r="AN1073" s="90"/>
      <c r="AO1073" s="90"/>
      <c r="AP1073" s="90"/>
      <c r="AQ1073" s="90"/>
      <c r="AR1073" s="90"/>
      <c r="AS1073" s="90"/>
      <c r="AT1073" s="90"/>
      <c r="AU1073" s="90"/>
      <c r="AV1073" s="90"/>
      <c r="AW1073" s="90"/>
      <c r="AX1073" s="90"/>
    </row>
    <row r="1074" ht="15.75" customHeight="1">
      <c r="A1074" s="83" t="s">
        <v>1306</v>
      </c>
      <c r="B1074" s="84" t="s">
        <v>6849</v>
      </c>
      <c r="C1074" s="27" t="s">
        <v>7705</v>
      </c>
      <c r="D1074" s="27" t="s">
        <v>7706</v>
      </c>
      <c r="E1074" s="27" t="s">
        <v>7707</v>
      </c>
      <c r="F1074" s="45"/>
      <c r="G1074" s="45"/>
      <c r="H1074" s="45"/>
      <c r="I1074" s="83"/>
      <c r="J1074" s="84"/>
      <c r="K1074" s="83"/>
      <c r="L1074" s="83"/>
      <c r="M1074" s="83"/>
      <c r="N1074" s="83"/>
      <c r="O1074" s="83" t="s">
        <v>7704</v>
      </c>
      <c r="P1074" s="83"/>
      <c r="Q1074" s="83" t="s">
        <v>150</v>
      </c>
      <c r="R1074" s="83"/>
      <c r="S1074" s="83"/>
      <c r="T1074" s="83"/>
      <c r="U1074" s="83"/>
      <c r="V1074" s="83"/>
      <c r="W1074" s="83"/>
      <c r="X1074" s="83"/>
      <c r="Y1074" s="83"/>
      <c r="Z1074" s="83"/>
      <c r="AA1074" s="83"/>
      <c r="AB1074" s="83"/>
      <c r="AC1074" s="83"/>
      <c r="AD1074" s="90"/>
      <c r="AE1074" s="90"/>
      <c r="AF1074" s="90"/>
      <c r="AG1074" s="90"/>
      <c r="AH1074" s="90"/>
      <c r="AI1074" s="90"/>
      <c r="AJ1074" s="90"/>
      <c r="AK1074" s="90"/>
      <c r="AL1074" s="90"/>
      <c r="AM1074" s="90"/>
      <c r="AN1074" s="90"/>
      <c r="AO1074" s="90"/>
      <c r="AP1074" s="90"/>
      <c r="AQ1074" s="90"/>
      <c r="AR1074" s="90"/>
      <c r="AS1074" s="90"/>
      <c r="AT1074" s="90"/>
      <c r="AU1074" s="90"/>
      <c r="AV1074" s="90"/>
      <c r="AW1074" s="90"/>
      <c r="AX1074" s="90"/>
    </row>
    <row r="1075" ht="15.75" customHeight="1">
      <c r="A1075" s="220" t="s">
        <v>38</v>
      </c>
      <c r="B1075" s="361" t="s">
        <v>6853</v>
      </c>
      <c r="C1075" s="27" t="s">
        <v>7708</v>
      </c>
      <c r="D1075" s="27" t="s">
        <v>7709</v>
      </c>
      <c r="E1075" s="27" t="s">
        <v>7710</v>
      </c>
      <c r="F1075" s="45"/>
      <c r="G1075" s="45"/>
      <c r="H1075" s="45"/>
      <c r="I1075" s="220"/>
      <c r="J1075" s="220"/>
      <c r="K1075" s="220"/>
      <c r="L1075" s="220"/>
      <c r="M1075" s="220"/>
      <c r="N1075" s="220"/>
      <c r="O1075" s="220" t="s">
        <v>7711</v>
      </c>
      <c r="P1075" s="220"/>
      <c r="Q1075" s="220" t="s">
        <v>150</v>
      </c>
      <c r="R1075" s="220"/>
      <c r="S1075" s="220"/>
      <c r="T1075" s="220"/>
      <c r="U1075" s="220"/>
      <c r="V1075" s="220"/>
      <c r="W1075" s="220"/>
      <c r="X1075" s="220"/>
      <c r="Y1075" s="220"/>
      <c r="Z1075" s="220"/>
      <c r="AA1075" s="220"/>
      <c r="AB1075" s="220"/>
      <c r="AC1075" s="220"/>
      <c r="AD1075" s="90"/>
      <c r="AE1075" s="90"/>
      <c r="AF1075" s="90"/>
      <c r="AG1075" s="90"/>
      <c r="AH1075" s="90"/>
      <c r="AI1075" s="90"/>
      <c r="AJ1075" s="90"/>
      <c r="AK1075" s="90"/>
      <c r="AL1075" s="90"/>
      <c r="AM1075" s="90"/>
      <c r="AN1075" s="90"/>
      <c r="AO1075" s="90"/>
      <c r="AP1075" s="90"/>
      <c r="AQ1075" s="90"/>
      <c r="AR1075" s="90"/>
      <c r="AS1075" s="90"/>
      <c r="AT1075" s="90"/>
      <c r="AU1075" s="90"/>
      <c r="AV1075" s="90"/>
      <c r="AW1075" s="90"/>
      <c r="AX1075" s="90"/>
    </row>
    <row r="1076" ht="15.75" customHeight="1">
      <c r="A1076" s="83" t="s">
        <v>1306</v>
      </c>
      <c r="B1076" s="84" t="s">
        <v>6857</v>
      </c>
      <c r="C1076" s="27" t="s">
        <v>7712</v>
      </c>
      <c r="D1076" s="27" t="s">
        <v>7713</v>
      </c>
      <c r="E1076" s="27" t="s">
        <v>7714</v>
      </c>
      <c r="F1076" s="45"/>
      <c r="G1076" s="45"/>
      <c r="H1076" s="45"/>
      <c r="I1076" s="83"/>
      <c r="J1076" s="84"/>
      <c r="K1076" s="83"/>
      <c r="L1076" s="83"/>
      <c r="M1076" s="83"/>
      <c r="N1076" s="83"/>
      <c r="O1076" s="83"/>
      <c r="P1076" s="83"/>
      <c r="Q1076" s="83" t="s">
        <v>150</v>
      </c>
      <c r="R1076" s="83"/>
      <c r="S1076" s="83"/>
      <c r="T1076" s="83"/>
      <c r="U1076" s="83"/>
      <c r="V1076" s="83"/>
      <c r="W1076" s="83"/>
      <c r="X1076" s="83"/>
      <c r="Y1076" s="83"/>
      <c r="Z1076" s="83"/>
      <c r="AA1076" s="83"/>
      <c r="AB1076" s="83"/>
      <c r="AC1076" s="83"/>
      <c r="AD1076" s="90"/>
      <c r="AE1076" s="90"/>
      <c r="AF1076" s="90"/>
      <c r="AG1076" s="90"/>
      <c r="AH1076" s="90"/>
      <c r="AI1076" s="90"/>
      <c r="AJ1076" s="90"/>
      <c r="AK1076" s="90"/>
      <c r="AL1076" s="90"/>
      <c r="AM1076" s="90"/>
      <c r="AN1076" s="90"/>
      <c r="AO1076" s="90"/>
      <c r="AP1076" s="90"/>
      <c r="AQ1076" s="90"/>
      <c r="AR1076" s="90"/>
      <c r="AS1076" s="90"/>
      <c r="AT1076" s="90"/>
      <c r="AU1076" s="90"/>
      <c r="AV1076" s="90"/>
      <c r="AW1076" s="90"/>
      <c r="AX1076" s="90"/>
    </row>
    <row r="1077" ht="15.75" customHeight="1">
      <c r="A1077" s="250" t="s">
        <v>268</v>
      </c>
      <c r="B1077" s="251" t="s">
        <v>6861</v>
      </c>
      <c r="C1077" s="27" t="s">
        <v>7715</v>
      </c>
      <c r="D1077" s="27" t="s">
        <v>7716</v>
      </c>
      <c r="E1077" s="27" t="s">
        <v>7717</v>
      </c>
      <c r="F1077" s="45"/>
      <c r="G1077" s="45"/>
      <c r="H1077" s="45"/>
      <c r="I1077" s="250"/>
      <c r="J1077" s="250"/>
      <c r="K1077" s="251"/>
      <c r="L1077" s="251"/>
      <c r="M1077" s="250"/>
      <c r="N1077" s="250"/>
      <c r="O1077" s="250" t="s">
        <v>7718</v>
      </c>
      <c r="P1077" s="250"/>
      <c r="Q1077" s="250" t="s">
        <v>150</v>
      </c>
      <c r="R1077" s="250"/>
      <c r="S1077" s="250"/>
      <c r="T1077" s="250"/>
      <c r="U1077" s="250"/>
      <c r="V1077" s="250"/>
      <c r="W1077" s="250"/>
      <c r="X1077" s="250"/>
      <c r="Y1077" s="250"/>
      <c r="Z1077" s="250"/>
      <c r="AA1077" s="250"/>
      <c r="AB1077" s="250"/>
      <c r="AC1077" s="250"/>
      <c r="AD1077" s="90"/>
      <c r="AE1077" s="90"/>
      <c r="AF1077" s="90"/>
      <c r="AG1077" s="90"/>
      <c r="AH1077" s="90"/>
      <c r="AI1077" s="90"/>
      <c r="AJ1077" s="90"/>
      <c r="AK1077" s="90"/>
      <c r="AL1077" s="90"/>
      <c r="AM1077" s="90"/>
      <c r="AN1077" s="90"/>
      <c r="AO1077" s="90"/>
      <c r="AP1077" s="90"/>
      <c r="AQ1077" s="90"/>
      <c r="AR1077" s="90"/>
      <c r="AS1077" s="90"/>
      <c r="AT1077" s="90"/>
      <c r="AU1077" s="90"/>
      <c r="AV1077" s="90"/>
      <c r="AW1077" s="90"/>
      <c r="AX1077" s="90"/>
    </row>
    <row r="1078" ht="15.75" customHeight="1">
      <c r="A1078" s="362" t="s">
        <v>426</v>
      </c>
      <c r="B1078" s="363" t="s">
        <v>6865</v>
      </c>
      <c r="C1078" s="172" t="s">
        <v>6866</v>
      </c>
      <c r="D1078" s="362"/>
      <c r="E1078" s="362"/>
      <c r="F1078" s="362"/>
      <c r="G1078" s="362"/>
      <c r="H1078" s="362"/>
      <c r="I1078" s="362"/>
      <c r="J1078" s="362"/>
      <c r="K1078" s="362"/>
      <c r="L1078" s="362"/>
      <c r="M1078" s="363"/>
      <c r="N1078" s="363"/>
      <c r="O1078" s="363" t="s">
        <v>7718</v>
      </c>
      <c r="P1078" s="362"/>
      <c r="Q1078" s="362"/>
      <c r="R1078" s="362"/>
      <c r="S1078" s="362"/>
      <c r="T1078" s="362"/>
      <c r="U1078" s="363" t="s">
        <v>7719</v>
      </c>
      <c r="V1078" s="362"/>
      <c r="W1078" s="362"/>
      <c r="X1078" s="362"/>
      <c r="Y1078" s="362"/>
      <c r="Z1078" s="362"/>
      <c r="AA1078" s="362"/>
      <c r="AB1078" s="362"/>
      <c r="AC1078" s="362"/>
      <c r="AD1078" s="90"/>
      <c r="AE1078" s="90"/>
      <c r="AF1078" s="90"/>
      <c r="AG1078" s="90"/>
      <c r="AH1078" s="90"/>
      <c r="AI1078" s="90"/>
      <c r="AJ1078" s="90"/>
      <c r="AK1078" s="90"/>
      <c r="AL1078" s="90"/>
      <c r="AM1078" s="90"/>
      <c r="AN1078" s="90"/>
      <c r="AO1078" s="90"/>
      <c r="AP1078" s="90"/>
      <c r="AQ1078" s="90"/>
      <c r="AR1078" s="90"/>
      <c r="AS1078" s="90"/>
      <c r="AT1078" s="90"/>
      <c r="AU1078" s="90"/>
      <c r="AV1078" s="90"/>
      <c r="AW1078" s="90"/>
      <c r="AX1078" s="90"/>
    </row>
    <row r="1079" ht="15.75" customHeight="1">
      <c r="A1079" s="238" t="s">
        <v>252</v>
      </c>
      <c r="B1079" s="240" t="s">
        <v>6867</v>
      </c>
      <c r="C1079" s="27" t="s">
        <v>7720</v>
      </c>
      <c r="D1079" s="27" t="s">
        <v>7721</v>
      </c>
      <c r="E1079" s="27" t="s">
        <v>7722</v>
      </c>
      <c r="F1079" s="45" t="s">
        <v>7672</v>
      </c>
      <c r="G1079" s="45" t="s">
        <v>7673</v>
      </c>
      <c r="H1079" s="45" t="s">
        <v>7674</v>
      </c>
      <c r="I1079" s="238"/>
      <c r="J1079" s="240" t="s">
        <v>7675</v>
      </c>
      <c r="K1079" s="238" t="s">
        <v>7676</v>
      </c>
      <c r="L1079" s="238"/>
      <c r="M1079" s="238"/>
      <c r="N1079" s="238"/>
      <c r="O1079" s="238"/>
      <c r="P1079" s="238"/>
      <c r="Q1079" s="238" t="s">
        <v>150</v>
      </c>
      <c r="R1079" s="238"/>
      <c r="S1079" s="238"/>
      <c r="T1079" s="238"/>
      <c r="U1079" s="238"/>
      <c r="V1079" s="238"/>
      <c r="W1079" s="238"/>
      <c r="X1079" s="238"/>
      <c r="Y1079" s="238"/>
      <c r="Z1079" s="238"/>
      <c r="AA1079" s="238"/>
      <c r="AB1079" s="238"/>
      <c r="AC1079" s="238"/>
      <c r="AD1079" s="90"/>
      <c r="AE1079" s="90"/>
      <c r="AF1079" s="90"/>
      <c r="AG1079" s="90"/>
      <c r="AH1079" s="90"/>
      <c r="AI1079" s="90"/>
      <c r="AJ1079" s="90"/>
      <c r="AK1079" s="90"/>
      <c r="AL1079" s="90"/>
      <c r="AM1079" s="90"/>
      <c r="AN1079" s="90"/>
      <c r="AO1079" s="90"/>
      <c r="AP1079" s="90"/>
      <c r="AQ1079" s="90"/>
      <c r="AR1079" s="90"/>
      <c r="AS1079" s="90"/>
      <c r="AT1079" s="90"/>
      <c r="AU1079" s="90"/>
      <c r="AV1079" s="90"/>
      <c r="AW1079" s="90"/>
      <c r="AX1079" s="90"/>
    </row>
    <row r="1080" ht="15.75" customHeight="1">
      <c r="A1080" s="362" t="s">
        <v>468</v>
      </c>
      <c r="B1080" s="362" t="s">
        <v>6865</v>
      </c>
      <c r="C1080" s="186" t="s">
        <v>6866</v>
      </c>
      <c r="D1080" s="362"/>
      <c r="E1080" s="362"/>
      <c r="F1080" s="362"/>
      <c r="G1080" s="362"/>
      <c r="H1080" s="362"/>
      <c r="I1080" s="362"/>
      <c r="J1080" s="362"/>
      <c r="K1080" s="362"/>
      <c r="L1080" s="362"/>
      <c r="M1080" s="362"/>
      <c r="N1080" s="362"/>
      <c r="O1080" s="362"/>
      <c r="P1080" s="362"/>
      <c r="Q1080" s="362"/>
      <c r="R1080" s="362"/>
      <c r="S1080" s="362"/>
      <c r="T1080" s="362"/>
      <c r="U1080" s="362"/>
      <c r="V1080" s="362"/>
      <c r="W1080" s="362"/>
      <c r="X1080" s="362"/>
      <c r="Y1080" s="362"/>
      <c r="Z1080" s="362"/>
      <c r="AA1080" s="362"/>
      <c r="AB1080" s="362"/>
      <c r="AC1080" s="362"/>
      <c r="AD1080" s="90"/>
      <c r="AE1080" s="90"/>
      <c r="AF1080" s="90"/>
      <c r="AG1080" s="90"/>
      <c r="AH1080" s="90"/>
      <c r="AI1080" s="90"/>
      <c r="AJ1080" s="90"/>
      <c r="AK1080" s="90"/>
      <c r="AL1080" s="90"/>
      <c r="AM1080" s="90"/>
      <c r="AN1080" s="90"/>
      <c r="AO1080" s="90"/>
      <c r="AP1080" s="90"/>
      <c r="AQ1080" s="90"/>
      <c r="AR1080" s="90"/>
      <c r="AS1080" s="90"/>
      <c r="AT1080" s="90"/>
      <c r="AU1080" s="90"/>
      <c r="AV1080" s="90"/>
      <c r="AW1080" s="90"/>
      <c r="AX1080" s="90"/>
    </row>
    <row r="1081" ht="15.75" customHeight="1">
      <c r="A1081" s="83" t="s">
        <v>1306</v>
      </c>
      <c r="B1081" s="84" t="s">
        <v>6871</v>
      </c>
      <c r="C1081" s="27" t="s">
        <v>7723</v>
      </c>
      <c r="D1081" s="27" t="s">
        <v>7724</v>
      </c>
      <c r="E1081" s="27" t="s">
        <v>7725</v>
      </c>
      <c r="F1081" s="45"/>
      <c r="G1081" s="45"/>
      <c r="H1081" s="45"/>
      <c r="I1081" s="83"/>
      <c r="J1081" s="84"/>
      <c r="K1081" s="83"/>
      <c r="L1081" s="83"/>
      <c r="M1081" s="83"/>
      <c r="N1081" s="83"/>
      <c r="O1081" s="83"/>
      <c r="P1081" s="83"/>
      <c r="Q1081" s="83" t="s">
        <v>150</v>
      </c>
      <c r="R1081" s="83"/>
      <c r="S1081" s="83"/>
      <c r="T1081" s="83"/>
      <c r="U1081" s="83"/>
      <c r="V1081" s="83"/>
      <c r="W1081" s="83"/>
      <c r="X1081" s="83"/>
      <c r="Y1081" s="83"/>
      <c r="Z1081" s="83"/>
      <c r="AA1081" s="83"/>
      <c r="AB1081" s="83"/>
      <c r="AC1081" s="83"/>
      <c r="AD1081" s="90"/>
      <c r="AE1081" s="90"/>
      <c r="AF1081" s="90"/>
      <c r="AG1081" s="90"/>
      <c r="AH1081" s="90"/>
      <c r="AI1081" s="90"/>
      <c r="AJ1081" s="90"/>
      <c r="AK1081" s="90"/>
      <c r="AL1081" s="90"/>
      <c r="AM1081" s="90"/>
      <c r="AN1081" s="90"/>
      <c r="AO1081" s="90"/>
      <c r="AP1081" s="90"/>
      <c r="AQ1081" s="90"/>
      <c r="AR1081" s="90"/>
      <c r="AS1081" s="90"/>
      <c r="AT1081" s="90"/>
      <c r="AU1081" s="90"/>
      <c r="AV1081" s="90"/>
      <c r="AW1081" s="90"/>
      <c r="AX1081" s="90"/>
    </row>
    <row r="1082" ht="15.75" customHeight="1">
      <c r="A1082" s="149" t="s">
        <v>133</v>
      </c>
      <c r="B1082" s="150" t="s">
        <v>6875</v>
      </c>
      <c r="C1082" s="147" t="s">
        <v>6876</v>
      </c>
      <c r="D1082" s="149"/>
      <c r="E1082" s="149"/>
      <c r="F1082" s="149"/>
      <c r="G1082" s="149"/>
      <c r="H1082" s="149"/>
      <c r="I1082" s="149"/>
      <c r="J1082" s="150" t="s">
        <v>1982</v>
      </c>
      <c r="K1082" s="149"/>
      <c r="L1082" s="149"/>
      <c r="M1082" s="150"/>
      <c r="N1082" s="150"/>
      <c r="O1082" s="150"/>
      <c r="P1082" s="149"/>
      <c r="Q1082" s="149"/>
      <c r="R1082" s="149"/>
      <c r="S1082" s="149"/>
      <c r="T1082" s="149"/>
      <c r="U1082" s="149"/>
      <c r="V1082" s="149"/>
      <c r="W1082" s="149"/>
      <c r="X1082" s="149"/>
      <c r="Y1082" s="149"/>
      <c r="Z1082" s="149"/>
      <c r="AA1082" s="149"/>
      <c r="AB1082" s="149"/>
      <c r="AC1082" s="149"/>
      <c r="AD1082" s="90"/>
      <c r="AE1082" s="90"/>
      <c r="AF1082" s="90"/>
      <c r="AG1082" s="90"/>
      <c r="AH1082" s="90"/>
      <c r="AI1082" s="90"/>
      <c r="AJ1082" s="90"/>
      <c r="AK1082" s="90"/>
      <c r="AL1082" s="90"/>
      <c r="AM1082" s="90"/>
      <c r="AN1082" s="90"/>
      <c r="AO1082" s="90"/>
      <c r="AP1082" s="90"/>
      <c r="AQ1082" s="90"/>
      <c r="AR1082" s="90"/>
      <c r="AS1082" s="90"/>
      <c r="AT1082" s="90"/>
      <c r="AU1082" s="90"/>
      <c r="AV1082" s="90"/>
      <c r="AW1082" s="90"/>
      <c r="AX1082" s="90"/>
    </row>
    <row r="1083" ht="15.75" customHeight="1">
      <c r="A1083" s="238" t="s">
        <v>252</v>
      </c>
      <c r="B1083" s="240" t="s">
        <v>6877</v>
      </c>
      <c r="C1083" s="27" t="s">
        <v>7726</v>
      </c>
      <c r="D1083" s="27" t="s">
        <v>7727</v>
      </c>
      <c r="E1083" s="27" t="s">
        <v>7728</v>
      </c>
      <c r="F1083" s="45"/>
      <c r="G1083" s="45"/>
      <c r="H1083" s="45"/>
      <c r="I1083" s="238"/>
      <c r="J1083" s="240"/>
      <c r="K1083" s="238"/>
      <c r="L1083" s="238"/>
      <c r="M1083" s="238"/>
      <c r="N1083" s="238"/>
      <c r="O1083" s="238" t="s">
        <v>7729</v>
      </c>
      <c r="P1083" s="238"/>
      <c r="Q1083" s="238" t="s">
        <v>150</v>
      </c>
      <c r="R1083" s="238"/>
      <c r="S1083" s="238"/>
      <c r="T1083" s="238"/>
      <c r="U1083" s="238"/>
      <c r="V1083" s="238"/>
      <c r="W1083" s="238"/>
      <c r="X1083" s="238"/>
      <c r="Y1083" s="238"/>
      <c r="Z1083" s="238"/>
      <c r="AA1083" s="238"/>
      <c r="AB1083" s="238"/>
      <c r="AC1083" s="238"/>
      <c r="AD1083" s="90"/>
      <c r="AE1083" s="90"/>
      <c r="AF1083" s="90"/>
      <c r="AG1083" s="90"/>
      <c r="AH1083" s="90"/>
      <c r="AI1083" s="90"/>
      <c r="AJ1083" s="90"/>
      <c r="AK1083" s="90"/>
      <c r="AL1083" s="90"/>
      <c r="AM1083" s="90"/>
      <c r="AN1083" s="90"/>
      <c r="AO1083" s="90"/>
      <c r="AP1083" s="90"/>
      <c r="AQ1083" s="90"/>
      <c r="AR1083" s="90"/>
      <c r="AS1083" s="90"/>
      <c r="AT1083" s="90"/>
      <c r="AU1083" s="90"/>
      <c r="AV1083" s="90"/>
      <c r="AW1083" s="90"/>
      <c r="AX1083" s="90"/>
    </row>
    <row r="1084" ht="15.75" customHeight="1">
      <c r="A1084" s="238" t="s">
        <v>252</v>
      </c>
      <c r="B1084" s="240" t="s">
        <v>6882</v>
      </c>
      <c r="C1084" s="27" t="s">
        <v>7730</v>
      </c>
      <c r="D1084" s="27" t="s">
        <v>7731</v>
      </c>
      <c r="E1084" s="27" t="s">
        <v>7732</v>
      </c>
      <c r="F1084" s="45"/>
      <c r="G1084" s="45"/>
      <c r="H1084" s="45"/>
      <c r="I1084" s="238"/>
      <c r="J1084" s="240"/>
      <c r="K1084" s="238"/>
      <c r="L1084" s="238"/>
      <c r="M1084" s="238"/>
      <c r="N1084" s="238"/>
      <c r="O1084" s="238" t="s">
        <v>7729</v>
      </c>
      <c r="P1084" s="238"/>
      <c r="Q1084" s="238" t="s">
        <v>150</v>
      </c>
      <c r="R1084" s="238"/>
      <c r="S1084" s="238"/>
      <c r="T1084" s="238"/>
      <c r="U1084" s="238"/>
      <c r="V1084" s="238"/>
      <c r="W1084" s="238"/>
      <c r="X1084" s="238"/>
      <c r="Y1084" s="238"/>
      <c r="Z1084" s="238"/>
      <c r="AA1084" s="238"/>
      <c r="AB1084" s="238"/>
      <c r="AC1084" s="238"/>
      <c r="AD1084" s="90"/>
      <c r="AE1084" s="90"/>
      <c r="AF1084" s="90"/>
      <c r="AG1084" s="90"/>
      <c r="AH1084" s="90"/>
      <c r="AI1084" s="90"/>
      <c r="AJ1084" s="90"/>
      <c r="AK1084" s="90"/>
      <c r="AL1084" s="90"/>
      <c r="AM1084" s="90"/>
      <c r="AN1084" s="90"/>
      <c r="AO1084" s="90"/>
      <c r="AP1084" s="90"/>
      <c r="AQ1084" s="90"/>
      <c r="AR1084" s="90"/>
      <c r="AS1084" s="90"/>
      <c r="AT1084" s="90"/>
      <c r="AU1084" s="90"/>
      <c r="AV1084" s="90"/>
      <c r="AW1084" s="90"/>
      <c r="AX1084" s="90"/>
    </row>
    <row r="1085" ht="15.75" customHeight="1">
      <c r="A1085" s="149" t="s">
        <v>237</v>
      </c>
      <c r="B1085" s="149" t="s">
        <v>6875</v>
      </c>
      <c r="C1085" s="226" t="s">
        <v>6876</v>
      </c>
      <c r="D1085" s="149"/>
      <c r="E1085" s="149"/>
      <c r="F1085" s="149"/>
      <c r="G1085" s="149"/>
      <c r="H1085" s="149"/>
      <c r="I1085" s="149"/>
      <c r="J1085" s="149"/>
      <c r="K1085" s="149"/>
      <c r="L1085" s="149"/>
      <c r="M1085" s="149"/>
      <c r="N1085" s="149"/>
      <c r="O1085" s="149"/>
      <c r="P1085" s="149"/>
      <c r="Q1085" s="149"/>
      <c r="R1085" s="149"/>
      <c r="S1085" s="149"/>
      <c r="T1085" s="149"/>
      <c r="U1085" s="149"/>
      <c r="V1085" s="149"/>
      <c r="W1085" s="149"/>
      <c r="X1085" s="149"/>
      <c r="Y1085" s="149"/>
      <c r="Z1085" s="149"/>
      <c r="AA1085" s="149"/>
      <c r="AB1085" s="149"/>
      <c r="AC1085" s="149"/>
      <c r="AD1085" s="90"/>
      <c r="AE1085" s="90"/>
      <c r="AF1085" s="90"/>
      <c r="AG1085" s="90"/>
      <c r="AH1085" s="90"/>
      <c r="AI1085" s="90"/>
      <c r="AJ1085" s="90"/>
      <c r="AK1085" s="90"/>
      <c r="AL1085" s="90"/>
      <c r="AM1085" s="90"/>
      <c r="AN1085" s="90"/>
      <c r="AO1085" s="90"/>
      <c r="AP1085" s="90"/>
      <c r="AQ1085" s="90"/>
      <c r="AR1085" s="90"/>
      <c r="AS1085" s="90"/>
      <c r="AT1085" s="90"/>
      <c r="AU1085" s="90"/>
      <c r="AV1085" s="90"/>
      <c r="AW1085" s="90"/>
      <c r="AX1085" s="90"/>
    </row>
    <row r="1086" ht="15.75" customHeight="1">
      <c r="A1086" s="104" t="s">
        <v>68</v>
      </c>
      <c r="B1086" s="139" t="s">
        <v>6886</v>
      </c>
      <c r="C1086" s="72"/>
      <c r="D1086" s="104"/>
      <c r="E1086" s="104"/>
      <c r="F1086" s="104"/>
      <c r="G1086" s="104"/>
      <c r="H1086" s="104"/>
      <c r="I1086" s="104"/>
      <c r="J1086" s="104"/>
      <c r="K1086" s="104"/>
      <c r="L1086" s="104"/>
      <c r="M1086" s="104"/>
      <c r="N1086" s="104"/>
      <c r="O1086" s="104"/>
      <c r="P1086" s="104"/>
      <c r="Q1086" s="104"/>
      <c r="R1086" s="104"/>
      <c r="S1086" s="104"/>
      <c r="T1086" s="139" t="s">
        <v>7733</v>
      </c>
      <c r="U1086" s="104"/>
      <c r="V1086" s="104"/>
      <c r="W1086" s="104"/>
      <c r="X1086" s="104"/>
      <c r="Y1086" s="104"/>
      <c r="Z1086" s="104"/>
      <c r="AA1086" s="104"/>
      <c r="AB1086" s="104"/>
      <c r="AC1086" s="104"/>
      <c r="AD1086" s="90"/>
      <c r="AE1086" s="90"/>
      <c r="AF1086" s="90"/>
      <c r="AG1086" s="90"/>
      <c r="AH1086" s="90"/>
      <c r="AI1086" s="90"/>
      <c r="AJ1086" s="90"/>
      <c r="AK1086" s="90"/>
      <c r="AL1086" s="90"/>
      <c r="AM1086" s="90"/>
      <c r="AN1086" s="90"/>
      <c r="AO1086" s="90"/>
      <c r="AP1086" s="90"/>
      <c r="AQ1086" s="90"/>
      <c r="AR1086" s="90"/>
      <c r="AS1086" s="90"/>
      <c r="AT1086" s="90"/>
      <c r="AU1086" s="90"/>
      <c r="AV1086" s="90"/>
      <c r="AW1086" s="90"/>
      <c r="AX1086" s="90"/>
    </row>
    <row r="1087" ht="15.75" customHeight="1">
      <c r="A1087" s="238" t="s">
        <v>252</v>
      </c>
      <c r="B1087" s="240" t="s">
        <v>6887</v>
      </c>
      <c r="C1087" s="27" t="s">
        <v>7734</v>
      </c>
      <c r="D1087" s="27" t="s">
        <v>7735</v>
      </c>
      <c r="E1087" s="27" t="s">
        <v>7736</v>
      </c>
      <c r="F1087" s="45" t="s">
        <v>7672</v>
      </c>
      <c r="G1087" s="45" t="s">
        <v>7673</v>
      </c>
      <c r="H1087" s="45" t="s">
        <v>7674</v>
      </c>
      <c r="I1087" s="238"/>
      <c r="J1087" s="240" t="s">
        <v>7675</v>
      </c>
      <c r="K1087" s="238" t="s">
        <v>7676</v>
      </c>
      <c r="L1087" s="238"/>
      <c r="M1087" s="238"/>
      <c r="N1087" s="238"/>
      <c r="O1087" s="238" t="s">
        <v>7729</v>
      </c>
      <c r="P1087" s="238"/>
      <c r="Q1087" s="238" t="s">
        <v>150</v>
      </c>
      <c r="R1087" s="238"/>
      <c r="S1087" s="238"/>
      <c r="T1087" s="238"/>
      <c r="U1087" s="238"/>
      <c r="V1087" s="238"/>
      <c r="W1087" s="238"/>
      <c r="X1087" s="238"/>
      <c r="Y1087" s="238"/>
      <c r="Z1087" s="238"/>
      <c r="AA1087" s="238"/>
      <c r="AB1087" s="238"/>
      <c r="AC1087" s="238"/>
      <c r="AD1087" s="90"/>
      <c r="AE1087" s="90"/>
      <c r="AF1087" s="90"/>
      <c r="AG1087" s="90"/>
      <c r="AH1087" s="90"/>
      <c r="AI1087" s="90"/>
      <c r="AJ1087" s="90"/>
      <c r="AK1087" s="90"/>
      <c r="AL1087" s="90"/>
      <c r="AM1087" s="90"/>
      <c r="AN1087" s="90"/>
      <c r="AO1087" s="90"/>
      <c r="AP1087" s="90"/>
      <c r="AQ1087" s="90"/>
      <c r="AR1087" s="90"/>
      <c r="AS1087" s="90"/>
      <c r="AT1087" s="90"/>
      <c r="AU1087" s="90"/>
      <c r="AV1087" s="90"/>
      <c r="AW1087" s="90"/>
      <c r="AX1087" s="90"/>
    </row>
    <row r="1088" ht="15.75" customHeight="1">
      <c r="A1088" s="83" t="s">
        <v>4846</v>
      </c>
      <c r="B1088" s="84" t="s">
        <v>6889</v>
      </c>
      <c r="C1088" s="27" t="s">
        <v>7737</v>
      </c>
      <c r="D1088" s="27" t="s">
        <v>7738</v>
      </c>
      <c r="E1088" s="27" t="s">
        <v>7739</v>
      </c>
      <c r="F1088" s="45"/>
      <c r="G1088" s="45"/>
      <c r="H1088" s="45"/>
      <c r="I1088" s="83"/>
      <c r="J1088" s="84"/>
      <c r="K1088" s="83"/>
      <c r="L1088" s="83"/>
      <c r="M1088" s="83"/>
      <c r="N1088" s="83"/>
      <c r="O1088" s="83" t="s">
        <v>7729</v>
      </c>
      <c r="P1088" s="83"/>
      <c r="Q1088" s="83" t="s">
        <v>150</v>
      </c>
      <c r="R1088" s="83"/>
      <c r="S1088" s="83"/>
      <c r="T1088" s="83"/>
      <c r="U1088" s="83"/>
      <c r="V1088" s="83"/>
      <c r="W1088" s="83"/>
      <c r="X1088" s="83"/>
      <c r="Y1088" s="83"/>
      <c r="Z1088" s="83"/>
      <c r="AA1088" s="83"/>
      <c r="AB1088" s="83"/>
      <c r="AC1088" s="83"/>
      <c r="AD1088" s="90"/>
      <c r="AE1088" s="90"/>
      <c r="AF1088" s="90"/>
      <c r="AG1088" s="90"/>
      <c r="AH1088" s="90"/>
      <c r="AI1088" s="90"/>
      <c r="AJ1088" s="90"/>
      <c r="AK1088" s="90"/>
      <c r="AL1088" s="90"/>
      <c r="AM1088" s="90"/>
      <c r="AN1088" s="90"/>
      <c r="AO1088" s="90"/>
      <c r="AP1088" s="90"/>
      <c r="AQ1088" s="90"/>
      <c r="AR1088" s="90"/>
      <c r="AS1088" s="90"/>
      <c r="AT1088" s="90"/>
      <c r="AU1088" s="90"/>
      <c r="AV1088" s="90"/>
      <c r="AW1088" s="90"/>
      <c r="AX1088" s="90"/>
    </row>
    <row r="1089" ht="15.75" customHeight="1">
      <c r="A1089" s="83" t="s">
        <v>1306</v>
      </c>
      <c r="B1089" s="84" t="s">
        <v>6890</v>
      </c>
      <c r="C1089" s="27" t="s">
        <v>7740</v>
      </c>
      <c r="D1089" s="27" t="s">
        <v>7741</v>
      </c>
      <c r="E1089" s="27" t="s">
        <v>7742</v>
      </c>
      <c r="F1089" s="45"/>
      <c r="G1089" s="45"/>
      <c r="H1089" s="45"/>
      <c r="I1089" s="83"/>
      <c r="J1089" s="84"/>
      <c r="K1089" s="83"/>
      <c r="L1089" s="83"/>
      <c r="M1089" s="83"/>
      <c r="N1089" s="83"/>
      <c r="O1089" s="83" t="s">
        <v>7729</v>
      </c>
      <c r="P1089" s="83"/>
      <c r="Q1089" s="83" t="s">
        <v>150</v>
      </c>
      <c r="R1089" s="83"/>
      <c r="S1089" s="83"/>
      <c r="T1089" s="83"/>
      <c r="U1089" s="83"/>
      <c r="V1089" s="83"/>
      <c r="W1089" s="83"/>
      <c r="X1089" s="83"/>
      <c r="Y1089" s="83"/>
      <c r="Z1089" s="83"/>
      <c r="AA1089" s="83"/>
      <c r="AB1089" s="83"/>
      <c r="AC1089" s="83"/>
      <c r="AD1089" s="90"/>
      <c r="AE1089" s="90"/>
      <c r="AF1089" s="90"/>
      <c r="AG1089" s="90"/>
      <c r="AH1089" s="90"/>
      <c r="AI1089" s="90"/>
      <c r="AJ1089" s="90"/>
      <c r="AK1089" s="90"/>
      <c r="AL1089" s="90"/>
      <c r="AM1089" s="90"/>
      <c r="AN1089" s="90"/>
      <c r="AO1089" s="90"/>
      <c r="AP1089" s="90"/>
      <c r="AQ1089" s="90"/>
      <c r="AR1089" s="90"/>
      <c r="AS1089" s="90"/>
      <c r="AT1089" s="90"/>
      <c r="AU1089" s="90"/>
      <c r="AV1089" s="90"/>
      <c r="AW1089" s="90"/>
      <c r="AX1089" s="90"/>
    </row>
    <row r="1090" ht="15.75" customHeight="1">
      <c r="A1090" s="220" t="s">
        <v>38</v>
      </c>
      <c r="B1090" s="361" t="s">
        <v>6895</v>
      </c>
      <c r="C1090" s="27" t="s">
        <v>7743</v>
      </c>
      <c r="D1090" s="27" t="s">
        <v>7744</v>
      </c>
      <c r="E1090" s="27" t="s">
        <v>7745</v>
      </c>
      <c r="F1090" s="45"/>
      <c r="G1090" s="45"/>
      <c r="H1090" s="45"/>
      <c r="I1090" s="220"/>
      <c r="J1090" s="220"/>
      <c r="K1090" s="220"/>
      <c r="L1090" s="220"/>
      <c r="M1090" s="220"/>
      <c r="N1090" s="220"/>
      <c r="O1090" s="220" t="s">
        <v>7746</v>
      </c>
      <c r="P1090" s="220"/>
      <c r="Q1090" s="220" t="s">
        <v>150</v>
      </c>
      <c r="R1090" s="220"/>
      <c r="S1090" s="220"/>
      <c r="T1090" s="220"/>
      <c r="U1090" s="220"/>
      <c r="V1090" s="220"/>
      <c r="W1090" s="220"/>
      <c r="X1090" s="220"/>
      <c r="Y1090" s="220"/>
      <c r="Z1090" s="220"/>
      <c r="AA1090" s="220"/>
      <c r="AB1090" s="220"/>
      <c r="AC1090" s="220"/>
      <c r="AD1090" s="90"/>
      <c r="AE1090" s="90"/>
      <c r="AF1090" s="90"/>
      <c r="AG1090" s="90"/>
      <c r="AH1090" s="90"/>
      <c r="AI1090" s="90"/>
      <c r="AJ1090" s="90"/>
      <c r="AK1090" s="90"/>
      <c r="AL1090" s="90"/>
      <c r="AM1090" s="90"/>
      <c r="AN1090" s="90"/>
      <c r="AO1090" s="90"/>
      <c r="AP1090" s="90"/>
      <c r="AQ1090" s="90"/>
      <c r="AR1090" s="90"/>
      <c r="AS1090" s="90"/>
      <c r="AT1090" s="90"/>
      <c r="AU1090" s="90"/>
      <c r="AV1090" s="90"/>
      <c r="AW1090" s="90"/>
      <c r="AX1090" s="90"/>
    </row>
    <row r="1091" ht="15.75" customHeight="1">
      <c r="A1091" s="83" t="s">
        <v>6823</v>
      </c>
      <c r="B1091" s="84" t="s">
        <v>6896</v>
      </c>
      <c r="C1091" s="27" t="s">
        <v>7747</v>
      </c>
      <c r="D1091" s="27" t="s">
        <v>7748</v>
      </c>
      <c r="E1091" s="27" t="s">
        <v>7749</v>
      </c>
      <c r="F1091" s="45"/>
      <c r="G1091" s="45"/>
      <c r="H1091" s="45"/>
      <c r="I1091" s="83"/>
      <c r="J1091" s="84"/>
      <c r="K1091" s="83"/>
      <c r="L1091" s="83"/>
      <c r="M1091" s="83"/>
      <c r="N1091" s="83"/>
      <c r="O1091" s="83" t="s">
        <v>7729</v>
      </c>
      <c r="P1091" s="83"/>
      <c r="Q1091" s="83" t="s">
        <v>150</v>
      </c>
      <c r="R1091" s="83"/>
      <c r="S1091" s="83"/>
      <c r="T1091" s="83"/>
      <c r="U1091" s="83"/>
      <c r="V1091" s="83"/>
      <c r="W1091" s="83"/>
      <c r="X1091" s="83"/>
      <c r="Y1091" s="83"/>
      <c r="Z1091" s="83"/>
      <c r="AA1091" s="83"/>
      <c r="AB1091" s="83"/>
      <c r="AC1091" s="83"/>
      <c r="AD1091" s="90"/>
      <c r="AE1091" s="90"/>
      <c r="AF1091" s="90"/>
      <c r="AG1091" s="90"/>
      <c r="AH1091" s="90"/>
      <c r="AI1091" s="90"/>
      <c r="AJ1091" s="90"/>
      <c r="AK1091" s="90"/>
      <c r="AL1091" s="90"/>
      <c r="AM1091" s="90"/>
      <c r="AN1091" s="90"/>
      <c r="AO1091" s="90"/>
      <c r="AP1091" s="90"/>
      <c r="AQ1091" s="90"/>
      <c r="AR1091" s="90"/>
      <c r="AS1091" s="90"/>
      <c r="AT1091" s="90"/>
      <c r="AU1091" s="90"/>
      <c r="AV1091" s="90"/>
      <c r="AW1091" s="90"/>
      <c r="AX1091" s="90"/>
    </row>
    <row r="1092" ht="15.75" customHeight="1">
      <c r="A1092" s="220" t="s">
        <v>38</v>
      </c>
      <c r="B1092" s="361" t="s">
        <v>6900</v>
      </c>
      <c r="C1092" s="27" t="s">
        <v>7750</v>
      </c>
      <c r="D1092" s="27" t="s">
        <v>7751</v>
      </c>
      <c r="E1092" s="27" t="s">
        <v>7752</v>
      </c>
      <c r="F1092" s="45"/>
      <c r="G1092" s="45"/>
      <c r="H1092" s="45"/>
      <c r="I1092" s="220"/>
      <c r="J1092" s="220"/>
      <c r="K1092" s="220"/>
      <c r="L1092" s="220"/>
      <c r="M1092" s="220"/>
      <c r="N1092" s="220"/>
      <c r="O1092" s="220" t="s">
        <v>7753</v>
      </c>
      <c r="P1092" s="220"/>
      <c r="Q1092" s="220" t="s">
        <v>150</v>
      </c>
      <c r="R1092" s="220"/>
      <c r="S1092" s="220"/>
      <c r="T1092" s="220"/>
      <c r="U1092" s="220"/>
      <c r="V1092" s="220"/>
      <c r="W1092" s="220"/>
      <c r="X1092" s="220"/>
      <c r="Y1092" s="220"/>
      <c r="Z1092" s="220"/>
      <c r="AA1092" s="220"/>
      <c r="AB1092" s="220"/>
      <c r="AC1092" s="220"/>
      <c r="AD1092" s="90"/>
      <c r="AE1092" s="90"/>
      <c r="AF1092" s="90"/>
      <c r="AG1092" s="90"/>
      <c r="AH1092" s="90"/>
      <c r="AI1092" s="90"/>
      <c r="AJ1092" s="90"/>
      <c r="AK1092" s="90"/>
      <c r="AL1092" s="90"/>
      <c r="AM1092" s="90"/>
      <c r="AN1092" s="90"/>
      <c r="AO1092" s="90"/>
      <c r="AP1092" s="90"/>
      <c r="AQ1092" s="90"/>
      <c r="AR1092" s="90"/>
      <c r="AS1092" s="90"/>
      <c r="AT1092" s="90"/>
      <c r="AU1092" s="90"/>
      <c r="AV1092" s="90"/>
      <c r="AW1092" s="90"/>
      <c r="AX1092" s="90"/>
    </row>
    <row r="1093" ht="15.75" customHeight="1">
      <c r="A1093" s="83" t="s">
        <v>1306</v>
      </c>
      <c r="B1093" s="84" t="s">
        <v>6904</v>
      </c>
      <c r="C1093" s="27" t="s">
        <v>7754</v>
      </c>
      <c r="D1093" s="27" t="s">
        <v>7755</v>
      </c>
      <c r="E1093" s="27" t="s">
        <v>7756</v>
      </c>
      <c r="F1093" s="45"/>
      <c r="G1093" s="45"/>
      <c r="H1093" s="45"/>
      <c r="I1093" s="83"/>
      <c r="J1093" s="84"/>
      <c r="K1093" s="83"/>
      <c r="L1093" s="83"/>
      <c r="M1093" s="83"/>
      <c r="N1093" s="83"/>
      <c r="O1093" s="83" t="s">
        <v>7729</v>
      </c>
      <c r="P1093" s="83"/>
      <c r="Q1093" s="83" t="s">
        <v>150</v>
      </c>
      <c r="R1093" s="83"/>
      <c r="S1093" s="83"/>
      <c r="T1093" s="83"/>
      <c r="U1093" s="83"/>
      <c r="V1093" s="83"/>
      <c r="W1093" s="83"/>
      <c r="X1093" s="83"/>
      <c r="Y1093" s="83"/>
      <c r="Z1093" s="83"/>
      <c r="AA1093" s="83"/>
      <c r="AB1093" s="83"/>
      <c r="AC1093" s="83"/>
      <c r="AD1093" s="90"/>
      <c r="AE1093" s="90"/>
      <c r="AF1093" s="90"/>
      <c r="AG1093" s="90"/>
      <c r="AH1093" s="90"/>
      <c r="AI1093" s="90"/>
      <c r="AJ1093" s="90"/>
      <c r="AK1093" s="90"/>
      <c r="AL1093" s="90"/>
      <c r="AM1093" s="90"/>
      <c r="AN1093" s="90"/>
      <c r="AO1093" s="90"/>
      <c r="AP1093" s="90"/>
      <c r="AQ1093" s="90"/>
      <c r="AR1093" s="90"/>
      <c r="AS1093" s="90"/>
      <c r="AT1093" s="90"/>
      <c r="AU1093" s="90"/>
      <c r="AV1093" s="90"/>
      <c r="AW1093" s="90"/>
      <c r="AX1093" s="90"/>
    </row>
    <row r="1094" ht="15.75" customHeight="1">
      <c r="A1094" s="149" t="s">
        <v>133</v>
      </c>
      <c r="B1094" s="150" t="s">
        <v>6909</v>
      </c>
      <c r="C1094" s="147" t="s">
        <v>6910</v>
      </c>
      <c r="D1094" s="149"/>
      <c r="E1094" s="149"/>
      <c r="F1094" s="149"/>
      <c r="G1094" s="149"/>
      <c r="H1094" s="150"/>
      <c r="I1094" s="149"/>
      <c r="J1094" s="150" t="s">
        <v>1982</v>
      </c>
      <c r="K1094" s="149"/>
      <c r="L1094" s="149"/>
      <c r="M1094" s="150"/>
      <c r="N1094" s="150"/>
      <c r="O1094" s="150"/>
      <c r="P1094" s="149"/>
      <c r="Q1094" s="149"/>
      <c r="R1094" s="149"/>
      <c r="S1094" s="149"/>
      <c r="T1094" s="149"/>
      <c r="U1094" s="149"/>
      <c r="V1094" s="149"/>
      <c r="W1094" s="149"/>
      <c r="X1094" s="149"/>
      <c r="Y1094" s="149"/>
      <c r="Z1094" s="149"/>
      <c r="AA1094" s="149"/>
      <c r="AB1094" s="149"/>
      <c r="AC1094" s="149"/>
      <c r="AD1094" s="90"/>
      <c r="AE1094" s="90"/>
      <c r="AF1094" s="90"/>
      <c r="AG1094" s="90"/>
      <c r="AH1094" s="90"/>
      <c r="AI1094" s="90"/>
      <c r="AJ1094" s="90"/>
      <c r="AK1094" s="90"/>
      <c r="AL1094" s="90"/>
      <c r="AM1094" s="90"/>
      <c r="AN1094" s="90"/>
      <c r="AO1094" s="90"/>
      <c r="AP1094" s="90"/>
      <c r="AQ1094" s="90"/>
      <c r="AR1094" s="90"/>
      <c r="AS1094" s="90"/>
      <c r="AT1094" s="90"/>
      <c r="AU1094" s="90"/>
      <c r="AV1094" s="90"/>
      <c r="AW1094" s="90"/>
      <c r="AX1094" s="90"/>
    </row>
    <row r="1095" ht="15.75" customHeight="1">
      <c r="A1095" s="238" t="s">
        <v>252</v>
      </c>
      <c r="B1095" s="240" t="s">
        <v>6911</v>
      </c>
      <c r="C1095" s="27" t="s">
        <v>7757</v>
      </c>
      <c r="D1095" s="27" t="s">
        <v>7758</v>
      </c>
      <c r="E1095" s="27" t="s">
        <v>7759</v>
      </c>
      <c r="F1095" s="45"/>
      <c r="G1095" s="45"/>
      <c r="H1095" s="45"/>
      <c r="I1095" s="238"/>
      <c r="J1095" s="240"/>
      <c r="K1095" s="238"/>
      <c r="L1095" s="238"/>
      <c r="M1095" s="238"/>
      <c r="N1095" s="238"/>
      <c r="O1095" s="238" t="s">
        <v>7760</v>
      </c>
      <c r="P1095" s="238"/>
      <c r="Q1095" s="238" t="s">
        <v>150</v>
      </c>
      <c r="R1095" s="238"/>
      <c r="S1095" s="238"/>
      <c r="T1095" s="238"/>
      <c r="U1095" s="238"/>
      <c r="V1095" s="238"/>
      <c r="W1095" s="238"/>
      <c r="X1095" s="238"/>
      <c r="Y1095" s="238"/>
      <c r="Z1095" s="238"/>
      <c r="AA1095" s="238"/>
      <c r="AB1095" s="238"/>
      <c r="AC1095" s="238"/>
      <c r="AD1095" s="90"/>
      <c r="AE1095" s="90"/>
      <c r="AF1095" s="90"/>
      <c r="AG1095" s="90"/>
      <c r="AH1095" s="90"/>
      <c r="AI1095" s="90"/>
      <c r="AJ1095" s="90"/>
      <c r="AK1095" s="90"/>
      <c r="AL1095" s="90"/>
      <c r="AM1095" s="90"/>
      <c r="AN1095" s="90"/>
      <c r="AO1095" s="90"/>
      <c r="AP1095" s="90"/>
      <c r="AQ1095" s="90"/>
      <c r="AR1095" s="90"/>
      <c r="AS1095" s="90"/>
      <c r="AT1095" s="90"/>
      <c r="AU1095" s="90"/>
      <c r="AV1095" s="90"/>
      <c r="AW1095" s="90"/>
      <c r="AX1095" s="90"/>
    </row>
    <row r="1096" ht="15.75" customHeight="1">
      <c r="A1096" s="238" t="s">
        <v>252</v>
      </c>
      <c r="B1096" s="240" t="s">
        <v>6916</v>
      </c>
      <c r="C1096" s="27" t="s">
        <v>7761</v>
      </c>
      <c r="D1096" s="27" t="s">
        <v>7762</v>
      </c>
      <c r="E1096" s="27" t="s">
        <v>7763</v>
      </c>
      <c r="F1096" s="45"/>
      <c r="G1096" s="45"/>
      <c r="H1096" s="45"/>
      <c r="I1096" s="238"/>
      <c r="J1096" s="240"/>
      <c r="K1096" s="238"/>
      <c r="L1096" s="238"/>
      <c r="M1096" s="238"/>
      <c r="N1096" s="238"/>
      <c r="O1096" s="238" t="s">
        <v>7760</v>
      </c>
      <c r="P1096" s="238"/>
      <c r="Q1096" s="238" t="s">
        <v>150</v>
      </c>
      <c r="R1096" s="238"/>
      <c r="S1096" s="238"/>
      <c r="T1096" s="238"/>
      <c r="U1096" s="238"/>
      <c r="V1096" s="238"/>
      <c r="W1096" s="238"/>
      <c r="X1096" s="238"/>
      <c r="Y1096" s="238"/>
      <c r="Z1096" s="238"/>
      <c r="AA1096" s="238"/>
      <c r="AB1096" s="238"/>
      <c r="AC1096" s="238"/>
      <c r="AD1096" s="90"/>
      <c r="AE1096" s="90"/>
      <c r="AF1096" s="90"/>
      <c r="AG1096" s="90"/>
      <c r="AH1096" s="90"/>
      <c r="AI1096" s="90"/>
      <c r="AJ1096" s="90"/>
      <c r="AK1096" s="90"/>
      <c r="AL1096" s="90"/>
      <c r="AM1096" s="90"/>
      <c r="AN1096" s="90"/>
      <c r="AO1096" s="90"/>
      <c r="AP1096" s="90"/>
      <c r="AQ1096" s="90"/>
      <c r="AR1096" s="90"/>
      <c r="AS1096" s="90"/>
      <c r="AT1096" s="90"/>
      <c r="AU1096" s="90"/>
      <c r="AV1096" s="90"/>
      <c r="AW1096" s="90"/>
      <c r="AX1096" s="90"/>
    </row>
    <row r="1097" ht="15.75" customHeight="1">
      <c r="A1097" s="149" t="s">
        <v>237</v>
      </c>
      <c r="B1097" s="149" t="s">
        <v>6909</v>
      </c>
      <c r="C1097" s="226" t="s">
        <v>6910</v>
      </c>
      <c r="D1097" s="149"/>
      <c r="E1097" s="149"/>
      <c r="F1097" s="149"/>
      <c r="G1097" s="149"/>
      <c r="H1097" s="149"/>
      <c r="I1097" s="149"/>
      <c r="J1097" s="149"/>
      <c r="K1097" s="149"/>
      <c r="L1097" s="149"/>
      <c r="M1097" s="149"/>
      <c r="N1097" s="149"/>
      <c r="O1097" s="149"/>
      <c r="P1097" s="149"/>
      <c r="Q1097" s="149"/>
      <c r="R1097" s="149"/>
      <c r="S1097" s="149"/>
      <c r="T1097" s="149"/>
      <c r="U1097" s="149"/>
      <c r="V1097" s="149"/>
      <c r="W1097" s="149"/>
      <c r="X1097" s="149"/>
      <c r="Y1097" s="149"/>
      <c r="Z1097" s="149"/>
      <c r="AA1097" s="149"/>
      <c r="AB1097" s="149"/>
      <c r="AC1097" s="149"/>
      <c r="AD1097" s="90"/>
      <c r="AE1097" s="90"/>
      <c r="AF1097" s="90"/>
      <c r="AG1097" s="90"/>
      <c r="AH1097" s="90"/>
      <c r="AI1097" s="90"/>
      <c r="AJ1097" s="90"/>
      <c r="AK1097" s="90"/>
      <c r="AL1097" s="90"/>
      <c r="AM1097" s="90"/>
      <c r="AN1097" s="90"/>
      <c r="AO1097" s="90"/>
      <c r="AP1097" s="90"/>
      <c r="AQ1097" s="90"/>
      <c r="AR1097" s="90"/>
      <c r="AS1097" s="90"/>
      <c r="AT1097" s="90"/>
      <c r="AU1097" s="90"/>
      <c r="AV1097" s="90"/>
      <c r="AW1097" s="90"/>
      <c r="AX1097" s="90"/>
    </row>
    <row r="1098" ht="15.75" customHeight="1">
      <c r="A1098" s="104" t="s">
        <v>68</v>
      </c>
      <c r="B1098" s="139" t="s">
        <v>6918</v>
      </c>
      <c r="C1098" s="72"/>
      <c r="D1098" s="104"/>
      <c r="E1098" s="104"/>
      <c r="F1098" s="104"/>
      <c r="G1098" s="104"/>
      <c r="H1098" s="104"/>
      <c r="I1098" s="104"/>
      <c r="J1098" s="104"/>
      <c r="K1098" s="104"/>
      <c r="L1098" s="104"/>
      <c r="M1098" s="104"/>
      <c r="N1098" s="104"/>
      <c r="O1098" s="104"/>
      <c r="P1098" s="104"/>
      <c r="Q1098" s="104"/>
      <c r="R1098" s="104"/>
      <c r="S1098" s="104"/>
      <c r="T1098" s="139" t="s">
        <v>7764</v>
      </c>
      <c r="U1098" s="104"/>
      <c r="V1098" s="104"/>
      <c r="W1098" s="104"/>
      <c r="X1098" s="104"/>
      <c r="Y1098" s="104"/>
      <c r="Z1098" s="104"/>
      <c r="AA1098" s="104"/>
      <c r="AB1098" s="104"/>
      <c r="AC1098" s="104"/>
      <c r="AD1098" s="90"/>
      <c r="AE1098" s="90"/>
      <c r="AF1098" s="90"/>
      <c r="AG1098" s="90"/>
      <c r="AH1098" s="90"/>
      <c r="AI1098" s="90"/>
      <c r="AJ1098" s="90"/>
      <c r="AK1098" s="90"/>
      <c r="AL1098" s="90"/>
      <c r="AM1098" s="90"/>
      <c r="AN1098" s="90"/>
      <c r="AO1098" s="90"/>
      <c r="AP1098" s="90"/>
      <c r="AQ1098" s="90"/>
      <c r="AR1098" s="90"/>
      <c r="AS1098" s="90"/>
      <c r="AT1098" s="90"/>
      <c r="AU1098" s="90"/>
      <c r="AV1098" s="90"/>
      <c r="AW1098" s="90"/>
      <c r="AX1098" s="90"/>
    </row>
    <row r="1099" ht="15.75" customHeight="1">
      <c r="A1099" s="238" t="s">
        <v>252</v>
      </c>
      <c r="B1099" s="240" t="s">
        <v>6919</v>
      </c>
      <c r="C1099" s="27" t="s">
        <v>7765</v>
      </c>
      <c r="D1099" s="27" t="s">
        <v>7766</v>
      </c>
      <c r="E1099" s="27" t="s">
        <v>7767</v>
      </c>
      <c r="F1099" s="45" t="s">
        <v>7672</v>
      </c>
      <c r="G1099" s="45" t="s">
        <v>7768</v>
      </c>
      <c r="H1099" s="45" t="s">
        <v>7674</v>
      </c>
      <c r="I1099" s="238"/>
      <c r="J1099" s="240" t="s">
        <v>7675</v>
      </c>
      <c r="K1099" s="238" t="s">
        <v>7676</v>
      </c>
      <c r="L1099" s="238"/>
      <c r="M1099" s="238"/>
      <c r="N1099" s="238"/>
      <c r="O1099" s="238" t="s">
        <v>7760</v>
      </c>
      <c r="P1099" s="238"/>
      <c r="Q1099" s="238" t="s">
        <v>150</v>
      </c>
      <c r="R1099" s="238"/>
      <c r="S1099" s="238"/>
      <c r="T1099" s="238"/>
      <c r="U1099" s="238"/>
      <c r="V1099" s="238"/>
      <c r="W1099" s="238"/>
      <c r="X1099" s="238"/>
      <c r="Y1099" s="238"/>
      <c r="Z1099" s="238"/>
      <c r="AA1099" s="238"/>
      <c r="AB1099" s="238"/>
      <c r="AC1099" s="238"/>
      <c r="AD1099" s="90"/>
      <c r="AE1099" s="90"/>
      <c r="AF1099" s="90"/>
      <c r="AG1099" s="90"/>
      <c r="AH1099" s="90"/>
      <c r="AI1099" s="90"/>
      <c r="AJ1099" s="90"/>
      <c r="AK1099" s="90"/>
      <c r="AL1099" s="90"/>
      <c r="AM1099" s="90"/>
      <c r="AN1099" s="90"/>
      <c r="AO1099" s="90"/>
      <c r="AP1099" s="90"/>
      <c r="AQ1099" s="90"/>
      <c r="AR1099" s="90"/>
      <c r="AS1099" s="90"/>
      <c r="AT1099" s="90"/>
      <c r="AU1099" s="90"/>
      <c r="AV1099" s="90"/>
      <c r="AW1099" s="90"/>
      <c r="AX1099" s="90"/>
    </row>
    <row r="1100" ht="15.75" customHeight="1">
      <c r="A1100" s="83" t="s">
        <v>4846</v>
      </c>
      <c r="B1100" s="84" t="s">
        <v>6924</v>
      </c>
      <c r="C1100" s="27" t="s">
        <v>7769</v>
      </c>
      <c r="D1100" s="27" t="s">
        <v>7770</v>
      </c>
      <c r="E1100" s="27" t="s">
        <v>7771</v>
      </c>
      <c r="F1100" s="45"/>
      <c r="G1100" s="45"/>
      <c r="H1100" s="45"/>
      <c r="I1100" s="83"/>
      <c r="J1100" s="84"/>
      <c r="K1100" s="83"/>
      <c r="L1100" s="83"/>
      <c r="M1100" s="83"/>
      <c r="N1100" s="83"/>
      <c r="O1100" s="83" t="s">
        <v>7760</v>
      </c>
      <c r="P1100" s="83"/>
      <c r="Q1100" s="83" t="s">
        <v>150</v>
      </c>
      <c r="R1100" s="83"/>
      <c r="S1100" s="83"/>
      <c r="T1100" s="83"/>
      <c r="U1100" s="83"/>
      <c r="V1100" s="83"/>
      <c r="W1100" s="83"/>
      <c r="X1100" s="83"/>
      <c r="Y1100" s="83"/>
      <c r="Z1100" s="83"/>
      <c r="AA1100" s="83"/>
      <c r="AB1100" s="83"/>
      <c r="AC1100" s="83"/>
      <c r="AD1100" s="90"/>
      <c r="AE1100" s="90"/>
      <c r="AF1100" s="90"/>
      <c r="AG1100" s="90"/>
      <c r="AH1100" s="90"/>
      <c r="AI1100" s="90"/>
      <c r="AJ1100" s="90"/>
      <c r="AK1100" s="90"/>
      <c r="AL1100" s="90"/>
      <c r="AM1100" s="90"/>
      <c r="AN1100" s="90"/>
      <c r="AO1100" s="90"/>
      <c r="AP1100" s="90"/>
      <c r="AQ1100" s="90"/>
      <c r="AR1100" s="90"/>
      <c r="AS1100" s="90"/>
      <c r="AT1100" s="90"/>
      <c r="AU1100" s="90"/>
      <c r="AV1100" s="90"/>
      <c r="AW1100" s="90"/>
      <c r="AX1100" s="90"/>
    </row>
    <row r="1101" ht="15.75" customHeight="1">
      <c r="A1101" s="83" t="s">
        <v>1306</v>
      </c>
      <c r="B1101" s="84" t="s">
        <v>6928</v>
      </c>
      <c r="C1101" s="27" t="s">
        <v>7772</v>
      </c>
      <c r="D1101" s="27" t="s">
        <v>7773</v>
      </c>
      <c r="E1101" s="27" t="s">
        <v>7774</v>
      </c>
      <c r="F1101" s="45"/>
      <c r="G1101" s="45"/>
      <c r="H1101" s="45"/>
      <c r="I1101" s="83"/>
      <c r="J1101" s="84"/>
      <c r="K1101" s="83"/>
      <c r="L1101" s="83"/>
      <c r="M1101" s="83"/>
      <c r="N1101" s="83"/>
      <c r="O1101" s="83" t="s">
        <v>7760</v>
      </c>
      <c r="P1101" s="83"/>
      <c r="Q1101" s="83" t="s">
        <v>150</v>
      </c>
      <c r="R1101" s="83"/>
      <c r="S1101" s="83"/>
      <c r="T1101" s="83"/>
      <c r="U1101" s="83"/>
      <c r="V1101" s="83"/>
      <c r="W1101" s="83"/>
      <c r="X1101" s="83"/>
      <c r="Y1101" s="83"/>
      <c r="Z1101" s="83"/>
      <c r="AA1101" s="83"/>
      <c r="AB1101" s="83"/>
      <c r="AC1101" s="83"/>
      <c r="AD1101" s="90"/>
      <c r="AE1101" s="90"/>
      <c r="AF1101" s="90"/>
      <c r="AG1101" s="90"/>
      <c r="AH1101" s="90"/>
      <c r="AI1101" s="90"/>
      <c r="AJ1101" s="90"/>
      <c r="AK1101" s="90"/>
      <c r="AL1101" s="90"/>
      <c r="AM1101" s="90"/>
      <c r="AN1101" s="90"/>
      <c r="AO1101" s="90"/>
      <c r="AP1101" s="90"/>
      <c r="AQ1101" s="90"/>
      <c r="AR1101" s="90"/>
      <c r="AS1101" s="90"/>
      <c r="AT1101" s="90"/>
      <c r="AU1101" s="90"/>
      <c r="AV1101" s="90"/>
      <c r="AW1101" s="90"/>
      <c r="AX1101" s="90"/>
    </row>
    <row r="1102" ht="15.75" customHeight="1">
      <c r="A1102" s="220" t="s">
        <v>38</v>
      </c>
      <c r="B1102" s="361" t="s">
        <v>6933</v>
      </c>
      <c r="C1102" s="27" t="s">
        <v>7775</v>
      </c>
      <c r="D1102" s="27" t="s">
        <v>7776</v>
      </c>
      <c r="E1102" s="27" t="s">
        <v>7777</v>
      </c>
      <c r="F1102" s="45"/>
      <c r="G1102" s="45"/>
      <c r="H1102" s="45"/>
      <c r="I1102" s="220"/>
      <c r="J1102" s="220"/>
      <c r="K1102" s="220"/>
      <c r="L1102" s="220"/>
      <c r="M1102" s="220"/>
      <c r="N1102" s="220"/>
      <c r="O1102" s="220" t="s">
        <v>7778</v>
      </c>
      <c r="P1102" s="220"/>
      <c r="Q1102" s="220" t="s">
        <v>150</v>
      </c>
      <c r="R1102" s="220"/>
      <c r="S1102" s="220"/>
      <c r="T1102" s="220"/>
      <c r="U1102" s="220"/>
      <c r="V1102" s="220"/>
      <c r="W1102" s="220"/>
      <c r="X1102" s="220"/>
      <c r="Y1102" s="220"/>
      <c r="Z1102" s="220"/>
      <c r="AA1102" s="220"/>
      <c r="AB1102" s="220"/>
      <c r="AC1102" s="220"/>
      <c r="AD1102" s="90"/>
      <c r="AE1102" s="90"/>
      <c r="AF1102" s="90"/>
      <c r="AG1102" s="90"/>
      <c r="AH1102" s="90"/>
      <c r="AI1102" s="90"/>
      <c r="AJ1102" s="90"/>
      <c r="AK1102" s="90"/>
      <c r="AL1102" s="90"/>
      <c r="AM1102" s="90"/>
      <c r="AN1102" s="90"/>
      <c r="AO1102" s="90"/>
      <c r="AP1102" s="90"/>
      <c r="AQ1102" s="90"/>
      <c r="AR1102" s="90"/>
      <c r="AS1102" s="90"/>
      <c r="AT1102" s="90"/>
      <c r="AU1102" s="90"/>
      <c r="AV1102" s="90"/>
      <c r="AW1102" s="90"/>
      <c r="AX1102" s="90"/>
    </row>
    <row r="1103" ht="15.75" customHeight="1">
      <c r="A1103" s="83" t="s">
        <v>6823</v>
      </c>
      <c r="B1103" s="84" t="s">
        <v>6937</v>
      </c>
      <c r="C1103" s="27" t="s">
        <v>7779</v>
      </c>
      <c r="D1103" s="27" t="s">
        <v>7780</v>
      </c>
      <c r="E1103" s="27" t="s">
        <v>7781</v>
      </c>
      <c r="F1103" s="45"/>
      <c r="G1103" s="45"/>
      <c r="H1103" s="45"/>
      <c r="I1103" s="83"/>
      <c r="J1103" s="84"/>
      <c r="K1103" s="83"/>
      <c r="L1103" s="83"/>
      <c r="M1103" s="83"/>
      <c r="N1103" s="83"/>
      <c r="O1103" s="83" t="s">
        <v>7760</v>
      </c>
      <c r="P1103" s="83"/>
      <c r="Q1103" s="83" t="s">
        <v>150</v>
      </c>
      <c r="R1103" s="83"/>
      <c r="S1103" s="83"/>
      <c r="T1103" s="83"/>
      <c r="U1103" s="83"/>
      <c r="V1103" s="83"/>
      <c r="W1103" s="83"/>
      <c r="X1103" s="83"/>
      <c r="Y1103" s="83"/>
      <c r="Z1103" s="83"/>
      <c r="AA1103" s="83"/>
      <c r="AB1103" s="83"/>
      <c r="AC1103" s="83"/>
      <c r="AD1103" s="90"/>
      <c r="AE1103" s="90"/>
      <c r="AF1103" s="90"/>
      <c r="AG1103" s="90"/>
      <c r="AH1103" s="90"/>
      <c r="AI1103" s="90"/>
      <c r="AJ1103" s="90"/>
      <c r="AK1103" s="90"/>
      <c r="AL1103" s="90"/>
      <c r="AM1103" s="90"/>
      <c r="AN1103" s="90"/>
      <c r="AO1103" s="90"/>
      <c r="AP1103" s="90"/>
      <c r="AQ1103" s="90"/>
      <c r="AR1103" s="90"/>
      <c r="AS1103" s="90"/>
      <c r="AT1103" s="90"/>
      <c r="AU1103" s="90"/>
      <c r="AV1103" s="90"/>
      <c r="AW1103" s="90"/>
      <c r="AX1103" s="90"/>
    </row>
    <row r="1104" ht="15.75" customHeight="1">
      <c r="A1104" s="220" t="s">
        <v>38</v>
      </c>
      <c r="B1104" s="361" t="s">
        <v>6941</v>
      </c>
      <c r="C1104" s="27" t="s">
        <v>7782</v>
      </c>
      <c r="D1104" s="27" t="s">
        <v>7783</v>
      </c>
      <c r="E1104" s="27" t="s">
        <v>7784</v>
      </c>
      <c r="F1104" s="45"/>
      <c r="G1104" s="45"/>
      <c r="H1104" s="45"/>
      <c r="I1104" s="220"/>
      <c r="J1104" s="220"/>
      <c r="K1104" s="220"/>
      <c r="L1104" s="220"/>
      <c r="M1104" s="220"/>
      <c r="N1104" s="220"/>
      <c r="O1104" s="220" t="s">
        <v>7785</v>
      </c>
      <c r="P1104" s="220"/>
      <c r="Q1104" s="220" t="s">
        <v>150</v>
      </c>
      <c r="R1104" s="220"/>
      <c r="S1104" s="220"/>
      <c r="T1104" s="220"/>
      <c r="U1104" s="220"/>
      <c r="V1104" s="220"/>
      <c r="W1104" s="220"/>
      <c r="X1104" s="220"/>
      <c r="Y1104" s="220"/>
      <c r="Z1104" s="220"/>
      <c r="AA1104" s="220"/>
      <c r="AB1104" s="220"/>
      <c r="AC1104" s="220"/>
      <c r="AD1104" s="90"/>
      <c r="AE1104" s="90"/>
      <c r="AF1104" s="90"/>
      <c r="AG1104" s="90"/>
      <c r="AH1104" s="90"/>
      <c r="AI1104" s="90"/>
      <c r="AJ1104" s="90"/>
      <c r="AK1104" s="90"/>
      <c r="AL1104" s="90"/>
      <c r="AM1104" s="90"/>
      <c r="AN1104" s="90"/>
      <c r="AO1104" s="90"/>
      <c r="AP1104" s="90"/>
      <c r="AQ1104" s="90"/>
      <c r="AR1104" s="90"/>
      <c r="AS1104" s="90"/>
      <c r="AT1104" s="90"/>
      <c r="AU1104" s="90"/>
      <c r="AV1104" s="90"/>
      <c r="AW1104" s="90"/>
      <c r="AX1104" s="90"/>
    </row>
    <row r="1105" ht="15.75" customHeight="1">
      <c r="A1105" s="149" t="s">
        <v>237</v>
      </c>
      <c r="B1105" s="149" t="s">
        <v>6803</v>
      </c>
      <c r="C1105" s="226" t="s">
        <v>6804</v>
      </c>
      <c r="D1105" s="149" t="s">
        <v>6805</v>
      </c>
      <c r="E1105" s="149" t="s">
        <v>6806</v>
      </c>
      <c r="F1105" s="149"/>
      <c r="G1105" s="149"/>
      <c r="H1105" s="149"/>
      <c r="I1105" s="149"/>
      <c r="J1105" s="149"/>
      <c r="K1105" s="149"/>
      <c r="L1105" s="149"/>
      <c r="M1105" s="149"/>
      <c r="N1105" s="149"/>
      <c r="O1105" s="149"/>
      <c r="P1105" s="149"/>
      <c r="Q1105" s="149"/>
      <c r="R1105" s="149"/>
      <c r="S1105" s="149"/>
      <c r="T1105" s="149"/>
      <c r="U1105" s="149"/>
      <c r="V1105" s="149"/>
      <c r="W1105" s="149"/>
      <c r="X1105" s="149"/>
      <c r="Y1105" s="149"/>
      <c r="Z1105" s="149"/>
      <c r="AA1105" s="149"/>
      <c r="AB1105" s="149"/>
      <c r="AC1105" s="149"/>
      <c r="AD1105" s="90"/>
      <c r="AE1105" s="90"/>
      <c r="AF1105" s="90"/>
      <c r="AG1105" s="90"/>
      <c r="AH1105" s="90"/>
      <c r="AI1105" s="90"/>
      <c r="AJ1105" s="90"/>
      <c r="AK1105" s="90"/>
      <c r="AL1105" s="90"/>
      <c r="AM1105" s="90"/>
      <c r="AN1105" s="90"/>
      <c r="AO1105" s="90"/>
      <c r="AP1105" s="90"/>
      <c r="AQ1105" s="90"/>
      <c r="AR1105" s="90"/>
      <c r="AS1105" s="90"/>
      <c r="AT1105" s="90"/>
      <c r="AU1105" s="90"/>
      <c r="AV1105" s="90"/>
      <c r="AW1105" s="90"/>
      <c r="AX1105" s="90"/>
    </row>
    <row r="1106" ht="15.75" customHeight="1">
      <c r="A1106" s="90"/>
      <c r="B1106" s="90"/>
      <c r="C1106" s="191"/>
      <c r="D1106" s="90"/>
      <c r="E1106" s="90"/>
      <c r="F1106" s="90"/>
      <c r="G1106" s="90"/>
      <c r="H1106" s="90"/>
      <c r="I1106" s="90"/>
      <c r="J1106" s="90"/>
      <c r="K1106" s="90"/>
      <c r="L1106" s="90"/>
      <c r="M1106" s="90"/>
      <c r="N1106" s="90"/>
      <c r="O1106" s="90"/>
      <c r="P1106" s="90"/>
      <c r="Q1106" s="90"/>
      <c r="R1106" s="90"/>
      <c r="S1106" s="90"/>
      <c r="T1106" s="90"/>
      <c r="U1106" s="90"/>
      <c r="V1106" s="90"/>
      <c r="W1106" s="90"/>
      <c r="X1106" s="90"/>
      <c r="Y1106" s="90"/>
      <c r="Z1106" s="90"/>
      <c r="AA1106" s="90"/>
      <c r="AB1106" s="90"/>
      <c r="AC1106" s="90"/>
      <c r="AD1106" s="90"/>
      <c r="AE1106" s="90"/>
      <c r="AF1106" s="90"/>
      <c r="AG1106" s="90"/>
      <c r="AH1106" s="90"/>
      <c r="AI1106" s="90"/>
      <c r="AJ1106" s="90"/>
      <c r="AK1106" s="90"/>
      <c r="AL1106" s="90"/>
      <c r="AM1106" s="90"/>
      <c r="AN1106" s="90"/>
      <c r="AO1106" s="90"/>
      <c r="AP1106" s="90"/>
      <c r="AQ1106" s="90"/>
      <c r="AR1106" s="90"/>
      <c r="AS1106" s="90"/>
      <c r="AT1106" s="90"/>
      <c r="AU1106" s="90"/>
      <c r="AV1106" s="90"/>
      <c r="AW1106" s="90"/>
      <c r="AX1106" s="90"/>
    </row>
    <row r="1107" ht="15.75" customHeight="1">
      <c r="A1107" s="149" t="s">
        <v>133</v>
      </c>
      <c r="B1107" s="150" t="s">
        <v>6949</v>
      </c>
      <c r="C1107" s="147" t="s">
        <v>6950</v>
      </c>
      <c r="D1107" s="149" t="s">
        <v>6951</v>
      </c>
      <c r="E1107" s="149" t="s">
        <v>6952</v>
      </c>
      <c r="F1107" s="149"/>
      <c r="G1107" s="149"/>
      <c r="H1107" s="149"/>
      <c r="I1107" s="149"/>
      <c r="J1107" s="150"/>
      <c r="K1107" s="149"/>
      <c r="L1107" s="149"/>
      <c r="M1107" s="150"/>
      <c r="N1107" s="150"/>
      <c r="O1107" s="150"/>
      <c r="P1107" s="149"/>
      <c r="Q1107" s="149"/>
      <c r="R1107" s="149"/>
      <c r="S1107" s="149"/>
      <c r="T1107" s="149"/>
      <c r="U1107" s="149"/>
      <c r="V1107" s="149"/>
      <c r="W1107" s="149"/>
      <c r="X1107" s="149"/>
      <c r="Y1107" s="149"/>
      <c r="Z1107" s="149"/>
      <c r="AA1107" s="149"/>
      <c r="AB1107" s="149"/>
      <c r="AC1107" s="149"/>
      <c r="AD1107" s="90"/>
      <c r="AE1107" s="90"/>
      <c r="AF1107" s="90"/>
      <c r="AG1107" s="90"/>
      <c r="AH1107" s="90"/>
      <c r="AI1107" s="90"/>
      <c r="AJ1107" s="90"/>
      <c r="AK1107" s="90"/>
      <c r="AL1107" s="90"/>
      <c r="AM1107" s="90"/>
      <c r="AN1107" s="90"/>
      <c r="AO1107" s="90"/>
      <c r="AP1107" s="90"/>
      <c r="AQ1107" s="90"/>
      <c r="AR1107" s="90"/>
      <c r="AS1107" s="90"/>
      <c r="AT1107" s="90"/>
      <c r="AU1107" s="90"/>
      <c r="AV1107" s="90"/>
      <c r="AW1107" s="90"/>
      <c r="AX1107" s="90"/>
    </row>
    <row r="1108" ht="15.75" customHeight="1">
      <c r="A1108" s="83" t="s">
        <v>6955</v>
      </c>
      <c r="B1108" s="84" t="s">
        <v>6957</v>
      </c>
      <c r="C1108" s="27" t="s">
        <v>7786</v>
      </c>
      <c r="D1108" s="27" t="s">
        <v>7787</v>
      </c>
      <c r="E1108" s="27" t="s">
        <v>7788</v>
      </c>
      <c r="F1108" s="45"/>
      <c r="G1108" s="45"/>
      <c r="H1108" s="45"/>
      <c r="I1108" s="83"/>
      <c r="J1108" s="84"/>
      <c r="K1108" s="83"/>
      <c r="L1108" s="83"/>
      <c r="M1108" s="83"/>
      <c r="N1108" s="83"/>
      <c r="O1108" s="83"/>
      <c r="P1108" s="83"/>
      <c r="Q1108" s="83" t="s">
        <v>150</v>
      </c>
      <c r="R1108" s="83"/>
      <c r="S1108" s="83"/>
      <c r="T1108" s="83"/>
      <c r="U1108" s="83"/>
      <c r="V1108" s="83"/>
      <c r="W1108" s="83"/>
      <c r="X1108" s="83"/>
      <c r="Y1108" s="83"/>
      <c r="Z1108" s="83"/>
      <c r="AA1108" s="83"/>
      <c r="AB1108" s="83"/>
      <c r="AC1108" s="83"/>
      <c r="AD1108" s="90"/>
      <c r="AE1108" s="90"/>
      <c r="AF1108" s="90"/>
      <c r="AG1108" s="90"/>
      <c r="AH1108" s="90"/>
      <c r="AI1108" s="90"/>
      <c r="AJ1108" s="90"/>
      <c r="AK1108" s="90"/>
      <c r="AL1108" s="90"/>
      <c r="AM1108" s="90"/>
      <c r="AN1108" s="90"/>
      <c r="AO1108" s="90"/>
      <c r="AP1108" s="90"/>
      <c r="AQ1108" s="90"/>
      <c r="AR1108" s="90"/>
      <c r="AS1108" s="90"/>
      <c r="AT1108" s="90"/>
      <c r="AU1108" s="90"/>
      <c r="AV1108" s="90"/>
      <c r="AW1108" s="90"/>
      <c r="AX1108" s="90"/>
    </row>
    <row r="1109" ht="15.75" customHeight="1">
      <c r="A1109" s="83" t="s">
        <v>6965</v>
      </c>
      <c r="B1109" s="84" t="s">
        <v>6966</v>
      </c>
      <c r="C1109" s="27" t="s">
        <v>7789</v>
      </c>
      <c r="D1109" s="27" t="s">
        <v>7790</v>
      </c>
      <c r="E1109" s="27" t="s">
        <v>7791</v>
      </c>
      <c r="F1109" s="45"/>
      <c r="G1109" s="45"/>
      <c r="H1109" s="45"/>
      <c r="I1109" s="83"/>
      <c r="J1109" s="84"/>
      <c r="K1109" s="83"/>
      <c r="L1109" s="83"/>
      <c r="M1109" s="83"/>
      <c r="N1109" s="83"/>
      <c r="O1109" s="83"/>
      <c r="P1109" s="83"/>
      <c r="Q1109" s="83" t="s">
        <v>150</v>
      </c>
      <c r="R1109" s="83"/>
      <c r="S1109" s="83"/>
      <c r="T1109" s="83"/>
      <c r="U1109" s="83"/>
      <c r="V1109" s="83"/>
      <c r="W1109" s="83"/>
      <c r="X1109" s="83"/>
      <c r="Y1109" s="83"/>
      <c r="Z1109" s="83"/>
      <c r="AA1109" s="83"/>
      <c r="AB1109" s="83"/>
      <c r="AC1109" s="83"/>
      <c r="AD1109" s="90"/>
      <c r="AE1109" s="90"/>
      <c r="AF1109" s="90"/>
      <c r="AG1109" s="90"/>
      <c r="AH1109" s="90"/>
      <c r="AI1109" s="90"/>
      <c r="AJ1109" s="90"/>
      <c r="AK1109" s="90"/>
      <c r="AL1109" s="90"/>
      <c r="AM1109" s="90"/>
      <c r="AN1109" s="90"/>
      <c r="AO1109" s="90"/>
      <c r="AP1109" s="90"/>
      <c r="AQ1109" s="90"/>
      <c r="AR1109" s="90"/>
      <c r="AS1109" s="90"/>
      <c r="AT1109" s="90"/>
      <c r="AU1109" s="90"/>
      <c r="AV1109" s="90"/>
      <c r="AW1109" s="90"/>
      <c r="AX1109" s="90"/>
    </row>
    <row r="1110" ht="15.75" customHeight="1">
      <c r="A1110" s="83" t="s">
        <v>6970</v>
      </c>
      <c r="B1110" s="84" t="s">
        <v>6972</v>
      </c>
      <c r="C1110" s="27" t="s">
        <v>7792</v>
      </c>
      <c r="D1110" s="27" t="s">
        <v>7793</v>
      </c>
      <c r="E1110" s="27" t="s">
        <v>7794</v>
      </c>
      <c r="F1110" s="45"/>
      <c r="G1110" s="45"/>
      <c r="H1110" s="45"/>
      <c r="I1110" s="83"/>
      <c r="J1110" s="84"/>
      <c r="K1110" s="83"/>
      <c r="L1110" s="83"/>
      <c r="M1110" s="83"/>
      <c r="N1110" s="83"/>
      <c r="O1110" s="83"/>
      <c r="P1110" s="83"/>
      <c r="Q1110" s="83" t="s">
        <v>150</v>
      </c>
      <c r="R1110" s="83"/>
      <c r="S1110" s="83"/>
      <c r="T1110" s="83"/>
      <c r="U1110" s="83"/>
      <c r="V1110" s="83"/>
      <c r="W1110" s="83"/>
      <c r="X1110" s="83"/>
      <c r="Y1110" s="83"/>
      <c r="Z1110" s="83"/>
      <c r="AA1110" s="83"/>
      <c r="AB1110" s="83"/>
      <c r="AC1110" s="83"/>
      <c r="AD1110" s="90"/>
      <c r="AE1110" s="90"/>
      <c r="AF1110" s="90"/>
      <c r="AG1110" s="90"/>
      <c r="AH1110" s="90"/>
      <c r="AI1110" s="90"/>
      <c r="AJ1110" s="90"/>
      <c r="AK1110" s="90"/>
      <c r="AL1110" s="90"/>
      <c r="AM1110" s="90"/>
      <c r="AN1110" s="90"/>
      <c r="AO1110" s="90"/>
      <c r="AP1110" s="90"/>
      <c r="AQ1110" s="90"/>
      <c r="AR1110" s="90"/>
      <c r="AS1110" s="90"/>
      <c r="AT1110" s="90"/>
      <c r="AU1110" s="90"/>
      <c r="AV1110" s="90"/>
      <c r="AW1110" s="90"/>
      <c r="AX1110" s="90"/>
    </row>
    <row r="1111" ht="15.75" customHeight="1">
      <c r="A1111" s="83" t="s">
        <v>6973</v>
      </c>
      <c r="B1111" s="84" t="s">
        <v>6974</v>
      </c>
      <c r="C1111" s="27" t="s">
        <v>7795</v>
      </c>
      <c r="D1111" s="27" t="s">
        <v>7796</v>
      </c>
      <c r="E1111" s="27" t="s">
        <v>7797</v>
      </c>
      <c r="F1111" s="45"/>
      <c r="G1111" s="45"/>
      <c r="H1111" s="45"/>
      <c r="I1111" s="83"/>
      <c r="J1111" s="84"/>
      <c r="K1111" s="83"/>
      <c r="L1111" s="83"/>
      <c r="M1111" s="83"/>
      <c r="N1111" s="83"/>
      <c r="O1111" s="83"/>
      <c r="P1111" s="83"/>
      <c r="Q1111" s="83" t="s">
        <v>150</v>
      </c>
      <c r="R1111" s="83"/>
      <c r="S1111" s="83"/>
      <c r="T1111" s="83"/>
      <c r="U1111" s="83"/>
      <c r="V1111" s="83"/>
      <c r="W1111" s="83"/>
      <c r="X1111" s="83"/>
      <c r="Y1111" s="83"/>
      <c r="Z1111" s="83"/>
      <c r="AA1111" s="83"/>
      <c r="AB1111" s="83"/>
      <c r="AC1111" s="83"/>
      <c r="AD1111" s="90"/>
      <c r="AE1111" s="90"/>
      <c r="AF1111" s="90"/>
      <c r="AG1111" s="90"/>
      <c r="AH1111" s="90"/>
      <c r="AI1111" s="90"/>
      <c r="AJ1111" s="90"/>
      <c r="AK1111" s="90"/>
      <c r="AL1111" s="90"/>
      <c r="AM1111" s="90"/>
      <c r="AN1111" s="90"/>
      <c r="AO1111" s="90"/>
      <c r="AP1111" s="90"/>
      <c r="AQ1111" s="90"/>
      <c r="AR1111" s="90"/>
      <c r="AS1111" s="90"/>
      <c r="AT1111" s="90"/>
      <c r="AU1111" s="90"/>
      <c r="AV1111" s="90"/>
      <c r="AW1111" s="90"/>
      <c r="AX1111" s="90"/>
    </row>
    <row r="1112" ht="15.75" customHeight="1">
      <c r="A1112" s="238" t="s">
        <v>252</v>
      </c>
      <c r="B1112" s="240" t="s">
        <v>6978</v>
      </c>
      <c r="C1112" s="27" t="s">
        <v>7798</v>
      </c>
      <c r="D1112" s="27" t="s">
        <v>7799</v>
      </c>
      <c r="E1112" s="27" t="s">
        <v>7800</v>
      </c>
      <c r="F1112" s="45"/>
      <c r="G1112" s="45" t="s">
        <v>7801</v>
      </c>
      <c r="H1112" s="45"/>
      <c r="I1112" s="238"/>
      <c r="J1112" s="240"/>
      <c r="K1112" s="238"/>
      <c r="L1112" s="238"/>
      <c r="M1112" s="238"/>
      <c r="N1112" s="238"/>
      <c r="O1112" s="238"/>
      <c r="P1112" s="238"/>
      <c r="Q1112" s="238"/>
      <c r="R1112" s="238"/>
      <c r="S1112" s="238"/>
      <c r="T1112" s="238"/>
      <c r="U1112" s="238"/>
      <c r="V1112" s="238"/>
      <c r="W1112" s="238"/>
      <c r="X1112" s="238"/>
      <c r="Y1112" s="238"/>
      <c r="Z1112" s="238"/>
      <c r="AA1112" s="238"/>
      <c r="AB1112" s="238"/>
      <c r="AC1112" s="238"/>
      <c r="AD1112" s="90"/>
      <c r="AE1112" s="90"/>
      <c r="AF1112" s="90"/>
      <c r="AG1112" s="90"/>
      <c r="AH1112" s="90"/>
      <c r="AI1112" s="90"/>
      <c r="AJ1112" s="90"/>
      <c r="AK1112" s="90"/>
      <c r="AL1112" s="90"/>
      <c r="AM1112" s="90"/>
      <c r="AN1112" s="90"/>
      <c r="AO1112" s="90"/>
      <c r="AP1112" s="90"/>
      <c r="AQ1112" s="90"/>
      <c r="AR1112" s="90"/>
      <c r="AS1112" s="90"/>
      <c r="AT1112" s="90"/>
      <c r="AU1112" s="90"/>
      <c r="AV1112" s="90"/>
      <c r="AW1112" s="90"/>
      <c r="AX1112" s="90"/>
    </row>
    <row r="1113" ht="15.75" customHeight="1">
      <c r="A1113" s="365" t="s">
        <v>583</v>
      </c>
      <c r="B1113" s="366" t="s">
        <v>6982</v>
      </c>
      <c r="C1113" s="27" t="s">
        <v>6983</v>
      </c>
      <c r="D1113" s="27" t="s">
        <v>6984</v>
      </c>
      <c r="E1113" s="27" t="s">
        <v>6985</v>
      </c>
      <c r="F1113" s="45" t="s">
        <v>7802</v>
      </c>
      <c r="G1113" s="45" t="s">
        <v>7803</v>
      </c>
      <c r="H1113" s="45"/>
      <c r="I1113" s="365"/>
      <c r="J1113" s="365"/>
      <c r="K1113" s="365"/>
      <c r="L1113" s="365"/>
      <c r="M1113" s="365"/>
      <c r="N1113" s="365"/>
      <c r="O1113" s="365"/>
      <c r="P1113" s="365"/>
      <c r="Q1113" s="365"/>
      <c r="R1113" s="365"/>
      <c r="S1113" s="365"/>
      <c r="T1113" s="365"/>
      <c r="U1113" s="365"/>
      <c r="V1113" s="365"/>
      <c r="W1113" s="365"/>
      <c r="X1113" s="365"/>
      <c r="Y1113" s="365"/>
      <c r="Z1113" s="365"/>
      <c r="AA1113" s="365"/>
      <c r="AB1113" s="365"/>
      <c r="AC1113" s="365"/>
      <c r="AD1113" s="90"/>
      <c r="AE1113" s="90"/>
      <c r="AF1113" s="90"/>
      <c r="AG1113" s="90"/>
      <c r="AH1113" s="90"/>
      <c r="AI1113" s="90"/>
      <c r="AJ1113" s="90"/>
      <c r="AK1113" s="90"/>
      <c r="AL1113" s="90"/>
      <c r="AM1113" s="90"/>
      <c r="AN1113" s="90"/>
      <c r="AO1113" s="90"/>
      <c r="AP1113" s="90"/>
      <c r="AQ1113" s="90"/>
      <c r="AR1113" s="90"/>
      <c r="AS1113" s="90"/>
      <c r="AT1113" s="90"/>
      <c r="AU1113" s="90"/>
      <c r="AV1113" s="90"/>
      <c r="AW1113" s="90"/>
      <c r="AX1113" s="90"/>
    </row>
    <row r="1114" ht="15.75" customHeight="1">
      <c r="A1114" s="149" t="s">
        <v>237</v>
      </c>
      <c r="B1114" s="149" t="s">
        <v>6949</v>
      </c>
      <c r="C1114" s="226" t="s">
        <v>6950</v>
      </c>
      <c r="D1114" s="149" t="s">
        <v>6951</v>
      </c>
      <c r="E1114" s="149" t="s">
        <v>6986</v>
      </c>
      <c r="F1114" s="149"/>
      <c r="G1114" s="149"/>
      <c r="H1114" s="149"/>
      <c r="I1114" s="149"/>
      <c r="J1114" s="149"/>
      <c r="K1114" s="149"/>
      <c r="L1114" s="149"/>
      <c r="M1114" s="149"/>
      <c r="N1114" s="149"/>
      <c r="O1114" s="149"/>
      <c r="P1114" s="149"/>
      <c r="Q1114" s="149"/>
      <c r="R1114" s="149"/>
      <c r="S1114" s="149"/>
      <c r="T1114" s="149"/>
      <c r="U1114" s="149"/>
      <c r="V1114" s="149"/>
      <c r="W1114" s="149"/>
      <c r="X1114" s="149"/>
      <c r="Y1114" s="149"/>
      <c r="Z1114" s="149"/>
      <c r="AA1114" s="149"/>
      <c r="AB1114" s="149"/>
      <c r="AC1114" s="149"/>
      <c r="AD1114" s="90"/>
      <c r="AE1114" s="90"/>
      <c r="AF1114" s="90"/>
      <c r="AG1114" s="90"/>
      <c r="AH1114" s="90"/>
      <c r="AI1114" s="90"/>
      <c r="AJ1114" s="90"/>
      <c r="AK1114" s="90"/>
      <c r="AL1114" s="90"/>
      <c r="AM1114" s="90"/>
      <c r="AN1114" s="90"/>
      <c r="AO1114" s="90"/>
      <c r="AP1114" s="90"/>
      <c r="AQ1114" s="90"/>
      <c r="AR1114" s="90"/>
      <c r="AS1114" s="90"/>
      <c r="AT1114" s="90"/>
      <c r="AU1114" s="90"/>
      <c r="AV1114" s="90"/>
      <c r="AW1114" s="90"/>
      <c r="AX1114" s="90"/>
    </row>
    <row r="1115" ht="15.75" customHeight="1">
      <c r="A1115" s="90"/>
      <c r="B1115" s="90"/>
      <c r="C1115" s="191"/>
      <c r="D1115" s="90"/>
      <c r="E1115" s="90"/>
      <c r="F1115" s="90"/>
      <c r="G1115" s="90"/>
      <c r="H1115" s="90"/>
      <c r="I1115" s="90"/>
      <c r="J1115" s="90"/>
      <c r="K1115" s="90"/>
      <c r="L1115" s="90"/>
      <c r="M1115" s="90"/>
      <c r="N1115" s="90"/>
      <c r="O1115" s="90"/>
      <c r="P1115" s="90"/>
      <c r="Q1115" s="90"/>
      <c r="R1115" s="90"/>
      <c r="S1115" s="90"/>
      <c r="T1115" s="90"/>
      <c r="U1115" s="90"/>
      <c r="V1115" s="90"/>
      <c r="W1115" s="90"/>
      <c r="X1115" s="90"/>
      <c r="Y1115" s="90"/>
      <c r="Z1115" s="90"/>
      <c r="AA1115" s="90"/>
      <c r="AB1115" s="90"/>
      <c r="AC1115" s="90"/>
      <c r="AD1115" s="90"/>
      <c r="AE1115" s="90"/>
      <c r="AF1115" s="90"/>
      <c r="AG1115" s="90"/>
      <c r="AH1115" s="90"/>
      <c r="AI1115" s="90"/>
      <c r="AJ1115" s="90"/>
      <c r="AK1115" s="90"/>
      <c r="AL1115" s="90"/>
      <c r="AM1115" s="90"/>
      <c r="AN1115" s="90"/>
      <c r="AO1115" s="90"/>
      <c r="AP1115" s="90"/>
      <c r="AQ1115" s="90"/>
      <c r="AR1115" s="90"/>
      <c r="AS1115" s="90"/>
      <c r="AT1115" s="90"/>
      <c r="AU1115" s="90"/>
      <c r="AV1115" s="90"/>
      <c r="AW1115" s="90"/>
      <c r="AX1115" s="90"/>
    </row>
    <row r="1116" ht="15.75" customHeight="1">
      <c r="A1116" s="149" t="s">
        <v>237</v>
      </c>
      <c r="B1116" s="149" t="s">
        <v>1508</v>
      </c>
      <c r="C1116" s="226" t="s">
        <v>6987</v>
      </c>
      <c r="D1116" s="149"/>
      <c r="E1116" s="149"/>
      <c r="F1116" s="149"/>
      <c r="G1116" s="149"/>
      <c r="H1116" s="149"/>
      <c r="I1116" s="149"/>
      <c r="J1116" s="149"/>
      <c r="K1116" s="149"/>
      <c r="L1116" s="149"/>
      <c r="M1116" s="149"/>
      <c r="N1116" s="149"/>
      <c r="O1116" s="149"/>
      <c r="P1116" s="149"/>
      <c r="Q1116" s="149"/>
      <c r="R1116" s="149"/>
      <c r="S1116" s="149"/>
      <c r="T1116" s="149"/>
      <c r="U1116" s="149"/>
      <c r="V1116" s="149"/>
      <c r="W1116" s="149"/>
      <c r="X1116" s="149"/>
      <c r="Y1116" s="149"/>
      <c r="Z1116" s="149"/>
      <c r="AA1116" s="149"/>
      <c r="AB1116" s="149"/>
      <c r="AC1116" s="149"/>
      <c r="AD1116" s="90"/>
      <c r="AE1116" s="90"/>
      <c r="AF1116" s="90"/>
      <c r="AG1116" s="90"/>
      <c r="AH1116" s="90"/>
      <c r="AI1116" s="90"/>
      <c r="AJ1116" s="90"/>
      <c r="AK1116" s="90"/>
      <c r="AL1116" s="90"/>
      <c r="AM1116" s="90"/>
      <c r="AN1116" s="90"/>
      <c r="AO1116" s="90"/>
      <c r="AP1116" s="90"/>
      <c r="AQ1116" s="90"/>
      <c r="AR1116" s="90"/>
      <c r="AS1116" s="90"/>
      <c r="AT1116" s="90"/>
      <c r="AU1116" s="90"/>
      <c r="AV1116" s="90"/>
      <c r="AW1116" s="90"/>
      <c r="AX1116" s="90"/>
    </row>
    <row r="1117" ht="15.75" customHeight="1">
      <c r="A1117" s="220" t="s">
        <v>38</v>
      </c>
      <c r="B1117" s="361" t="s">
        <v>6988</v>
      </c>
      <c r="C1117" s="27" t="s">
        <v>7804</v>
      </c>
      <c r="D1117" s="27" t="s">
        <v>7805</v>
      </c>
      <c r="E1117" s="27" t="s">
        <v>7806</v>
      </c>
      <c r="F1117" s="220"/>
      <c r="G1117" s="220"/>
      <c r="H1117" s="220"/>
      <c r="I1117" s="220"/>
      <c r="J1117" s="220"/>
      <c r="K1117" s="220"/>
      <c r="L1117" s="220"/>
      <c r="M1117" s="220"/>
      <c r="N1117" s="220"/>
      <c r="O1117" s="220"/>
      <c r="P1117" s="220"/>
      <c r="Q1117" s="220"/>
      <c r="R1117" s="220"/>
      <c r="S1117" s="220"/>
      <c r="T1117" s="220"/>
      <c r="U1117" s="220"/>
      <c r="V1117" s="220"/>
      <c r="W1117" s="220"/>
      <c r="X1117" s="220"/>
      <c r="Y1117" s="220"/>
      <c r="Z1117" s="220"/>
      <c r="AA1117" s="220"/>
      <c r="AB1117" s="220"/>
      <c r="AC1117" s="220"/>
      <c r="AD1117" s="90"/>
      <c r="AE1117" s="90"/>
      <c r="AF1117" s="90"/>
      <c r="AG1117" s="90"/>
      <c r="AH1117" s="90"/>
      <c r="AI1117" s="90"/>
      <c r="AJ1117" s="90"/>
      <c r="AK1117" s="90"/>
      <c r="AL1117" s="90"/>
      <c r="AM1117" s="90"/>
      <c r="AN1117" s="90"/>
      <c r="AO1117" s="90"/>
      <c r="AP1117" s="90"/>
      <c r="AQ1117" s="90"/>
      <c r="AR1117" s="90"/>
      <c r="AS1117" s="90"/>
      <c r="AT1117" s="90"/>
      <c r="AU1117" s="90"/>
      <c r="AV1117" s="90"/>
      <c r="AW1117" s="90"/>
      <c r="AX1117" s="90"/>
    </row>
    <row r="1118" ht="15.75" customHeight="1">
      <c r="A1118" s="90"/>
      <c r="B1118" s="90"/>
      <c r="C1118" s="191"/>
      <c r="D1118" s="90"/>
      <c r="E1118" s="90"/>
      <c r="F1118" s="90"/>
      <c r="G1118" s="90"/>
      <c r="H1118" s="90"/>
      <c r="I1118" s="90"/>
      <c r="J1118" s="90"/>
      <c r="K1118" s="90"/>
      <c r="L1118" s="90"/>
      <c r="M1118" s="90"/>
      <c r="N1118" s="90"/>
      <c r="O1118" s="90"/>
      <c r="P1118" s="90"/>
      <c r="Q1118" s="90"/>
      <c r="R1118" s="90"/>
      <c r="S1118" s="90"/>
      <c r="T1118" s="90"/>
      <c r="U1118" s="90"/>
      <c r="V1118" s="90"/>
      <c r="W1118" s="90"/>
      <c r="X1118" s="90"/>
      <c r="Y1118" s="90"/>
      <c r="Z1118" s="90"/>
      <c r="AA1118" s="90"/>
      <c r="AB1118" s="90"/>
      <c r="AC1118" s="90"/>
      <c r="AD1118" s="90"/>
      <c r="AE1118" s="90"/>
      <c r="AF1118" s="90"/>
      <c r="AG1118" s="90"/>
      <c r="AH1118" s="90"/>
      <c r="AI1118" s="90"/>
      <c r="AJ1118" s="90"/>
      <c r="AK1118" s="90"/>
      <c r="AL1118" s="90"/>
      <c r="AM1118" s="90"/>
      <c r="AN1118" s="90"/>
      <c r="AO1118" s="90"/>
      <c r="AP1118" s="90"/>
      <c r="AQ1118" s="90"/>
      <c r="AR1118" s="90"/>
      <c r="AS1118" s="90"/>
      <c r="AT1118" s="90"/>
      <c r="AU1118" s="90"/>
      <c r="AV1118" s="90"/>
      <c r="AW1118" s="90"/>
      <c r="AX1118" s="90"/>
    </row>
    <row r="1119">
      <c r="A1119" s="142"/>
      <c r="B1119" s="142"/>
      <c r="C1119" s="158"/>
      <c r="D1119" s="158"/>
      <c r="E1119" s="158"/>
      <c r="F1119" s="142"/>
      <c r="G1119" s="142"/>
      <c r="H1119" s="142"/>
      <c r="I1119" s="142"/>
      <c r="J1119" s="142"/>
      <c r="K1119" s="142"/>
      <c r="L1119" s="142"/>
      <c r="M1119" s="142"/>
      <c r="N1119" s="142"/>
      <c r="O1119" s="142"/>
      <c r="P1119" s="142"/>
      <c r="Q1119" s="142"/>
      <c r="R1119" s="142"/>
      <c r="S1119" s="142"/>
      <c r="T1119" s="142"/>
      <c r="U1119" s="142"/>
      <c r="V1119" s="142"/>
      <c r="W1119" s="142"/>
      <c r="X1119" s="142"/>
      <c r="Y1119" s="142"/>
      <c r="Z1119" s="142"/>
      <c r="AA1119" s="142"/>
      <c r="AB1119" s="142"/>
      <c r="AC1119" s="142"/>
      <c r="AD1119" s="142"/>
      <c r="AE1119" s="142"/>
      <c r="AF1119" s="142"/>
      <c r="AG1119" s="142"/>
      <c r="AH1119" s="142"/>
      <c r="AI1119" s="142"/>
      <c r="AJ1119" s="142"/>
      <c r="AK1119" s="142"/>
      <c r="AL1119" s="142"/>
      <c r="AM1119" s="142"/>
      <c r="AN1119" s="142"/>
      <c r="AO1119" s="142"/>
      <c r="AP1119" s="142"/>
      <c r="AQ1119" s="142"/>
      <c r="AR1119" s="142"/>
      <c r="AS1119" s="142"/>
      <c r="AT1119" s="142"/>
      <c r="AU1119" s="142"/>
      <c r="AV1119" s="142"/>
      <c r="AW1119" s="142"/>
      <c r="AX1119" s="142"/>
    </row>
    <row r="1120">
      <c r="A1120" s="142"/>
      <c r="B1120" s="142"/>
      <c r="C1120" s="158"/>
      <c r="D1120" s="158"/>
      <c r="E1120" s="158"/>
      <c r="F1120" s="142"/>
      <c r="G1120" s="142"/>
      <c r="H1120" s="142"/>
      <c r="I1120" s="142"/>
      <c r="J1120" s="142"/>
      <c r="K1120" s="142"/>
      <c r="L1120" s="142"/>
      <c r="M1120" s="142"/>
      <c r="N1120" s="142"/>
      <c r="O1120" s="142"/>
      <c r="P1120" s="142"/>
      <c r="Q1120" s="142"/>
      <c r="R1120" s="142"/>
      <c r="S1120" s="142"/>
      <c r="T1120" s="142"/>
      <c r="U1120" s="142"/>
      <c r="V1120" s="142"/>
      <c r="W1120" s="142"/>
      <c r="X1120" s="142"/>
      <c r="Y1120" s="142"/>
      <c r="Z1120" s="142"/>
      <c r="AA1120" s="142"/>
      <c r="AB1120" s="142"/>
      <c r="AC1120" s="142"/>
      <c r="AD1120" s="142"/>
      <c r="AE1120" s="142"/>
      <c r="AF1120" s="142"/>
      <c r="AG1120" s="142"/>
      <c r="AH1120" s="142"/>
      <c r="AI1120" s="142"/>
      <c r="AJ1120" s="142"/>
      <c r="AK1120" s="142"/>
      <c r="AL1120" s="142"/>
      <c r="AM1120" s="142"/>
      <c r="AN1120" s="142"/>
      <c r="AO1120" s="142"/>
      <c r="AP1120" s="142"/>
      <c r="AQ1120" s="142"/>
      <c r="AR1120" s="142"/>
      <c r="AS1120" s="142"/>
      <c r="AT1120" s="142"/>
      <c r="AU1120" s="142"/>
      <c r="AV1120" s="142"/>
      <c r="AW1120" s="142"/>
      <c r="AX1120" s="142"/>
    </row>
    <row r="1121">
      <c r="A1121" s="142"/>
      <c r="B1121" s="142"/>
      <c r="C1121" s="158"/>
      <c r="D1121" s="158"/>
      <c r="E1121" s="158"/>
      <c r="F1121" s="142"/>
      <c r="G1121" s="142"/>
      <c r="H1121" s="142"/>
      <c r="I1121" s="142"/>
      <c r="J1121" s="142"/>
      <c r="K1121" s="142"/>
      <c r="L1121" s="142"/>
      <c r="M1121" s="142"/>
      <c r="N1121" s="142"/>
      <c r="O1121" s="142"/>
      <c r="P1121" s="142"/>
      <c r="Q1121" s="142"/>
      <c r="R1121" s="142"/>
      <c r="S1121" s="142"/>
      <c r="T1121" s="142"/>
      <c r="U1121" s="142"/>
      <c r="V1121" s="142"/>
      <c r="W1121" s="142"/>
      <c r="X1121" s="142"/>
      <c r="Y1121" s="142"/>
      <c r="Z1121" s="142"/>
      <c r="AA1121" s="142"/>
      <c r="AB1121" s="142"/>
      <c r="AC1121" s="142"/>
      <c r="AD1121" s="142"/>
      <c r="AE1121" s="142"/>
      <c r="AF1121" s="142"/>
      <c r="AG1121" s="142"/>
      <c r="AH1121" s="142"/>
      <c r="AI1121" s="142"/>
      <c r="AJ1121" s="142"/>
      <c r="AK1121" s="142"/>
      <c r="AL1121" s="142"/>
      <c r="AM1121" s="142"/>
      <c r="AN1121" s="142"/>
      <c r="AO1121" s="142"/>
      <c r="AP1121" s="142"/>
      <c r="AQ1121" s="142"/>
      <c r="AR1121" s="142"/>
      <c r="AS1121" s="142"/>
      <c r="AT1121" s="142"/>
      <c r="AU1121" s="142"/>
      <c r="AV1121" s="142"/>
      <c r="AW1121" s="142"/>
      <c r="AX1121" s="142"/>
    </row>
    <row r="1122">
      <c r="A1122" s="142"/>
      <c r="B1122" s="142"/>
      <c r="C1122" s="158"/>
      <c r="D1122" s="158"/>
      <c r="E1122" s="158"/>
      <c r="F1122" s="142"/>
      <c r="G1122" s="142"/>
      <c r="H1122" s="142"/>
      <c r="I1122" s="142"/>
      <c r="J1122" s="142"/>
      <c r="K1122" s="142"/>
      <c r="L1122" s="142"/>
      <c r="M1122" s="142"/>
      <c r="N1122" s="142"/>
      <c r="O1122" s="142"/>
      <c r="P1122" s="142"/>
      <c r="Q1122" s="142"/>
      <c r="R1122" s="142"/>
      <c r="S1122" s="142"/>
      <c r="T1122" s="142"/>
      <c r="U1122" s="142"/>
      <c r="V1122" s="142"/>
      <c r="W1122" s="142"/>
      <c r="X1122" s="142"/>
      <c r="Y1122" s="142"/>
      <c r="Z1122" s="142"/>
      <c r="AA1122" s="142"/>
      <c r="AB1122" s="142"/>
      <c r="AC1122" s="142"/>
      <c r="AD1122" s="142"/>
      <c r="AE1122" s="142"/>
      <c r="AF1122" s="142"/>
      <c r="AG1122" s="142"/>
      <c r="AH1122" s="142"/>
      <c r="AI1122" s="142"/>
      <c r="AJ1122" s="142"/>
      <c r="AK1122" s="142"/>
      <c r="AL1122" s="142"/>
      <c r="AM1122" s="142"/>
      <c r="AN1122" s="142"/>
      <c r="AO1122" s="142"/>
      <c r="AP1122" s="142"/>
      <c r="AQ1122" s="142"/>
      <c r="AR1122" s="142"/>
      <c r="AS1122" s="142"/>
      <c r="AT1122" s="142"/>
      <c r="AU1122" s="142"/>
      <c r="AV1122" s="142"/>
      <c r="AW1122" s="142"/>
      <c r="AX1122" s="142"/>
    </row>
    <row r="1123">
      <c r="A1123" s="142"/>
      <c r="B1123" s="142"/>
      <c r="C1123" s="158"/>
      <c r="D1123" s="158"/>
      <c r="E1123" s="158"/>
      <c r="F1123" s="142"/>
      <c r="G1123" s="142"/>
      <c r="H1123" s="142"/>
      <c r="I1123" s="142"/>
      <c r="J1123" s="142"/>
      <c r="K1123" s="142"/>
      <c r="L1123" s="142"/>
      <c r="M1123" s="142"/>
      <c r="N1123" s="142"/>
      <c r="O1123" s="142"/>
      <c r="P1123" s="142"/>
      <c r="Q1123" s="142"/>
      <c r="R1123" s="142"/>
      <c r="S1123" s="142"/>
      <c r="T1123" s="142"/>
      <c r="U1123" s="142"/>
      <c r="V1123" s="142"/>
      <c r="W1123" s="142"/>
      <c r="X1123" s="142"/>
      <c r="Y1123" s="142"/>
      <c r="Z1123" s="142"/>
      <c r="AA1123" s="142"/>
      <c r="AB1123" s="142"/>
      <c r="AC1123" s="142"/>
      <c r="AD1123" s="142"/>
      <c r="AE1123" s="142"/>
      <c r="AF1123" s="142"/>
      <c r="AG1123" s="142"/>
      <c r="AH1123" s="142"/>
      <c r="AI1123" s="142"/>
      <c r="AJ1123" s="142"/>
      <c r="AK1123" s="142"/>
      <c r="AL1123" s="142"/>
      <c r="AM1123" s="142"/>
      <c r="AN1123" s="142"/>
      <c r="AO1123" s="142"/>
      <c r="AP1123" s="142"/>
      <c r="AQ1123" s="142"/>
      <c r="AR1123" s="142"/>
      <c r="AS1123" s="142"/>
      <c r="AT1123" s="142"/>
      <c r="AU1123" s="142"/>
      <c r="AV1123" s="142"/>
      <c r="AW1123" s="142"/>
      <c r="AX1123" s="142"/>
    </row>
    <row r="1124">
      <c r="A1124" s="142"/>
      <c r="B1124" s="142"/>
      <c r="C1124" s="158"/>
      <c r="D1124" s="158"/>
      <c r="E1124" s="158"/>
      <c r="F1124" s="142"/>
      <c r="G1124" s="142"/>
      <c r="H1124" s="142"/>
      <c r="I1124" s="142"/>
      <c r="J1124" s="142"/>
      <c r="K1124" s="142"/>
      <c r="L1124" s="142"/>
      <c r="M1124" s="142"/>
      <c r="N1124" s="142"/>
      <c r="O1124" s="142"/>
      <c r="P1124" s="142"/>
      <c r="Q1124" s="142"/>
      <c r="R1124" s="142"/>
      <c r="S1124" s="142"/>
      <c r="T1124" s="142"/>
      <c r="U1124" s="142"/>
      <c r="V1124" s="142"/>
      <c r="W1124" s="142"/>
      <c r="X1124" s="142"/>
      <c r="Y1124" s="142"/>
      <c r="Z1124" s="142"/>
      <c r="AA1124" s="142"/>
      <c r="AB1124" s="142"/>
      <c r="AC1124" s="142"/>
      <c r="AD1124" s="142"/>
      <c r="AE1124" s="142"/>
      <c r="AF1124" s="142"/>
      <c r="AG1124" s="142"/>
      <c r="AH1124" s="142"/>
      <c r="AI1124" s="142"/>
      <c r="AJ1124" s="142"/>
      <c r="AK1124" s="142"/>
      <c r="AL1124" s="142"/>
      <c r="AM1124" s="142"/>
      <c r="AN1124" s="142"/>
      <c r="AO1124" s="142"/>
      <c r="AP1124" s="142"/>
      <c r="AQ1124" s="142"/>
      <c r="AR1124" s="142"/>
      <c r="AS1124" s="142"/>
      <c r="AT1124" s="142"/>
      <c r="AU1124" s="142"/>
      <c r="AV1124" s="142"/>
      <c r="AW1124" s="142"/>
      <c r="AX1124" s="142"/>
    </row>
    <row r="1125">
      <c r="A1125" s="142"/>
      <c r="B1125" s="142"/>
      <c r="C1125" s="158"/>
      <c r="D1125" s="158"/>
      <c r="E1125" s="158"/>
      <c r="F1125" s="142"/>
      <c r="G1125" s="142"/>
      <c r="H1125" s="142"/>
      <c r="I1125" s="142"/>
      <c r="J1125" s="142"/>
      <c r="K1125" s="142"/>
      <c r="L1125" s="142"/>
      <c r="M1125" s="142"/>
      <c r="N1125" s="142"/>
      <c r="O1125" s="142"/>
      <c r="P1125" s="142"/>
      <c r="Q1125" s="142"/>
      <c r="R1125" s="142"/>
      <c r="S1125" s="142"/>
      <c r="T1125" s="142"/>
      <c r="U1125" s="142"/>
      <c r="V1125" s="142"/>
      <c r="W1125" s="142"/>
      <c r="X1125" s="142"/>
      <c r="Y1125" s="142"/>
      <c r="Z1125" s="142"/>
      <c r="AA1125" s="142"/>
      <c r="AB1125" s="142"/>
      <c r="AC1125" s="142"/>
      <c r="AD1125" s="142"/>
      <c r="AE1125" s="142"/>
      <c r="AF1125" s="142"/>
      <c r="AG1125" s="142"/>
      <c r="AH1125" s="142"/>
      <c r="AI1125" s="142"/>
      <c r="AJ1125" s="142"/>
      <c r="AK1125" s="142"/>
      <c r="AL1125" s="142"/>
      <c r="AM1125" s="142"/>
      <c r="AN1125" s="142"/>
      <c r="AO1125" s="142"/>
      <c r="AP1125" s="142"/>
      <c r="AQ1125" s="142"/>
      <c r="AR1125" s="142"/>
      <c r="AS1125" s="142"/>
      <c r="AT1125" s="142"/>
      <c r="AU1125" s="142"/>
      <c r="AV1125" s="142"/>
      <c r="AW1125" s="142"/>
      <c r="AX1125" s="142"/>
    </row>
    <row r="1126">
      <c r="A1126" s="142"/>
      <c r="B1126" s="142"/>
      <c r="C1126" s="158"/>
      <c r="D1126" s="158"/>
      <c r="E1126" s="158"/>
      <c r="F1126" s="142"/>
      <c r="G1126" s="142"/>
      <c r="H1126" s="142"/>
      <c r="I1126" s="142"/>
      <c r="J1126" s="142"/>
      <c r="K1126" s="142"/>
      <c r="L1126" s="142"/>
      <c r="M1126" s="142"/>
      <c r="N1126" s="142"/>
      <c r="O1126" s="142"/>
      <c r="P1126" s="142"/>
      <c r="Q1126" s="142"/>
      <c r="R1126" s="142"/>
      <c r="S1126" s="142"/>
      <c r="T1126" s="142"/>
      <c r="U1126" s="142"/>
      <c r="V1126" s="142"/>
      <c r="W1126" s="142"/>
      <c r="X1126" s="142"/>
      <c r="Y1126" s="142"/>
      <c r="Z1126" s="142"/>
      <c r="AA1126" s="142"/>
      <c r="AB1126" s="142"/>
      <c r="AC1126" s="142"/>
      <c r="AD1126" s="142"/>
      <c r="AE1126" s="142"/>
      <c r="AF1126" s="142"/>
      <c r="AG1126" s="142"/>
      <c r="AH1126" s="142"/>
      <c r="AI1126" s="142"/>
      <c r="AJ1126" s="142"/>
      <c r="AK1126" s="142"/>
      <c r="AL1126" s="142"/>
      <c r="AM1126" s="142"/>
      <c r="AN1126" s="142"/>
      <c r="AO1126" s="142"/>
      <c r="AP1126" s="142"/>
      <c r="AQ1126" s="142"/>
      <c r="AR1126" s="142"/>
      <c r="AS1126" s="142"/>
      <c r="AT1126" s="142"/>
      <c r="AU1126" s="142"/>
      <c r="AV1126" s="142"/>
      <c r="AW1126" s="142"/>
      <c r="AX1126" s="142"/>
    </row>
    <row r="1127" ht="15.75" customHeight="1">
      <c r="A1127" s="25"/>
      <c r="B1127" s="25"/>
      <c r="C1127" s="27"/>
      <c r="D1127" s="28"/>
      <c r="E1127" s="28"/>
      <c r="F1127" s="25"/>
      <c r="G1127" s="25"/>
      <c r="H1127" s="25"/>
      <c r="I1127" s="25"/>
      <c r="J1127" s="25"/>
      <c r="K1127" s="25"/>
      <c r="L1127" s="25"/>
      <c r="M1127" s="25"/>
      <c r="N1127" s="25"/>
      <c r="O1127" s="25"/>
      <c r="P1127" s="25"/>
      <c r="Q1127" s="25"/>
      <c r="R1127" s="25"/>
      <c r="S1127" s="25"/>
      <c r="T1127" s="25"/>
      <c r="U1127" s="25"/>
      <c r="V1127" s="25"/>
      <c r="W1127" s="25"/>
      <c r="X1127" s="25"/>
      <c r="Y1127" s="25"/>
      <c r="Z1127" s="25"/>
      <c r="AA1127" s="25"/>
      <c r="AB1127" s="25"/>
      <c r="AC1127" s="25"/>
      <c r="AD1127" s="25"/>
      <c r="AE1127" s="25"/>
      <c r="AF1127" s="25"/>
      <c r="AG1127" s="25"/>
      <c r="AH1127" s="25"/>
      <c r="AI1127" s="25"/>
      <c r="AJ1127" s="25"/>
      <c r="AK1127" s="25"/>
      <c r="AL1127" s="25"/>
      <c r="AM1127" s="25"/>
      <c r="AN1127" s="25"/>
      <c r="AO1127" s="25"/>
      <c r="AP1127" s="25"/>
      <c r="AQ1127" s="25"/>
      <c r="AR1127" s="25"/>
      <c r="AS1127" s="25"/>
      <c r="AT1127" s="25"/>
      <c r="AU1127" s="25"/>
      <c r="AV1127" s="25"/>
      <c r="AW1127" s="25"/>
      <c r="AX1127" s="25"/>
    </row>
    <row r="1128" ht="15.75" customHeight="1">
      <c r="A1128" s="25"/>
      <c r="B1128" s="25"/>
      <c r="C1128" s="27"/>
      <c r="D1128" s="28"/>
      <c r="E1128" s="28"/>
      <c r="F1128" s="25"/>
      <c r="G1128" s="25"/>
      <c r="H1128" s="25"/>
      <c r="I1128" s="25"/>
      <c r="J1128" s="25"/>
      <c r="K1128" s="25"/>
      <c r="L1128" s="25"/>
      <c r="M1128" s="25"/>
      <c r="N1128" s="25"/>
      <c r="O1128" s="25"/>
      <c r="P1128" s="25"/>
      <c r="Q1128" s="25"/>
      <c r="R1128" s="25"/>
      <c r="S1128" s="25"/>
      <c r="T1128" s="25"/>
      <c r="U1128" s="25"/>
      <c r="V1128" s="25"/>
      <c r="W1128" s="25"/>
      <c r="X1128" s="25"/>
      <c r="Y1128" s="25"/>
      <c r="Z1128" s="25"/>
      <c r="AA1128" s="25"/>
      <c r="AB1128" s="25"/>
      <c r="AC1128" s="25"/>
      <c r="AD1128" s="25"/>
      <c r="AE1128" s="25"/>
      <c r="AF1128" s="25"/>
      <c r="AG1128" s="25"/>
      <c r="AH1128" s="25"/>
      <c r="AI1128" s="25"/>
      <c r="AJ1128" s="25"/>
      <c r="AK1128" s="25"/>
      <c r="AL1128" s="25"/>
      <c r="AM1128" s="25"/>
      <c r="AN1128" s="25"/>
      <c r="AO1128" s="25"/>
      <c r="AP1128" s="25"/>
      <c r="AQ1128" s="25"/>
      <c r="AR1128" s="25"/>
      <c r="AS1128" s="25"/>
      <c r="AT1128" s="25"/>
      <c r="AU1128" s="25"/>
      <c r="AV1128" s="25"/>
      <c r="AW1128" s="25"/>
      <c r="AX1128" s="25"/>
    </row>
    <row r="1129" ht="15.75" customHeight="1">
      <c r="A1129" s="25"/>
      <c r="B1129" s="25"/>
      <c r="C1129" s="27"/>
      <c r="D1129" s="28"/>
      <c r="E1129" s="28"/>
      <c r="F1129" s="25"/>
      <c r="G1129" s="25"/>
      <c r="H1129" s="25"/>
      <c r="I1129" s="25"/>
      <c r="J1129" s="25"/>
      <c r="K1129" s="25"/>
      <c r="L1129" s="25"/>
      <c r="M1129" s="25"/>
      <c r="N1129" s="25"/>
      <c r="O1129" s="25"/>
      <c r="P1129" s="25"/>
      <c r="Q1129" s="25"/>
      <c r="R1129" s="25"/>
      <c r="S1129" s="25"/>
      <c r="T1129" s="25"/>
      <c r="U1129" s="25"/>
      <c r="V1129" s="25"/>
      <c r="W1129" s="25"/>
      <c r="X1129" s="25"/>
      <c r="Y1129" s="25"/>
      <c r="Z1129" s="25"/>
      <c r="AA1129" s="25"/>
      <c r="AB1129" s="25"/>
      <c r="AC1129" s="25"/>
      <c r="AD1129" s="25"/>
      <c r="AE1129" s="25"/>
      <c r="AF1129" s="25"/>
      <c r="AG1129" s="25"/>
      <c r="AH1129" s="25"/>
      <c r="AI1129" s="25"/>
      <c r="AJ1129" s="25"/>
      <c r="AK1129" s="25"/>
      <c r="AL1129" s="25"/>
      <c r="AM1129" s="25"/>
      <c r="AN1129" s="25"/>
      <c r="AO1129" s="25"/>
      <c r="AP1129" s="25"/>
      <c r="AQ1129" s="25"/>
      <c r="AR1129" s="25"/>
      <c r="AS1129" s="25"/>
      <c r="AT1129" s="25"/>
      <c r="AU1129" s="25"/>
      <c r="AV1129" s="25"/>
      <c r="AW1129" s="25"/>
      <c r="AX1129" s="25"/>
    </row>
    <row r="1130" ht="15.75" customHeight="1">
      <c r="A1130" s="25"/>
      <c r="B1130" s="25"/>
      <c r="C1130" s="27"/>
      <c r="D1130" s="28"/>
      <c r="E1130" s="28"/>
      <c r="F1130" s="25"/>
      <c r="G1130" s="25"/>
      <c r="H1130" s="25"/>
      <c r="I1130" s="25"/>
      <c r="J1130" s="25"/>
      <c r="K1130" s="25"/>
      <c r="L1130" s="25"/>
      <c r="M1130" s="25"/>
      <c r="N1130" s="25"/>
      <c r="O1130" s="25"/>
      <c r="P1130" s="25"/>
      <c r="Q1130" s="25"/>
      <c r="R1130" s="25"/>
      <c r="S1130" s="25"/>
      <c r="T1130" s="25"/>
      <c r="U1130" s="25"/>
      <c r="V1130" s="25"/>
      <c r="W1130" s="25"/>
      <c r="X1130" s="25"/>
      <c r="Y1130" s="25"/>
      <c r="Z1130" s="25"/>
      <c r="AA1130" s="25"/>
      <c r="AB1130" s="25"/>
      <c r="AC1130" s="25"/>
      <c r="AD1130" s="25"/>
      <c r="AE1130" s="25"/>
      <c r="AF1130" s="25"/>
      <c r="AG1130" s="25"/>
      <c r="AH1130" s="25"/>
      <c r="AI1130" s="25"/>
      <c r="AJ1130" s="25"/>
      <c r="AK1130" s="25"/>
      <c r="AL1130" s="25"/>
      <c r="AM1130" s="25"/>
      <c r="AN1130" s="25"/>
      <c r="AO1130" s="25"/>
      <c r="AP1130" s="25"/>
      <c r="AQ1130" s="25"/>
      <c r="AR1130" s="25"/>
      <c r="AS1130" s="25"/>
      <c r="AT1130" s="25"/>
      <c r="AU1130" s="25"/>
      <c r="AV1130" s="25"/>
      <c r="AW1130" s="25"/>
      <c r="AX1130" s="25"/>
    </row>
    <row r="1131" ht="15.75" customHeight="1">
      <c r="A1131" s="25"/>
      <c r="B1131" s="25"/>
      <c r="C1131" s="27"/>
      <c r="D1131" s="28"/>
      <c r="E1131" s="28"/>
      <c r="F1131" s="25"/>
      <c r="G1131" s="25"/>
      <c r="H1131" s="25"/>
      <c r="I1131" s="25"/>
      <c r="J1131" s="25"/>
      <c r="K1131" s="25"/>
      <c r="L1131" s="25"/>
      <c r="M1131" s="25"/>
      <c r="N1131" s="25"/>
      <c r="O1131" s="25"/>
      <c r="P1131" s="25"/>
      <c r="Q1131" s="25"/>
      <c r="R1131" s="25"/>
      <c r="S1131" s="25"/>
      <c r="T1131" s="25"/>
      <c r="U1131" s="25"/>
      <c r="V1131" s="25"/>
      <c r="W1131" s="25"/>
      <c r="X1131" s="25"/>
      <c r="Y1131" s="25"/>
      <c r="Z1131" s="25"/>
      <c r="AA1131" s="25"/>
      <c r="AB1131" s="25"/>
      <c r="AC1131" s="25"/>
      <c r="AD1131" s="25"/>
      <c r="AE1131" s="25"/>
      <c r="AF1131" s="25"/>
      <c r="AG1131" s="25"/>
      <c r="AH1131" s="25"/>
      <c r="AI1131" s="25"/>
      <c r="AJ1131" s="25"/>
      <c r="AK1131" s="25"/>
      <c r="AL1131" s="25"/>
      <c r="AM1131" s="25"/>
      <c r="AN1131" s="25"/>
      <c r="AO1131" s="25"/>
      <c r="AP1131" s="25"/>
      <c r="AQ1131" s="25"/>
      <c r="AR1131" s="25"/>
      <c r="AS1131" s="25"/>
      <c r="AT1131" s="25"/>
      <c r="AU1131" s="25"/>
      <c r="AV1131" s="25"/>
      <c r="AW1131" s="25"/>
      <c r="AX1131" s="25"/>
    </row>
    <row r="1132" ht="15.75" customHeight="1">
      <c r="A1132" s="25"/>
      <c r="B1132" s="25"/>
      <c r="C1132" s="27"/>
      <c r="D1132" s="28"/>
      <c r="E1132" s="28"/>
      <c r="F1132" s="25"/>
      <c r="G1132" s="25"/>
      <c r="H1132" s="25"/>
      <c r="I1132" s="25"/>
      <c r="J1132" s="25"/>
      <c r="K1132" s="25"/>
      <c r="L1132" s="25"/>
      <c r="M1132" s="25"/>
      <c r="N1132" s="25"/>
      <c r="O1132" s="25"/>
      <c r="P1132" s="25"/>
      <c r="Q1132" s="25"/>
      <c r="R1132" s="25"/>
      <c r="S1132" s="25"/>
      <c r="T1132" s="25"/>
      <c r="U1132" s="25"/>
      <c r="V1132" s="25"/>
      <c r="W1132" s="25"/>
      <c r="X1132" s="25"/>
      <c r="Y1132" s="25"/>
      <c r="Z1132" s="25"/>
      <c r="AA1132" s="25"/>
      <c r="AB1132" s="25"/>
      <c r="AC1132" s="25"/>
      <c r="AD1132" s="25"/>
      <c r="AE1132" s="25"/>
      <c r="AF1132" s="25"/>
      <c r="AG1132" s="25"/>
      <c r="AH1132" s="25"/>
      <c r="AI1132" s="25"/>
      <c r="AJ1132" s="25"/>
      <c r="AK1132" s="25"/>
      <c r="AL1132" s="25"/>
      <c r="AM1132" s="25"/>
      <c r="AN1132" s="25"/>
      <c r="AO1132" s="25"/>
      <c r="AP1132" s="25"/>
      <c r="AQ1132" s="25"/>
      <c r="AR1132" s="25"/>
      <c r="AS1132" s="25"/>
      <c r="AT1132" s="25"/>
      <c r="AU1132" s="25"/>
      <c r="AV1132" s="25"/>
      <c r="AW1132" s="25"/>
      <c r="AX1132" s="25"/>
    </row>
    <row r="1133" ht="15.75" customHeight="1">
      <c r="A1133" s="25"/>
      <c r="B1133" s="25"/>
      <c r="C1133" s="27"/>
      <c r="D1133" s="28"/>
      <c r="E1133" s="28"/>
      <c r="F1133" s="25"/>
      <c r="G1133" s="25"/>
      <c r="H1133" s="25"/>
      <c r="I1133" s="25"/>
      <c r="J1133" s="25"/>
      <c r="K1133" s="25"/>
      <c r="L1133" s="25"/>
      <c r="M1133" s="25"/>
      <c r="N1133" s="25"/>
      <c r="O1133" s="25"/>
      <c r="P1133" s="25"/>
      <c r="Q1133" s="25"/>
      <c r="R1133" s="25"/>
      <c r="S1133" s="25"/>
      <c r="T1133" s="25"/>
      <c r="U1133" s="25"/>
      <c r="V1133" s="25"/>
      <c r="W1133" s="25"/>
      <c r="X1133" s="25"/>
      <c r="Y1133" s="25"/>
      <c r="Z1133" s="25"/>
      <c r="AA1133" s="25"/>
      <c r="AB1133" s="25"/>
      <c r="AC1133" s="25"/>
      <c r="AD1133" s="25"/>
      <c r="AE1133" s="25"/>
      <c r="AF1133" s="25"/>
      <c r="AG1133" s="25"/>
      <c r="AH1133" s="25"/>
      <c r="AI1133" s="25"/>
      <c r="AJ1133" s="25"/>
      <c r="AK1133" s="25"/>
      <c r="AL1133" s="25"/>
      <c r="AM1133" s="25"/>
      <c r="AN1133" s="25"/>
      <c r="AO1133" s="25"/>
      <c r="AP1133" s="25"/>
      <c r="AQ1133" s="25"/>
      <c r="AR1133" s="25"/>
      <c r="AS1133" s="25"/>
      <c r="AT1133" s="25"/>
      <c r="AU1133" s="25"/>
      <c r="AV1133" s="25"/>
      <c r="AW1133" s="25"/>
      <c r="AX1133" s="25"/>
    </row>
    <row r="1134" ht="15.75" customHeight="1">
      <c r="A1134" s="25"/>
      <c r="B1134" s="25"/>
      <c r="C1134" s="27"/>
      <c r="D1134" s="28"/>
      <c r="E1134" s="28"/>
      <c r="F1134" s="25"/>
      <c r="G1134" s="25"/>
      <c r="H1134" s="25"/>
      <c r="I1134" s="25"/>
      <c r="J1134" s="25"/>
      <c r="K1134" s="25"/>
      <c r="L1134" s="25"/>
      <c r="M1134" s="25"/>
      <c r="N1134" s="25"/>
      <c r="O1134" s="25"/>
      <c r="P1134" s="25"/>
      <c r="Q1134" s="25"/>
      <c r="R1134" s="25"/>
      <c r="S1134" s="25"/>
      <c r="T1134" s="25"/>
      <c r="U1134" s="25"/>
      <c r="V1134" s="25"/>
      <c r="W1134" s="25"/>
      <c r="X1134" s="25"/>
      <c r="Y1134" s="25"/>
      <c r="Z1134" s="25"/>
      <c r="AA1134" s="25"/>
      <c r="AB1134" s="25"/>
      <c r="AC1134" s="25"/>
      <c r="AD1134" s="25"/>
      <c r="AE1134" s="25"/>
      <c r="AF1134" s="25"/>
      <c r="AG1134" s="25"/>
      <c r="AH1134" s="25"/>
      <c r="AI1134" s="25"/>
      <c r="AJ1134" s="25"/>
      <c r="AK1134" s="25"/>
      <c r="AL1134" s="25"/>
      <c r="AM1134" s="25"/>
      <c r="AN1134" s="25"/>
      <c r="AO1134" s="25"/>
      <c r="AP1134" s="25"/>
      <c r="AQ1134" s="25"/>
      <c r="AR1134" s="25"/>
      <c r="AS1134" s="25"/>
      <c r="AT1134" s="25"/>
      <c r="AU1134" s="25"/>
      <c r="AV1134" s="25"/>
      <c r="AW1134" s="25"/>
      <c r="AX1134" s="25"/>
    </row>
    <row r="1135" ht="15.75" customHeight="1">
      <c r="A1135" s="25"/>
      <c r="B1135" s="25"/>
      <c r="C1135" s="27"/>
      <c r="D1135" s="28"/>
      <c r="E1135" s="28"/>
      <c r="F1135" s="25"/>
      <c r="G1135" s="25"/>
      <c r="H1135" s="25"/>
      <c r="I1135" s="25"/>
      <c r="J1135" s="25"/>
      <c r="K1135" s="25"/>
      <c r="L1135" s="25"/>
      <c r="M1135" s="25"/>
      <c r="N1135" s="25"/>
      <c r="O1135" s="25"/>
      <c r="P1135" s="25"/>
      <c r="Q1135" s="25"/>
      <c r="R1135" s="25"/>
      <c r="S1135" s="25"/>
      <c r="T1135" s="25"/>
      <c r="U1135" s="25"/>
      <c r="V1135" s="25"/>
      <c r="W1135" s="25"/>
      <c r="X1135" s="25"/>
      <c r="Y1135" s="25"/>
      <c r="Z1135" s="25"/>
      <c r="AA1135" s="25"/>
      <c r="AB1135" s="25"/>
      <c r="AC1135" s="25"/>
      <c r="AD1135" s="25"/>
      <c r="AE1135" s="25"/>
      <c r="AF1135" s="25"/>
      <c r="AG1135" s="25"/>
      <c r="AH1135" s="25"/>
      <c r="AI1135" s="25"/>
      <c r="AJ1135" s="25"/>
      <c r="AK1135" s="25"/>
      <c r="AL1135" s="25"/>
      <c r="AM1135" s="25"/>
      <c r="AN1135" s="25"/>
      <c r="AO1135" s="25"/>
      <c r="AP1135" s="25"/>
      <c r="AQ1135" s="25"/>
      <c r="AR1135" s="25"/>
      <c r="AS1135" s="25"/>
      <c r="AT1135" s="25"/>
      <c r="AU1135" s="25"/>
      <c r="AV1135" s="25"/>
      <c r="AW1135" s="25"/>
      <c r="AX1135" s="25"/>
    </row>
    <row r="1136" ht="15.75" customHeight="1">
      <c r="A1136" s="25"/>
      <c r="B1136" s="25"/>
      <c r="C1136" s="27"/>
      <c r="D1136" s="28"/>
      <c r="E1136" s="28"/>
      <c r="F1136" s="25"/>
      <c r="G1136" s="25"/>
      <c r="H1136" s="25"/>
      <c r="I1136" s="25"/>
      <c r="J1136" s="25"/>
      <c r="K1136" s="25"/>
      <c r="L1136" s="25"/>
      <c r="M1136" s="25"/>
      <c r="N1136" s="25"/>
      <c r="O1136" s="25"/>
      <c r="P1136" s="25"/>
      <c r="Q1136" s="25"/>
      <c r="R1136" s="25"/>
      <c r="S1136" s="25"/>
      <c r="T1136" s="25"/>
      <c r="U1136" s="25"/>
      <c r="V1136" s="25"/>
      <c r="W1136" s="25"/>
      <c r="X1136" s="25"/>
      <c r="Y1136" s="25"/>
      <c r="Z1136" s="25"/>
      <c r="AA1136" s="25"/>
      <c r="AB1136" s="25"/>
      <c r="AC1136" s="25"/>
      <c r="AD1136" s="25"/>
      <c r="AE1136" s="25"/>
      <c r="AF1136" s="25"/>
      <c r="AG1136" s="25"/>
      <c r="AH1136" s="25"/>
      <c r="AI1136" s="25"/>
      <c r="AJ1136" s="25"/>
      <c r="AK1136" s="25"/>
      <c r="AL1136" s="25"/>
      <c r="AM1136" s="25"/>
      <c r="AN1136" s="25"/>
      <c r="AO1136" s="25"/>
      <c r="AP1136" s="25"/>
      <c r="AQ1136" s="25"/>
      <c r="AR1136" s="25"/>
      <c r="AS1136" s="25"/>
      <c r="AT1136" s="25"/>
      <c r="AU1136" s="25"/>
      <c r="AV1136" s="25"/>
      <c r="AW1136" s="25"/>
      <c r="AX1136" s="25"/>
    </row>
    <row r="1137" ht="15.75" customHeight="1">
      <c r="A1137" s="25"/>
      <c r="B1137" s="25"/>
      <c r="C1137" s="27"/>
      <c r="D1137" s="28"/>
      <c r="E1137" s="28"/>
      <c r="F1137" s="25"/>
      <c r="G1137" s="25"/>
      <c r="H1137" s="25"/>
      <c r="I1137" s="25"/>
      <c r="J1137" s="25"/>
      <c r="K1137" s="25"/>
      <c r="L1137" s="25"/>
      <c r="M1137" s="25"/>
      <c r="N1137" s="25"/>
      <c r="O1137" s="25"/>
      <c r="P1137" s="25"/>
      <c r="Q1137" s="25"/>
      <c r="R1137" s="25"/>
      <c r="S1137" s="25"/>
      <c r="T1137" s="25"/>
      <c r="U1137" s="25"/>
      <c r="V1137" s="25"/>
      <c r="W1137" s="25"/>
      <c r="X1137" s="25"/>
      <c r="Y1137" s="25"/>
      <c r="Z1137" s="25"/>
      <c r="AA1137" s="25"/>
      <c r="AB1137" s="25"/>
      <c r="AC1137" s="25"/>
      <c r="AD1137" s="25"/>
      <c r="AE1137" s="25"/>
      <c r="AF1137" s="25"/>
      <c r="AG1137" s="25"/>
      <c r="AH1137" s="25"/>
      <c r="AI1137" s="25"/>
      <c r="AJ1137" s="25"/>
      <c r="AK1137" s="25"/>
      <c r="AL1137" s="25"/>
      <c r="AM1137" s="25"/>
      <c r="AN1137" s="25"/>
      <c r="AO1137" s="25"/>
      <c r="AP1137" s="25"/>
      <c r="AQ1137" s="25"/>
      <c r="AR1137" s="25"/>
      <c r="AS1137" s="25"/>
      <c r="AT1137" s="25"/>
      <c r="AU1137" s="25"/>
      <c r="AV1137" s="25"/>
      <c r="AW1137" s="25"/>
      <c r="AX1137" s="25"/>
    </row>
    <row r="1138" ht="15.75" customHeight="1">
      <c r="A1138" s="25"/>
      <c r="B1138" s="25"/>
      <c r="C1138" s="27"/>
      <c r="D1138" s="28"/>
      <c r="E1138" s="28"/>
      <c r="F1138" s="25"/>
      <c r="G1138" s="25"/>
      <c r="H1138" s="25"/>
      <c r="I1138" s="25"/>
      <c r="J1138" s="25"/>
      <c r="K1138" s="25"/>
      <c r="L1138" s="25"/>
      <c r="M1138" s="25"/>
      <c r="N1138" s="25"/>
      <c r="O1138" s="25"/>
      <c r="P1138" s="25"/>
      <c r="Q1138" s="25"/>
      <c r="R1138" s="25"/>
      <c r="S1138" s="25"/>
      <c r="T1138" s="25"/>
      <c r="U1138" s="25"/>
      <c r="V1138" s="25"/>
      <c r="W1138" s="25"/>
      <c r="X1138" s="25"/>
      <c r="Y1138" s="25"/>
      <c r="Z1138" s="25"/>
      <c r="AA1138" s="25"/>
      <c r="AB1138" s="25"/>
      <c r="AC1138" s="25"/>
      <c r="AD1138" s="25"/>
      <c r="AE1138" s="25"/>
      <c r="AF1138" s="25"/>
      <c r="AG1138" s="25"/>
      <c r="AH1138" s="25"/>
      <c r="AI1138" s="25"/>
      <c r="AJ1138" s="25"/>
      <c r="AK1138" s="25"/>
      <c r="AL1138" s="25"/>
      <c r="AM1138" s="25"/>
      <c r="AN1138" s="25"/>
      <c r="AO1138" s="25"/>
      <c r="AP1138" s="25"/>
      <c r="AQ1138" s="25"/>
      <c r="AR1138" s="25"/>
      <c r="AS1138" s="25"/>
      <c r="AT1138" s="25"/>
      <c r="AU1138" s="25"/>
      <c r="AV1138" s="25"/>
      <c r="AW1138" s="25"/>
      <c r="AX1138" s="25"/>
    </row>
    <row r="1139" ht="15.75" customHeight="1">
      <c r="A1139" s="25"/>
      <c r="B1139" s="25"/>
      <c r="C1139" s="27"/>
      <c r="D1139" s="28"/>
      <c r="E1139" s="28"/>
      <c r="F1139" s="25"/>
      <c r="G1139" s="25"/>
      <c r="H1139" s="25"/>
      <c r="I1139" s="25"/>
      <c r="J1139" s="25"/>
      <c r="K1139" s="25"/>
      <c r="L1139" s="25"/>
      <c r="M1139" s="25"/>
      <c r="N1139" s="25"/>
      <c r="O1139" s="25"/>
      <c r="P1139" s="25"/>
      <c r="Q1139" s="25"/>
      <c r="R1139" s="25"/>
      <c r="S1139" s="25"/>
      <c r="T1139" s="25"/>
      <c r="U1139" s="25"/>
      <c r="V1139" s="25"/>
      <c r="W1139" s="25"/>
      <c r="X1139" s="25"/>
      <c r="Y1139" s="25"/>
      <c r="Z1139" s="25"/>
      <c r="AA1139" s="25"/>
      <c r="AB1139" s="25"/>
      <c r="AC1139" s="25"/>
      <c r="AD1139" s="25"/>
      <c r="AE1139" s="25"/>
      <c r="AF1139" s="25"/>
      <c r="AG1139" s="25"/>
      <c r="AH1139" s="25"/>
      <c r="AI1139" s="25"/>
      <c r="AJ1139" s="25"/>
      <c r="AK1139" s="25"/>
      <c r="AL1139" s="25"/>
      <c r="AM1139" s="25"/>
      <c r="AN1139" s="25"/>
      <c r="AO1139" s="25"/>
      <c r="AP1139" s="25"/>
      <c r="AQ1139" s="25"/>
      <c r="AR1139" s="25"/>
      <c r="AS1139" s="25"/>
      <c r="AT1139" s="25"/>
      <c r="AU1139" s="25"/>
      <c r="AV1139" s="25"/>
      <c r="AW1139" s="25"/>
      <c r="AX1139" s="25"/>
    </row>
    <row r="1140" ht="15.75" customHeight="1">
      <c r="A1140" s="25"/>
      <c r="B1140" s="25"/>
      <c r="C1140" s="27"/>
      <c r="D1140" s="28"/>
      <c r="E1140" s="28"/>
      <c r="F1140" s="25"/>
      <c r="G1140" s="25"/>
      <c r="H1140" s="25"/>
      <c r="I1140" s="25"/>
      <c r="J1140" s="25"/>
      <c r="K1140" s="25"/>
      <c r="L1140" s="25"/>
      <c r="M1140" s="25"/>
      <c r="N1140" s="25"/>
      <c r="O1140" s="25"/>
      <c r="P1140" s="25"/>
      <c r="Q1140" s="25"/>
      <c r="R1140" s="25"/>
      <c r="S1140" s="25"/>
      <c r="T1140" s="25"/>
      <c r="U1140" s="25"/>
      <c r="V1140" s="25"/>
      <c r="W1140" s="25"/>
      <c r="X1140" s="25"/>
      <c r="Y1140" s="25"/>
      <c r="Z1140" s="25"/>
      <c r="AA1140" s="25"/>
      <c r="AB1140" s="25"/>
      <c r="AC1140" s="25"/>
      <c r="AD1140" s="25"/>
      <c r="AE1140" s="25"/>
      <c r="AF1140" s="25"/>
      <c r="AG1140" s="25"/>
      <c r="AH1140" s="25"/>
      <c r="AI1140" s="25"/>
      <c r="AJ1140" s="25"/>
      <c r="AK1140" s="25"/>
      <c r="AL1140" s="25"/>
      <c r="AM1140" s="25"/>
      <c r="AN1140" s="25"/>
      <c r="AO1140" s="25"/>
      <c r="AP1140" s="25"/>
      <c r="AQ1140" s="25"/>
      <c r="AR1140" s="25"/>
      <c r="AS1140" s="25"/>
      <c r="AT1140" s="25"/>
      <c r="AU1140" s="25"/>
      <c r="AV1140" s="25"/>
      <c r="AW1140" s="25"/>
      <c r="AX1140" s="25"/>
    </row>
    <row r="1141" ht="15.75" customHeight="1">
      <c r="A1141" s="25"/>
      <c r="B1141" s="25"/>
      <c r="C1141" s="27"/>
      <c r="D1141" s="28"/>
      <c r="E1141" s="28"/>
      <c r="F1141" s="25"/>
      <c r="G1141" s="25"/>
      <c r="H1141" s="25"/>
      <c r="I1141" s="25"/>
      <c r="J1141" s="25"/>
      <c r="K1141" s="25"/>
      <c r="L1141" s="25"/>
      <c r="M1141" s="25"/>
      <c r="N1141" s="25"/>
      <c r="O1141" s="25"/>
      <c r="P1141" s="25"/>
      <c r="Q1141" s="25"/>
      <c r="R1141" s="25"/>
      <c r="S1141" s="25"/>
      <c r="T1141" s="25"/>
      <c r="U1141" s="25"/>
      <c r="V1141" s="25"/>
      <c r="W1141" s="25"/>
      <c r="X1141" s="25"/>
      <c r="Y1141" s="25"/>
      <c r="Z1141" s="25"/>
      <c r="AA1141" s="25"/>
      <c r="AB1141" s="25"/>
      <c r="AC1141" s="25"/>
      <c r="AD1141" s="25"/>
      <c r="AE1141" s="25"/>
      <c r="AF1141" s="25"/>
      <c r="AG1141" s="25"/>
      <c r="AH1141" s="25"/>
      <c r="AI1141" s="25"/>
      <c r="AJ1141" s="25"/>
      <c r="AK1141" s="25"/>
      <c r="AL1141" s="25"/>
      <c r="AM1141" s="25"/>
      <c r="AN1141" s="25"/>
      <c r="AO1141" s="25"/>
      <c r="AP1141" s="25"/>
      <c r="AQ1141" s="25"/>
      <c r="AR1141" s="25"/>
      <c r="AS1141" s="25"/>
      <c r="AT1141" s="25"/>
      <c r="AU1141" s="25"/>
      <c r="AV1141" s="25"/>
      <c r="AW1141" s="25"/>
      <c r="AX1141" s="25"/>
    </row>
    <row r="1142" ht="15.75" customHeight="1">
      <c r="A1142" s="25"/>
      <c r="B1142" s="25"/>
      <c r="C1142" s="27"/>
      <c r="D1142" s="28"/>
      <c r="E1142" s="28"/>
      <c r="F1142" s="25"/>
      <c r="G1142" s="25"/>
      <c r="H1142" s="25"/>
      <c r="I1142" s="25"/>
      <c r="J1142" s="25"/>
      <c r="K1142" s="25"/>
      <c r="L1142" s="25"/>
      <c r="M1142" s="25"/>
      <c r="N1142" s="25"/>
      <c r="O1142" s="25"/>
      <c r="P1142" s="25"/>
      <c r="Q1142" s="25"/>
      <c r="R1142" s="25"/>
      <c r="S1142" s="25"/>
      <c r="T1142" s="25"/>
      <c r="U1142" s="25"/>
      <c r="V1142" s="25"/>
      <c r="W1142" s="25"/>
      <c r="X1142" s="25"/>
      <c r="Y1142" s="25"/>
      <c r="Z1142" s="25"/>
      <c r="AA1142" s="25"/>
      <c r="AB1142" s="25"/>
      <c r="AC1142" s="25"/>
      <c r="AD1142" s="25"/>
      <c r="AE1142" s="25"/>
      <c r="AF1142" s="25"/>
      <c r="AG1142" s="25"/>
      <c r="AH1142" s="25"/>
      <c r="AI1142" s="25"/>
      <c r="AJ1142" s="25"/>
      <c r="AK1142" s="25"/>
      <c r="AL1142" s="25"/>
      <c r="AM1142" s="25"/>
      <c r="AN1142" s="25"/>
      <c r="AO1142" s="25"/>
      <c r="AP1142" s="25"/>
      <c r="AQ1142" s="25"/>
      <c r="AR1142" s="25"/>
      <c r="AS1142" s="25"/>
      <c r="AT1142" s="25"/>
      <c r="AU1142" s="25"/>
      <c r="AV1142" s="25"/>
      <c r="AW1142" s="25"/>
      <c r="AX1142" s="25"/>
    </row>
    <row r="1143" ht="15.75" customHeight="1">
      <c r="A1143" s="25"/>
      <c r="B1143" s="25"/>
      <c r="C1143" s="27"/>
      <c r="D1143" s="28"/>
      <c r="E1143" s="28"/>
      <c r="F1143" s="25"/>
      <c r="G1143" s="25"/>
      <c r="H1143" s="25"/>
      <c r="I1143" s="25"/>
      <c r="J1143" s="25"/>
      <c r="K1143" s="25"/>
      <c r="L1143" s="25"/>
      <c r="M1143" s="25"/>
      <c r="N1143" s="25"/>
      <c r="O1143" s="25"/>
      <c r="P1143" s="25"/>
      <c r="Q1143" s="25"/>
      <c r="R1143" s="25"/>
      <c r="S1143" s="25"/>
      <c r="T1143" s="25"/>
      <c r="U1143" s="25"/>
      <c r="V1143" s="25"/>
      <c r="W1143" s="25"/>
      <c r="X1143" s="25"/>
      <c r="Y1143" s="25"/>
      <c r="Z1143" s="25"/>
      <c r="AA1143" s="25"/>
      <c r="AB1143" s="25"/>
      <c r="AC1143" s="25"/>
      <c r="AD1143" s="25"/>
      <c r="AE1143" s="25"/>
      <c r="AF1143" s="25"/>
      <c r="AG1143" s="25"/>
      <c r="AH1143" s="25"/>
      <c r="AI1143" s="25"/>
      <c r="AJ1143" s="25"/>
      <c r="AK1143" s="25"/>
      <c r="AL1143" s="25"/>
      <c r="AM1143" s="25"/>
      <c r="AN1143" s="25"/>
      <c r="AO1143" s="25"/>
      <c r="AP1143" s="25"/>
      <c r="AQ1143" s="25"/>
      <c r="AR1143" s="25"/>
      <c r="AS1143" s="25"/>
      <c r="AT1143" s="25"/>
      <c r="AU1143" s="25"/>
      <c r="AV1143" s="25"/>
      <c r="AW1143" s="25"/>
      <c r="AX1143" s="25"/>
    </row>
    <row r="1144" ht="15.75" customHeight="1">
      <c r="A1144" s="25"/>
      <c r="B1144" s="25"/>
      <c r="C1144" s="27"/>
      <c r="D1144" s="28"/>
      <c r="E1144" s="28"/>
      <c r="F1144" s="25"/>
      <c r="G1144" s="25"/>
      <c r="H1144" s="25"/>
      <c r="I1144" s="25"/>
      <c r="J1144" s="25"/>
      <c r="K1144" s="25"/>
      <c r="L1144" s="25"/>
      <c r="M1144" s="25"/>
      <c r="N1144" s="25"/>
      <c r="O1144" s="25"/>
      <c r="P1144" s="25"/>
      <c r="Q1144" s="25"/>
      <c r="R1144" s="25"/>
      <c r="S1144" s="25"/>
      <c r="T1144" s="25"/>
      <c r="U1144" s="25"/>
      <c r="V1144" s="25"/>
      <c r="W1144" s="25"/>
      <c r="X1144" s="25"/>
      <c r="Y1144" s="25"/>
      <c r="Z1144" s="25"/>
      <c r="AA1144" s="25"/>
      <c r="AB1144" s="25"/>
      <c r="AC1144" s="25"/>
      <c r="AD1144" s="25"/>
      <c r="AE1144" s="25"/>
      <c r="AF1144" s="25"/>
      <c r="AG1144" s="25"/>
      <c r="AH1144" s="25"/>
      <c r="AI1144" s="25"/>
      <c r="AJ1144" s="25"/>
      <c r="AK1144" s="25"/>
      <c r="AL1144" s="25"/>
      <c r="AM1144" s="25"/>
      <c r="AN1144" s="25"/>
      <c r="AO1144" s="25"/>
      <c r="AP1144" s="25"/>
      <c r="AQ1144" s="25"/>
      <c r="AR1144" s="25"/>
      <c r="AS1144" s="25"/>
      <c r="AT1144" s="25"/>
      <c r="AU1144" s="25"/>
      <c r="AV1144" s="25"/>
      <c r="AW1144" s="25"/>
      <c r="AX1144" s="25"/>
    </row>
    <row r="1145" ht="15.75" customHeight="1">
      <c r="A1145" s="25"/>
      <c r="B1145" s="25"/>
      <c r="C1145" s="27"/>
      <c r="D1145" s="28"/>
      <c r="E1145" s="28"/>
      <c r="F1145" s="25"/>
      <c r="G1145" s="25"/>
      <c r="H1145" s="25"/>
      <c r="I1145" s="25"/>
      <c r="J1145" s="25"/>
      <c r="K1145" s="25"/>
      <c r="L1145" s="25"/>
      <c r="M1145" s="25"/>
      <c r="N1145" s="25"/>
      <c r="O1145" s="25"/>
      <c r="P1145" s="25"/>
      <c r="Q1145" s="25"/>
      <c r="R1145" s="25"/>
      <c r="S1145" s="25"/>
      <c r="T1145" s="25"/>
      <c r="U1145" s="25"/>
      <c r="V1145" s="25"/>
      <c r="W1145" s="25"/>
      <c r="X1145" s="25"/>
      <c r="Y1145" s="25"/>
      <c r="Z1145" s="25"/>
      <c r="AA1145" s="25"/>
      <c r="AB1145" s="25"/>
      <c r="AC1145" s="25"/>
      <c r="AD1145" s="25"/>
      <c r="AE1145" s="25"/>
      <c r="AF1145" s="25"/>
      <c r="AG1145" s="25"/>
      <c r="AH1145" s="25"/>
      <c r="AI1145" s="25"/>
      <c r="AJ1145" s="25"/>
      <c r="AK1145" s="25"/>
      <c r="AL1145" s="25"/>
      <c r="AM1145" s="25"/>
      <c r="AN1145" s="25"/>
      <c r="AO1145" s="25"/>
      <c r="AP1145" s="25"/>
      <c r="AQ1145" s="25"/>
      <c r="AR1145" s="25"/>
      <c r="AS1145" s="25"/>
      <c r="AT1145" s="25"/>
      <c r="AU1145" s="25"/>
      <c r="AV1145" s="25"/>
      <c r="AW1145" s="25"/>
      <c r="AX1145" s="25"/>
    </row>
    <row r="1146" ht="15.75" customHeight="1">
      <c r="A1146" s="25"/>
      <c r="B1146" s="25"/>
      <c r="C1146" s="27"/>
      <c r="D1146" s="28"/>
      <c r="E1146" s="28"/>
      <c r="F1146" s="25"/>
      <c r="G1146" s="25"/>
      <c r="H1146" s="25"/>
      <c r="I1146" s="25"/>
      <c r="J1146" s="25"/>
      <c r="K1146" s="25"/>
      <c r="L1146" s="25"/>
      <c r="M1146" s="25"/>
      <c r="N1146" s="25"/>
      <c r="O1146" s="25"/>
      <c r="P1146" s="25"/>
      <c r="Q1146" s="25"/>
      <c r="R1146" s="25"/>
      <c r="S1146" s="25"/>
      <c r="T1146" s="25"/>
      <c r="U1146" s="25"/>
      <c r="V1146" s="25"/>
      <c r="W1146" s="25"/>
      <c r="X1146" s="25"/>
      <c r="Y1146" s="25"/>
      <c r="Z1146" s="25"/>
      <c r="AA1146" s="25"/>
      <c r="AB1146" s="25"/>
      <c r="AC1146" s="25"/>
      <c r="AD1146" s="25"/>
      <c r="AE1146" s="25"/>
      <c r="AF1146" s="25"/>
      <c r="AG1146" s="25"/>
      <c r="AH1146" s="25"/>
      <c r="AI1146" s="25"/>
      <c r="AJ1146" s="25"/>
      <c r="AK1146" s="25"/>
      <c r="AL1146" s="25"/>
      <c r="AM1146" s="25"/>
      <c r="AN1146" s="25"/>
      <c r="AO1146" s="25"/>
      <c r="AP1146" s="25"/>
      <c r="AQ1146" s="25"/>
      <c r="AR1146" s="25"/>
      <c r="AS1146" s="25"/>
      <c r="AT1146" s="25"/>
      <c r="AU1146" s="25"/>
      <c r="AV1146" s="25"/>
      <c r="AW1146" s="25"/>
      <c r="AX1146" s="25"/>
    </row>
    <row r="1147" ht="15.75" customHeight="1">
      <c r="A1147" s="25"/>
      <c r="B1147" s="25"/>
      <c r="C1147" s="27"/>
      <c r="D1147" s="28"/>
      <c r="E1147" s="28"/>
      <c r="F1147" s="25"/>
      <c r="G1147" s="25"/>
      <c r="H1147" s="25"/>
      <c r="I1147" s="25"/>
      <c r="J1147" s="25"/>
      <c r="K1147" s="25"/>
      <c r="L1147" s="25"/>
      <c r="M1147" s="25"/>
      <c r="N1147" s="25"/>
      <c r="O1147" s="25"/>
      <c r="P1147" s="25"/>
      <c r="Q1147" s="25"/>
      <c r="R1147" s="25"/>
      <c r="S1147" s="25"/>
      <c r="T1147" s="25"/>
      <c r="U1147" s="25"/>
      <c r="V1147" s="25"/>
      <c r="W1147" s="25"/>
      <c r="X1147" s="25"/>
      <c r="Y1147" s="25"/>
      <c r="Z1147" s="25"/>
      <c r="AA1147" s="25"/>
      <c r="AB1147" s="25"/>
      <c r="AC1147" s="25"/>
      <c r="AD1147" s="25"/>
      <c r="AE1147" s="25"/>
      <c r="AF1147" s="25"/>
      <c r="AG1147" s="25"/>
      <c r="AH1147" s="25"/>
      <c r="AI1147" s="25"/>
      <c r="AJ1147" s="25"/>
      <c r="AK1147" s="25"/>
      <c r="AL1147" s="25"/>
      <c r="AM1147" s="25"/>
      <c r="AN1147" s="25"/>
      <c r="AO1147" s="25"/>
      <c r="AP1147" s="25"/>
      <c r="AQ1147" s="25"/>
      <c r="AR1147" s="25"/>
      <c r="AS1147" s="25"/>
      <c r="AT1147" s="25"/>
      <c r="AU1147" s="25"/>
      <c r="AV1147" s="25"/>
      <c r="AW1147" s="25"/>
      <c r="AX1147" s="25"/>
    </row>
    <row r="1148" ht="15.75" customHeight="1">
      <c r="A1148" s="25"/>
      <c r="B1148" s="25"/>
      <c r="C1148" s="27"/>
      <c r="D1148" s="28"/>
      <c r="E1148" s="28"/>
      <c r="F1148" s="25"/>
      <c r="G1148" s="25"/>
      <c r="H1148" s="25"/>
      <c r="I1148" s="25"/>
      <c r="J1148" s="25"/>
      <c r="K1148" s="25"/>
      <c r="L1148" s="25"/>
      <c r="M1148" s="25"/>
      <c r="N1148" s="25"/>
      <c r="O1148" s="25"/>
      <c r="P1148" s="25"/>
      <c r="Q1148" s="25"/>
      <c r="R1148" s="25"/>
      <c r="S1148" s="25"/>
      <c r="T1148" s="25"/>
      <c r="U1148" s="25"/>
      <c r="V1148" s="25"/>
      <c r="W1148" s="25"/>
      <c r="X1148" s="25"/>
      <c r="Y1148" s="25"/>
      <c r="Z1148" s="25"/>
      <c r="AA1148" s="25"/>
      <c r="AB1148" s="25"/>
      <c r="AC1148" s="25"/>
      <c r="AD1148" s="25"/>
      <c r="AE1148" s="25"/>
      <c r="AF1148" s="25"/>
      <c r="AG1148" s="25"/>
      <c r="AH1148" s="25"/>
      <c r="AI1148" s="25"/>
      <c r="AJ1148" s="25"/>
      <c r="AK1148" s="25"/>
      <c r="AL1148" s="25"/>
      <c r="AM1148" s="25"/>
      <c r="AN1148" s="25"/>
      <c r="AO1148" s="25"/>
      <c r="AP1148" s="25"/>
      <c r="AQ1148" s="25"/>
      <c r="AR1148" s="25"/>
      <c r="AS1148" s="25"/>
      <c r="AT1148" s="25"/>
      <c r="AU1148" s="25"/>
      <c r="AV1148" s="25"/>
      <c r="AW1148" s="25"/>
      <c r="AX1148" s="25"/>
    </row>
    <row r="1149" ht="15.75" customHeight="1">
      <c r="A1149" s="25"/>
      <c r="B1149" s="25"/>
      <c r="C1149" s="27"/>
      <c r="D1149" s="28"/>
      <c r="E1149" s="28"/>
      <c r="F1149" s="25"/>
      <c r="G1149" s="25"/>
      <c r="H1149" s="25"/>
      <c r="I1149" s="25"/>
      <c r="J1149" s="25"/>
      <c r="K1149" s="25"/>
      <c r="L1149" s="25"/>
      <c r="M1149" s="25"/>
      <c r="N1149" s="25"/>
      <c r="O1149" s="25"/>
      <c r="P1149" s="25"/>
      <c r="Q1149" s="25"/>
      <c r="R1149" s="25"/>
      <c r="S1149" s="25"/>
      <c r="T1149" s="25"/>
      <c r="U1149" s="25"/>
      <c r="V1149" s="25"/>
      <c r="W1149" s="25"/>
      <c r="X1149" s="25"/>
      <c r="Y1149" s="25"/>
      <c r="Z1149" s="25"/>
      <c r="AA1149" s="25"/>
      <c r="AB1149" s="25"/>
      <c r="AC1149" s="25"/>
      <c r="AD1149" s="25"/>
      <c r="AE1149" s="25"/>
      <c r="AF1149" s="25"/>
      <c r="AG1149" s="25"/>
      <c r="AH1149" s="25"/>
      <c r="AI1149" s="25"/>
      <c r="AJ1149" s="25"/>
      <c r="AK1149" s="25"/>
      <c r="AL1149" s="25"/>
      <c r="AM1149" s="25"/>
      <c r="AN1149" s="25"/>
      <c r="AO1149" s="25"/>
      <c r="AP1149" s="25"/>
      <c r="AQ1149" s="25"/>
      <c r="AR1149" s="25"/>
      <c r="AS1149" s="25"/>
      <c r="AT1149" s="25"/>
      <c r="AU1149" s="25"/>
      <c r="AV1149" s="25"/>
      <c r="AW1149" s="25"/>
      <c r="AX1149" s="25"/>
    </row>
    <row r="1150" ht="15.75" customHeight="1">
      <c r="A1150" s="25"/>
      <c r="B1150" s="25"/>
      <c r="C1150" s="27"/>
      <c r="D1150" s="28"/>
      <c r="E1150" s="28"/>
      <c r="F1150" s="25"/>
      <c r="G1150" s="25"/>
      <c r="H1150" s="25"/>
      <c r="I1150" s="25"/>
      <c r="J1150" s="25"/>
      <c r="K1150" s="25"/>
      <c r="L1150" s="25"/>
      <c r="M1150" s="25"/>
      <c r="N1150" s="25"/>
      <c r="O1150" s="25"/>
      <c r="P1150" s="25"/>
      <c r="Q1150" s="25"/>
      <c r="R1150" s="25"/>
      <c r="S1150" s="25"/>
      <c r="T1150" s="25"/>
      <c r="U1150" s="25"/>
      <c r="V1150" s="25"/>
      <c r="W1150" s="25"/>
      <c r="X1150" s="25"/>
      <c r="Y1150" s="25"/>
      <c r="Z1150" s="25"/>
      <c r="AA1150" s="25"/>
      <c r="AB1150" s="25"/>
      <c r="AC1150" s="25"/>
      <c r="AD1150" s="25"/>
      <c r="AE1150" s="25"/>
      <c r="AF1150" s="25"/>
      <c r="AG1150" s="25"/>
      <c r="AH1150" s="25"/>
      <c r="AI1150" s="25"/>
      <c r="AJ1150" s="25"/>
      <c r="AK1150" s="25"/>
      <c r="AL1150" s="25"/>
      <c r="AM1150" s="25"/>
      <c r="AN1150" s="25"/>
      <c r="AO1150" s="25"/>
      <c r="AP1150" s="25"/>
      <c r="AQ1150" s="25"/>
      <c r="AR1150" s="25"/>
      <c r="AS1150" s="25"/>
      <c r="AT1150" s="25"/>
      <c r="AU1150" s="25"/>
      <c r="AV1150" s="25"/>
      <c r="AW1150" s="25"/>
      <c r="AX1150" s="25"/>
    </row>
    <row r="1151" ht="15.75" customHeight="1">
      <c r="A1151" s="25"/>
      <c r="B1151" s="25"/>
      <c r="C1151" s="27"/>
      <c r="D1151" s="28"/>
      <c r="E1151" s="28"/>
      <c r="F1151" s="25"/>
      <c r="G1151" s="25"/>
      <c r="H1151" s="25"/>
      <c r="I1151" s="25"/>
      <c r="J1151" s="25"/>
      <c r="K1151" s="25"/>
      <c r="L1151" s="25"/>
      <c r="M1151" s="25"/>
      <c r="N1151" s="25"/>
      <c r="O1151" s="25"/>
      <c r="P1151" s="25"/>
      <c r="Q1151" s="25"/>
      <c r="R1151" s="25"/>
      <c r="S1151" s="25"/>
      <c r="T1151" s="25"/>
      <c r="U1151" s="25"/>
      <c r="V1151" s="25"/>
      <c r="W1151" s="25"/>
      <c r="X1151" s="25"/>
      <c r="Y1151" s="25"/>
      <c r="Z1151" s="25"/>
      <c r="AA1151" s="25"/>
      <c r="AB1151" s="25"/>
      <c r="AC1151" s="25"/>
      <c r="AD1151" s="25"/>
      <c r="AE1151" s="25"/>
      <c r="AF1151" s="25"/>
      <c r="AG1151" s="25"/>
      <c r="AH1151" s="25"/>
      <c r="AI1151" s="25"/>
      <c r="AJ1151" s="25"/>
      <c r="AK1151" s="25"/>
      <c r="AL1151" s="25"/>
      <c r="AM1151" s="25"/>
      <c r="AN1151" s="25"/>
      <c r="AO1151" s="25"/>
      <c r="AP1151" s="25"/>
      <c r="AQ1151" s="25"/>
      <c r="AR1151" s="25"/>
      <c r="AS1151" s="25"/>
      <c r="AT1151" s="25"/>
      <c r="AU1151" s="25"/>
      <c r="AV1151" s="25"/>
      <c r="AW1151" s="25"/>
      <c r="AX1151" s="25"/>
    </row>
    <row r="1152" ht="15.75" customHeight="1">
      <c r="A1152" s="25"/>
      <c r="B1152" s="25"/>
      <c r="C1152" s="27"/>
      <c r="D1152" s="28"/>
      <c r="E1152" s="28"/>
      <c r="F1152" s="25"/>
      <c r="G1152" s="25"/>
      <c r="H1152" s="25"/>
      <c r="I1152" s="25"/>
      <c r="J1152" s="25"/>
      <c r="K1152" s="25"/>
      <c r="L1152" s="25"/>
      <c r="M1152" s="25"/>
      <c r="N1152" s="25"/>
      <c r="O1152" s="25"/>
      <c r="P1152" s="25"/>
      <c r="Q1152" s="25"/>
      <c r="R1152" s="25"/>
      <c r="S1152" s="25"/>
      <c r="T1152" s="25"/>
      <c r="U1152" s="25"/>
      <c r="V1152" s="25"/>
      <c r="W1152" s="25"/>
      <c r="X1152" s="25"/>
      <c r="Y1152" s="25"/>
      <c r="Z1152" s="25"/>
      <c r="AA1152" s="25"/>
      <c r="AB1152" s="25"/>
      <c r="AC1152" s="25"/>
      <c r="AD1152" s="25"/>
      <c r="AE1152" s="25"/>
      <c r="AF1152" s="25"/>
      <c r="AG1152" s="25"/>
      <c r="AH1152" s="25"/>
      <c r="AI1152" s="25"/>
      <c r="AJ1152" s="25"/>
      <c r="AK1152" s="25"/>
      <c r="AL1152" s="25"/>
      <c r="AM1152" s="25"/>
      <c r="AN1152" s="25"/>
      <c r="AO1152" s="25"/>
      <c r="AP1152" s="25"/>
      <c r="AQ1152" s="25"/>
      <c r="AR1152" s="25"/>
      <c r="AS1152" s="25"/>
      <c r="AT1152" s="25"/>
      <c r="AU1152" s="25"/>
      <c r="AV1152" s="25"/>
      <c r="AW1152" s="25"/>
      <c r="AX1152" s="25"/>
    </row>
    <row r="1153" ht="15.75" customHeight="1">
      <c r="A1153" s="25"/>
      <c r="B1153" s="25"/>
      <c r="C1153" s="27"/>
      <c r="D1153" s="28"/>
      <c r="E1153" s="28"/>
      <c r="F1153" s="25"/>
      <c r="G1153" s="25"/>
      <c r="H1153" s="25"/>
      <c r="I1153" s="25"/>
      <c r="J1153" s="25"/>
      <c r="K1153" s="25"/>
      <c r="L1153" s="25"/>
      <c r="M1153" s="25"/>
      <c r="N1153" s="25"/>
      <c r="O1153" s="25"/>
      <c r="P1153" s="25"/>
      <c r="Q1153" s="25"/>
      <c r="R1153" s="25"/>
      <c r="S1153" s="25"/>
      <c r="T1153" s="25"/>
      <c r="U1153" s="25"/>
      <c r="V1153" s="25"/>
      <c r="W1153" s="25"/>
      <c r="X1153" s="25"/>
      <c r="Y1153" s="25"/>
      <c r="Z1153" s="25"/>
      <c r="AA1153" s="25"/>
      <c r="AB1153" s="25"/>
      <c r="AC1153" s="25"/>
      <c r="AD1153" s="25"/>
      <c r="AE1153" s="25"/>
      <c r="AF1153" s="25"/>
      <c r="AG1153" s="25"/>
      <c r="AH1153" s="25"/>
      <c r="AI1153" s="25"/>
      <c r="AJ1153" s="25"/>
      <c r="AK1153" s="25"/>
      <c r="AL1153" s="25"/>
      <c r="AM1153" s="25"/>
      <c r="AN1153" s="25"/>
      <c r="AO1153" s="25"/>
      <c r="AP1153" s="25"/>
      <c r="AQ1153" s="25"/>
      <c r="AR1153" s="25"/>
      <c r="AS1153" s="25"/>
      <c r="AT1153" s="25"/>
      <c r="AU1153" s="25"/>
      <c r="AV1153" s="25"/>
      <c r="AW1153" s="25"/>
      <c r="AX1153" s="25"/>
    </row>
    <row r="1154" ht="15.75" customHeight="1">
      <c r="A1154" s="25"/>
      <c r="B1154" s="25"/>
      <c r="C1154" s="27"/>
      <c r="D1154" s="28"/>
      <c r="E1154" s="28"/>
      <c r="F1154" s="25"/>
      <c r="G1154" s="25"/>
      <c r="H1154" s="25"/>
      <c r="I1154" s="25"/>
      <c r="J1154" s="25"/>
      <c r="K1154" s="25"/>
      <c r="L1154" s="25"/>
      <c r="M1154" s="25"/>
      <c r="N1154" s="25"/>
      <c r="O1154" s="25"/>
      <c r="P1154" s="25"/>
      <c r="Q1154" s="25"/>
      <c r="R1154" s="25"/>
      <c r="S1154" s="25"/>
      <c r="T1154" s="25"/>
      <c r="U1154" s="25"/>
      <c r="V1154" s="25"/>
      <c r="W1154" s="25"/>
      <c r="X1154" s="25"/>
      <c r="Y1154" s="25"/>
      <c r="Z1154" s="25"/>
      <c r="AA1154" s="25"/>
      <c r="AB1154" s="25"/>
      <c r="AC1154" s="25"/>
      <c r="AD1154" s="25"/>
      <c r="AE1154" s="25"/>
      <c r="AF1154" s="25"/>
      <c r="AG1154" s="25"/>
      <c r="AH1154" s="25"/>
      <c r="AI1154" s="25"/>
      <c r="AJ1154" s="25"/>
      <c r="AK1154" s="25"/>
      <c r="AL1154" s="25"/>
      <c r="AM1154" s="25"/>
      <c r="AN1154" s="25"/>
      <c r="AO1154" s="25"/>
      <c r="AP1154" s="25"/>
      <c r="AQ1154" s="25"/>
      <c r="AR1154" s="25"/>
      <c r="AS1154" s="25"/>
      <c r="AT1154" s="25"/>
      <c r="AU1154" s="25"/>
      <c r="AV1154" s="25"/>
      <c r="AW1154" s="25"/>
      <c r="AX1154" s="25"/>
    </row>
    <row r="1155" ht="15.75" customHeight="1">
      <c r="A1155" s="25"/>
      <c r="B1155" s="25"/>
      <c r="C1155" s="27"/>
      <c r="D1155" s="28"/>
      <c r="E1155" s="28"/>
      <c r="F1155" s="25"/>
      <c r="G1155" s="25"/>
      <c r="H1155" s="25"/>
      <c r="I1155" s="25"/>
      <c r="J1155" s="25"/>
      <c r="K1155" s="25"/>
      <c r="L1155" s="25"/>
      <c r="M1155" s="25"/>
      <c r="N1155" s="25"/>
      <c r="O1155" s="25"/>
      <c r="P1155" s="25"/>
      <c r="Q1155" s="25"/>
      <c r="R1155" s="25"/>
      <c r="S1155" s="25"/>
      <c r="T1155" s="25"/>
      <c r="U1155" s="25"/>
      <c r="V1155" s="25"/>
      <c r="W1155" s="25"/>
      <c r="X1155" s="25"/>
      <c r="Y1155" s="25"/>
      <c r="Z1155" s="25"/>
      <c r="AA1155" s="25"/>
      <c r="AB1155" s="25"/>
      <c r="AC1155" s="25"/>
      <c r="AD1155" s="25"/>
      <c r="AE1155" s="25"/>
      <c r="AF1155" s="25"/>
      <c r="AG1155" s="25"/>
      <c r="AH1155" s="25"/>
      <c r="AI1155" s="25"/>
      <c r="AJ1155" s="25"/>
      <c r="AK1155" s="25"/>
      <c r="AL1155" s="25"/>
      <c r="AM1155" s="25"/>
      <c r="AN1155" s="25"/>
      <c r="AO1155" s="25"/>
      <c r="AP1155" s="25"/>
      <c r="AQ1155" s="25"/>
      <c r="AR1155" s="25"/>
      <c r="AS1155" s="25"/>
      <c r="AT1155" s="25"/>
      <c r="AU1155" s="25"/>
      <c r="AV1155" s="25"/>
      <c r="AW1155" s="25"/>
      <c r="AX1155" s="25"/>
    </row>
    <row r="1156" ht="15.75" customHeight="1">
      <c r="A1156" s="25"/>
      <c r="B1156" s="25"/>
      <c r="C1156" s="27"/>
      <c r="D1156" s="28"/>
      <c r="E1156" s="28"/>
      <c r="F1156" s="25"/>
      <c r="G1156" s="25"/>
      <c r="H1156" s="25"/>
      <c r="I1156" s="25"/>
      <c r="J1156" s="25"/>
      <c r="K1156" s="25"/>
      <c r="L1156" s="25"/>
      <c r="M1156" s="25"/>
      <c r="N1156" s="25"/>
      <c r="O1156" s="25"/>
      <c r="P1156" s="25"/>
      <c r="Q1156" s="25"/>
      <c r="R1156" s="25"/>
      <c r="S1156" s="25"/>
      <c r="T1156" s="25"/>
      <c r="U1156" s="25"/>
      <c r="V1156" s="25"/>
      <c r="W1156" s="25"/>
      <c r="X1156" s="25"/>
      <c r="Y1156" s="25"/>
      <c r="Z1156" s="25"/>
      <c r="AA1156" s="25"/>
      <c r="AB1156" s="25"/>
      <c r="AC1156" s="25"/>
      <c r="AD1156" s="25"/>
      <c r="AE1156" s="25"/>
      <c r="AF1156" s="25"/>
      <c r="AG1156" s="25"/>
      <c r="AH1156" s="25"/>
      <c r="AI1156" s="25"/>
      <c r="AJ1156" s="25"/>
      <c r="AK1156" s="25"/>
      <c r="AL1156" s="25"/>
      <c r="AM1156" s="25"/>
      <c r="AN1156" s="25"/>
      <c r="AO1156" s="25"/>
      <c r="AP1156" s="25"/>
      <c r="AQ1156" s="25"/>
      <c r="AR1156" s="25"/>
      <c r="AS1156" s="25"/>
      <c r="AT1156" s="25"/>
      <c r="AU1156" s="25"/>
      <c r="AV1156" s="25"/>
      <c r="AW1156" s="25"/>
      <c r="AX1156" s="25"/>
    </row>
    <row r="1157" ht="15.75" customHeight="1">
      <c r="A1157" s="25"/>
      <c r="B1157" s="25"/>
      <c r="C1157" s="27"/>
      <c r="D1157" s="28"/>
      <c r="E1157" s="28"/>
      <c r="F1157" s="25"/>
      <c r="G1157" s="25"/>
      <c r="H1157" s="25"/>
      <c r="I1157" s="25"/>
      <c r="J1157" s="25"/>
      <c r="K1157" s="25"/>
      <c r="L1157" s="25"/>
      <c r="M1157" s="25"/>
      <c r="N1157" s="25"/>
      <c r="O1157" s="25"/>
      <c r="P1157" s="25"/>
      <c r="Q1157" s="25"/>
      <c r="R1157" s="25"/>
      <c r="S1157" s="25"/>
      <c r="T1157" s="25"/>
      <c r="U1157" s="25"/>
      <c r="V1157" s="25"/>
      <c r="W1157" s="25"/>
      <c r="X1157" s="25"/>
      <c r="Y1157" s="25"/>
      <c r="Z1157" s="25"/>
      <c r="AA1157" s="25"/>
      <c r="AB1157" s="25"/>
      <c r="AC1157" s="25"/>
      <c r="AD1157" s="25"/>
      <c r="AE1157" s="25"/>
      <c r="AF1157" s="25"/>
      <c r="AG1157" s="25"/>
      <c r="AH1157" s="25"/>
      <c r="AI1157" s="25"/>
      <c r="AJ1157" s="25"/>
      <c r="AK1157" s="25"/>
      <c r="AL1157" s="25"/>
      <c r="AM1157" s="25"/>
      <c r="AN1157" s="25"/>
      <c r="AO1157" s="25"/>
      <c r="AP1157" s="25"/>
      <c r="AQ1157" s="25"/>
      <c r="AR1157" s="25"/>
      <c r="AS1157" s="25"/>
      <c r="AT1157" s="25"/>
      <c r="AU1157" s="25"/>
      <c r="AV1157" s="25"/>
      <c r="AW1157" s="25"/>
      <c r="AX1157" s="25"/>
    </row>
    <row r="1158" ht="15.75" customHeight="1">
      <c r="A1158" s="25"/>
      <c r="B1158" s="25"/>
      <c r="C1158" s="27"/>
      <c r="D1158" s="28"/>
      <c r="E1158" s="28"/>
      <c r="F1158" s="25"/>
      <c r="G1158" s="25"/>
      <c r="H1158" s="25"/>
      <c r="I1158" s="25"/>
      <c r="J1158" s="25"/>
      <c r="K1158" s="25"/>
      <c r="L1158" s="25"/>
      <c r="M1158" s="25"/>
      <c r="N1158" s="25"/>
      <c r="O1158" s="25"/>
      <c r="P1158" s="25"/>
      <c r="Q1158" s="25"/>
      <c r="R1158" s="25"/>
      <c r="S1158" s="25"/>
      <c r="T1158" s="25"/>
      <c r="U1158" s="25"/>
      <c r="V1158" s="25"/>
      <c r="W1158" s="25"/>
      <c r="X1158" s="25"/>
      <c r="Y1158" s="25"/>
      <c r="Z1158" s="25"/>
      <c r="AA1158" s="25"/>
      <c r="AB1158" s="25"/>
      <c r="AC1158" s="25"/>
      <c r="AD1158" s="25"/>
      <c r="AE1158" s="25"/>
      <c r="AF1158" s="25"/>
      <c r="AG1158" s="25"/>
      <c r="AH1158" s="25"/>
      <c r="AI1158" s="25"/>
      <c r="AJ1158" s="25"/>
      <c r="AK1158" s="25"/>
      <c r="AL1158" s="25"/>
      <c r="AM1158" s="25"/>
      <c r="AN1158" s="25"/>
      <c r="AO1158" s="25"/>
      <c r="AP1158" s="25"/>
      <c r="AQ1158" s="25"/>
      <c r="AR1158" s="25"/>
      <c r="AS1158" s="25"/>
      <c r="AT1158" s="25"/>
      <c r="AU1158" s="25"/>
      <c r="AV1158" s="25"/>
      <c r="AW1158" s="25"/>
      <c r="AX1158" s="25"/>
    </row>
    <row r="1159" ht="15.75" customHeight="1">
      <c r="A1159" s="25"/>
      <c r="B1159" s="25"/>
      <c r="C1159" s="27"/>
      <c r="D1159" s="28"/>
      <c r="E1159" s="28"/>
      <c r="F1159" s="25"/>
      <c r="G1159" s="25"/>
      <c r="H1159" s="25"/>
      <c r="I1159" s="25"/>
      <c r="J1159" s="25"/>
      <c r="K1159" s="25"/>
      <c r="L1159" s="25"/>
      <c r="M1159" s="25"/>
      <c r="N1159" s="25"/>
      <c r="O1159" s="25"/>
      <c r="P1159" s="25"/>
      <c r="Q1159" s="25"/>
      <c r="R1159" s="25"/>
      <c r="S1159" s="25"/>
      <c r="T1159" s="25"/>
      <c r="U1159" s="25"/>
      <c r="V1159" s="25"/>
      <c r="W1159" s="25"/>
      <c r="X1159" s="25"/>
      <c r="Y1159" s="25"/>
      <c r="Z1159" s="25"/>
      <c r="AA1159" s="25"/>
      <c r="AB1159" s="25"/>
      <c r="AC1159" s="25"/>
      <c r="AD1159" s="25"/>
      <c r="AE1159" s="25"/>
      <c r="AF1159" s="25"/>
      <c r="AG1159" s="25"/>
      <c r="AH1159" s="25"/>
      <c r="AI1159" s="25"/>
      <c r="AJ1159" s="25"/>
      <c r="AK1159" s="25"/>
      <c r="AL1159" s="25"/>
      <c r="AM1159" s="25"/>
      <c r="AN1159" s="25"/>
      <c r="AO1159" s="25"/>
      <c r="AP1159" s="25"/>
      <c r="AQ1159" s="25"/>
      <c r="AR1159" s="25"/>
      <c r="AS1159" s="25"/>
      <c r="AT1159" s="25"/>
      <c r="AU1159" s="25"/>
      <c r="AV1159" s="25"/>
      <c r="AW1159" s="25"/>
      <c r="AX1159" s="25"/>
    </row>
    <row r="1160" ht="15.75" customHeight="1">
      <c r="A1160" s="25"/>
      <c r="B1160" s="25"/>
      <c r="C1160" s="27"/>
      <c r="D1160" s="28"/>
      <c r="E1160" s="28"/>
      <c r="F1160" s="25"/>
      <c r="G1160" s="25"/>
      <c r="H1160" s="25"/>
      <c r="I1160" s="25"/>
      <c r="J1160" s="25"/>
      <c r="K1160" s="25"/>
      <c r="L1160" s="25"/>
      <c r="M1160" s="25"/>
      <c r="N1160" s="25"/>
      <c r="O1160" s="25"/>
      <c r="P1160" s="25"/>
      <c r="Q1160" s="25"/>
      <c r="R1160" s="25"/>
      <c r="S1160" s="25"/>
      <c r="T1160" s="25"/>
      <c r="U1160" s="25"/>
      <c r="V1160" s="25"/>
      <c r="W1160" s="25"/>
      <c r="X1160" s="25"/>
      <c r="Y1160" s="25"/>
      <c r="Z1160" s="25"/>
      <c r="AA1160" s="25"/>
      <c r="AB1160" s="25"/>
      <c r="AC1160" s="25"/>
      <c r="AD1160" s="25"/>
      <c r="AE1160" s="25"/>
      <c r="AF1160" s="25"/>
      <c r="AG1160" s="25"/>
      <c r="AH1160" s="25"/>
      <c r="AI1160" s="25"/>
      <c r="AJ1160" s="25"/>
      <c r="AK1160" s="25"/>
      <c r="AL1160" s="25"/>
      <c r="AM1160" s="25"/>
      <c r="AN1160" s="25"/>
      <c r="AO1160" s="25"/>
      <c r="AP1160" s="25"/>
      <c r="AQ1160" s="25"/>
      <c r="AR1160" s="25"/>
      <c r="AS1160" s="25"/>
      <c r="AT1160" s="25"/>
      <c r="AU1160" s="25"/>
      <c r="AV1160" s="25"/>
      <c r="AW1160" s="25"/>
      <c r="AX1160" s="25"/>
    </row>
    <row r="1161" ht="15.75" customHeight="1">
      <c r="A1161" s="25"/>
      <c r="B1161" s="25"/>
      <c r="C1161" s="27"/>
      <c r="D1161" s="28"/>
      <c r="E1161" s="28"/>
      <c r="F1161" s="25"/>
      <c r="G1161" s="25"/>
      <c r="H1161" s="25"/>
      <c r="I1161" s="25"/>
      <c r="J1161" s="25"/>
      <c r="K1161" s="25"/>
      <c r="L1161" s="25"/>
      <c r="M1161" s="25"/>
      <c r="N1161" s="25"/>
      <c r="O1161" s="25"/>
      <c r="P1161" s="25"/>
      <c r="Q1161" s="25"/>
      <c r="R1161" s="25"/>
      <c r="S1161" s="25"/>
      <c r="T1161" s="25"/>
      <c r="U1161" s="25"/>
      <c r="V1161" s="25"/>
      <c r="W1161" s="25"/>
      <c r="X1161" s="25"/>
      <c r="Y1161" s="25"/>
      <c r="Z1161" s="25"/>
      <c r="AA1161" s="25"/>
      <c r="AB1161" s="25"/>
      <c r="AC1161" s="25"/>
      <c r="AD1161" s="25"/>
      <c r="AE1161" s="25"/>
      <c r="AF1161" s="25"/>
      <c r="AG1161" s="25"/>
      <c r="AH1161" s="25"/>
      <c r="AI1161" s="25"/>
      <c r="AJ1161" s="25"/>
      <c r="AK1161" s="25"/>
      <c r="AL1161" s="25"/>
      <c r="AM1161" s="25"/>
      <c r="AN1161" s="25"/>
      <c r="AO1161" s="25"/>
      <c r="AP1161" s="25"/>
      <c r="AQ1161" s="25"/>
      <c r="AR1161" s="25"/>
      <c r="AS1161" s="25"/>
      <c r="AT1161" s="25"/>
      <c r="AU1161" s="25"/>
      <c r="AV1161" s="25"/>
      <c r="AW1161" s="25"/>
      <c r="AX1161" s="25"/>
    </row>
    <row r="1162" ht="15.75" customHeight="1">
      <c r="A1162" s="25"/>
      <c r="B1162" s="25"/>
      <c r="C1162" s="27"/>
      <c r="D1162" s="28"/>
      <c r="E1162" s="28"/>
      <c r="F1162" s="25"/>
      <c r="G1162" s="25"/>
      <c r="H1162" s="25"/>
      <c r="I1162" s="25"/>
      <c r="J1162" s="25"/>
      <c r="K1162" s="25"/>
      <c r="L1162" s="25"/>
      <c r="M1162" s="25"/>
      <c r="N1162" s="25"/>
      <c r="O1162" s="25"/>
      <c r="P1162" s="25"/>
      <c r="Q1162" s="25"/>
      <c r="R1162" s="25"/>
      <c r="S1162" s="25"/>
      <c r="T1162" s="25"/>
      <c r="U1162" s="25"/>
      <c r="V1162" s="25"/>
      <c r="W1162" s="25"/>
      <c r="X1162" s="25"/>
      <c r="Y1162" s="25"/>
      <c r="Z1162" s="25"/>
      <c r="AA1162" s="25"/>
      <c r="AB1162" s="25"/>
      <c r="AC1162" s="25"/>
      <c r="AD1162" s="25"/>
      <c r="AE1162" s="25"/>
      <c r="AF1162" s="25"/>
      <c r="AG1162" s="25"/>
      <c r="AH1162" s="25"/>
      <c r="AI1162" s="25"/>
      <c r="AJ1162" s="25"/>
      <c r="AK1162" s="25"/>
      <c r="AL1162" s="25"/>
      <c r="AM1162" s="25"/>
      <c r="AN1162" s="25"/>
      <c r="AO1162" s="25"/>
      <c r="AP1162" s="25"/>
      <c r="AQ1162" s="25"/>
      <c r="AR1162" s="25"/>
      <c r="AS1162" s="25"/>
      <c r="AT1162" s="25"/>
      <c r="AU1162" s="25"/>
      <c r="AV1162" s="25"/>
      <c r="AW1162" s="25"/>
      <c r="AX1162" s="25"/>
    </row>
    <row r="1163" ht="15.75" customHeight="1">
      <c r="A1163" s="25"/>
      <c r="B1163" s="25"/>
      <c r="C1163" s="27"/>
      <c r="D1163" s="28"/>
      <c r="E1163" s="28"/>
      <c r="F1163" s="25"/>
      <c r="G1163" s="25"/>
      <c r="H1163" s="25"/>
      <c r="I1163" s="25"/>
      <c r="J1163" s="25"/>
      <c r="K1163" s="25"/>
      <c r="L1163" s="25"/>
      <c r="M1163" s="25"/>
      <c r="N1163" s="25"/>
      <c r="O1163" s="25"/>
      <c r="P1163" s="25"/>
      <c r="Q1163" s="25"/>
      <c r="R1163" s="25"/>
      <c r="S1163" s="25"/>
      <c r="T1163" s="25"/>
      <c r="U1163" s="25"/>
      <c r="V1163" s="25"/>
      <c r="W1163" s="25"/>
      <c r="X1163" s="25"/>
      <c r="Y1163" s="25"/>
      <c r="Z1163" s="25"/>
      <c r="AA1163" s="25"/>
      <c r="AB1163" s="25"/>
      <c r="AC1163" s="25"/>
      <c r="AD1163" s="25"/>
      <c r="AE1163" s="25"/>
      <c r="AF1163" s="25"/>
      <c r="AG1163" s="25"/>
      <c r="AH1163" s="25"/>
      <c r="AI1163" s="25"/>
      <c r="AJ1163" s="25"/>
      <c r="AK1163" s="25"/>
      <c r="AL1163" s="25"/>
      <c r="AM1163" s="25"/>
      <c r="AN1163" s="25"/>
      <c r="AO1163" s="25"/>
      <c r="AP1163" s="25"/>
      <c r="AQ1163" s="25"/>
      <c r="AR1163" s="25"/>
      <c r="AS1163" s="25"/>
      <c r="AT1163" s="25"/>
      <c r="AU1163" s="25"/>
      <c r="AV1163" s="25"/>
      <c r="AW1163" s="25"/>
      <c r="AX1163" s="25"/>
    </row>
    <row r="1164" ht="15.75" customHeight="1">
      <c r="A1164" s="25"/>
      <c r="B1164" s="25"/>
      <c r="C1164" s="27"/>
      <c r="D1164" s="28"/>
      <c r="E1164" s="28"/>
      <c r="F1164" s="25"/>
      <c r="G1164" s="25"/>
      <c r="H1164" s="25"/>
      <c r="I1164" s="25"/>
      <c r="J1164" s="25"/>
      <c r="K1164" s="25"/>
      <c r="L1164" s="25"/>
      <c r="M1164" s="25"/>
      <c r="N1164" s="25"/>
      <c r="O1164" s="25"/>
      <c r="P1164" s="25"/>
      <c r="Q1164" s="25"/>
      <c r="R1164" s="25"/>
      <c r="S1164" s="25"/>
      <c r="T1164" s="25"/>
      <c r="U1164" s="25"/>
      <c r="V1164" s="25"/>
      <c r="W1164" s="25"/>
      <c r="X1164" s="25"/>
      <c r="Y1164" s="25"/>
      <c r="Z1164" s="25"/>
      <c r="AA1164" s="25"/>
      <c r="AB1164" s="25"/>
      <c r="AC1164" s="25"/>
      <c r="AD1164" s="25"/>
      <c r="AE1164" s="25"/>
      <c r="AF1164" s="25"/>
      <c r="AG1164" s="25"/>
      <c r="AH1164" s="25"/>
      <c r="AI1164" s="25"/>
      <c r="AJ1164" s="25"/>
      <c r="AK1164" s="25"/>
      <c r="AL1164" s="25"/>
      <c r="AM1164" s="25"/>
      <c r="AN1164" s="25"/>
      <c r="AO1164" s="25"/>
      <c r="AP1164" s="25"/>
      <c r="AQ1164" s="25"/>
      <c r="AR1164" s="25"/>
      <c r="AS1164" s="25"/>
      <c r="AT1164" s="25"/>
      <c r="AU1164" s="25"/>
      <c r="AV1164" s="25"/>
      <c r="AW1164" s="25"/>
      <c r="AX1164" s="25"/>
    </row>
    <row r="1165" ht="15.75" customHeight="1">
      <c r="A1165" s="25"/>
      <c r="B1165" s="25"/>
      <c r="C1165" s="27"/>
      <c r="D1165" s="28"/>
      <c r="E1165" s="28"/>
      <c r="F1165" s="25"/>
      <c r="G1165" s="25"/>
      <c r="H1165" s="25"/>
      <c r="I1165" s="25"/>
      <c r="J1165" s="25"/>
      <c r="K1165" s="25"/>
      <c r="L1165" s="25"/>
      <c r="M1165" s="25"/>
      <c r="N1165" s="25"/>
      <c r="O1165" s="25"/>
      <c r="P1165" s="25"/>
      <c r="Q1165" s="25"/>
      <c r="R1165" s="25"/>
      <c r="S1165" s="25"/>
      <c r="T1165" s="25"/>
      <c r="U1165" s="25"/>
      <c r="V1165" s="25"/>
      <c r="W1165" s="25"/>
      <c r="X1165" s="25"/>
      <c r="Y1165" s="25"/>
      <c r="Z1165" s="25"/>
      <c r="AA1165" s="25"/>
      <c r="AB1165" s="25"/>
      <c r="AC1165" s="25"/>
      <c r="AD1165" s="25"/>
      <c r="AE1165" s="25"/>
      <c r="AF1165" s="25"/>
      <c r="AG1165" s="25"/>
      <c r="AH1165" s="25"/>
      <c r="AI1165" s="25"/>
      <c r="AJ1165" s="25"/>
      <c r="AK1165" s="25"/>
      <c r="AL1165" s="25"/>
      <c r="AM1165" s="25"/>
      <c r="AN1165" s="25"/>
      <c r="AO1165" s="25"/>
      <c r="AP1165" s="25"/>
      <c r="AQ1165" s="25"/>
      <c r="AR1165" s="25"/>
      <c r="AS1165" s="25"/>
      <c r="AT1165" s="25"/>
      <c r="AU1165" s="25"/>
      <c r="AV1165" s="25"/>
      <c r="AW1165" s="25"/>
      <c r="AX1165" s="25"/>
    </row>
    <row r="1166" ht="15.75" customHeight="1">
      <c r="A1166" s="25"/>
      <c r="B1166" s="25"/>
      <c r="C1166" s="27"/>
      <c r="D1166" s="28"/>
      <c r="E1166" s="28"/>
      <c r="F1166" s="25"/>
      <c r="G1166" s="25"/>
      <c r="H1166" s="25"/>
      <c r="I1166" s="25"/>
      <c r="J1166" s="25"/>
      <c r="K1166" s="25"/>
      <c r="L1166" s="25"/>
      <c r="M1166" s="25"/>
      <c r="N1166" s="25"/>
      <c r="O1166" s="25"/>
      <c r="P1166" s="25"/>
      <c r="Q1166" s="25"/>
      <c r="R1166" s="25"/>
      <c r="S1166" s="25"/>
      <c r="T1166" s="25"/>
      <c r="U1166" s="25"/>
      <c r="V1166" s="25"/>
      <c r="W1166" s="25"/>
      <c r="X1166" s="25"/>
      <c r="Y1166" s="25"/>
      <c r="Z1166" s="25"/>
      <c r="AA1166" s="25"/>
      <c r="AB1166" s="25"/>
      <c r="AC1166" s="25"/>
      <c r="AD1166" s="25"/>
      <c r="AE1166" s="25"/>
      <c r="AF1166" s="25"/>
      <c r="AG1166" s="25"/>
      <c r="AH1166" s="25"/>
      <c r="AI1166" s="25"/>
      <c r="AJ1166" s="25"/>
      <c r="AK1166" s="25"/>
      <c r="AL1166" s="25"/>
      <c r="AM1166" s="25"/>
      <c r="AN1166" s="25"/>
      <c r="AO1166" s="25"/>
      <c r="AP1166" s="25"/>
      <c r="AQ1166" s="25"/>
      <c r="AR1166" s="25"/>
      <c r="AS1166" s="25"/>
      <c r="AT1166" s="25"/>
      <c r="AU1166" s="25"/>
      <c r="AV1166" s="25"/>
      <c r="AW1166" s="25"/>
      <c r="AX1166" s="25"/>
    </row>
    <row r="1167" ht="15.75" customHeight="1">
      <c r="A1167" s="25"/>
      <c r="B1167" s="25"/>
      <c r="C1167" s="27"/>
      <c r="D1167" s="28"/>
      <c r="E1167" s="28"/>
      <c r="F1167" s="25"/>
      <c r="G1167" s="25"/>
      <c r="H1167" s="25"/>
      <c r="I1167" s="25"/>
      <c r="J1167" s="25"/>
      <c r="K1167" s="25"/>
      <c r="L1167" s="25"/>
      <c r="M1167" s="25"/>
      <c r="N1167" s="25"/>
      <c r="O1167" s="25"/>
      <c r="P1167" s="25"/>
      <c r="Q1167" s="25"/>
      <c r="R1167" s="25"/>
      <c r="S1167" s="25"/>
      <c r="T1167" s="25"/>
      <c r="U1167" s="25"/>
      <c r="V1167" s="25"/>
      <c r="W1167" s="25"/>
      <c r="X1167" s="25"/>
      <c r="Y1167" s="25"/>
      <c r="Z1167" s="25"/>
      <c r="AA1167" s="25"/>
      <c r="AB1167" s="25"/>
      <c r="AC1167" s="25"/>
      <c r="AD1167" s="25"/>
      <c r="AE1167" s="25"/>
      <c r="AF1167" s="25"/>
      <c r="AG1167" s="25"/>
      <c r="AH1167" s="25"/>
      <c r="AI1167" s="25"/>
      <c r="AJ1167" s="25"/>
      <c r="AK1167" s="25"/>
      <c r="AL1167" s="25"/>
      <c r="AM1167" s="25"/>
      <c r="AN1167" s="25"/>
      <c r="AO1167" s="25"/>
      <c r="AP1167" s="25"/>
      <c r="AQ1167" s="25"/>
      <c r="AR1167" s="25"/>
      <c r="AS1167" s="25"/>
      <c r="AT1167" s="25"/>
      <c r="AU1167" s="25"/>
      <c r="AV1167" s="25"/>
      <c r="AW1167" s="25"/>
      <c r="AX1167" s="25"/>
    </row>
    <row r="1168" ht="15.75" customHeight="1">
      <c r="A1168" s="25"/>
      <c r="B1168" s="25"/>
      <c r="C1168" s="27"/>
      <c r="D1168" s="28"/>
      <c r="E1168" s="28"/>
      <c r="F1168" s="25"/>
      <c r="G1168" s="25"/>
      <c r="H1168" s="25"/>
      <c r="I1168" s="25"/>
      <c r="J1168" s="25"/>
      <c r="K1168" s="25"/>
      <c r="L1168" s="25"/>
      <c r="M1168" s="25"/>
      <c r="N1168" s="25"/>
      <c r="O1168" s="25"/>
      <c r="P1168" s="25"/>
      <c r="Q1168" s="25"/>
      <c r="R1168" s="25"/>
      <c r="S1168" s="25"/>
      <c r="T1168" s="25"/>
      <c r="U1168" s="25"/>
      <c r="V1168" s="25"/>
      <c r="W1168" s="25"/>
      <c r="X1168" s="25"/>
      <c r="Y1168" s="25"/>
      <c r="Z1168" s="25"/>
      <c r="AA1168" s="25"/>
      <c r="AB1168" s="25"/>
      <c r="AC1168" s="25"/>
      <c r="AD1168" s="25"/>
      <c r="AE1168" s="25"/>
      <c r="AF1168" s="25"/>
      <c r="AG1168" s="25"/>
      <c r="AH1168" s="25"/>
      <c r="AI1168" s="25"/>
      <c r="AJ1168" s="25"/>
      <c r="AK1168" s="25"/>
      <c r="AL1168" s="25"/>
      <c r="AM1168" s="25"/>
      <c r="AN1168" s="25"/>
      <c r="AO1168" s="25"/>
      <c r="AP1168" s="25"/>
      <c r="AQ1168" s="25"/>
      <c r="AR1168" s="25"/>
      <c r="AS1168" s="25"/>
      <c r="AT1168" s="25"/>
      <c r="AU1168" s="25"/>
      <c r="AV1168" s="25"/>
      <c r="AW1168" s="25"/>
      <c r="AX1168" s="25"/>
    </row>
    <row r="1169" ht="15.75" customHeight="1">
      <c r="A1169" s="25"/>
      <c r="B1169" s="25"/>
      <c r="C1169" s="27"/>
      <c r="D1169" s="28"/>
      <c r="E1169" s="28"/>
      <c r="F1169" s="25"/>
      <c r="G1169" s="25"/>
      <c r="H1169" s="25"/>
      <c r="I1169" s="25"/>
      <c r="J1169" s="25"/>
      <c r="K1169" s="25"/>
      <c r="L1169" s="25"/>
      <c r="M1169" s="25"/>
      <c r="N1169" s="25"/>
      <c r="O1169" s="25"/>
      <c r="P1169" s="25"/>
      <c r="Q1169" s="25"/>
      <c r="R1169" s="25"/>
      <c r="S1169" s="25"/>
      <c r="T1169" s="25"/>
      <c r="U1169" s="25"/>
      <c r="V1169" s="25"/>
      <c r="W1169" s="25"/>
      <c r="X1169" s="25"/>
      <c r="Y1169" s="25"/>
      <c r="Z1169" s="25"/>
      <c r="AA1169" s="25"/>
      <c r="AB1169" s="25"/>
      <c r="AC1169" s="25"/>
      <c r="AD1169" s="25"/>
      <c r="AE1169" s="25"/>
      <c r="AF1169" s="25"/>
      <c r="AG1169" s="25"/>
      <c r="AH1169" s="25"/>
      <c r="AI1169" s="25"/>
      <c r="AJ1169" s="25"/>
      <c r="AK1169" s="25"/>
      <c r="AL1169" s="25"/>
      <c r="AM1169" s="25"/>
      <c r="AN1169" s="25"/>
      <c r="AO1169" s="25"/>
      <c r="AP1169" s="25"/>
      <c r="AQ1169" s="25"/>
      <c r="AR1169" s="25"/>
      <c r="AS1169" s="25"/>
      <c r="AT1169" s="25"/>
      <c r="AU1169" s="25"/>
      <c r="AV1169" s="25"/>
      <c r="AW1169" s="25"/>
      <c r="AX1169" s="25"/>
    </row>
    <row r="1170" ht="15.75" customHeight="1">
      <c r="A1170" s="25"/>
      <c r="B1170" s="25"/>
      <c r="C1170" s="27"/>
      <c r="D1170" s="28"/>
      <c r="E1170" s="28"/>
      <c r="F1170" s="25"/>
      <c r="G1170" s="25"/>
      <c r="H1170" s="25"/>
      <c r="I1170" s="25"/>
      <c r="J1170" s="25"/>
      <c r="K1170" s="25"/>
      <c r="L1170" s="25"/>
      <c r="M1170" s="25"/>
      <c r="N1170" s="25"/>
      <c r="O1170" s="25"/>
      <c r="P1170" s="25"/>
      <c r="Q1170" s="25"/>
      <c r="R1170" s="25"/>
      <c r="S1170" s="25"/>
      <c r="T1170" s="25"/>
      <c r="U1170" s="25"/>
      <c r="V1170" s="25"/>
      <c r="W1170" s="25"/>
      <c r="X1170" s="25"/>
      <c r="Y1170" s="25"/>
      <c r="Z1170" s="25"/>
      <c r="AA1170" s="25"/>
      <c r="AB1170" s="25"/>
      <c r="AC1170" s="25"/>
      <c r="AD1170" s="25"/>
      <c r="AE1170" s="25"/>
      <c r="AF1170" s="25"/>
      <c r="AG1170" s="25"/>
      <c r="AH1170" s="25"/>
      <c r="AI1170" s="25"/>
      <c r="AJ1170" s="25"/>
      <c r="AK1170" s="25"/>
      <c r="AL1170" s="25"/>
      <c r="AM1170" s="25"/>
      <c r="AN1170" s="25"/>
      <c r="AO1170" s="25"/>
      <c r="AP1170" s="25"/>
      <c r="AQ1170" s="25"/>
      <c r="AR1170" s="25"/>
      <c r="AS1170" s="25"/>
      <c r="AT1170" s="25"/>
      <c r="AU1170" s="25"/>
      <c r="AV1170" s="25"/>
      <c r="AW1170" s="25"/>
      <c r="AX1170" s="25"/>
    </row>
    <row r="1171" ht="15.75" customHeight="1">
      <c r="A1171" s="25"/>
      <c r="B1171" s="25"/>
      <c r="C1171" s="27"/>
      <c r="D1171" s="28"/>
      <c r="E1171" s="28"/>
      <c r="F1171" s="25"/>
      <c r="G1171" s="25"/>
      <c r="H1171" s="25"/>
      <c r="I1171" s="25"/>
      <c r="J1171" s="25"/>
      <c r="K1171" s="25"/>
      <c r="L1171" s="25"/>
      <c r="M1171" s="25"/>
      <c r="N1171" s="25"/>
      <c r="O1171" s="25"/>
      <c r="P1171" s="25"/>
      <c r="Q1171" s="25"/>
      <c r="R1171" s="25"/>
      <c r="S1171" s="25"/>
      <c r="T1171" s="25"/>
      <c r="U1171" s="25"/>
      <c r="V1171" s="25"/>
      <c r="W1171" s="25"/>
      <c r="X1171" s="25"/>
      <c r="Y1171" s="25"/>
      <c r="Z1171" s="25"/>
      <c r="AA1171" s="25"/>
      <c r="AB1171" s="25"/>
      <c r="AC1171" s="25"/>
      <c r="AD1171" s="25"/>
      <c r="AE1171" s="25"/>
      <c r="AF1171" s="25"/>
      <c r="AG1171" s="25"/>
      <c r="AH1171" s="25"/>
      <c r="AI1171" s="25"/>
      <c r="AJ1171" s="25"/>
      <c r="AK1171" s="25"/>
      <c r="AL1171" s="25"/>
      <c r="AM1171" s="25"/>
      <c r="AN1171" s="25"/>
      <c r="AO1171" s="25"/>
      <c r="AP1171" s="25"/>
      <c r="AQ1171" s="25"/>
      <c r="AR1171" s="25"/>
      <c r="AS1171" s="25"/>
      <c r="AT1171" s="25"/>
      <c r="AU1171" s="25"/>
      <c r="AV1171" s="25"/>
      <c r="AW1171" s="25"/>
      <c r="AX1171" s="25"/>
    </row>
    <row r="1172" ht="15.75" customHeight="1">
      <c r="A1172" s="25"/>
      <c r="B1172" s="25"/>
      <c r="C1172" s="27"/>
      <c r="D1172" s="28"/>
      <c r="E1172" s="28"/>
      <c r="F1172" s="25"/>
      <c r="G1172" s="25"/>
      <c r="H1172" s="25"/>
      <c r="I1172" s="25"/>
      <c r="J1172" s="25"/>
      <c r="K1172" s="25"/>
      <c r="L1172" s="25"/>
      <c r="M1172" s="25"/>
      <c r="N1172" s="25"/>
      <c r="O1172" s="25"/>
      <c r="P1172" s="25"/>
      <c r="Q1172" s="25"/>
      <c r="R1172" s="25"/>
      <c r="S1172" s="25"/>
      <c r="T1172" s="25"/>
      <c r="U1172" s="25"/>
      <c r="V1172" s="25"/>
      <c r="W1172" s="25"/>
      <c r="X1172" s="25"/>
      <c r="Y1172" s="25"/>
      <c r="Z1172" s="25"/>
      <c r="AA1172" s="25"/>
      <c r="AB1172" s="25"/>
      <c r="AC1172" s="25"/>
      <c r="AD1172" s="25"/>
      <c r="AE1172" s="25"/>
      <c r="AF1172" s="25"/>
      <c r="AG1172" s="25"/>
      <c r="AH1172" s="25"/>
      <c r="AI1172" s="25"/>
      <c r="AJ1172" s="25"/>
      <c r="AK1172" s="25"/>
      <c r="AL1172" s="25"/>
      <c r="AM1172" s="25"/>
      <c r="AN1172" s="25"/>
      <c r="AO1172" s="25"/>
      <c r="AP1172" s="25"/>
      <c r="AQ1172" s="25"/>
      <c r="AR1172" s="25"/>
      <c r="AS1172" s="25"/>
      <c r="AT1172" s="25"/>
      <c r="AU1172" s="25"/>
      <c r="AV1172" s="25"/>
      <c r="AW1172" s="25"/>
      <c r="AX1172" s="25"/>
    </row>
    <row r="1173" ht="15.75" customHeight="1">
      <c r="A1173" s="25"/>
      <c r="B1173" s="25"/>
      <c r="C1173" s="27"/>
      <c r="D1173" s="28"/>
      <c r="E1173" s="28"/>
      <c r="F1173" s="25"/>
      <c r="G1173" s="25"/>
      <c r="H1173" s="25"/>
      <c r="I1173" s="25"/>
      <c r="J1173" s="25"/>
      <c r="K1173" s="25"/>
      <c r="L1173" s="25"/>
      <c r="M1173" s="25"/>
      <c r="N1173" s="25"/>
      <c r="O1173" s="25"/>
      <c r="P1173" s="25"/>
      <c r="Q1173" s="25"/>
      <c r="R1173" s="25"/>
      <c r="S1173" s="25"/>
      <c r="T1173" s="25"/>
      <c r="U1173" s="25"/>
      <c r="V1173" s="25"/>
      <c r="W1173" s="25"/>
      <c r="X1173" s="25"/>
      <c r="Y1173" s="25"/>
      <c r="Z1173" s="25"/>
      <c r="AA1173" s="25"/>
      <c r="AB1173" s="25"/>
      <c r="AC1173" s="25"/>
      <c r="AD1173" s="25"/>
      <c r="AE1173" s="25"/>
      <c r="AF1173" s="25"/>
      <c r="AG1173" s="25"/>
      <c r="AH1173" s="25"/>
      <c r="AI1173" s="25"/>
      <c r="AJ1173" s="25"/>
      <c r="AK1173" s="25"/>
      <c r="AL1173" s="25"/>
      <c r="AM1173" s="25"/>
      <c r="AN1173" s="25"/>
      <c r="AO1173" s="25"/>
      <c r="AP1173" s="25"/>
      <c r="AQ1173" s="25"/>
      <c r="AR1173" s="25"/>
      <c r="AS1173" s="25"/>
      <c r="AT1173" s="25"/>
      <c r="AU1173" s="25"/>
      <c r="AV1173" s="25"/>
      <c r="AW1173" s="25"/>
      <c r="AX1173" s="25"/>
    </row>
    <row r="1174" ht="15.75" customHeight="1">
      <c r="A1174" s="25"/>
      <c r="B1174" s="25"/>
      <c r="C1174" s="27"/>
      <c r="D1174" s="28"/>
      <c r="E1174" s="28"/>
      <c r="F1174" s="25"/>
      <c r="G1174" s="25"/>
      <c r="H1174" s="25"/>
      <c r="I1174" s="25"/>
      <c r="J1174" s="25"/>
      <c r="K1174" s="25"/>
      <c r="L1174" s="25"/>
      <c r="M1174" s="25"/>
      <c r="N1174" s="25"/>
      <c r="O1174" s="25"/>
      <c r="P1174" s="25"/>
      <c r="Q1174" s="25"/>
      <c r="R1174" s="25"/>
      <c r="S1174" s="25"/>
      <c r="T1174" s="25"/>
      <c r="U1174" s="25"/>
      <c r="V1174" s="25"/>
      <c r="W1174" s="25"/>
      <c r="X1174" s="25"/>
      <c r="Y1174" s="25"/>
      <c r="Z1174" s="25"/>
      <c r="AA1174" s="25"/>
      <c r="AB1174" s="25"/>
      <c r="AC1174" s="25"/>
      <c r="AD1174" s="25"/>
      <c r="AE1174" s="25"/>
      <c r="AF1174" s="25"/>
      <c r="AG1174" s="25"/>
      <c r="AH1174" s="25"/>
      <c r="AI1174" s="25"/>
      <c r="AJ1174" s="25"/>
      <c r="AK1174" s="25"/>
      <c r="AL1174" s="25"/>
      <c r="AM1174" s="25"/>
      <c r="AN1174" s="25"/>
      <c r="AO1174" s="25"/>
      <c r="AP1174" s="25"/>
      <c r="AQ1174" s="25"/>
      <c r="AR1174" s="25"/>
      <c r="AS1174" s="25"/>
      <c r="AT1174" s="25"/>
      <c r="AU1174" s="25"/>
      <c r="AV1174" s="25"/>
      <c r="AW1174" s="25"/>
      <c r="AX1174" s="25"/>
    </row>
    <row r="1175" ht="15.75" customHeight="1">
      <c r="A1175" s="25"/>
      <c r="B1175" s="25"/>
      <c r="C1175" s="27"/>
      <c r="D1175" s="28"/>
      <c r="E1175" s="28"/>
      <c r="F1175" s="25"/>
      <c r="G1175" s="25"/>
      <c r="H1175" s="25"/>
      <c r="I1175" s="25"/>
      <c r="J1175" s="25"/>
      <c r="K1175" s="25"/>
      <c r="L1175" s="25"/>
      <c r="M1175" s="25"/>
      <c r="N1175" s="25"/>
      <c r="O1175" s="25"/>
      <c r="P1175" s="25"/>
      <c r="Q1175" s="25"/>
      <c r="R1175" s="25"/>
      <c r="S1175" s="25"/>
      <c r="T1175" s="25"/>
      <c r="U1175" s="25"/>
      <c r="V1175" s="25"/>
      <c r="W1175" s="25"/>
      <c r="X1175" s="25"/>
      <c r="Y1175" s="25"/>
      <c r="Z1175" s="25"/>
      <c r="AA1175" s="25"/>
      <c r="AB1175" s="25"/>
      <c r="AC1175" s="25"/>
      <c r="AD1175" s="25"/>
      <c r="AE1175" s="25"/>
      <c r="AF1175" s="25"/>
      <c r="AG1175" s="25"/>
      <c r="AH1175" s="25"/>
      <c r="AI1175" s="25"/>
      <c r="AJ1175" s="25"/>
      <c r="AK1175" s="25"/>
      <c r="AL1175" s="25"/>
      <c r="AM1175" s="25"/>
      <c r="AN1175" s="25"/>
      <c r="AO1175" s="25"/>
      <c r="AP1175" s="25"/>
      <c r="AQ1175" s="25"/>
      <c r="AR1175" s="25"/>
      <c r="AS1175" s="25"/>
      <c r="AT1175" s="25"/>
      <c r="AU1175" s="25"/>
      <c r="AV1175" s="25"/>
      <c r="AW1175" s="25"/>
      <c r="AX1175" s="25"/>
    </row>
    <row r="1176" ht="15.75" customHeight="1">
      <c r="A1176" s="25"/>
      <c r="B1176" s="25"/>
      <c r="C1176" s="27"/>
      <c r="D1176" s="28"/>
      <c r="E1176" s="28"/>
      <c r="F1176" s="25"/>
      <c r="G1176" s="25"/>
      <c r="H1176" s="25"/>
      <c r="I1176" s="25"/>
      <c r="J1176" s="25"/>
      <c r="K1176" s="25"/>
      <c r="L1176" s="25"/>
      <c r="M1176" s="25"/>
      <c r="N1176" s="25"/>
      <c r="O1176" s="25"/>
      <c r="P1176" s="25"/>
      <c r="Q1176" s="25"/>
      <c r="R1176" s="25"/>
      <c r="S1176" s="25"/>
      <c r="T1176" s="25"/>
      <c r="U1176" s="25"/>
      <c r="V1176" s="25"/>
      <c r="W1176" s="25"/>
      <c r="X1176" s="25"/>
      <c r="Y1176" s="25"/>
      <c r="Z1176" s="25"/>
      <c r="AA1176" s="25"/>
      <c r="AB1176" s="25"/>
      <c r="AC1176" s="25"/>
      <c r="AD1176" s="25"/>
      <c r="AE1176" s="25"/>
      <c r="AF1176" s="25"/>
      <c r="AG1176" s="25"/>
      <c r="AH1176" s="25"/>
      <c r="AI1176" s="25"/>
      <c r="AJ1176" s="25"/>
      <c r="AK1176" s="25"/>
      <c r="AL1176" s="25"/>
      <c r="AM1176" s="25"/>
      <c r="AN1176" s="25"/>
      <c r="AO1176" s="25"/>
      <c r="AP1176" s="25"/>
      <c r="AQ1176" s="25"/>
      <c r="AR1176" s="25"/>
      <c r="AS1176" s="25"/>
      <c r="AT1176" s="25"/>
      <c r="AU1176" s="25"/>
      <c r="AV1176" s="25"/>
      <c r="AW1176" s="25"/>
      <c r="AX1176" s="25"/>
    </row>
    <row r="1177" ht="15.75" customHeight="1">
      <c r="A1177" s="25"/>
      <c r="B1177" s="25"/>
      <c r="C1177" s="27"/>
      <c r="D1177" s="28"/>
      <c r="E1177" s="28"/>
      <c r="F1177" s="25"/>
      <c r="G1177" s="25"/>
      <c r="H1177" s="25"/>
      <c r="I1177" s="25"/>
      <c r="J1177" s="25"/>
      <c r="K1177" s="25"/>
      <c r="L1177" s="25"/>
      <c r="M1177" s="25"/>
      <c r="N1177" s="25"/>
      <c r="O1177" s="25"/>
      <c r="P1177" s="25"/>
      <c r="Q1177" s="25"/>
      <c r="R1177" s="25"/>
      <c r="S1177" s="25"/>
      <c r="T1177" s="25"/>
      <c r="U1177" s="25"/>
      <c r="V1177" s="25"/>
      <c r="W1177" s="25"/>
      <c r="X1177" s="25"/>
      <c r="Y1177" s="25"/>
      <c r="Z1177" s="25"/>
      <c r="AA1177" s="25"/>
      <c r="AB1177" s="25"/>
      <c r="AC1177" s="25"/>
      <c r="AD1177" s="25"/>
      <c r="AE1177" s="25"/>
      <c r="AF1177" s="25"/>
      <c r="AG1177" s="25"/>
      <c r="AH1177" s="25"/>
      <c r="AI1177" s="25"/>
      <c r="AJ1177" s="25"/>
      <c r="AK1177" s="25"/>
      <c r="AL1177" s="25"/>
      <c r="AM1177" s="25"/>
      <c r="AN1177" s="25"/>
      <c r="AO1177" s="25"/>
      <c r="AP1177" s="25"/>
      <c r="AQ1177" s="25"/>
      <c r="AR1177" s="25"/>
      <c r="AS1177" s="25"/>
      <c r="AT1177" s="25"/>
      <c r="AU1177" s="25"/>
      <c r="AV1177" s="25"/>
      <c r="AW1177" s="25"/>
      <c r="AX1177" s="25"/>
    </row>
    <row r="1178" ht="15.75" customHeight="1">
      <c r="A1178" s="25"/>
      <c r="B1178" s="25"/>
      <c r="C1178" s="27"/>
      <c r="D1178" s="28"/>
      <c r="E1178" s="28"/>
      <c r="F1178" s="25"/>
      <c r="G1178" s="25"/>
      <c r="H1178" s="25"/>
      <c r="I1178" s="25"/>
      <c r="J1178" s="25"/>
      <c r="K1178" s="25"/>
      <c r="L1178" s="25"/>
      <c r="M1178" s="25"/>
      <c r="N1178" s="25"/>
      <c r="O1178" s="25"/>
      <c r="P1178" s="25"/>
      <c r="Q1178" s="25"/>
      <c r="R1178" s="25"/>
      <c r="S1178" s="25"/>
      <c r="T1178" s="25"/>
      <c r="U1178" s="25"/>
      <c r="V1178" s="25"/>
      <c r="W1178" s="25"/>
      <c r="X1178" s="25"/>
      <c r="Y1178" s="25"/>
      <c r="Z1178" s="25"/>
      <c r="AA1178" s="25"/>
      <c r="AB1178" s="25"/>
      <c r="AC1178" s="25"/>
      <c r="AD1178" s="25"/>
      <c r="AE1178" s="25"/>
      <c r="AF1178" s="25"/>
      <c r="AG1178" s="25"/>
      <c r="AH1178" s="25"/>
      <c r="AI1178" s="25"/>
      <c r="AJ1178" s="25"/>
      <c r="AK1178" s="25"/>
      <c r="AL1178" s="25"/>
      <c r="AM1178" s="25"/>
      <c r="AN1178" s="25"/>
      <c r="AO1178" s="25"/>
      <c r="AP1178" s="25"/>
      <c r="AQ1178" s="25"/>
      <c r="AR1178" s="25"/>
      <c r="AS1178" s="25"/>
      <c r="AT1178" s="25"/>
      <c r="AU1178" s="25"/>
      <c r="AV1178" s="25"/>
      <c r="AW1178" s="25"/>
      <c r="AX1178" s="25"/>
    </row>
    <row r="1179" ht="15.75" customHeight="1">
      <c r="A1179" s="25"/>
      <c r="B1179" s="25"/>
      <c r="C1179" s="27"/>
      <c r="D1179" s="28"/>
      <c r="E1179" s="28"/>
      <c r="F1179" s="25"/>
      <c r="G1179" s="25"/>
      <c r="H1179" s="25"/>
      <c r="I1179" s="25"/>
      <c r="J1179" s="25"/>
      <c r="K1179" s="25"/>
      <c r="L1179" s="25"/>
      <c r="M1179" s="25"/>
      <c r="N1179" s="25"/>
      <c r="O1179" s="25"/>
      <c r="P1179" s="25"/>
      <c r="Q1179" s="25"/>
      <c r="R1179" s="25"/>
      <c r="S1179" s="25"/>
      <c r="T1179" s="25"/>
      <c r="U1179" s="25"/>
      <c r="V1179" s="25"/>
      <c r="W1179" s="25"/>
      <c r="X1179" s="25"/>
      <c r="Y1179" s="25"/>
      <c r="Z1179" s="25"/>
      <c r="AA1179" s="25"/>
      <c r="AB1179" s="25"/>
      <c r="AC1179" s="25"/>
      <c r="AD1179" s="25"/>
      <c r="AE1179" s="25"/>
      <c r="AF1179" s="25"/>
      <c r="AG1179" s="25"/>
      <c r="AH1179" s="25"/>
      <c r="AI1179" s="25"/>
      <c r="AJ1179" s="25"/>
      <c r="AK1179" s="25"/>
      <c r="AL1179" s="25"/>
      <c r="AM1179" s="25"/>
      <c r="AN1179" s="25"/>
      <c r="AO1179" s="25"/>
      <c r="AP1179" s="25"/>
      <c r="AQ1179" s="25"/>
      <c r="AR1179" s="25"/>
      <c r="AS1179" s="25"/>
      <c r="AT1179" s="25"/>
      <c r="AU1179" s="25"/>
      <c r="AV1179" s="25"/>
      <c r="AW1179" s="25"/>
      <c r="AX1179" s="25"/>
    </row>
    <row r="1180" ht="15.75" customHeight="1">
      <c r="A1180" s="25"/>
      <c r="B1180" s="25"/>
      <c r="C1180" s="27"/>
      <c r="D1180" s="28"/>
      <c r="E1180" s="28"/>
      <c r="F1180" s="25"/>
      <c r="G1180" s="25"/>
      <c r="H1180" s="25"/>
      <c r="I1180" s="25"/>
      <c r="J1180" s="25"/>
      <c r="K1180" s="25"/>
      <c r="L1180" s="25"/>
      <c r="M1180" s="25"/>
      <c r="N1180" s="25"/>
      <c r="O1180" s="25"/>
      <c r="P1180" s="25"/>
      <c r="Q1180" s="25"/>
      <c r="R1180" s="25"/>
      <c r="S1180" s="25"/>
      <c r="T1180" s="25"/>
      <c r="U1180" s="25"/>
      <c r="V1180" s="25"/>
      <c r="W1180" s="25"/>
      <c r="X1180" s="25"/>
      <c r="Y1180" s="25"/>
      <c r="Z1180" s="25"/>
      <c r="AA1180" s="25"/>
      <c r="AB1180" s="25"/>
      <c r="AC1180" s="25"/>
      <c r="AD1180" s="25"/>
      <c r="AE1180" s="25"/>
      <c r="AF1180" s="25"/>
      <c r="AG1180" s="25"/>
      <c r="AH1180" s="25"/>
      <c r="AI1180" s="25"/>
      <c r="AJ1180" s="25"/>
      <c r="AK1180" s="25"/>
      <c r="AL1180" s="25"/>
      <c r="AM1180" s="25"/>
      <c r="AN1180" s="25"/>
      <c r="AO1180" s="25"/>
      <c r="AP1180" s="25"/>
      <c r="AQ1180" s="25"/>
      <c r="AR1180" s="25"/>
      <c r="AS1180" s="25"/>
      <c r="AT1180" s="25"/>
      <c r="AU1180" s="25"/>
      <c r="AV1180" s="25"/>
      <c r="AW1180" s="25"/>
      <c r="AX1180" s="25"/>
    </row>
    <row r="1181" ht="15.75" customHeight="1">
      <c r="A1181" s="25"/>
      <c r="B1181" s="25"/>
      <c r="C1181" s="27"/>
      <c r="D1181" s="28"/>
      <c r="E1181" s="28"/>
      <c r="F1181" s="25"/>
      <c r="G1181" s="25"/>
      <c r="H1181" s="25"/>
      <c r="I1181" s="25"/>
      <c r="J1181" s="25"/>
      <c r="K1181" s="25"/>
      <c r="L1181" s="25"/>
      <c r="M1181" s="25"/>
      <c r="N1181" s="25"/>
      <c r="O1181" s="25"/>
      <c r="P1181" s="25"/>
      <c r="Q1181" s="25"/>
      <c r="R1181" s="25"/>
      <c r="S1181" s="25"/>
      <c r="T1181" s="25"/>
      <c r="U1181" s="25"/>
      <c r="V1181" s="25"/>
      <c r="W1181" s="25"/>
      <c r="X1181" s="25"/>
      <c r="Y1181" s="25"/>
      <c r="Z1181" s="25"/>
      <c r="AA1181" s="25"/>
      <c r="AB1181" s="25"/>
      <c r="AC1181" s="25"/>
      <c r="AD1181" s="25"/>
      <c r="AE1181" s="25"/>
      <c r="AF1181" s="25"/>
      <c r="AG1181" s="25"/>
      <c r="AH1181" s="25"/>
      <c r="AI1181" s="25"/>
      <c r="AJ1181" s="25"/>
      <c r="AK1181" s="25"/>
      <c r="AL1181" s="25"/>
      <c r="AM1181" s="25"/>
      <c r="AN1181" s="25"/>
      <c r="AO1181" s="25"/>
      <c r="AP1181" s="25"/>
      <c r="AQ1181" s="25"/>
      <c r="AR1181" s="25"/>
      <c r="AS1181" s="25"/>
      <c r="AT1181" s="25"/>
      <c r="AU1181" s="25"/>
      <c r="AV1181" s="25"/>
      <c r="AW1181" s="25"/>
      <c r="AX1181" s="25"/>
    </row>
    <row r="1182" ht="15.75" customHeight="1">
      <c r="A1182" s="25"/>
      <c r="B1182" s="25"/>
      <c r="C1182" s="27"/>
      <c r="D1182" s="28"/>
      <c r="E1182" s="28"/>
      <c r="F1182" s="25"/>
      <c r="G1182" s="25"/>
      <c r="H1182" s="25"/>
      <c r="I1182" s="25"/>
      <c r="J1182" s="25"/>
      <c r="K1182" s="25"/>
      <c r="L1182" s="25"/>
      <c r="M1182" s="25"/>
      <c r="N1182" s="25"/>
      <c r="O1182" s="25"/>
      <c r="P1182" s="25"/>
      <c r="Q1182" s="25"/>
      <c r="R1182" s="25"/>
      <c r="S1182" s="25"/>
      <c r="T1182" s="25"/>
      <c r="U1182" s="25"/>
      <c r="V1182" s="25"/>
      <c r="W1182" s="25"/>
      <c r="X1182" s="25"/>
      <c r="Y1182" s="25"/>
      <c r="Z1182" s="25"/>
      <c r="AA1182" s="25"/>
      <c r="AB1182" s="25"/>
      <c r="AC1182" s="25"/>
      <c r="AD1182" s="25"/>
      <c r="AE1182" s="25"/>
      <c r="AF1182" s="25"/>
      <c r="AG1182" s="25"/>
      <c r="AH1182" s="25"/>
      <c r="AI1182" s="25"/>
      <c r="AJ1182" s="25"/>
      <c r="AK1182" s="25"/>
      <c r="AL1182" s="25"/>
      <c r="AM1182" s="25"/>
      <c r="AN1182" s="25"/>
      <c r="AO1182" s="25"/>
      <c r="AP1182" s="25"/>
      <c r="AQ1182" s="25"/>
      <c r="AR1182" s="25"/>
      <c r="AS1182" s="25"/>
      <c r="AT1182" s="25"/>
      <c r="AU1182" s="25"/>
      <c r="AV1182" s="25"/>
      <c r="AW1182" s="25"/>
      <c r="AX1182" s="25"/>
    </row>
    <row r="1183" ht="15.75" customHeight="1">
      <c r="A1183" s="25"/>
      <c r="B1183" s="25"/>
      <c r="C1183" s="27"/>
      <c r="D1183" s="28"/>
      <c r="E1183" s="28"/>
      <c r="F1183" s="25"/>
      <c r="G1183" s="25"/>
      <c r="H1183" s="25"/>
      <c r="I1183" s="25"/>
      <c r="J1183" s="25"/>
      <c r="K1183" s="25"/>
      <c r="L1183" s="25"/>
      <c r="M1183" s="25"/>
      <c r="N1183" s="25"/>
      <c r="O1183" s="25"/>
      <c r="P1183" s="25"/>
      <c r="Q1183" s="25"/>
      <c r="R1183" s="25"/>
      <c r="S1183" s="25"/>
      <c r="T1183" s="25"/>
      <c r="U1183" s="25"/>
      <c r="V1183" s="25"/>
      <c r="W1183" s="25"/>
      <c r="X1183" s="25"/>
      <c r="Y1183" s="25"/>
      <c r="Z1183" s="25"/>
      <c r="AA1183" s="25"/>
      <c r="AB1183" s="25"/>
      <c r="AC1183" s="25"/>
      <c r="AD1183" s="25"/>
      <c r="AE1183" s="25"/>
      <c r="AF1183" s="25"/>
      <c r="AG1183" s="25"/>
      <c r="AH1183" s="25"/>
      <c r="AI1183" s="25"/>
      <c r="AJ1183" s="25"/>
      <c r="AK1183" s="25"/>
      <c r="AL1183" s="25"/>
      <c r="AM1183" s="25"/>
      <c r="AN1183" s="25"/>
      <c r="AO1183" s="25"/>
      <c r="AP1183" s="25"/>
      <c r="AQ1183" s="25"/>
      <c r="AR1183" s="25"/>
      <c r="AS1183" s="25"/>
      <c r="AT1183" s="25"/>
      <c r="AU1183" s="25"/>
      <c r="AV1183" s="25"/>
      <c r="AW1183" s="25"/>
      <c r="AX1183" s="25"/>
    </row>
    <row r="1184" ht="15.75" customHeight="1">
      <c r="A1184" s="25"/>
      <c r="B1184" s="25"/>
      <c r="C1184" s="27"/>
      <c r="D1184" s="28"/>
      <c r="E1184" s="28"/>
      <c r="F1184" s="25"/>
      <c r="G1184" s="25"/>
      <c r="H1184" s="25"/>
      <c r="I1184" s="25"/>
      <c r="J1184" s="25"/>
      <c r="K1184" s="25"/>
      <c r="L1184" s="25"/>
      <c r="M1184" s="25"/>
      <c r="N1184" s="25"/>
      <c r="O1184" s="25"/>
      <c r="P1184" s="25"/>
      <c r="Q1184" s="25"/>
      <c r="R1184" s="25"/>
      <c r="S1184" s="25"/>
      <c r="T1184" s="25"/>
      <c r="U1184" s="25"/>
      <c r="V1184" s="25"/>
      <c r="W1184" s="25"/>
      <c r="X1184" s="25"/>
      <c r="Y1184" s="25"/>
      <c r="Z1184" s="25"/>
      <c r="AA1184" s="25"/>
      <c r="AB1184" s="25"/>
      <c r="AC1184" s="25"/>
      <c r="AD1184" s="25"/>
      <c r="AE1184" s="25"/>
      <c r="AF1184" s="25"/>
      <c r="AG1184" s="25"/>
      <c r="AH1184" s="25"/>
      <c r="AI1184" s="25"/>
      <c r="AJ1184" s="25"/>
      <c r="AK1184" s="25"/>
      <c r="AL1184" s="25"/>
      <c r="AM1184" s="25"/>
      <c r="AN1184" s="25"/>
      <c r="AO1184" s="25"/>
      <c r="AP1184" s="25"/>
      <c r="AQ1184" s="25"/>
      <c r="AR1184" s="25"/>
      <c r="AS1184" s="25"/>
      <c r="AT1184" s="25"/>
      <c r="AU1184" s="25"/>
      <c r="AV1184" s="25"/>
      <c r="AW1184" s="25"/>
      <c r="AX1184" s="25"/>
    </row>
    <row r="1185" ht="15.75" customHeight="1">
      <c r="A1185" s="25"/>
      <c r="B1185" s="25"/>
      <c r="C1185" s="27"/>
      <c r="D1185" s="28"/>
      <c r="E1185" s="28"/>
      <c r="F1185" s="25"/>
      <c r="G1185" s="25"/>
      <c r="H1185" s="25"/>
      <c r="I1185" s="25"/>
      <c r="J1185" s="25"/>
      <c r="K1185" s="25"/>
      <c r="L1185" s="25"/>
      <c r="M1185" s="25"/>
      <c r="N1185" s="25"/>
      <c r="O1185" s="25"/>
      <c r="P1185" s="25"/>
      <c r="Q1185" s="25"/>
      <c r="R1185" s="25"/>
      <c r="S1185" s="25"/>
      <c r="T1185" s="25"/>
      <c r="U1185" s="25"/>
      <c r="V1185" s="25"/>
      <c r="W1185" s="25"/>
      <c r="X1185" s="25"/>
      <c r="Y1185" s="25"/>
      <c r="Z1185" s="25"/>
      <c r="AA1185" s="25"/>
      <c r="AB1185" s="25"/>
      <c r="AC1185" s="25"/>
      <c r="AD1185" s="25"/>
      <c r="AE1185" s="25"/>
      <c r="AF1185" s="25"/>
      <c r="AG1185" s="25"/>
      <c r="AH1185" s="25"/>
      <c r="AI1185" s="25"/>
      <c r="AJ1185" s="25"/>
      <c r="AK1185" s="25"/>
      <c r="AL1185" s="25"/>
      <c r="AM1185" s="25"/>
      <c r="AN1185" s="25"/>
      <c r="AO1185" s="25"/>
      <c r="AP1185" s="25"/>
      <c r="AQ1185" s="25"/>
      <c r="AR1185" s="25"/>
      <c r="AS1185" s="25"/>
      <c r="AT1185" s="25"/>
      <c r="AU1185" s="25"/>
      <c r="AV1185" s="25"/>
      <c r="AW1185" s="25"/>
      <c r="AX1185" s="25"/>
    </row>
    <row r="1186" ht="15.75" customHeight="1">
      <c r="A1186" s="25"/>
      <c r="B1186" s="25"/>
      <c r="C1186" s="27"/>
      <c r="D1186" s="28"/>
      <c r="E1186" s="28"/>
      <c r="F1186" s="25"/>
      <c r="G1186" s="25"/>
      <c r="H1186" s="25"/>
      <c r="I1186" s="25"/>
      <c r="J1186" s="25"/>
      <c r="K1186" s="25"/>
      <c r="L1186" s="25"/>
      <c r="M1186" s="25"/>
      <c r="N1186" s="25"/>
      <c r="O1186" s="25"/>
      <c r="P1186" s="25"/>
      <c r="Q1186" s="25"/>
      <c r="R1186" s="25"/>
      <c r="S1186" s="25"/>
      <c r="T1186" s="25"/>
      <c r="U1186" s="25"/>
      <c r="V1186" s="25"/>
      <c r="W1186" s="25"/>
      <c r="X1186" s="25"/>
      <c r="Y1186" s="25"/>
      <c r="Z1186" s="25"/>
      <c r="AA1186" s="25"/>
      <c r="AB1186" s="25"/>
      <c r="AC1186" s="25"/>
      <c r="AD1186" s="25"/>
      <c r="AE1186" s="25"/>
      <c r="AF1186" s="25"/>
      <c r="AG1186" s="25"/>
      <c r="AH1186" s="25"/>
      <c r="AI1186" s="25"/>
      <c r="AJ1186" s="25"/>
      <c r="AK1186" s="25"/>
      <c r="AL1186" s="25"/>
      <c r="AM1186" s="25"/>
      <c r="AN1186" s="25"/>
      <c r="AO1186" s="25"/>
      <c r="AP1186" s="25"/>
      <c r="AQ1186" s="25"/>
      <c r="AR1186" s="25"/>
      <c r="AS1186" s="25"/>
      <c r="AT1186" s="25"/>
      <c r="AU1186" s="25"/>
      <c r="AV1186" s="25"/>
      <c r="AW1186" s="25"/>
      <c r="AX1186" s="25"/>
    </row>
    <row r="1187" ht="15.75" customHeight="1">
      <c r="A1187" s="25"/>
      <c r="B1187" s="25"/>
      <c r="C1187" s="27"/>
      <c r="D1187" s="28"/>
      <c r="E1187" s="28"/>
      <c r="F1187" s="25"/>
      <c r="G1187" s="25"/>
      <c r="H1187" s="25"/>
      <c r="I1187" s="25"/>
      <c r="J1187" s="25"/>
      <c r="K1187" s="25"/>
      <c r="L1187" s="25"/>
      <c r="M1187" s="25"/>
      <c r="N1187" s="25"/>
      <c r="O1187" s="25"/>
      <c r="P1187" s="25"/>
      <c r="Q1187" s="25"/>
      <c r="R1187" s="25"/>
      <c r="S1187" s="25"/>
      <c r="T1187" s="25"/>
      <c r="U1187" s="25"/>
      <c r="V1187" s="25"/>
      <c r="W1187" s="25"/>
      <c r="X1187" s="25"/>
      <c r="Y1187" s="25"/>
      <c r="Z1187" s="25"/>
      <c r="AA1187" s="25"/>
      <c r="AB1187" s="25"/>
      <c r="AC1187" s="25"/>
      <c r="AD1187" s="25"/>
      <c r="AE1187" s="25"/>
      <c r="AF1187" s="25"/>
      <c r="AG1187" s="25"/>
      <c r="AH1187" s="25"/>
      <c r="AI1187" s="25"/>
      <c r="AJ1187" s="25"/>
      <c r="AK1187" s="25"/>
      <c r="AL1187" s="25"/>
      <c r="AM1187" s="25"/>
      <c r="AN1187" s="25"/>
      <c r="AO1187" s="25"/>
      <c r="AP1187" s="25"/>
      <c r="AQ1187" s="25"/>
      <c r="AR1187" s="25"/>
      <c r="AS1187" s="25"/>
      <c r="AT1187" s="25"/>
      <c r="AU1187" s="25"/>
      <c r="AV1187" s="25"/>
      <c r="AW1187" s="25"/>
      <c r="AX1187" s="25"/>
    </row>
    <row r="1188" ht="15.75" customHeight="1">
      <c r="A1188" s="25"/>
      <c r="B1188" s="25"/>
      <c r="C1188" s="27"/>
      <c r="D1188" s="28"/>
      <c r="E1188" s="28"/>
      <c r="F1188" s="25"/>
      <c r="G1188" s="25"/>
      <c r="H1188" s="25"/>
      <c r="I1188" s="25"/>
      <c r="J1188" s="25"/>
      <c r="K1188" s="25"/>
      <c r="L1188" s="25"/>
      <c r="M1188" s="25"/>
      <c r="N1188" s="25"/>
      <c r="O1188" s="25"/>
      <c r="P1188" s="25"/>
      <c r="Q1188" s="25"/>
      <c r="R1188" s="25"/>
      <c r="S1188" s="25"/>
      <c r="T1188" s="25"/>
      <c r="U1188" s="25"/>
      <c r="V1188" s="25"/>
      <c r="W1188" s="25"/>
      <c r="X1188" s="25"/>
      <c r="Y1188" s="25"/>
      <c r="Z1188" s="25"/>
      <c r="AA1188" s="25"/>
      <c r="AB1188" s="25"/>
      <c r="AC1188" s="25"/>
      <c r="AD1188" s="25"/>
      <c r="AE1188" s="25"/>
      <c r="AF1188" s="25"/>
      <c r="AG1188" s="25"/>
      <c r="AH1188" s="25"/>
      <c r="AI1188" s="25"/>
      <c r="AJ1188" s="25"/>
      <c r="AK1188" s="25"/>
      <c r="AL1188" s="25"/>
      <c r="AM1188" s="25"/>
      <c r="AN1188" s="25"/>
      <c r="AO1188" s="25"/>
      <c r="AP1188" s="25"/>
      <c r="AQ1188" s="25"/>
      <c r="AR1188" s="25"/>
      <c r="AS1188" s="25"/>
      <c r="AT1188" s="25"/>
      <c r="AU1188" s="25"/>
      <c r="AV1188" s="25"/>
      <c r="AW1188" s="25"/>
      <c r="AX1188" s="25"/>
    </row>
    <row r="1189" ht="15.75" customHeight="1">
      <c r="A1189" s="25"/>
      <c r="B1189" s="25"/>
      <c r="C1189" s="27"/>
      <c r="D1189" s="28"/>
      <c r="E1189" s="28"/>
      <c r="F1189" s="25"/>
      <c r="G1189" s="25"/>
      <c r="H1189" s="25"/>
      <c r="I1189" s="25"/>
      <c r="J1189" s="25"/>
      <c r="K1189" s="25"/>
      <c r="L1189" s="25"/>
      <c r="M1189" s="25"/>
      <c r="N1189" s="25"/>
      <c r="O1189" s="25"/>
      <c r="P1189" s="25"/>
      <c r="Q1189" s="25"/>
      <c r="R1189" s="25"/>
      <c r="S1189" s="25"/>
      <c r="T1189" s="25"/>
      <c r="U1189" s="25"/>
      <c r="V1189" s="25"/>
      <c r="W1189" s="25"/>
      <c r="X1189" s="25"/>
      <c r="Y1189" s="25"/>
      <c r="Z1189" s="25"/>
      <c r="AA1189" s="25"/>
      <c r="AB1189" s="25"/>
      <c r="AC1189" s="25"/>
      <c r="AD1189" s="25"/>
      <c r="AE1189" s="25"/>
      <c r="AF1189" s="25"/>
      <c r="AG1189" s="25"/>
      <c r="AH1189" s="25"/>
      <c r="AI1189" s="25"/>
      <c r="AJ1189" s="25"/>
      <c r="AK1189" s="25"/>
      <c r="AL1189" s="25"/>
      <c r="AM1189" s="25"/>
      <c r="AN1189" s="25"/>
      <c r="AO1189" s="25"/>
      <c r="AP1189" s="25"/>
      <c r="AQ1189" s="25"/>
      <c r="AR1189" s="25"/>
      <c r="AS1189" s="25"/>
      <c r="AT1189" s="25"/>
      <c r="AU1189" s="25"/>
      <c r="AV1189" s="25"/>
      <c r="AW1189" s="25"/>
      <c r="AX1189" s="25"/>
    </row>
    <row r="1190" ht="15.75" customHeight="1">
      <c r="A1190" s="25"/>
      <c r="B1190" s="25"/>
      <c r="C1190" s="27"/>
      <c r="D1190" s="28"/>
      <c r="E1190" s="28"/>
      <c r="F1190" s="25"/>
      <c r="G1190" s="25"/>
      <c r="H1190" s="25"/>
      <c r="I1190" s="25"/>
      <c r="J1190" s="25"/>
      <c r="K1190" s="25"/>
      <c r="L1190" s="25"/>
      <c r="M1190" s="25"/>
      <c r="N1190" s="25"/>
      <c r="O1190" s="25"/>
      <c r="P1190" s="25"/>
      <c r="Q1190" s="25"/>
      <c r="R1190" s="25"/>
      <c r="S1190" s="25"/>
      <c r="T1190" s="25"/>
      <c r="U1190" s="25"/>
      <c r="V1190" s="25"/>
      <c r="W1190" s="25"/>
      <c r="X1190" s="25"/>
      <c r="Y1190" s="25"/>
      <c r="Z1190" s="25"/>
      <c r="AA1190" s="25"/>
      <c r="AB1190" s="25"/>
      <c r="AC1190" s="25"/>
      <c r="AD1190" s="25"/>
      <c r="AE1190" s="25"/>
      <c r="AF1190" s="25"/>
      <c r="AG1190" s="25"/>
      <c r="AH1190" s="25"/>
      <c r="AI1190" s="25"/>
      <c r="AJ1190" s="25"/>
      <c r="AK1190" s="25"/>
      <c r="AL1190" s="25"/>
      <c r="AM1190" s="25"/>
      <c r="AN1190" s="25"/>
      <c r="AO1190" s="25"/>
      <c r="AP1190" s="25"/>
      <c r="AQ1190" s="25"/>
      <c r="AR1190" s="25"/>
      <c r="AS1190" s="25"/>
      <c r="AT1190" s="25"/>
      <c r="AU1190" s="25"/>
      <c r="AV1190" s="25"/>
      <c r="AW1190" s="25"/>
      <c r="AX1190" s="25"/>
    </row>
    <row r="1191" ht="15.75" customHeight="1">
      <c r="A1191" s="25"/>
      <c r="B1191" s="25"/>
      <c r="C1191" s="27"/>
      <c r="D1191" s="28"/>
      <c r="E1191" s="28"/>
      <c r="F1191" s="25"/>
      <c r="G1191" s="25"/>
      <c r="H1191" s="25"/>
      <c r="I1191" s="25"/>
      <c r="J1191" s="25"/>
      <c r="K1191" s="25"/>
      <c r="L1191" s="25"/>
      <c r="M1191" s="25"/>
      <c r="N1191" s="25"/>
      <c r="O1191" s="25"/>
      <c r="P1191" s="25"/>
      <c r="Q1191" s="25"/>
      <c r="R1191" s="25"/>
      <c r="S1191" s="25"/>
      <c r="T1191" s="25"/>
      <c r="U1191" s="25"/>
      <c r="V1191" s="25"/>
      <c r="W1191" s="25"/>
      <c r="X1191" s="25"/>
      <c r="Y1191" s="25"/>
      <c r="Z1191" s="25"/>
      <c r="AA1191" s="25"/>
      <c r="AB1191" s="25"/>
      <c r="AC1191" s="25"/>
      <c r="AD1191" s="25"/>
      <c r="AE1191" s="25"/>
      <c r="AF1191" s="25"/>
      <c r="AG1191" s="25"/>
      <c r="AH1191" s="25"/>
      <c r="AI1191" s="25"/>
      <c r="AJ1191" s="25"/>
      <c r="AK1191" s="25"/>
      <c r="AL1191" s="25"/>
      <c r="AM1191" s="25"/>
      <c r="AN1191" s="25"/>
      <c r="AO1191" s="25"/>
      <c r="AP1191" s="25"/>
      <c r="AQ1191" s="25"/>
      <c r="AR1191" s="25"/>
      <c r="AS1191" s="25"/>
      <c r="AT1191" s="25"/>
      <c r="AU1191" s="25"/>
      <c r="AV1191" s="25"/>
      <c r="AW1191" s="25"/>
      <c r="AX1191" s="25"/>
    </row>
    <row r="1192" ht="15.75" customHeight="1">
      <c r="A1192" s="25"/>
      <c r="B1192" s="25"/>
      <c r="C1192" s="27"/>
      <c r="D1192" s="28"/>
      <c r="E1192" s="28"/>
      <c r="F1192" s="25"/>
      <c r="G1192" s="25"/>
      <c r="H1192" s="25"/>
      <c r="I1192" s="25"/>
      <c r="J1192" s="25"/>
      <c r="K1192" s="25"/>
      <c r="L1192" s="25"/>
      <c r="M1192" s="25"/>
      <c r="N1192" s="25"/>
      <c r="O1192" s="25"/>
      <c r="P1192" s="25"/>
      <c r="Q1192" s="25"/>
      <c r="R1192" s="25"/>
      <c r="S1192" s="25"/>
      <c r="T1192" s="25"/>
      <c r="U1192" s="25"/>
      <c r="V1192" s="25"/>
      <c r="W1192" s="25"/>
      <c r="X1192" s="25"/>
      <c r="Y1192" s="25"/>
      <c r="Z1192" s="25"/>
      <c r="AA1192" s="25"/>
      <c r="AB1192" s="25"/>
      <c r="AC1192" s="25"/>
      <c r="AD1192" s="25"/>
      <c r="AE1192" s="25"/>
      <c r="AF1192" s="25"/>
      <c r="AG1192" s="25"/>
      <c r="AH1192" s="25"/>
      <c r="AI1192" s="25"/>
      <c r="AJ1192" s="25"/>
      <c r="AK1192" s="25"/>
      <c r="AL1192" s="25"/>
      <c r="AM1192" s="25"/>
      <c r="AN1192" s="25"/>
      <c r="AO1192" s="25"/>
      <c r="AP1192" s="25"/>
      <c r="AQ1192" s="25"/>
      <c r="AR1192" s="25"/>
      <c r="AS1192" s="25"/>
      <c r="AT1192" s="25"/>
      <c r="AU1192" s="25"/>
      <c r="AV1192" s="25"/>
      <c r="AW1192" s="25"/>
      <c r="AX1192" s="25"/>
    </row>
    <row r="1193" ht="15.75" customHeight="1">
      <c r="A1193" s="25"/>
      <c r="B1193" s="25"/>
      <c r="C1193" s="27"/>
      <c r="D1193" s="28"/>
      <c r="E1193" s="28"/>
      <c r="F1193" s="25"/>
      <c r="G1193" s="25"/>
      <c r="H1193" s="25"/>
      <c r="I1193" s="25"/>
      <c r="J1193" s="25"/>
      <c r="K1193" s="25"/>
      <c r="L1193" s="25"/>
      <c r="M1193" s="25"/>
      <c r="N1193" s="25"/>
      <c r="O1193" s="25"/>
      <c r="P1193" s="25"/>
      <c r="Q1193" s="25"/>
      <c r="R1193" s="25"/>
      <c r="S1193" s="25"/>
      <c r="T1193" s="25"/>
      <c r="U1193" s="25"/>
      <c r="V1193" s="25"/>
      <c r="W1193" s="25"/>
      <c r="X1193" s="25"/>
      <c r="Y1193" s="25"/>
      <c r="Z1193" s="25"/>
      <c r="AA1193" s="25"/>
      <c r="AB1193" s="25"/>
      <c r="AC1193" s="25"/>
      <c r="AD1193" s="25"/>
      <c r="AE1193" s="25"/>
      <c r="AF1193" s="25"/>
      <c r="AG1193" s="25"/>
      <c r="AH1193" s="25"/>
      <c r="AI1193" s="25"/>
      <c r="AJ1193" s="25"/>
      <c r="AK1193" s="25"/>
      <c r="AL1193" s="25"/>
      <c r="AM1193" s="25"/>
      <c r="AN1193" s="25"/>
      <c r="AO1193" s="25"/>
      <c r="AP1193" s="25"/>
      <c r="AQ1193" s="25"/>
      <c r="AR1193" s="25"/>
      <c r="AS1193" s="25"/>
      <c r="AT1193" s="25"/>
      <c r="AU1193" s="25"/>
      <c r="AV1193" s="25"/>
      <c r="AW1193" s="25"/>
      <c r="AX1193" s="25"/>
    </row>
    <row r="1194" ht="15.75" customHeight="1">
      <c r="A1194" s="25"/>
      <c r="B1194" s="25"/>
      <c r="C1194" s="27"/>
      <c r="D1194" s="28"/>
      <c r="E1194" s="28"/>
      <c r="F1194" s="25"/>
      <c r="G1194" s="25"/>
      <c r="H1194" s="25"/>
      <c r="I1194" s="25"/>
      <c r="J1194" s="25"/>
      <c r="K1194" s="25"/>
      <c r="L1194" s="25"/>
      <c r="M1194" s="25"/>
      <c r="N1194" s="25"/>
      <c r="O1194" s="25"/>
      <c r="P1194" s="25"/>
      <c r="Q1194" s="25"/>
      <c r="R1194" s="25"/>
      <c r="S1194" s="25"/>
      <c r="T1194" s="25"/>
      <c r="U1194" s="25"/>
      <c r="V1194" s="25"/>
      <c r="W1194" s="25"/>
      <c r="X1194" s="25"/>
      <c r="Y1194" s="25"/>
      <c r="Z1194" s="25"/>
      <c r="AA1194" s="25"/>
      <c r="AB1194" s="25"/>
      <c r="AC1194" s="25"/>
      <c r="AD1194" s="25"/>
      <c r="AE1194" s="25"/>
      <c r="AF1194" s="25"/>
      <c r="AG1194" s="25"/>
      <c r="AH1194" s="25"/>
      <c r="AI1194" s="25"/>
      <c r="AJ1194" s="25"/>
      <c r="AK1194" s="25"/>
      <c r="AL1194" s="25"/>
      <c r="AM1194" s="25"/>
      <c r="AN1194" s="25"/>
      <c r="AO1194" s="25"/>
      <c r="AP1194" s="25"/>
      <c r="AQ1194" s="25"/>
      <c r="AR1194" s="25"/>
      <c r="AS1194" s="25"/>
      <c r="AT1194" s="25"/>
      <c r="AU1194" s="25"/>
      <c r="AV1194" s="25"/>
      <c r="AW1194" s="25"/>
      <c r="AX1194" s="25"/>
    </row>
    <row r="1195" ht="15.75" customHeight="1">
      <c r="A1195" s="25"/>
      <c r="B1195" s="25"/>
      <c r="C1195" s="27"/>
      <c r="D1195" s="28"/>
      <c r="E1195" s="28"/>
      <c r="F1195" s="25"/>
      <c r="G1195" s="25"/>
      <c r="H1195" s="25"/>
      <c r="I1195" s="25"/>
      <c r="J1195" s="25"/>
      <c r="K1195" s="25"/>
      <c r="L1195" s="25"/>
      <c r="M1195" s="25"/>
      <c r="N1195" s="25"/>
      <c r="O1195" s="25"/>
      <c r="P1195" s="25"/>
      <c r="Q1195" s="25"/>
      <c r="R1195" s="25"/>
      <c r="S1195" s="25"/>
      <c r="T1195" s="25"/>
      <c r="U1195" s="25"/>
      <c r="V1195" s="25"/>
      <c r="W1195" s="25"/>
      <c r="X1195" s="25"/>
      <c r="Y1195" s="25"/>
      <c r="Z1195" s="25"/>
      <c r="AA1195" s="25"/>
      <c r="AB1195" s="25"/>
      <c r="AC1195" s="25"/>
      <c r="AD1195" s="25"/>
      <c r="AE1195" s="25"/>
      <c r="AF1195" s="25"/>
      <c r="AG1195" s="25"/>
      <c r="AH1195" s="25"/>
      <c r="AI1195" s="25"/>
      <c r="AJ1195" s="25"/>
      <c r="AK1195" s="25"/>
      <c r="AL1195" s="25"/>
      <c r="AM1195" s="25"/>
      <c r="AN1195" s="25"/>
      <c r="AO1195" s="25"/>
      <c r="AP1195" s="25"/>
      <c r="AQ1195" s="25"/>
      <c r="AR1195" s="25"/>
      <c r="AS1195" s="25"/>
      <c r="AT1195" s="25"/>
      <c r="AU1195" s="25"/>
      <c r="AV1195" s="25"/>
      <c r="AW1195" s="25"/>
      <c r="AX1195" s="25"/>
    </row>
    <row r="1196" ht="15.75" customHeight="1">
      <c r="A1196" s="25"/>
      <c r="B1196" s="25"/>
      <c r="C1196" s="27"/>
      <c r="D1196" s="28"/>
      <c r="E1196" s="28"/>
      <c r="F1196" s="25"/>
      <c r="G1196" s="25"/>
      <c r="H1196" s="25"/>
      <c r="I1196" s="25"/>
      <c r="J1196" s="25"/>
      <c r="K1196" s="25"/>
      <c r="L1196" s="25"/>
      <c r="M1196" s="25"/>
      <c r="N1196" s="25"/>
      <c r="O1196" s="25"/>
      <c r="P1196" s="25"/>
      <c r="Q1196" s="25"/>
      <c r="R1196" s="25"/>
      <c r="S1196" s="25"/>
      <c r="T1196" s="25"/>
      <c r="U1196" s="25"/>
      <c r="V1196" s="25"/>
      <c r="W1196" s="25"/>
      <c r="X1196" s="25"/>
      <c r="Y1196" s="25"/>
      <c r="Z1196" s="25"/>
      <c r="AA1196" s="25"/>
      <c r="AB1196" s="25"/>
      <c r="AC1196" s="25"/>
      <c r="AD1196" s="25"/>
      <c r="AE1196" s="25"/>
      <c r="AF1196" s="25"/>
      <c r="AG1196" s="25"/>
      <c r="AH1196" s="25"/>
      <c r="AI1196" s="25"/>
      <c r="AJ1196" s="25"/>
      <c r="AK1196" s="25"/>
      <c r="AL1196" s="25"/>
      <c r="AM1196" s="25"/>
      <c r="AN1196" s="25"/>
      <c r="AO1196" s="25"/>
      <c r="AP1196" s="25"/>
      <c r="AQ1196" s="25"/>
      <c r="AR1196" s="25"/>
      <c r="AS1196" s="25"/>
      <c r="AT1196" s="25"/>
      <c r="AU1196" s="25"/>
      <c r="AV1196" s="25"/>
      <c r="AW1196" s="25"/>
      <c r="AX1196" s="25"/>
    </row>
    <row r="1197" ht="15.75" customHeight="1">
      <c r="A1197" s="25"/>
      <c r="B1197" s="25"/>
      <c r="C1197" s="27"/>
      <c r="D1197" s="28"/>
      <c r="E1197" s="28"/>
      <c r="F1197" s="25"/>
      <c r="G1197" s="25"/>
      <c r="H1197" s="25"/>
      <c r="I1197" s="25"/>
      <c r="J1197" s="25"/>
      <c r="K1197" s="25"/>
      <c r="L1197" s="25"/>
      <c r="M1197" s="25"/>
      <c r="N1197" s="25"/>
      <c r="O1197" s="25"/>
      <c r="P1197" s="25"/>
      <c r="Q1197" s="25"/>
      <c r="R1197" s="25"/>
      <c r="S1197" s="25"/>
      <c r="T1197" s="25"/>
      <c r="U1197" s="25"/>
      <c r="V1197" s="25"/>
      <c r="W1197" s="25"/>
      <c r="X1197" s="25"/>
      <c r="Y1197" s="25"/>
      <c r="Z1197" s="25"/>
      <c r="AA1197" s="25"/>
      <c r="AB1197" s="25"/>
      <c r="AC1197" s="25"/>
      <c r="AD1197" s="25"/>
      <c r="AE1197" s="25"/>
      <c r="AF1197" s="25"/>
      <c r="AG1197" s="25"/>
      <c r="AH1197" s="25"/>
      <c r="AI1197" s="25"/>
      <c r="AJ1197" s="25"/>
      <c r="AK1197" s="25"/>
      <c r="AL1197" s="25"/>
      <c r="AM1197" s="25"/>
      <c r="AN1197" s="25"/>
      <c r="AO1197" s="25"/>
      <c r="AP1197" s="25"/>
      <c r="AQ1197" s="25"/>
      <c r="AR1197" s="25"/>
      <c r="AS1197" s="25"/>
      <c r="AT1197" s="25"/>
      <c r="AU1197" s="25"/>
      <c r="AV1197" s="25"/>
      <c r="AW1197" s="25"/>
      <c r="AX1197" s="25"/>
    </row>
    <row r="1198" ht="15.75" customHeight="1">
      <c r="A1198" s="25"/>
      <c r="B1198" s="25"/>
      <c r="C1198" s="27"/>
      <c r="D1198" s="28"/>
      <c r="E1198" s="28"/>
      <c r="F1198" s="25"/>
      <c r="G1198" s="25"/>
      <c r="H1198" s="25"/>
      <c r="I1198" s="25"/>
      <c r="J1198" s="25"/>
      <c r="K1198" s="25"/>
      <c r="L1198" s="25"/>
      <c r="M1198" s="25"/>
      <c r="N1198" s="25"/>
      <c r="O1198" s="25"/>
      <c r="P1198" s="25"/>
      <c r="Q1198" s="25"/>
      <c r="R1198" s="25"/>
      <c r="S1198" s="25"/>
      <c r="T1198" s="25"/>
      <c r="U1198" s="25"/>
      <c r="V1198" s="25"/>
      <c r="W1198" s="25"/>
      <c r="X1198" s="25"/>
      <c r="Y1198" s="25"/>
      <c r="Z1198" s="25"/>
      <c r="AA1198" s="25"/>
      <c r="AB1198" s="25"/>
      <c r="AC1198" s="25"/>
      <c r="AD1198" s="25"/>
      <c r="AE1198" s="25"/>
      <c r="AF1198" s="25"/>
      <c r="AG1198" s="25"/>
      <c r="AH1198" s="25"/>
      <c r="AI1198" s="25"/>
      <c r="AJ1198" s="25"/>
      <c r="AK1198" s="25"/>
      <c r="AL1198" s="25"/>
      <c r="AM1198" s="25"/>
      <c r="AN1198" s="25"/>
      <c r="AO1198" s="25"/>
      <c r="AP1198" s="25"/>
      <c r="AQ1198" s="25"/>
      <c r="AR1198" s="25"/>
      <c r="AS1198" s="25"/>
      <c r="AT1198" s="25"/>
      <c r="AU1198" s="25"/>
      <c r="AV1198" s="25"/>
      <c r="AW1198" s="25"/>
      <c r="AX1198" s="25"/>
    </row>
    <row r="1199" ht="15.75" customHeight="1">
      <c r="A1199" s="25"/>
      <c r="B1199" s="25"/>
      <c r="C1199" s="27"/>
      <c r="D1199" s="28"/>
      <c r="E1199" s="28"/>
      <c r="F1199" s="25"/>
      <c r="G1199" s="25"/>
      <c r="H1199" s="25"/>
      <c r="I1199" s="25"/>
      <c r="J1199" s="25"/>
      <c r="K1199" s="25"/>
      <c r="L1199" s="25"/>
      <c r="M1199" s="25"/>
      <c r="N1199" s="25"/>
      <c r="O1199" s="25"/>
      <c r="P1199" s="25"/>
      <c r="Q1199" s="25"/>
      <c r="R1199" s="25"/>
      <c r="S1199" s="25"/>
      <c r="T1199" s="25"/>
      <c r="U1199" s="25"/>
      <c r="V1199" s="25"/>
      <c r="W1199" s="25"/>
      <c r="X1199" s="25"/>
      <c r="Y1199" s="25"/>
      <c r="Z1199" s="25"/>
      <c r="AA1199" s="25"/>
      <c r="AB1199" s="25"/>
      <c r="AC1199" s="25"/>
      <c r="AD1199" s="25"/>
      <c r="AE1199" s="25"/>
      <c r="AF1199" s="25"/>
      <c r="AG1199" s="25"/>
      <c r="AH1199" s="25"/>
      <c r="AI1199" s="25"/>
      <c r="AJ1199" s="25"/>
      <c r="AK1199" s="25"/>
      <c r="AL1199" s="25"/>
      <c r="AM1199" s="25"/>
      <c r="AN1199" s="25"/>
      <c r="AO1199" s="25"/>
      <c r="AP1199" s="25"/>
      <c r="AQ1199" s="25"/>
      <c r="AR1199" s="25"/>
      <c r="AS1199" s="25"/>
      <c r="AT1199" s="25"/>
      <c r="AU1199" s="25"/>
      <c r="AV1199" s="25"/>
      <c r="AW1199" s="25"/>
      <c r="AX1199" s="25"/>
    </row>
    <row r="1200" ht="15.75" customHeight="1">
      <c r="A1200" s="25"/>
      <c r="B1200" s="25"/>
      <c r="C1200" s="27"/>
      <c r="D1200" s="28"/>
      <c r="E1200" s="28"/>
      <c r="F1200" s="25"/>
      <c r="G1200" s="25"/>
      <c r="H1200" s="25"/>
      <c r="I1200" s="25"/>
      <c r="J1200" s="25"/>
      <c r="K1200" s="25"/>
      <c r="L1200" s="25"/>
      <c r="M1200" s="25"/>
      <c r="N1200" s="25"/>
      <c r="O1200" s="25"/>
      <c r="P1200" s="25"/>
      <c r="Q1200" s="25"/>
      <c r="R1200" s="25"/>
      <c r="S1200" s="25"/>
      <c r="T1200" s="25"/>
      <c r="U1200" s="25"/>
      <c r="V1200" s="25"/>
      <c r="W1200" s="25"/>
      <c r="X1200" s="25"/>
      <c r="Y1200" s="25"/>
      <c r="Z1200" s="25"/>
      <c r="AA1200" s="25"/>
      <c r="AB1200" s="25"/>
      <c r="AC1200" s="25"/>
      <c r="AD1200" s="25"/>
      <c r="AE1200" s="25"/>
      <c r="AF1200" s="25"/>
      <c r="AG1200" s="25"/>
      <c r="AH1200" s="25"/>
      <c r="AI1200" s="25"/>
      <c r="AJ1200" s="25"/>
      <c r="AK1200" s="25"/>
      <c r="AL1200" s="25"/>
      <c r="AM1200" s="25"/>
      <c r="AN1200" s="25"/>
      <c r="AO1200" s="25"/>
      <c r="AP1200" s="25"/>
      <c r="AQ1200" s="25"/>
      <c r="AR1200" s="25"/>
      <c r="AS1200" s="25"/>
      <c r="AT1200" s="25"/>
      <c r="AU1200" s="25"/>
      <c r="AV1200" s="25"/>
      <c r="AW1200" s="25"/>
      <c r="AX1200" s="25"/>
    </row>
    <row r="1201" ht="15.75" customHeight="1">
      <c r="A1201" s="25"/>
      <c r="B1201" s="25"/>
      <c r="C1201" s="27"/>
      <c r="D1201" s="28"/>
      <c r="E1201" s="28"/>
      <c r="F1201" s="25"/>
      <c r="G1201" s="25"/>
      <c r="H1201" s="25"/>
      <c r="I1201" s="25"/>
      <c r="J1201" s="25"/>
      <c r="K1201" s="25"/>
      <c r="L1201" s="25"/>
      <c r="M1201" s="25"/>
      <c r="N1201" s="25"/>
      <c r="O1201" s="25"/>
      <c r="P1201" s="25"/>
      <c r="Q1201" s="25"/>
      <c r="R1201" s="25"/>
      <c r="S1201" s="25"/>
      <c r="T1201" s="25"/>
      <c r="U1201" s="25"/>
      <c r="V1201" s="25"/>
      <c r="W1201" s="25"/>
      <c r="X1201" s="25"/>
      <c r="Y1201" s="25"/>
      <c r="Z1201" s="25"/>
      <c r="AA1201" s="25"/>
      <c r="AB1201" s="25"/>
      <c r="AC1201" s="25"/>
      <c r="AD1201" s="25"/>
      <c r="AE1201" s="25"/>
      <c r="AF1201" s="25"/>
      <c r="AG1201" s="25"/>
      <c r="AH1201" s="25"/>
      <c r="AI1201" s="25"/>
      <c r="AJ1201" s="25"/>
      <c r="AK1201" s="25"/>
      <c r="AL1201" s="25"/>
      <c r="AM1201" s="25"/>
      <c r="AN1201" s="25"/>
      <c r="AO1201" s="25"/>
      <c r="AP1201" s="25"/>
      <c r="AQ1201" s="25"/>
      <c r="AR1201" s="25"/>
      <c r="AS1201" s="25"/>
      <c r="AT1201" s="25"/>
      <c r="AU1201" s="25"/>
      <c r="AV1201" s="25"/>
      <c r="AW1201" s="25"/>
      <c r="AX1201" s="25"/>
    </row>
    <row r="1202" ht="15.75" customHeight="1">
      <c r="A1202" s="25"/>
      <c r="B1202" s="25"/>
      <c r="C1202" s="27"/>
      <c r="D1202" s="28"/>
      <c r="E1202" s="28"/>
      <c r="F1202" s="25"/>
      <c r="G1202" s="25"/>
      <c r="H1202" s="25"/>
      <c r="I1202" s="25"/>
      <c r="J1202" s="25"/>
      <c r="K1202" s="25"/>
      <c r="L1202" s="25"/>
      <c r="M1202" s="25"/>
      <c r="N1202" s="25"/>
      <c r="O1202" s="25"/>
      <c r="P1202" s="25"/>
      <c r="Q1202" s="25"/>
      <c r="R1202" s="25"/>
      <c r="S1202" s="25"/>
      <c r="T1202" s="25"/>
      <c r="U1202" s="25"/>
      <c r="V1202" s="25"/>
      <c r="W1202" s="25"/>
      <c r="X1202" s="25"/>
      <c r="Y1202" s="25"/>
      <c r="Z1202" s="25"/>
      <c r="AA1202" s="25"/>
      <c r="AB1202" s="25"/>
      <c r="AC1202" s="25"/>
      <c r="AD1202" s="25"/>
      <c r="AE1202" s="25"/>
      <c r="AF1202" s="25"/>
      <c r="AG1202" s="25"/>
      <c r="AH1202" s="25"/>
      <c r="AI1202" s="25"/>
      <c r="AJ1202" s="25"/>
      <c r="AK1202" s="25"/>
      <c r="AL1202" s="25"/>
      <c r="AM1202" s="25"/>
      <c r="AN1202" s="25"/>
      <c r="AO1202" s="25"/>
      <c r="AP1202" s="25"/>
      <c r="AQ1202" s="25"/>
      <c r="AR1202" s="25"/>
      <c r="AS1202" s="25"/>
      <c r="AT1202" s="25"/>
      <c r="AU1202" s="25"/>
      <c r="AV1202" s="25"/>
      <c r="AW1202" s="25"/>
      <c r="AX1202" s="25"/>
    </row>
    <row r="1203" ht="15.75" customHeight="1">
      <c r="A1203" s="25"/>
      <c r="B1203" s="25"/>
      <c r="C1203" s="27"/>
      <c r="D1203" s="28"/>
      <c r="E1203" s="28"/>
      <c r="F1203" s="25"/>
      <c r="G1203" s="25"/>
      <c r="H1203" s="25"/>
      <c r="I1203" s="25"/>
      <c r="J1203" s="25"/>
      <c r="K1203" s="25"/>
      <c r="L1203" s="25"/>
      <c r="M1203" s="25"/>
      <c r="N1203" s="25"/>
      <c r="O1203" s="25"/>
      <c r="P1203" s="25"/>
      <c r="Q1203" s="25"/>
      <c r="R1203" s="25"/>
      <c r="S1203" s="25"/>
      <c r="T1203" s="25"/>
      <c r="U1203" s="25"/>
      <c r="V1203" s="25"/>
      <c r="W1203" s="25"/>
      <c r="X1203" s="25"/>
      <c r="Y1203" s="25"/>
      <c r="Z1203" s="25"/>
      <c r="AA1203" s="25"/>
      <c r="AB1203" s="25"/>
      <c r="AC1203" s="25"/>
      <c r="AD1203" s="25"/>
      <c r="AE1203" s="25"/>
      <c r="AF1203" s="25"/>
      <c r="AG1203" s="25"/>
      <c r="AH1203" s="25"/>
      <c r="AI1203" s="25"/>
      <c r="AJ1203" s="25"/>
      <c r="AK1203" s="25"/>
      <c r="AL1203" s="25"/>
      <c r="AM1203" s="25"/>
      <c r="AN1203" s="25"/>
      <c r="AO1203" s="25"/>
      <c r="AP1203" s="25"/>
      <c r="AQ1203" s="25"/>
      <c r="AR1203" s="25"/>
      <c r="AS1203" s="25"/>
      <c r="AT1203" s="25"/>
      <c r="AU1203" s="25"/>
      <c r="AV1203" s="25"/>
      <c r="AW1203" s="25"/>
      <c r="AX1203" s="25"/>
    </row>
    <row r="1204" ht="15.75" customHeight="1">
      <c r="A1204" s="25"/>
      <c r="B1204" s="25"/>
      <c r="C1204" s="27"/>
      <c r="D1204" s="28"/>
      <c r="E1204" s="28"/>
      <c r="F1204" s="25"/>
      <c r="G1204" s="25"/>
      <c r="H1204" s="25"/>
      <c r="I1204" s="25"/>
      <c r="J1204" s="25"/>
      <c r="K1204" s="25"/>
      <c r="L1204" s="25"/>
      <c r="M1204" s="25"/>
      <c r="N1204" s="25"/>
      <c r="O1204" s="25"/>
      <c r="P1204" s="25"/>
      <c r="Q1204" s="25"/>
      <c r="R1204" s="25"/>
      <c r="S1204" s="25"/>
      <c r="T1204" s="25"/>
      <c r="U1204" s="25"/>
      <c r="V1204" s="25"/>
      <c r="W1204" s="25"/>
      <c r="X1204" s="25"/>
      <c r="Y1204" s="25"/>
      <c r="Z1204" s="25"/>
      <c r="AA1204" s="25"/>
      <c r="AB1204" s="25"/>
      <c r="AC1204" s="25"/>
      <c r="AD1204" s="25"/>
      <c r="AE1204" s="25"/>
      <c r="AF1204" s="25"/>
      <c r="AG1204" s="25"/>
      <c r="AH1204" s="25"/>
      <c r="AI1204" s="25"/>
      <c r="AJ1204" s="25"/>
      <c r="AK1204" s="25"/>
      <c r="AL1204" s="25"/>
      <c r="AM1204" s="25"/>
      <c r="AN1204" s="25"/>
      <c r="AO1204" s="25"/>
      <c r="AP1204" s="25"/>
      <c r="AQ1204" s="25"/>
      <c r="AR1204" s="25"/>
      <c r="AS1204" s="25"/>
      <c r="AT1204" s="25"/>
      <c r="AU1204" s="25"/>
      <c r="AV1204" s="25"/>
      <c r="AW1204" s="25"/>
      <c r="AX1204" s="25"/>
    </row>
    <row r="1205" ht="15.75" customHeight="1">
      <c r="A1205" s="25"/>
      <c r="B1205" s="25"/>
      <c r="C1205" s="27"/>
      <c r="D1205" s="28"/>
      <c r="E1205" s="28"/>
      <c r="F1205" s="25"/>
      <c r="G1205" s="25"/>
      <c r="H1205" s="25"/>
      <c r="I1205" s="25"/>
      <c r="J1205" s="25"/>
      <c r="K1205" s="25"/>
      <c r="L1205" s="25"/>
      <c r="M1205" s="25"/>
      <c r="N1205" s="25"/>
      <c r="O1205" s="25"/>
      <c r="P1205" s="25"/>
      <c r="Q1205" s="25"/>
      <c r="R1205" s="25"/>
      <c r="S1205" s="25"/>
      <c r="T1205" s="25"/>
      <c r="U1205" s="25"/>
      <c r="V1205" s="25"/>
      <c r="W1205" s="25"/>
      <c r="X1205" s="25"/>
      <c r="Y1205" s="25"/>
      <c r="Z1205" s="25"/>
      <c r="AA1205" s="25"/>
      <c r="AB1205" s="25"/>
      <c r="AC1205" s="25"/>
      <c r="AD1205" s="25"/>
      <c r="AE1205" s="25"/>
      <c r="AF1205" s="25"/>
      <c r="AG1205" s="25"/>
      <c r="AH1205" s="25"/>
      <c r="AI1205" s="25"/>
      <c r="AJ1205" s="25"/>
      <c r="AK1205" s="25"/>
      <c r="AL1205" s="25"/>
      <c r="AM1205" s="25"/>
      <c r="AN1205" s="25"/>
      <c r="AO1205" s="25"/>
      <c r="AP1205" s="25"/>
      <c r="AQ1205" s="25"/>
      <c r="AR1205" s="25"/>
      <c r="AS1205" s="25"/>
      <c r="AT1205" s="25"/>
      <c r="AU1205" s="25"/>
      <c r="AV1205" s="25"/>
      <c r="AW1205" s="25"/>
      <c r="AX1205" s="25"/>
    </row>
    <row r="1206" ht="15.75" customHeight="1">
      <c r="A1206" s="25"/>
      <c r="B1206" s="25"/>
      <c r="C1206" s="27"/>
      <c r="D1206" s="28"/>
      <c r="E1206" s="28"/>
      <c r="F1206" s="25"/>
      <c r="G1206" s="25"/>
      <c r="H1206" s="25"/>
      <c r="I1206" s="25"/>
      <c r="J1206" s="25"/>
      <c r="K1206" s="25"/>
      <c r="L1206" s="25"/>
      <c r="M1206" s="25"/>
      <c r="N1206" s="25"/>
      <c r="O1206" s="25"/>
      <c r="P1206" s="25"/>
      <c r="Q1206" s="25"/>
      <c r="R1206" s="25"/>
      <c r="S1206" s="25"/>
      <c r="T1206" s="25"/>
      <c r="U1206" s="25"/>
      <c r="V1206" s="25"/>
      <c r="W1206" s="25"/>
      <c r="X1206" s="25"/>
      <c r="Y1206" s="25"/>
      <c r="Z1206" s="25"/>
      <c r="AA1206" s="25"/>
      <c r="AB1206" s="25"/>
      <c r="AC1206" s="25"/>
      <c r="AD1206" s="25"/>
      <c r="AE1206" s="25"/>
      <c r="AF1206" s="25"/>
      <c r="AG1206" s="25"/>
      <c r="AH1206" s="25"/>
      <c r="AI1206" s="25"/>
      <c r="AJ1206" s="25"/>
      <c r="AK1206" s="25"/>
      <c r="AL1206" s="25"/>
      <c r="AM1206" s="25"/>
      <c r="AN1206" s="25"/>
      <c r="AO1206" s="25"/>
      <c r="AP1206" s="25"/>
      <c r="AQ1206" s="25"/>
      <c r="AR1206" s="25"/>
      <c r="AS1206" s="25"/>
      <c r="AT1206" s="25"/>
      <c r="AU1206" s="25"/>
      <c r="AV1206" s="25"/>
      <c r="AW1206" s="25"/>
      <c r="AX1206" s="25"/>
    </row>
    <row r="1207" ht="15.75" customHeight="1">
      <c r="A1207" s="25"/>
      <c r="B1207" s="25"/>
      <c r="C1207" s="27"/>
      <c r="D1207" s="28"/>
      <c r="E1207" s="28"/>
      <c r="F1207" s="25"/>
      <c r="G1207" s="25"/>
      <c r="H1207" s="25"/>
      <c r="I1207" s="25"/>
      <c r="J1207" s="25"/>
      <c r="K1207" s="25"/>
      <c r="L1207" s="25"/>
      <c r="M1207" s="25"/>
      <c r="N1207" s="25"/>
      <c r="O1207" s="25"/>
      <c r="P1207" s="25"/>
      <c r="Q1207" s="25"/>
      <c r="R1207" s="25"/>
      <c r="S1207" s="25"/>
      <c r="T1207" s="25"/>
      <c r="U1207" s="25"/>
      <c r="V1207" s="25"/>
      <c r="W1207" s="25"/>
      <c r="X1207" s="25"/>
      <c r="Y1207" s="25"/>
      <c r="Z1207" s="25"/>
      <c r="AA1207" s="25"/>
      <c r="AB1207" s="25"/>
      <c r="AC1207" s="25"/>
      <c r="AD1207" s="25"/>
      <c r="AE1207" s="25"/>
      <c r="AF1207" s="25"/>
      <c r="AG1207" s="25"/>
      <c r="AH1207" s="25"/>
      <c r="AI1207" s="25"/>
      <c r="AJ1207" s="25"/>
      <c r="AK1207" s="25"/>
      <c r="AL1207" s="25"/>
      <c r="AM1207" s="25"/>
      <c r="AN1207" s="25"/>
      <c r="AO1207" s="25"/>
      <c r="AP1207" s="25"/>
      <c r="AQ1207" s="25"/>
      <c r="AR1207" s="25"/>
      <c r="AS1207" s="25"/>
      <c r="AT1207" s="25"/>
      <c r="AU1207" s="25"/>
      <c r="AV1207" s="25"/>
      <c r="AW1207" s="25"/>
      <c r="AX1207" s="25"/>
    </row>
    <row r="1208" ht="15.75" customHeight="1">
      <c r="A1208" s="25"/>
      <c r="B1208" s="25"/>
      <c r="C1208" s="27"/>
      <c r="D1208" s="28"/>
      <c r="E1208" s="28"/>
      <c r="F1208" s="25"/>
      <c r="G1208" s="25"/>
      <c r="H1208" s="25"/>
      <c r="I1208" s="25"/>
      <c r="J1208" s="25"/>
      <c r="K1208" s="25"/>
      <c r="L1208" s="25"/>
      <c r="M1208" s="25"/>
      <c r="N1208" s="25"/>
      <c r="O1208" s="25"/>
      <c r="P1208" s="25"/>
      <c r="Q1208" s="25"/>
      <c r="R1208" s="25"/>
      <c r="S1208" s="25"/>
      <c r="T1208" s="25"/>
      <c r="U1208" s="25"/>
      <c r="V1208" s="25"/>
      <c r="W1208" s="25"/>
      <c r="X1208" s="25"/>
      <c r="Y1208" s="25"/>
      <c r="Z1208" s="25"/>
      <c r="AA1208" s="25"/>
      <c r="AB1208" s="25"/>
      <c r="AC1208" s="25"/>
      <c r="AD1208" s="25"/>
      <c r="AE1208" s="25"/>
      <c r="AF1208" s="25"/>
      <c r="AG1208" s="25"/>
      <c r="AH1208" s="25"/>
      <c r="AI1208" s="25"/>
      <c r="AJ1208" s="25"/>
      <c r="AK1208" s="25"/>
      <c r="AL1208" s="25"/>
      <c r="AM1208" s="25"/>
      <c r="AN1208" s="25"/>
      <c r="AO1208" s="25"/>
      <c r="AP1208" s="25"/>
      <c r="AQ1208" s="25"/>
      <c r="AR1208" s="25"/>
      <c r="AS1208" s="25"/>
      <c r="AT1208" s="25"/>
      <c r="AU1208" s="25"/>
      <c r="AV1208" s="25"/>
      <c r="AW1208" s="25"/>
      <c r="AX1208" s="25"/>
    </row>
    <row r="1209" ht="15.75" customHeight="1">
      <c r="A1209" s="25"/>
      <c r="B1209" s="25"/>
      <c r="C1209" s="27"/>
      <c r="D1209" s="28"/>
      <c r="E1209" s="28"/>
      <c r="F1209" s="25"/>
      <c r="G1209" s="25"/>
      <c r="H1209" s="25"/>
      <c r="I1209" s="25"/>
      <c r="J1209" s="25"/>
      <c r="K1209" s="25"/>
      <c r="L1209" s="25"/>
      <c r="M1209" s="25"/>
      <c r="N1209" s="25"/>
      <c r="O1209" s="25"/>
      <c r="P1209" s="25"/>
      <c r="Q1209" s="25"/>
      <c r="R1209" s="25"/>
      <c r="S1209" s="25"/>
      <c r="T1209" s="25"/>
      <c r="U1209" s="25"/>
      <c r="V1209" s="25"/>
      <c r="W1209" s="25"/>
      <c r="X1209" s="25"/>
      <c r="Y1209" s="25"/>
      <c r="Z1209" s="25"/>
      <c r="AA1209" s="25"/>
      <c r="AB1209" s="25"/>
      <c r="AC1209" s="25"/>
      <c r="AD1209" s="25"/>
      <c r="AE1209" s="25"/>
      <c r="AF1209" s="25"/>
      <c r="AG1209" s="25"/>
      <c r="AH1209" s="25"/>
      <c r="AI1209" s="25"/>
      <c r="AJ1209" s="25"/>
      <c r="AK1209" s="25"/>
      <c r="AL1209" s="25"/>
      <c r="AM1209" s="25"/>
      <c r="AN1209" s="25"/>
      <c r="AO1209" s="25"/>
      <c r="AP1209" s="25"/>
      <c r="AQ1209" s="25"/>
      <c r="AR1209" s="25"/>
      <c r="AS1209" s="25"/>
      <c r="AT1209" s="25"/>
      <c r="AU1209" s="25"/>
      <c r="AV1209" s="25"/>
      <c r="AW1209" s="25"/>
      <c r="AX1209" s="25"/>
    </row>
    <row r="1210" ht="15.75" customHeight="1">
      <c r="A1210" s="25"/>
      <c r="B1210" s="25"/>
      <c r="C1210" s="27"/>
      <c r="D1210" s="28"/>
      <c r="E1210" s="28"/>
      <c r="F1210" s="25"/>
      <c r="G1210" s="25"/>
      <c r="H1210" s="25"/>
      <c r="I1210" s="25"/>
      <c r="J1210" s="25"/>
      <c r="K1210" s="25"/>
      <c r="L1210" s="25"/>
      <c r="M1210" s="25"/>
      <c r="N1210" s="25"/>
      <c r="O1210" s="25"/>
      <c r="P1210" s="25"/>
      <c r="Q1210" s="25"/>
      <c r="R1210" s="25"/>
      <c r="S1210" s="25"/>
      <c r="T1210" s="25"/>
      <c r="U1210" s="25"/>
      <c r="V1210" s="25"/>
      <c r="W1210" s="25"/>
      <c r="X1210" s="25"/>
      <c r="Y1210" s="25"/>
      <c r="Z1210" s="25"/>
      <c r="AA1210" s="25"/>
      <c r="AB1210" s="25"/>
      <c r="AC1210" s="25"/>
      <c r="AD1210" s="25"/>
      <c r="AE1210" s="25"/>
      <c r="AF1210" s="25"/>
      <c r="AG1210" s="25"/>
      <c r="AH1210" s="25"/>
      <c r="AI1210" s="25"/>
      <c r="AJ1210" s="25"/>
      <c r="AK1210" s="25"/>
      <c r="AL1210" s="25"/>
      <c r="AM1210" s="25"/>
      <c r="AN1210" s="25"/>
      <c r="AO1210" s="25"/>
      <c r="AP1210" s="25"/>
      <c r="AQ1210" s="25"/>
      <c r="AR1210" s="25"/>
      <c r="AS1210" s="25"/>
      <c r="AT1210" s="25"/>
      <c r="AU1210" s="25"/>
      <c r="AV1210" s="25"/>
      <c r="AW1210" s="25"/>
      <c r="AX1210" s="25"/>
    </row>
    <row r="1211" ht="15.75" customHeight="1">
      <c r="A1211" s="25"/>
      <c r="B1211" s="25"/>
      <c r="C1211" s="27"/>
      <c r="D1211" s="28"/>
      <c r="E1211" s="28"/>
      <c r="F1211" s="25"/>
      <c r="G1211" s="25"/>
      <c r="H1211" s="25"/>
      <c r="I1211" s="25"/>
      <c r="J1211" s="25"/>
      <c r="K1211" s="25"/>
      <c r="L1211" s="25"/>
      <c r="M1211" s="25"/>
      <c r="N1211" s="25"/>
      <c r="O1211" s="25"/>
      <c r="P1211" s="25"/>
      <c r="Q1211" s="25"/>
      <c r="R1211" s="25"/>
      <c r="S1211" s="25"/>
      <c r="T1211" s="25"/>
      <c r="U1211" s="25"/>
      <c r="V1211" s="25"/>
      <c r="W1211" s="25"/>
      <c r="X1211" s="25"/>
      <c r="Y1211" s="25"/>
      <c r="Z1211" s="25"/>
      <c r="AA1211" s="25"/>
      <c r="AB1211" s="25"/>
      <c r="AC1211" s="25"/>
      <c r="AD1211" s="25"/>
      <c r="AE1211" s="25"/>
      <c r="AF1211" s="25"/>
      <c r="AG1211" s="25"/>
      <c r="AH1211" s="25"/>
      <c r="AI1211" s="25"/>
      <c r="AJ1211" s="25"/>
      <c r="AK1211" s="25"/>
      <c r="AL1211" s="25"/>
      <c r="AM1211" s="25"/>
      <c r="AN1211" s="25"/>
      <c r="AO1211" s="25"/>
      <c r="AP1211" s="25"/>
      <c r="AQ1211" s="25"/>
      <c r="AR1211" s="25"/>
      <c r="AS1211" s="25"/>
      <c r="AT1211" s="25"/>
      <c r="AU1211" s="25"/>
      <c r="AV1211" s="25"/>
      <c r="AW1211" s="25"/>
      <c r="AX1211" s="25"/>
    </row>
    <row r="1212" ht="15.75" customHeight="1">
      <c r="A1212" s="25"/>
      <c r="B1212" s="25"/>
      <c r="C1212" s="27"/>
      <c r="D1212" s="28"/>
      <c r="E1212" s="28"/>
      <c r="F1212" s="25"/>
      <c r="G1212" s="25"/>
      <c r="H1212" s="25"/>
      <c r="I1212" s="25"/>
      <c r="J1212" s="25"/>
      <c r="K1212" s="25"/>
      <c r="L1212" s="25"/>
      <c r="M1212" s="25"/>
      <c r="N1212" s="25"/>
      <c r="O1212" s="25"/>
      <c r="P1212" s="25"/>
      <c r="Q1212" s="25"/>
      <c r="R1212" s="25"/>
      <c r="S1212" s="25"/>
      <c r="T1212" s="25"/>
      <c r="U1212" s="25"/>
      <c r="V1212" s="25"/>
      <c r="W1212" s="25"/>
      <c r="X1212" s="25"/>
      <c r="Y1212" s="25"/>
      <c r="Z1212" s="25"/>
      <c r="AA1212" s="25"/>
      <c r="AB1212" s="25"/>
      <c r="AC1212" s="25"/>
      <c r="AD1212" s="25"/>
      <c r="AE1212" s="25"/>
      <c r="AF1212" s="25"/>
      <c r="AG1212" s="25"/>
      <c r="AH1212" s="25"/>
      <c r="AI1212" s="25"/>
      <c r="AJ1212" s="25"/>
      <c r="AK1212" s="25"/>
      <c r="AL1212" s="25"/>
      <c r="AM1212" s="25"/>
      <c r="AN1212" s="25"/>
      <c r="AO1212" s="25"/>
      <c r="AP1212" s="25"/>
      <c r="AQ1212" s="25"/>
      <c r="AR1212" s="25"/>
      <c r="AS1212" s="25"/>
      <c r="AT1212" s="25"/>
      <c r="AU1212" s="25"/>
      <c r="AV1212" s="25"/>
      <c r="AW1212" s="25"/>
      <c r="AX1212" s="25"/>
    </row>
    <row r="1213" ht="15.75" customHeight="1">
      <c r="A1213" s="25"/>
      <c r="B1213" s="25"/>
      <c r="C1213" s="27"/>
      <c r="D1213" s="28"/>
      <c r="E1213" s="28"/>
      <c r="F1213" s="25"/>
      <c r="G1213" s="25"/>
      <c r="H1213" s="25"/>
      <c r="I1213" s="25"/>
      <c r="J1213" s="25"/>
      <c r="K1213" s="25"/>
      <c r="L1213" s="25"/>
      <c r="M1213" s="25"/>
      <c r="N1213" s="25"/>
      <c r="O1213" s="25"/>
      <c r="P1213" s="25"/>
      <c r="Q1213" s="25"/>
      <c r="R1213" s="25"/>
      <c r="S1213" s="25"/>
      <c r="T1213" s="25"/>
      <c r="U1213" s="25"/>
      <c r="V1213" s="25"/>
      <c r="W1213" s="25"/>
      <c r="X1213" s="25"/>
      <c r="Y1213" s="25"/>
      <c r="Z1213" s="25"/>
      <c r="AA1213" s="25"/>
      <c r="AB1213" s="25"/>
      <c r="AC1213" s="25"/>
      <c r="AD1213" s="25"/>
      <c r="AE1213" s="25"/>
      <c r="AF1213" s="25"/>
      <c r="AG1213" s="25"/>
      <c r="AH1213" s="25"/>
      <c r="AI1213" s="25"/>
      <c r="AJ1213" s="25"/>
      <c r="AK1213" s="25"/>
      <c r="AL1213" s="25"/>
      <c r="AM1213" s="25"/>
      <c r="AN1213" s="25"/>
      <c r="AO1213" s="25"/>
      <c r="AP1213" s="25"/>
      <c r="AQ1213" s="25"/>
      <c r="AR1213" s="25"/>
      <c r="AS1213" s="25"/>
      <c r="AT1213" s="25"/>
      <c r="AU1213" s="25"/>
      <c r="AV1213" s="25"/>
      <c r="AW1213" s="25"/>
      <c r="AX1213" s="25"/>
    </row>
    <row r="1214" ht="15.75" customHeight="1">
      <c r="A1214" s="25"/>
      <c r="B1214" s="25"/>
      <c r="C1214" s="27"/>
      <c r="D1214" s="28"/>
      <c r="E1214" s="28"/>
      <c r="F1214" s="25"/>
      <c r="G1214" s="25"/>
      <c r="H1214" s="25"/>
      <c r="I1214" s="25"/>
      <c r="J1214" s="25"/>
      <c r="K1214" s="25"/>
      <c r="L1214" s="25"/>
      <c r="M1214" s="25"/>
      <c r="N1214" s="25"/>
      <c r="O1214" s="25"/>
      <c r="P1214" s="25"/>
      <c r="Q1214" s="25"/>
      <c r="R1214" s="25"/>
      <c r="S1214" s="25"/>
      <c r="T1214" s="25"/>
      <c r="U1214" s="25"/>
      <c r="V1214" s="25"/>
      <c r="W1214" s="25"/>
      <c r="X1214" s="25"/>
      <c r="Y1214" s="25"/>
      <c r="Z1214" s="25"/>
      <c r="AA1214" s="25"/>
      <c r="AB1214" s="25"/>
      <c r="AC1214" s="25"/>
      <c r="AD1214" s="25"/>
      <c r="AE1214" s="25"/>
      <c r="AF1214" s="25"/>
      <c r="AG1214" s="25"/>
      <c r="AH1214" s="25"/>
      <c r="AI1214" s="25"/>
      <c r="AJ1214" s="25"/>
      <c r="AK1214" s="25"/>
      <c r="AL1214" s="25"/>
      <c r="AM1214" s="25"/>
      <c r="AN1214" s="25"/>
      <c r="AO1214" s="25"/>
      <c r="AP1214" s="25"/>
      <c r="AQ1214" s="25"/>
      <c r="AR1214" s="25"/>
      <c r="AS1214" s="25"/>
      <c r="AT1214" s="25"/>
      <c r="AU1214" s="25"/>
      <c r="AV1214" s="25"/>
      <c r="AW1214" s="25"/>
      <c r="AX1214" s="25"/>
    </row>
    <row r="1215" ht="15.75" customHeight="1">
      <c r="A1215" s="25"/>
      <c r="B1215" s="25"/>
      <c r="C1215" s="27"/>
      <c r="D1215" s="28"/>
      <c r="E1215" s="28"/>
      <c r="F1215" s="25"/>
      <c r="G1215" s="25"/>
      <c r="H1215" s="25"/>
      <c r="I1215" s="25"/>
      <c r="J1215" s="25"/>
      <c r="K1215" s="25"/>
      <c r="L1215" s="25"/>
      <c r="M1215" s="25"/>
      <c r="N1215" s="25"/>
      <c r="O1215" s="25"/>
      <c r="P1215" s="25"/>
      <c r="Q1215" s="25"/>
      <c r="R1215" s="25"/>
      <c r="S1215" s="25"/>
      <c r="T1215" s="25"/>
      <c r="U1215" s="25"/>
      <c r="V1215" s="25"/>
      <c r="W1215" s="25"/>
      <c r="X1215" s="25"/>
      <c r="Y1215" s="25"/>
      <c r="Z1215" s="25"/>
      <c r="AA1215" s="25"/>
      <c r="AB1215" s="25"/>
      <c r="AC1215" s="25"/>
      <c r="AD1215" s="25"/>
      <c r="AE1215" s="25"/>
      <c r="AF1215" s="25"/>
      <c r="AG1215" s="25"/>
      <c r="AH1215" s="25"/>
      <c r="AI1215" s="25"/>
      <c r="AJ1215" s="25"/>
      <c r="AK1215" s="25"/>
      <c r="AL1215" s="25"/>
      <c r="AM1215" s="25"/>
      <c r="AN1215" s="25"/>
      <c r="AO1215" s="25"/>
      <c r="AP1215" s="25"/>
      <c r="AQ1215" s="25"/>
      <c r="AR1215" s="25"/>
      <c r="AS1215" s="25"/>
      <c r="AT1215" s="25"/>
      <c r="AU1215" s="25"/>
      <c r="AV1215" s="25"/>
      <c r="AW1215" s="25"/>
      <c r="AX1215" s="25"/>
    </row>
    <row r="1216" ht="15.75" customHeight="1">
      <c r="A1216" s="25"/>
      <c r="B1216" s="25"/>
      <c r="C1216" s="27"/>
      <c r="D1216" s="28"/>
      <c r="E1216" s="28"/>
      <c r="F1216" s="25"/>
      <c r="G1216" s="25"/>
      <c r="H1216" s="25"/>
      <c r="I1216" s="25"/>
      <c r="J1216" s="25"/>
      <c r="K1216" s="25"/>
      <c r="L1216" s="25"/>
      <c r="M1216" s="25"/>
      <c r="N1216" s="25"/>
      <c r="O1216" s="25"/>
      <c r="P1216" s="25"/>
      <c r="Q1216" s="25"/>
      <c r="R1216" s="25"/>
      <c r="S1216" s="25"/>
      <c r="T1216" s="25"/>
      <c r="U1216" s="25"/>
      <c r="V1216" s="25"/>
      <c r="W1216" s="25"/>
      <c r="X1216" s="25"/>
      <c r="Y1216" s="25"/>
      <c r="Z1216" s="25"/>
      <c r="AA1216" s="25"/>
      <c r="AB1216" s="25"/>
      <c r="AC1216" s="25"/>
      <c r="AD1216" s="25"/>
      <c r="AE1216" s="25"/>
      <c r="AF1216" s="25"/>
      <c r="AG1216" s="25"/>
      <c r="AH1216" s="25"/>
      <c r="AI1216" s="25"/>
      <c r="AJ1216" s="25"/>
      <c r="AK1216" s="25"/>
      <c r="AL1216" s="25"/>
      <c r="AM1216" s="25"/>
      <c r="AN1216" s="25"/>
      <c r="AO1216" s="25"/>
      <c r="AP1216" s="25"/>
      <c r="AQ1216" s="25"/>
      <c r="AR1216" s="25"/>
      <c r="AS1216" s="25"/>
      <c r="AT1216" s="25"/>
      <c r="AU1216" s="25"/>
      <c r="AV1216" s="25"/>
      <c r="AW1216" s="25"/>
      <c r="AX1216" s="25"/>
    </row>
    <row r="1217" ht="15.75" customHeight="1">
      <c r="A1217" s="25"/>
      <c r="B1217" s="25"/>
      <c r="C1217" s="27"/>
      <c r="D1217" s="28"/>
      <c r="E1217" s="28"/>
      <c r="F1217" s="25"/>
      <c r="G1217" s="25"/>
      <c r="H1217" s="25"/>
      <c r="I1217" s="25"/>
      <c r="J1217" s="25"/>
      <c r="K1217" s="25"/>
      <c r="L1217" s="25"/>
      <c r="M1217" s="25"/>
      <c r="N1217" s="25"/>
      <c r="O1217" s="25"/>
      <c r="P1217" s="25"/>
      <c r="Q1217" s="25"/>
      <c r="R1217" s="25"/>
      <c r="S1217" s="25"/>
      <c r="T1217" s="25"/>
      <c r="U1217" s="25"/>
      <c r="V1217" s="25"/>
      <c r="W1217" s="25"/>
      <c r="X1217" s="25"/>
      <c r="Y1217" s="25"/>
      <c r="Z1217" s="25"/>
      <c r="AA1217" s="25"/>
      <c r="AB1217" s="25"/>
      <c r="AC1217" s="25"/>
      <c r="AD1217" s="25"/>
      <c r="AE1217" s="25"/>
      <c r="AF1217" s="25"/>
      <c r="AG1217" s="25"/>
      <c r="AH1217" s="25"/>
      <c r="AI1217" s="25"/>
      <c r="AJ1217" s="25"/>
      <c r="AK1217" s="25"/>
      <c r="AL1217" s="25"/>
      <c r="AM1217" s="25"/>
      <c r="AN1217" s="25"/>
      <c r="AO1217" s="25"/>
      <c r="AP1217" s="25"/>
      <c r="AQ1217" s="25"/>
      <c r="AR1217" s="25"/>
      <c r="AS1217" s="25"/>
      <c r="AT1217" s="25"/>
      <c r="AU1217" s="25"/>
      <c r="AV1217" s="25"/>
      <c r="AW1217" s="25"/>
      <c r="AX1217" s="25"/>
    </row>
    <row r="1218" ht="15.75" customHeight="1">
      <c r="A1218" s="25"/>
      <c r="B1218" s="25"/>
      <c r="C1218" s="27"/>
      <c r="D1218" s="28"/>
      <c r="E1218" s="28"/>
      <c r="F1218" s="25"/>
      <c r="G1218" s="25"/>
      <c r="H1218" s="25"/>
      <c r="I1218" s="25"/>
      <c r="J1218" s="25"/>
      <c r="K1218" s="25"/>
      <c r="L1218" s="25"/>
      <c r="M1218" s="25"/>
      <c r="N1218" s="25"/>
      <c r="O1218" s="25"/>
      <c r="P1218" s="25"/>
      <c r="Q1218" s="25"/>
      <c r="R1218" s="25"/>
      <c r="S1218" s="25"/>
      <c r="T1218" s="25"/>
      <c r="U1218" s="25"/>
      <c r="V1218" s="25"/>
      <c r="W1218" s="25"/>
      <c r="X1218" s="25"/>
      <c r="Y1218" s="25"/>
      <c r="Z1218" s="25"/>
      <c r="AA1218" s="25"/>
      <c r="AB1218" s="25"/>
      <c r="AC1218" s="25"/>
      <c r="AD1218" s="25"/>
      <c r="AE1218" s="25"/>
      <c r="AF1218" s="25"/>
      <c r="AG1218" s="25"/>
      <c r="AH1218" s="25"/>
      <c r="AI1218" s="25"/>
      <c r="AJ1218" s="25"/>
      <c r="AK1218" s="25"/>
      <c r="AL1218" s="25"/>
      <c r="AM1218" s="25"/>
      <c r="AN1218" s="25"/>
      <c r="AO1218" s="25"/>
      <c r="AP1218" s="25"/>
      <c r="AQ1218" s="25"/>
      <c r="AR1218" s="25"/>
      <c r="AS1218" s="25"/>
      <c r="AT1218" s="25"/>
      <c r="AU1218" s="25"/>
      <c r="AV1218" s="25"/>
      <c r="AW1218" s="25"/>
      <c r="AX1218" s="25"/>
    </row>
    <row r="1219" ht="15.75" customHeight="1">
      <c r="A1219" s="25"/>
      <c r="B1219" s="25"/>
      <c r="C1219" s="27"/>
      <c r="D1219" s="28"/>
      <c r="E1219" s="28"/>
      <c r="F1219" s="25"/>
      <c r="G1219" s="25"/>
      <c r="H1219" s="25"/>
      <c r="I1219" s="25"/>
      <c r="J1219" s="25"/>
      <c r="K1219" s="25"/>
      <c r="L1219" s="25"/>
      <c r="M1219" s="25"/>
      <c r="N1219" s="25"/>
      <c r="O1219" s="25"/>
      <c r="P1219" s="25"/>
      <c r="Q1219" s="25"/>
      <c r="R1219" s="25"/>
      <c r="S1219" s="25"/>
      <c r="T1219" s="25"/>
      <c r="U1219" s="25"/>
      <c r="V1219" s="25"/>
      <c r="W1219" s="25"/>
      <c r="X1219" s="25"/>
      <c r="Y1219" s="25"/>
      <c r="Z1219" s="25"/>
      <c r="AA1219" s="25"/>
      <c r="AB1219" s="25"/>
      <c r="AC1219" s="25"/>
      <c r="AD1219" s="25"/>
      <c r="AE1219" s="25"/>
      <c r="AF1219" s="25"/>
      <c r="AG1219" s="25"/>
      <c r="AH1219" s="25"/>
      <c r="AI1219" s="25"/>
      <c r="AJ1219" s="25"/>
      <c r="AK1219" s="25"/>
      <c r="AL1219" s="25"/>
      <c r="AM1219" s="25"/>
      <c r="AN1219" s="25"/>
      <c r="AO1219" s="25"/>
      <c r="AP1219" s="25"/>
      <c r="AQ1219" s="25"/>
      <c r="AR1219" s="25"/>
      <c r="AS1219" s="25"/>
      <c r="AT1219" s="25"/>
      <c r="AU1219" s="25"/>
      <c r="AV1219" s="25"/>
      <c r="AW1219" s="25"/>
      <c r="AX1219" s="25"/>
    </row>
    <row r="1220" ht="15.75" customHeight="1">
      <c r="A1220" s="25"/>
      <c r="B1220" s="25"/>
      <c r="C1220" s="27"/>
      <c r="D1220" s="28"/>
      <c r="E1220" s="28"/>
      <c r="F1220" s="25"/>
      <c r="G1220" s="25"/>
      <c r="H1220" s="25"/>
      <c r="I1220" s="25"/>
      <c r="J1220" s="25"/>
      <c r="K1220" s="25"/>
      <c r="L1220" s="25"/>
      <c r="M1220" s="25"/>
      <c r="N1220" s="25"/>
      <c r="O1220" s="25"/>
      <c r="P1220" s="25"/>
      <c r="Q1220" s="25"/>
      <c r="R1220" s="25"/>
      <c r="S1220" s="25"/>
      <c r="T1220" s="25"/>
      <c r="U1220" s="25"/>
      <c r="V1220" s="25"/>
      <c r="W1220" s="25"/>
      <c r="X1220" s="25"/>
      <c r="Y1220" s="25"/>
      <c r="Z1220" s="25"/>
      <c r="AA1220" s="25"/>
      <c r="AB1220" s="25"/>
      <c r="AC1220" s="25"/>
      <c r="AD1220" s="25"/>
      <c r="AE1220" s="25"/>
      <c r="AF1220" s="25"/>
      <c r="AG1220" s="25"/>
      <c r="AH1220" s="25"/>
      <c r="AI1220" s="25"/>
      <c r="AJ1220" s="25"/>
      <c r="AK1220" s="25"/>
      <c r="AL1220" s="25"/>
      <c r="AM1220" s="25"/>
      <c r="AN1220" s="25"/>
      <c r="AO1220" s="25"/>
      <c r="AP1220" s="25"/>
      <c r="AQ1220" s="25"/>
      <c r="AR1220" s="25"/>
      <c r="AS1220" s="25"/>
      <c r="AT1220" s="25"/>
      <c r="AU1220" s="25"/>
      <c r="AV1220" s="25"/>
      <c r="AW1220" s="25"/>
      <c r="AX1220" s="25"/>
    </row>
    <row r="1221" ht="15.75" customHeight="1">
      <c r="A1221" s="25"/>
      <c r="B1221" s="25"/>
      <c r="C1221" s="27"/>
      <c r="D1221" s="28"/>
      <c r="E1221" s="28"/>
      <c r="F1221" s="25"/>
      <c r="G1221" s="25"/>
      <c r="H1221" s="25"/>
      <c r="I1221" s="25"/>
      <c r="J1221" s="25"/>
      <c r="K1221" s="25"/>
      <c r="L1221" s="25"/>
      <c r="M1221" s="25"/>
      <c r="N1221" s="25"/>
      <c r="O1221" s="25"/>
      <c r="P1221" s="25"/>
      <c r="Q1221" s="25"/>
      <c r="R1221" s="25"/>
      <c r="S1221" s="25"/>
      <c r="T1221" s="25"/>
      <c r="U1221" s="25"/>
      <c r="V1221" s="25"/>
      <c r="W1221" s="25"/>
      <c r="X1221" s="25"/>
      <c r="Y1221" s="25"/>
      <c r="Z1221" s="25"/>
      <c r="AA1221" s="25"/>
      <c r="AB1221" s="25"/>
      <c r="AC1221" s="25"/>
      <c r="AD1221" s="25"/>
      <c r="AE1221" s="25"/>
      <c r="AF1221" s="25"/>
      <c r="AG1221" s="25"/>
      <c r="AH1221" s="25"/>
      <c r="AI1221" s="25"/>
      <c r="AJ1221" s="25"/>
      <c r="AK1221" s="25"/>
      <c r="AL1221" s="25"/>
      <c r="AM1221" s="25"/>
      <c r="AN1221" s="25"/>
      <c r="AO1221" s="25"/>
      <c r="AP1221" s="25"/>
      <c r="AQ1221" s="25"/>
      <c r="AR1221" s="25"/>
      <c r="AS1221" s="25"/>
      <c r="AT1221" s="25"/>
      <c r="AU1221" s="25"/>
      <c r="AV1221" s="25"/>
      <c r="AW1221" s="25"/>
      <c r="AX1221" s="25"/>
    </row>
    <row r="1222" ht="15.75" customHeight="1">
      <c r="A1222" s="25"/>
      <c r="B1222" s="25"/>
      <c r="C1222" s="27"/>
      <c r="D1222" s="28"/>
      <c r="E1222" s="28"/>
      <c r="F1222" s="25"/>
      <c r="G1222" s="25"/>
      <c r="H1222" s="25"/>
      <c r="I1222" s="25"/>
      <c r="J1222" s="25"/>
      <c r="K1222" s="25"/>
      <c r="L1222" s="25"/>
      <c r="M1222" s="25"/>
      <c r="N1222" s="25"/>
      <c r="O1222" s="25"/>
      <c r="P1222" s="25"/>
      <c r="Q1222" s="25"/>
      <c r="R1222" s="25"/>
      <c r="S1222" s="25"/>
      <c r="T1222" s="25"/>
      <c r="U1222" s="25"/>
      <c r="V1222" s="25"/>
      <c r="W1222" s="25"/>
      <c r="X1222" s="25"/>
      <c r="Y1222" s="25"/>
      <c r="Z1222" s="25"/>
      <c r="AA1222" s="25"/>
      <c r="AB1222" s="25"/>
      <c r="AC1222" s="25"/>
      <c r="AD1222" s="25"/>
      <c r="AE1222" s="25"/>
      <c r="AF1222" s="25"/>
      <c r="AG1222" s="25"/>
      <c r="AH1222" s="25"/>
      <c r="AI1222" s="25"/>
      <c r="AJ1222" s="25"/>
      <c r="AK1222" s="25"/>
      <c r="AL1222" s="25"/>
      <c r="AM1222" s="25"/>
      <c r="AN1222" s="25"/>
      <c r="AO1222" s="25"/>
      <c r="AP1222" s="25"/>
      <c r="AQ1222" s="25"/>
      <c r="AR1222" s="25"/>
      <c r="AS1222" s="25"/>
      <c r="AT1222" s="25"/>
      <c r="AU1222" s="25"/>
      <c r="AV1222" s="25"/>
      <c r="AW1222" s="25"/>
      <c r="AX1222" s="25"/>
    </row>
    <row r="1223" ht="15.75" customHeight="1">
      <c r="A1223" s="25"/>
      <c r="B1223" s="25"/>
      <c r="C1223" s="27"/>
      <c r="D1223" s="28"/>
      <c r="E1223" s="28"/>
      <c r="F1223" s="25"/>
      <c r="G1223" s="25"/>
      <c r="H1223" s="25"/>
      <c r="I1223" s="25"/>
      <c r="J1223" s="25"/>
      <c r="K1223" s="25"/>
      <c r="L1223" s="25"/>
      <c r="M1223" s="25"/>
      <c r="N1223" s="25"/>
      <c r="O1223" s="25"/>
      <c r="P1223" s="25"/>
      <c r="Q1223" s="25"/>
      <c r="R1223" s="25"/>
      <c r="S1223" s="25"/>
      <c r="T1223" s="25"/>
      <c r="U1223" s="25"/>
      <c r="V1223" s="25"/>
      <c r="W1223" s="25"/>
      <c r="X1223" s="25"/>
      <c r="Y1223" s="25"/>
      <c r="Z1223" s="25"/>
      <c r="AA1223" s="25"/>
      <c r="AB1223" s="25"/>
      <c r="AC1223" s="25"/>
      <c r="AD1223" s="25"/>
      <c r="AE1223" s="25"/>
      <c r="AF1223" s="25"/>
      <c r="AG1223" s="25"/>
      <c r="AH1223" s="25"/>
      <c r="AI1223" s="25"/>
      <c r="AJ1223" s="25"/>
      <c r="AK1223" s="25"/>
      <c r="AL1223" s="25"/>
      <c r="AM1223" s="25"/>
      <c r="AN1223" s="25"/>
      <c r="AO1223" s="25"/>
      <c r="AP1223" s="25"/>
      <c r="AQ1223" s="25"/>
      <c r="AR1223" s="25"/>
      <c r="AS1223" s="25"/>
      <c r="AT1223" s="25"/>
      <c r="AU1223" s="25"/>
      <c r="AV1223" s="25"/>
      <c r="AW1223" s="25"/>
      <c r="AX1223" s="25"/>
    </row>
    <row r="1224" ht="15.75" customHeight="1">
      <c r="A1224" s="25"/>
      <c r="B1224" s="25"/>
      <c r="C1224" s="27"/>
      <c r="D1224" s="28"/>
      <c r="E1224" s="28"/>
      <c r="F1224" s="25"/>
      <c r="G1224" s="25"/>
      <c r="H1224" s="25"/>
      <c r="I1224" s="25"/>
      <c r="J1224" s="25"/>
      <c r="K1224" s="25"/>
      <c r="L1224" s="25"/>
      <c r="M1224" s="25"/>
      <c r="N1224" s="25"/>
      <c r="O1224" s="25"/>
      <c r="P1224" s="25"/>
      <c r="Q1224" s="25"/>
      <c r="R1224" s="25"/>
      <c r="S1224" s="25"/>
      <c r="T1224" s="25"/>
      <c r="U1224" s="25"/>
      <c r="V1224" s="25"/>
      <c r="W1224" s="25"/>
      <c r="X1224" s="25"/>
      <c r="Y1224" s="25"/>
      <c r="Z1224" s="25"/>
      <c r="AA1224" s="25"/>
      <c r="AB1224" s="25"/>
      <c r="AC1224" s="25"/>
      <c r="AD1224" s="25"/>
      <c r="AE1224" s="25"/>
      <c r="AF1224" s="25"/>
      <c r="AG1224" s="25"/>
      <c r="AH1224" s="25"/>
      <c r="AI1224" s="25"/>
      <c r="AJ1224" s="25"/>
      <c r="AK1224" s="25"/>
      <c r="AL1224" s="25"/>
      <c r="AM1224" s="25"/>
      <c r="AN1224" s="25"/>
      <c r="AO1224" s="25"/>
      <c r="AP1224" s="25"/>
      <c r="AQ1224" s="25"/>
      <c r="AR1224" s="25"/>
      <c r="AS1224" s="25"/>
      <c r="AT1224" s="25"/>
      <c r="AU1224" s="25"/>
      <c r="AV1224" s="25"/>
      <c r="AW1224" s="25"/>
      <c r="AX1224" s="25"/>
    </row>
    <row r="1225" ht="15.75" customHeight="1">
      <c r="A1225" s="25"/>
      <c r="B1225" s="25"/>
      <c r="C1225" s="27"/>
      <c r="D1225" s="28"/>
      <c r="E1225" s="28"/>
      <c r="F1225" s="25"/>
      <c r="G1225" s="25"/>
      <c r="H1225" s="25"/>
      <c r="I1225" s="25"/>
      <c r="J1225" s="25"/>
      <c r="K1225" s="25"/>
      <c r="L1225" s="25"/>
      <c r="M1225" s="25"/>
      <c r="N1225" s="25"/>
      <c r="O1225" s="25"/>
      <c r="P1225" s="25"/>
      <c r="Q1225" s="25"/>
      <c r="R1225" s="25"/>
      <c r="S1225" s="25"/>
      <c r="T1225" s="25"/>
      <c r="U1225" s="25"/>
      <c r="V1225" s="25"/>
      <c r="W1225" s="25"/>
      <c r="X1225" s="25"/>
      <c r="Y1225" s="25"/>
      <c r="Z1225" s="25"/>
      <c r="AA1225" s="25"/>
      <c r="AB1225" s="25"/>
      <c r="AC1225" s="25"/>
      <c r="AD1225" s="25"/>
      <c r="AE1225" s="25"/>
      <c r="AF1225" s="25"/>
      <c r="AG1225" s="25"/>
      <c r="AH1225" s="25"/>
      <c r="AI1225" s="25"/>
      <c r="AJ1225" s="25"/>
      <c r="AK1225" s="25"/>
      <c r="AL1225" s="25"/>
      <c r="AM1225" s="25"/>
      <c r="AN1225" s="25"/>
      <c r="AO1225" s="25"/>
      <c r="AP1225" s="25"/>
      <c r="AQ1225" s="25"/>
      <c r="AR1225" s="25"/>
      <c r="AS1225" s="25"/>
      <c r="AT1225" s="25"/>
      <c r="AU1225" s="25"/>
      <c r="AV1225" s="25"/>
      <c r="AW1225" s="25"/>
      <c r="AX1225" s="25"/>
    </row>
    <row r="1226" ht="15.75" customHeight="1">
      <c r="A1226" s="25"/>
      <c r="B1226" s="25"/>
      <c r="C1226" s="27"/>
      <c r="D1226" s="28"/>
      <c r="E1226" s="28"/>
      <c r="F1226" s="25"/>
      <c r="G1226" s="25"/>
      <c r="H1226" s="25"/>
      <c r="I1226" s="25"/>
      <c r="J1226" s="25"/>
      <c r="K1226" s="25"/>
      <c r="L1226" s="25"/>
      <c r="M1226" s="25"/>
      <c r="N1226" s="25"/>
      <c r="O1226" s="25"/>
      <c r="P1226" s="25"/>
      <c r="Q1226" s="25"/>
      <c r="R1226" s="25"/>
      <c r="S1226" s="25"/>
      <c r="T1226" s="25"/>
      <c r="U1226" s="25"/>
      <c r="V1226" s="25"/>
      <c r="W1226" s="25"/>
      <c r="X1226" s="25"/>
      <c r="Y1226" s="25"/>
      <c r="Z1226" s="25"/>
      <c r="AA1226" s="25"/>
      <c r="AB1226" s="25"/>
      <c r="AC1226" s="25"/>
      <c r="AD1226" s="25"/>
      <c r="AE1226" s="25"/>
      <c r="AF1226" s="25"/>
      <c r="AG1226" s="25"/>
      <c r="AH1226" s="25"/>
      <c r="AI1226" s="25"/>
      <c r="AJ1226" s="25"/>
      <c r="AK1226" s="25"/>
      <c r="AL1226" s="25"/>
      <c r="AM1226" s="25"/>
      <c r="AN1226" s="25"/>
      <c r="AO1226" s="25"/>
      <c r="AP1226" s="25"/>
      <c r="AQ1226" s="25"/>
      <c r="AR1226" s="25"/>
      <c r="AS1226" s="25"/>
      <c r="AT1226" s="25"/>
      <c r="AU1226" s="25"/>
      <c r="AV1226" s="25"/>
      <c r="AW1226" s="25"/>
      <c r="AX1226" s="25"/>
    </row>
    <row r="1227" ht="15.75" customHeight="1">
      <c r="A1227" s="25"/>
      <c r="B1227" s="25"/>
      <c r="C1227" s="27"/>
      <c r="D1227" s="28"/>
      <c r="E1227" s="28"/>
      <c r="F1227" s="25"/>
      <c r="G1227" s="25"/>
      <c r="H1227" s="25"/>
      <c r="I1227" s="25"/>
      <c r="J1227" s="25"/>
      <c r="K1227" s="25"/>
      <c r="L1227" s="25"/>
      <c r="M1227" s="25"/>
      <c r="N1227" s="25"/>
      <c r="O1227" s="25"/>
      <c r="P1227" s="25"/>
      <c r="Q1227" s="25"/>
      <c r="R1227" s="25"/>
      <c r="S1227" s="25"/>
      <c r="T1227" s="25"/>
      <c r="U1227" s="25"/>
      <c r="V1227" s="25"/>
      <c r="W1227" s="25"/>
      <c r="X1227" s="25"/>
      <c r="Y1227" s="25"/>
      <c r="Z1227" s="25"/>
      <c r="AA1227" s="25"/>
      <c r="AB1227" s="25"/>
      <c r="AC1227" s="25"/>
      <c r="AD1227" s="25"/>
      <c r="AE1227" s="25"/>
      <c r="AF1227" s="25"/>
      <c r="AG1227" s="25"/>
      <c r="AH1227" s="25"/>
      <c r="AI1227" s="25"/>
      <c r="AJ1227" s="25"/>
      <c r="AK1227" s="25"/>
      <c r="AL1227" s="25"/>
      <c r="AM1227" s="25"/>
      <c r="AN1227" s="25"/>
      <c r="AO1227" s="25"/>
      <c r="AP1227" s="25"/>
      <c r="AQ1227" s="25"/>
      <c r="AR1227" s="25"/>
      <c r="AS1227" s="25"/>
      <c r="AT1227" s="25"/>
      <c r="AU1227" s="25"/>
      <c r="AV1227" s="25"/>
      <c r="AW1227" s="25"/>
      <c r="AX1227" s="25"/>
    </row>
    <row r="1228" ht="15.75" customHeight="1">
      <c r="A1228" s="25"/>
      <c r="B1228" s="25"/>
      <c r="C1228" s="27"/>
      <c r="D1228" s="28"/>
      <c r="E1228" s="28"/>
      <c r="F1228" s="25"/>
      <c r="G1228" s="25"/>
      <c r="H1228" s="25"/>
      <c r="I1228" s="25"/>
      <c r="J1228" s="25"/>
      <c r="K1228" s="25"/>
      <c r="L1228" s="25"/>
      <c r="M1228" s="25"/>
      <c r="N1228" s="25"/>
      <c r="O1228" s="25"/>
      <c r="P1228" s="25"/>
      <c r="Q1228" s="25"/>
      <c r="R1228" s="25"/>
      <c r="S1228" s="25"/>
      <c r="T1228" s="25"/>
      <c r="U1228" s="25"/>
      <c r="V1228" s="25"/>
      <c r="W1228" s="25"/>
      <c r="X1228" s="25"/>
      <c r="Y1228" s="25"/>
      <c r="Z1228" s="25"/>
      <c r="AA1228" s="25"/>
      <c r="AB1228" s="25"/>
      <c r="AC1228" s="25"/>
      <c r="AD1228" s="25"/>
      <c r="AE1228" s="25"/>
      <c r="AF1228" s="25"/>
      <c r="AG1228" s="25"/>
      <c r="AH1228" s="25"/>
      <c r="AI1228" s="25"/>
      <c r="AJ1228" s="25"/>
      <c r="AK1228" s="25"/>
      <c r="AL1228" s="25"/>
      <c r="AM1228" s="25"/>
      <c r="AN1228" s="25"/>
      <c r="AO1228" s="25"/>
      <c r="AP1228" s="25"/>
      <c r="AQ1228" s="25"/>
      <c r="AR1228" s="25"/>
      <c r="AS1228" s="25"/>
      <c r="AT1228" s="25"/>
      <c r="AU1228" s="25"/>
      <c r="AV1228" s="25"/>
      <c r="AW1228" s="25"/>
      <c r="AX1228" s="25"/>
    </row>
    <row r="1229" ht="15.75" customHeight="1">
      <c r="A1229" s="25"/>
      <c r="B1229" s="25"/>
      <c r="C1229" s="27"/>
      <c r="D1229" s="28"/>
      <c r="E1229" s="28"/>
      <c r="F1229" s="25"/>
      <c r="G1229" s="25"/>
      <c r="H1229" s="25"/>
      <c r="I1229" s="25"/>
      <c r="J1229" s="25"/>
      <c r="K1229" s="25"/>
      <c r="L1229" s="25"/>
      <c r="M1229" s="25"/>
      <c r="N1229" s="25"/>
      <c r="O1229" s="25"/>
      <c r="P1229" s="25"/>
      <c r="Q1229" s="25"/>
      <c r="R1229" s="25"/>
      <c r="S1229" s="25"/>
      <c r="T1229" s="25"/>
      <c r="U1229" s="25"/>
      <c r="V1229" s="25"/>
      <c r="W1229" s="25"/>
      <c r="X1229" s="25"/>
      <c r="Y1229" s="25"/>
      <c r="Z1229" s="25"/>
      <c r="AA1229" s="25"/>
      <c r="AB1229" s="25"/>
      <c r="AC1229" s="25"/>
      <c r="AD1229" s="25"/>
      <c r="AE1229" s="25"/>
      <c r="AF1229" s="25"/>
      <c r="AG1229" s="25"/>
      <c r="AH1229" s="25"/>
      <c r="AI1229" s="25"/>
      <c r="AJ1229" s="25"/>
      <c r="AK1229" s="25"/>
      <c r="AL1229" s="25"/>
      <c r="AM1229" s="25"/>
      <c r="AN1229" s="25"/>
      <c r="AO1229" s="25"/>
      <c r="AP1229" s="25"/>
      <c r="AQ1229" s="25"/>
      <c r="AR1229" s="25"/>
      <c r="AS1229" s="25"/>
      <c r="AT1229" s="25"/>
      <c r="AU1229" s="25"/>
      <c r="AV1229" s="25"/>
      <c r="AW1229" s="25"/>
      <c r="AX1229" s="25"/>
    </row>
    <row r="1230" ht="15.75" customHeight="1">
      <c r="A1230" s="25"/>
      <c r="B1230" s="25"/>
      <c r="C1230" s="27"/>
      <c r="D1230" s="28"/>
      <c r="E1230" s="28"/>
      <c r="F1230" s="25"/>
      <c r="G1230" s="25"/>
      <c r="H1230" s="25"/>
      <c r="I1230" s="25"/>
      <c r="J1230" s="25"/>
      <c r="K1230" s="25"/>
      <c r="L1230" s="25"/>
      <c r="M1230" s="25"/>
      <c r="N1230" s="25"/>
      <c r="O1230" s="25"/>
      <c r="P1230" s="25"/>
      <c r="Q1230" s="25"/>
      <c r="R1230" s="25"/>
      <c r="S1230" s="25"/>
      <c r="T1230" s="25"/>
      <c r="U1230" s="25"/>
      <c r="V1230" s="25"/>
      <c r="W1230" s="25"/>
      <c r="X1230" s="25"/>
      <c r="Y1230" s="25"/>
      <c r="Z1230" s="25"/>
      <c r="AA1230" s="25"/>
      <c r="AB1230" s="25"/>
      <c r="AC1230" s="25"/>
      <c r="AD1230" s="25"/>
      <c r="AE1230" s="25"/>
      <c r="AF1230" s="25"/>
      <c r="AG1230" s="25"/>
      <c r="AH1230" s="25"/>
      <c r="AI1230" s="25"/>
      <c r="AJ1230" s="25"/>
      <c r="AK1230" s="25"/>
      <c r="AL1230" s="25"/>
      <c r="AM1230" s="25"/>
      <c r="AN1230" s="25"/>
      <c r="AO1230" s="25"/>
      <c r="AP1230" s="25"/>
      <c r="AQ1230" s="25"/>
      <c r="AR1230" s="25"/>
      <c r="AS1230" s="25"/>
      <c r="AT1230" s="25"/>
      <c r="AU1230" s="25"/>
      <c r="AV1230" s="25"/>
      <c r="AW1230" s="25"/>
      <c r="AX1230" s="25"/>
    </row>
    <row r="1231" ht="15.75" customHeight="1">
      <c r="A1231" s="25"/>
      <c r="B1231" s="25"/>
      <c r="C1231" s="27"/>
      <c r="D1231" s="28"/>
      <c r="E1231" s="28"/>
      <c r="F1231" s="25"/>
      <c r="G1231" s="25"/>
      <c r="H1231" s="25"/>
      <c r="I1231" s="25"/>
      <c r="J1231" s="25"/>
      <c r="K1231" s="25"/>
      <c r="L1231" s="25"/>
      <c r="M1231" s="25"/>
      <c r="N1231" s="25"/>
      <c r="O1231" s="25"/>
      <c r="P1231" s="25"/>
      <c r="Q1231" s="25"/>
      <c r="R1231" s="25"/>
      <c r="S1231" s="25"/>
      <c r="T1231" s="25"/>
      <c r="U1231" s="25"/>
      <c r="V1231" s="25"/>
      <c r="W1231" s="25"/>
      <c r="X1231" s="25"/>
      <c r="Y1231" s="25"/>
      <c r="Z1231" s="25"/>
      <c r="AA1231" s="25"/>
      <c r="AB1231" s="25"/>
      <c r="AC1231" s="25"/>
      <c r="AD1231" s="25"/>
      <c r="AE1231" s="25"/>
      <c r="AF1231" s="25"/>
      <c r="AG1231" s="25"/>
      <c r="AH1231" s="25"/>
      <c r="AI1231" s="25"/>
      <c r="AJ1231" s="25"/>
      <c r="AK1231" s="25"/>
      <c r="AL1231" s="25"/>
      <c r="AM1231" s="25"/>
      <c r="AN1231" s="25"/>
      <c r="AO1231" s="25"/>
      <c r="AP1231" s="25"/>
      <c r="AQ1231" s="25"/>
      <c r="AR1231" s="25"/>
      <c r="AS1231" s="25"/>
      <c r="AT1231" s="25"/>
      <c r="AU1231" s="25"/>
      <c r="AV1231" s="25"/>
      <c r="AW1231" s="25"/>
      <c r="AX1231" s="25"/>
    </row>
    <row r="1232" ht="15.75" customHeight="1">
      <c r="A1232" s="25"/>
      <c r="B1232" s="25"/>
      <c r="C1232" s="27"/>
      <c r="D1232" s="28"/>
      <c r="E1232" s="28"/>
      <c r="F1232" s="25"/>
      <c r="G1232" s="25"/>
      <c r="H1232" s="25"/>
      <c r="I1232" s="25"/>
      <c r="J1232" s="25"/>
      <c r="K1232" s="25"/>
      <c r="L1232" s="25"/>
      <c r="M1232" s="25"/>
      <c r="N1232" s="25"/>
      <c r="O1232" s="25"/>
      <c r="P1232" s="25"/>
      <c r="Q1232" s="25"/>
      <c r="R1232" s="25"/>
      <c r="S1232" s="25"/>
      <c r="T1232" s="25"/>
      <c r="U1232" s="25"/>
      <c r="V1232" s="25"/>
      <c r="W1232" s="25"/>
      <c r="X1232" s="25"/>
      <c r="Y1232" s="25"/>
      <c r="Z1232" s="25"/>
      <c r="AA1232" s="25"/>
      <c r="AB1232" s="25"/>
      <c r="AC1232" s="25"/>
      <c r="AD1232" s="25"/>
      <c r="AE1232" s="25"/>
      <c r="AF1232" s="25"/>
      <c r="AG1232" s="25"/>
      <c r="AH1232" s="25"/>
      <c r="AI1232" s="25"/>
      <c r="AJ1232" s="25"/>
      <c r="AK1232" s="25"/>
      <c r="AL1232" s="25"/>
      <c r="AM1232" s="25"/>
      <c r="AN1232" s="25"/>
      <c r="AO1232" s="25"/>
      <c r="AP1232" s="25"/>
      <c r="AQ1232" s="25"/>
      <c r="AR1232" s="25"/>
      <c r="AS1232" s="25"/>
      <c r="AT1232" s="25"/>
      <c r="AU1232" s="25"/>
      <c r="AV1232" s="25"/>
      <c r="AW1232" s="25"/>
      <c r="AX1232" s="25"/>
    </row>
    <row r="1233" ht="15.75" customHeight="1">
      <c r="A1233" s="25"/>
      <c r="B1233" s="25"/>
      <c r="C1233" s="27"/>
      <c r="D1233" s="28"/>
      <c r="E1233" s="28"/>
      <c r="F1233" s="25"/>
      <c r="G1233" s="25"/>
      <c r="H1233" s="25"/>
      <c r="I1233" s="25"/>
      <c r="J1233" s="25"/>
      <c r="K1233" s="25"/>
      <c r="L1233" s="25"/>
      <c r="M1233" s="25"/>
      <c r="N1233" s="25"/>
      <c r="O1233" s="25"/>
      <c r="P1233" s="25"/>
      <c r="Q1233" s="25"/>
      <c r="R1233" s="25"/>
      <c r="S1233" s="25"/>
      <c r="T1233" s="25"/>
      <c r="U1233" s="25"/>
      <c r="V1233" s="25"/>
      <c r="W1233" s="25"/>
      <c r="X1233" s="25"/>
      <c r="Y1233" s="25"/>
      <c r="Z1233" s="25"/>
      <c r="AA1233" s="25"/>
      <c r="AB1233" s="25"/>
      <c r="AC1233" s="25"/>
      <c r="AD1233" s="25"/>
      <c r="AE1233" s="25"/>
      <c r="AF1233" s="25"/>
      <c r="AG1233" s="25"/>
      <c r="AH1233" s="25"/>
      <c r="AI1233" s="25"/>
      <c r="AJ1233" s="25"/>
      <c r="AK1233" s="25"/>
      <c r="AL1233" s="25"/>
      <c r="AM1233" s="25"/>
      <c r="AN1233" s="25"/>
      <c r="AO1233" s="25"/>
      <c r="AP1233" s="25"/>
      <c r="AQ1233" s="25"/>
      <c r="AR1233" s="25"/>
      <c r="AS1233" s="25"/>
      <c r="AT1233" s="25"/>
      <c r="AU1233" s="25"/>
      <c r="AV1233" s="25"/>
      <c r="AW1233" s="25"/>
      <c r="AX1233" s="25"/>
    </row>
    <row r="1234" ht="15.75" customHeight="1">
      <c r="A1234" s="25"/>
      <c r="B1234" s="25"/>
      <c r="C1234" s="27"/>
      <c r="D1234" s="28"/>
      <c r="E1234" s="28"/>
      <c r="F1234" s="25"/>
      <c r="G1234" s="25"/>
      <c r="H1234" s="25"/>
      <c r="I1234" s="25"/>
      <c r="J1234" s="25"/>
      <c r="K1234" s="25"/>
      <c r="L1234" s="25"/>
      <c r="M1234" s="25"/>
      <c r="N1234" s="25"/>
      <c r="O1234" s="25"/>
      <c r="P1234" s="25"/>
      <c r="Q1234" s="25"/>
      <c r="R1234" s="25"/>
      <c r="S1234" s="25"/>
      <c r="T1234" s="25"/>
      <c r="U1234" s="25"/>
      <c r="V1234" s="25"/>
      <c r="W1234" s="25"/>
      <c r="X1234" s="25"/>
      <c r="Y1234" s="25"/>
      <c r="Z1234" s="25"/>
      <c r="AA1234" s="25"/>
      <c r="AB1234" s="25"/>
      <c r="AC1234" s="25"/>
      <c r="AD1234" s="25"/>
      <c r="AE1234" s="25"/>
      <c r="AF1234" s="25"/>
      <c r="AG1234" s="25"/>
      <c r="AH1234" s="25"/>
      <c r="AI1234" s="25"/>
      <c r="AJ1234" s="25"/>
      <c r="AK1234" s="25"/>
      <c r="AL1234" s="25"/>
      <c r="AM1234" s="25"/>
      <c r="AN1234" s="25"/>
      <c r="AO1234" s="25"/>
      <c r="AP1234" s="25"/>
      <c r="AQ1234" s="25"/>
      <c r="AR1234" s="25"/>
      <c r="AS1234" s="25"/>
      <c r="AT1234" s="25"/>
      <c r="AU1234" s="25"/>
      <c r="AV1234" s="25"/>
      <c r="AW1234" s="25"/>
      <c r="AX1234" s="25"/>
    </row>
    <row r="1235" ht="15.75" customHeight="1">
      <c r="A1235" s="25"/>
      <c r="B1235" s="25"/>
      <c r="C1235" s="27"/>
      <c r="D1235" s="28"/>
      <c r="E1235" s="28"/>
      <c r="F1235" s="25"/>
      <c r="G1235" s="25"/>
      <c r="H1235" s="25"/>
      <c r="I1235" s="25"/>
      <c r="J1235" s="25"/>
      <c r="K1235" s="25"/>
      <c r="L1235" s="25"/>
      <c r="M1235" s="25"/>
      <c r="N1235" s="25"/>
      <c r="O1235" s="25"/>
      <c r="P1235" s="25"/>
      <c r="Q1235" s="25"/>
      <c r="R1235" s="25"/>
      <c r="S1235" s="25"/>
      <c r="T1235" s="25"/>
      <c r="U1235" s="25"/>
      <c r="V1235" s="25"/>
      <c r="W1235" s="25"/>
      <c r="X1235" s="25"/>
      <c r="Y1235" s="25"/>
      <c r="Z1235" s="25"/>
      <c r="AA1235" s="25"/>
      <c r="AB1235" s="25"/>
      <c r="AC1235" s="25"/>
      <c r="AD1235" s="25"/>
      <c r="AE1235" s="25"/>
      <c r="AF1235" s="25"/>
      <c r="AG1235" s="25"/>
      <c r="AH1235" s="25"/>
      <c r="AI1235" s="25"/>
      <c r="AJ1235" s="25"/>
      <c r="AK1235" s="25"/>
      <c r="AL1235" s="25"/>
      <c r="AM1235" s="25"/>
      <c r="AN1235" s="25"/>
      <c r="AO1235" s="25"/>
      <c r="AP1235" s="25"/>
      <c r="AQ1235" s="25"/>
      <c r="AR1235" s="25"/>
      <c r="AS1235" s="25"/>
      <c r="AT1235" s="25"/>
      <c r="AU1235" s="25"/>
      <c r="AV1235" s="25"/>
      <c r="AW1235" s="25"/>
      <c r="AX1235" s="25"/>
    </row>
    <row r="1236" ht="15.75" customHeight="1">
      <c r="A1236" s="25"/>
      <c r="B1236" s="25"/>
      <c r="C1236" s="27"/>
      <c r="D1236" s="28"/>
      <c r="E1236" s="28"/>
      <c r="F1236" s="25"/>
      <c r="G1236" s="25"/>
      <c r="H1236" s="25"/>
      <c r="I1236" s="25"/>
      <c r="J1236" s="25"/>
      <c r="K1236" s="25"/>
      <c r="L1236" s="25"/>
      <c r="M1236" s="25"/>
      <c r="N1236" s="25"/>
      <c r="O1236" s="25"/>
      <c r="P1236" s="25"/>
      <c r="Q1236" s="25"/>
      <c r="R1236" s="25"/>
      <c r="S1236" s="25"/>
      <c r="T1236" s="25"/>
      <c r="U1236" s="25"/>
      <c r="V1236" s="25"/>
      <c r="W1236" s="25"/>
      <c r="X1236" s="25"/>
      <c r="Y1236" s="25"/>
      <c r="Z1236" s="25"/>
      <c r="AA1236" s="25"/>
      <c r="AB1236" s="25"/>
      <c r="AC1236" s="25"/>
      <c r="AD1236" s="25"/>
      <c r="AE1236" s="25"/>
      <c r="AF1236" s="25"/>
      <c r="AG1236" s="25"/>
      <c r="AH1236" s="25"/>
      <c r="AI1236" s="25"/>
      <c r="AJ1236" s="25"/>
      <c r="AK1236" s="25"/>
      <c r="AL1236" s="25"/>
      <c r="AM1236" s="25"/>
      <c r="AN1236" s="25"/>
      <c r="AO1236" s="25"/>
      <c r="AP1236" s="25"/>
      <c r="AQ1236" s="25"/>
      <c r="AR1236" s="25"/>
      <c r="AS1236" s="25"/>
      <c r="AT1236" s="25"/>
      <c r="AU1236" s="25"/>
      <c r="AV1236" s="25"/>
      <c r="AW1236" s="25"/>
      <c r="AX1236" s="25"/>
    </row>
    <row r="1237" ht="15.75" customHeight="1">
      <c r="A1237" s="25"/>
      <c r="B1237" s="25"/>
      <c r="C1237" s="27"/>
      <c r="D1237" s="28"/>
      <c r="E1237" s="28"/>
      <c r="F1237" s="25"/>
      <c r="G1237" s="25"/>
      <c r="H1237" s="25"/>
      <c r="I1237" s="25"/>
      <c r="J1237" s="25"/>
      <c r="K1237" s="25"/>
      <c r="L1237" s="25"/>
      <c r="M1237" s="25"/>
      <c r="N1237" s="25"/>
      <c r="O1237" s="25"/>
      <c r="P1237" s="25"/>
      <c r="Q1237" s="25"/>
      <c r="R1237" s="25"/>
      <c r="S1237" s="25"/>
      <c r="T1237" s="25"/>
      <c r="U1237" s="25"/>
      <c r="V1237" s="25"/>
      <c r="W1237" s="25"/>
      <c r="X1237" s="25"/>
      <c r="Y1237" s="25"/>
      <c r="Z1237" s="25"/>
      <c r="AA1237" s="25"/>
      <c r="AB1237" s="25"/>
      <c r="AC1237" s="25"/>
      <c r="AD1237" s="25"/>
      <c r="AE1237" s="25"/>
      <c r="AF1237" s="25"/>
      <c r="AG1237" s="25"/>
      <c r="AH1237" s="25"/>
      <c r="AI1237" s="25"/>
      <c r="AJ1237" s="25"/>
      <c r="AK1237" s="25"/>
      <c r="AL1237" s="25"/>
      <c r="AM1237" s="25"/>
      <c r="AN1237" s="25"/>
      <c r="AO1237" s="25"/>
      <c r="AP1237" s="25"/>
      <c r="AQ1237" s="25"/>
      <c r="AR1237" s="25"/>
      <c r="AS1237" s="25"/>
      <c r="AT1237" s="25"/>
      <c r="AU1237" s="25"/>
      <c r="AV1237" s="25"/>
      <c r="AW1237" s="25"/>
      <c r="AX1237" s="25"/>
    </row>
    <row r="1238" ht="15.75" customHeight="1">
      <c r="A1238" s="25"/>
      <c r="B1238" s="25"/>
      <c r="C1238" s="27"/>
      <c r="D1238" s="28"/>
      <c r="E1238" s="28"/>
      <c r="F1238" s="25"/>
      <c r="G1238" s="25"/>
      <c r="H1238" s="25"/>
      <c r="I1238" s="25"/>
      <c r="J1238" s="25"/>
      <c r="K1238" s="25"/>
      <c r="L1238" s="25"/>
      <c r="M1238" s="25"/>
      <c r="N1238" s="25"/>
      <c r="O1238" s="25"/>
      <c r="P1238" s="25"/>
      <c r="Q1238" s="25"/>
      <c r="R1238" s="25"/>
      <c r="S1238" s="25"/>
      <c r="T1238" s="25"/>
      <c r="U1238" s="25"/>
      <c r="V1238" s="25"/>
      <c r="W1238" s="25"/>
      <c r="X1238" s="25"/>
      <c r="Y1238" s="25"/>
      <c r="Z1238" s="25"/>
      <c r="AA1238" s="25"/>
      <c r="AB1238" s="25"/>
      <c r="AC1238" s="25"/>
      <c r="AD1238" s="25"/>
      <c r="AE1238" s="25"/>
      <c r="AF1238" s="25"/>
      <c r="AG1238" s="25"/>
      <c r="AH1238" s="25"/>
      <c r="AI1238" s="25"/>
      <c r="AJ1238" s="25"/>
      <c r="AK1238" s="25"/>
      <c r="AL1238" s="25"/>
      <c r="AM1238" s="25"/>
      <c r="AN1238" s="25"/>
      <c r="AO1238" s="25"/>
      <c r="AP1238" s="25"/>
      <c r="AQ1238" s="25"/>
      <c r="AR1238" s="25"/>
      <c r="AS1238" s="25"/>
      <c r="AT1238" s="25"/>
      <c r="AU1238" s="25"/>
      <c r="AV1238" s="25"/>
      <c r="AW1238" s="25"/>
      <c r="AX1238" s="25"/>
    </row>
    <row r="1239" ht="15.75" customHeight="1">
      <c r="A1239" s="25"/>
      <c r="B1239" s="25"/>
      <c r="C1239" s="27"/>
      <c r="D1239" s="28"/>
      <c r="E1239" s="28"/>
      <c r="F1239" s="25"/>
      <c r="G1239" s="25"/>
      <c r="H1239" s="25"/>
      <c r="I1239" s="25"/>
      <c r="J1239" s="25"/>
      <c r="K1239" s="25"/>
      <c r="L1239" s="25"/>
      <c r="M1239" s="25"/>
      <c r="N1239" s="25"/>
      <c r="O1239" s="25"/>
      <c r="P1239" s="25"/>
      <c r="Q1239" s="25"/>
      <c r="R1239" s="25"/>
      <c r="S1239" s="25"/>
      <c r="T1239" s="25"/>
      <c r="U1239" s="25"/>
      <c r="V1239" s="25"/>
      <c r="W1239" s="25"/>
      <c r="X1239" s="25"/>
      <c r="Y1239" s="25"/>
      <c r="Z1239" s="25"/>
      <c r="AA1239" s="25"/>
      <c r="AB1239" s="25"/>
      <c r="AC1239" s="25"/>
      <c r="AD1239" s="25"/>
      <c r="AE1239" s="25"/>
      <c r="AF1239" s="25"/>
      <c r="AG1239" s="25"/>
      <c r="AH1239" s="25"/>
      <c r="AI1239" s="25"/>
      <c r="AJ1239" s="25"/>
      <c r="AK1239" s="25"/>
      <c r="AL1239" s="25"/>
      <c r="AM1239" s="25"/>
      <c r="AN1239" s="25"/>
      <c r="AO1239" s="25"/>
      <c r="AP1239" s="25"/>
      <c r="AQ1239" s="25"/>
      <c r="AR1239" s="25"/>
      <c r="AS1239" s="25"/>
      <c r="AT1239" s="25"/>
      <c r="AU1239" s="25"/>
      <c r="AV1239" s="25"/>
      <c r="AW1239" s="25"/>
      <c r="AX1239" s="25"/>
    </row>
    <row r="1240" ht="15.75" customHeight="1">
      <c r="A1240" s="25"/>
      <c r="B1240" s="25"/>
      <c r="C1240" s="27"/>
      <c r="D1240" s="28"/>
      <c r="E1240" s="28"/>
      <c r="F1240" s="25"/>
      <c r="G1240" s="25"/>
      <c r="H1240" s="25"/>
      <c r="I1240" s="25"/>
      <c r="J1240" s="25"/>
      <c r="K1240" s="25"/>
      <c r="L1240" s="25"/>
      <c r="M1240" s="25"/>
      <c r="N1240" s="25"/>
      <c r="O1240" s="25"/>
      <c r="P1240" s="25"/>
      <c r="Q1240" s="25"/>
      <c r="R1240" s="25"/>
      <c r="S1240" s="25"/>
      <c r="T1240" s="25"/>
      <c r="U1240" s="25"/>
      <c r="V1240" s="25"/>
      <c r="W1240" s="25"/>
      <c r="X1240" s="25"/>
      <c r="Y1240" s="25"/>
      <c r="Z1240" s="25"/>
      <c r="AA1240" s="25"/>
      <c r="AB1240" s="25"/>
      <c r="AC1240" s="25"/>
      <c r="AD1240" s="25"/>
      <c r="AE1240" s="25"/>
      <c r="AF1240" s="25"/>
      <c r="AG1240" s="25"/>
      <c r="AH1240" s="25"/>
      <c r="AI1240" s="25"/>
      <c r="AJ1240" s="25"/>
      <c r="AK1240" s="25"/>
      <c r="AL1240" s="25"/>
      <c r="AM1240" s="25"/>
      <c r="AN1240" s="25"/>
      <c r="AO1240" s="25"/>
      <c r="AP1240" s="25"/>
      <c r="AQ1240" s="25"/>
      <c r="AR1240" s="25"/>
      <c r="AS1240" s="25"/>
      <c r="AT1240" s="25"/>
      <c r="AU1240" s="25"/>
      <c r="AV1240" s="25"/>
      <c r="AW1240" s="25"/>
      <c r="AX1240" s="25"/>
    </row>
    <row r="1241" ht="15.75" customHeight="1">
      <c r="A1241" s="25"/>
      <c r="B1241" s="25"/>
      <c r="C1241" s="27"/>
      <c r="D1241" s="28"/>
      <c r="E1241" s="28"/>
      <c r="F1241" s="25"/>
      <c r="G1241" s="25"/>
      <c r="H1241" s="25"/>
      <c r="I1241" s="25"/>
      <c r="J1241" s="25"/>
      <c r="K1241" s="25"/>
      <c r="L1241" s="25"/>
      <c r="M1241" s="25"/>
      <c r="N1241" s="25"/>
      <c r="O1241" s="25"/>
      <c r="P1241" s="25"/>
      <c r="Q1241" s="25"/>
      <c r="R1241" s="25"/>
      <c r="S1241" s="25"/>
      <c r="T1241" s="25"/>
      <c r="U1241" s="25"/>
      <c r="V1241" s="25"/>
      <c r="W1241" s="25"/>
      <c r="X1241" s="25"/>
      <c r="Y1241" s="25"/>
      <c r="Z1241" s="25"/>
      <c r="AA1241" s="25"/>
      <c r="AB1241" s="25"/>
      <c r="AC1241" s="25"/>
      <c r="AD1241" s="25"/>
      <c r="AE1241" s="25"/>
      <c r="AF1241" s="25"/>
      <c r="AG1241" s="25"/>
      <c r="AH1241" s="25"/>
      <c r="AI1241" s="25"/>
      <c r="AJ1241" s="25"/>
      <c r="AK1241" s="25"/>
      <c r="AL1241" s="25"/>
      <c r="AM1241" s="25"/>
      <c r="AN1241" s="25"/>
      <c r="AO1241" s="25"/>
      <c r="AP1241" s="25"/>
      <c r="AQ1241" s="25"/>
      <c r="AR1241" s="25"/>
      <c r="AS1241" s="25"/>
      <c r="AT1241" s="25"/>
      <c r="AU1241" s="25"/>
      <c r="AV1241" s="25"/>
      <c r="AW1241" s="25"/>
      <c r="AX1241" s="25"/>
    </row>
    <row r="1242" ht="15.75" customHeight="1">
      <c r="A1242" s="25"/>
      <c r="B1242" s="25"/>
      <c r="C1242" s="27"/>
      <c r="D1242" s="28"/>
      <c r="E1242" s="28"/>
      <c r="F1242" s="25"/>
      <c r="G1242" s="25"/>
      <c r="H1242" s="25"/>
      <c r="I1242" s="25"/>
      <c r="J1242" s="25"/>
      <c r="K1242" s="25"/>
      <c r="L1242" s="25"/>
      <c r="M1242" s="25"/>
      <c r="N1242" s="25"/>
      <c r="O1242" s="25"/>
      <c r="P1242" s="25"/>
      <c r="Q1242" s="25"/>
      <c r="R1242" s="25"/>
      <c r="S1242" s="25"/>
      <c r="T1242" s="25"/>
      <c r="U1242" s="25"/>
      <c r="V1242" s="25"/>
      <c r="W1242" s="25"/>
      <c r="X1242" s="25"/>
      <c r="Y1242" s="25"/>
      <c r="Z1242" s="25"/>
      <c r="AA1242" s="25"/>
      <c r="AB1242" s="25"/>
      <c r="AC1242" s="25"/>
      <c r="AD1242" s="25"/>
      <c r="AE1242" s="25"/>
      <c r="AF1242" s="25"/>
      <c r="AG1242" s="25"/>
      <c r="AH1242" s="25"/>
      <c r="AI1242" s="25"/>
      <c r="AJ1242" s="25"/>
      <c r="AK1242" s="25"/>
      <c r="AL1242" s="25"/>
      <c r="AM1242" s="25"/>
      <c r="AN1242" s="25"/>
      <c r="AO1242" s="25"/>
      <c r="AP1242" s="25"/>
      <c r="AQ1242" s="25"/>
      <c r="AR1242" s="25"/>
      <c r="AS1242" s="25"/>
      <c r="AT1242" s="25"/>
      <c r="AU1242" s="25"/>
      <c r="AV1242" s="25"/>
      <c r="AW1242" s="25"/>
      <c r="AX1242" s="25"/>
    </row>
    <row r="1243" ht="15.75" customHeight="1">
      <c r="A1243" s="25"/>
      <c r="B1243" s="25"/>
      <c r="C1243" s="27"/>
      <c r="D1243" s="28"/>
      <c r="E1243" s="28"/>
      <c r="F1243" s="25"/>
      <c r="G1243" s="25"/>
      <c r="H1243" s="25"/>
      <c r="I1243" s="25"/>
      <c r="J1243" s="25"/>
      <c r="K1243" s="25"/>
      <c r="L1243" s="25"/>
      <c r="M1243" s="25"/>
      <c r="N1243" s="25"/>
      <c r="O1243" s="25"/>
      <c r="P1243" s="25"/>
      <c r="Q1243" s="25"/>
      <c r="R1243" s="25"/>
      <c r="S1243" s="25"/>
      <c r="T1243" s="25"/>
      <c r="U1243" s="25"/>
      <c r="V1243" s="25"/>
      <c r="W1243" s="25"/>
      <c r="X1243" s="25"/>
      <c r="Y1243" s="25"/>
      <c r="Z1243" s="25"/>
      <c r="AA1243" s="25"/>
      <c r="AB1243" s="25"/>
      <c r="AC1243" s="25"/>
      <c r="AD1243" s="25"/>
      <c r="AE1243" s="25"/>
      <c r="AF1243" s="25"/>
      <c r="AG1243" s="25"/>
      <c r="AH1243" s="25"/>
      <c r="AI1243" s="25"/>
      <c r="AJ1243" s="25"/>
      <c r="AK1243" s="25"/>
      <c r="AL1243" s="25"/>
      <c r="AM1243" s="25"/>
      <c r="AN1243" s="25"/>
      <c r="AO1243" s="25"/>
      <c r="AP1243" s="25"/>
      <c r="AQ1243" s="25"/>
      <c r="AR1243" s="25"/>
      <c r="AS1243" s="25"/>
      <c r="AT1243" s="25"/>
      <c r="AU1243" s="25"/>
      <c r="AV1243" s="25"/>
      <c r="AW1243" s="25"/>
      <c r="AX1243" s="25"/>
    </row>
    <row r="1244" ht="15.75" customHeight="1">
      <c r="A1244" s="25"/>
      <c r="B1244" s="25"/>
      <c r="C1244" s="27"/>
      <c r="D1244" s="28"/>
      <c r="E1244" s="28"/>
      <c r="F1244" s="25"/>
      <c r="G1244" s="25"/>
      <c r="H1244" s="25"/>
      <c r="I1244" s="25"/>
      <c r="J1244" s="25"/>
      <c r="K1244" s="25"/>
      <c r="L1244" s="25"/>
      <c r="M1244" s="25"/>
      <c r="N1244" s="25"/>
      <c r="O1244" s="25"/>
      <c r="P1244" s="25"/>
      <c r="Q1244" s="25"/>
      <c r="R1244" s="25"/>
      <c r="S1244" s="25"/>
      <c r="T1244" s="25"/>
      <c r="U1244" s="25"/>
      <c r="V1244" s="25"/>
      <c r="W1244" s="25"/>
      <c r="X1244" s="25"/>
      <c r="Y1244" s="25"/>
      <c r="Z1244" s="25"/>
      <c r="AA1244" s="25"/>
      <c r="AB1244" s="25"/>
      <c r="AC1244" s="25"/>
      <c r="AD1244" s="25"/>
      <c r="AE1244" s="25"/>
      <c r="AF1244" s="25"/>
      <c r="AG1244" s="25"/>
      <c r="AH1244" s="25"/>
      <c r="AI1244" s="25"/>
      <c r="AJ1244" s="25"/>
      <c r="AK1244" s="25"/>
      <c r="AL1244" s="25"/>
      <c r="AM1244" s="25"/>
      <c r="AN1244" s="25"/>
      <c r="AO1244" s="25"/>
      <c r="AP1244" s="25"/>
      <c r="AQ1244" s="25"/>
      <c r="AR1244" s="25"/>
      <c r="AS1244" s="25"/>
      <c r="AT1244" s="25"/>
      <c r="AU1244" s="25"/>
      <c r="AV1244" s="25"/>
      <c r="AW1244" s="25"/>
      <c r="AX1244" s="25"/>
    </row>
    <row r="1245" ht="15.75" customHeight="1">
      <c r="A1245" s="25"/>
      <c r="B1245" s="25"/>
      <c r="C1245" s="27"/>
      <c r="D1245" s="28"/>
      <c r="E1245" s="28"/>
      <c r="F1245" s="25"/>
      <c r="G1245" s="25"/>
      <c r="H1245" s="25"/>
      <c r="I1245" s="25"/>
      <c r="J1245" s="25"/>
      <c r="K1245" s="25"/>
      <c r="L1245" s="25"/>
      <c r="M1245" s="25"/>
      <c r="N1245" s="25"/>
      <c r="O1245" s="25"/>
      <c r="P1245" s="25"/>
      <c r="Q1245" s="25"/>
      <c r="R1245" s="25"/>
      <c r="S1245" s="25"/>
      <c r="T1245" s="25"/>
      <c r="U1245" s="25"/>
      <c r="V1245" s="25"/>
      <c r="W1245" s="25"/>
      <c r="X1245" s="25"/>
      <c r="Y1245" s="25"/>
      <c r="Z1245" s="25"/>
      <c r="AA1245" s="25"/>
      <c r="AB1245" s="25"/>
      <c r="AC1245" s="25"/>
      <c r="AD1245" s="25"/>
      <c r="AE1245" s="25"/>
      <c r="AF1245" s="25"/>
      <c r="AG1245" s="25"/>
      <c r="AH1245" s="25"/>
      <c r="AI1245" s="25"/>
      <c r="AJ1245" s="25"/>
      <c r="AK1245" s="25"/>
      <c r="AL1245" s="25"/>
      <c r="AM1245" s="25"/>
      <c r="AN1245" s="25"/>
      <c r="AO1245" s="25"/>
      <c r="AP1245" s="25"/>
      <c r="AQ1245" s="25"/>
      <c r="AR1245" s="25"/>
      <c r="AS1245" s="25"/>
      <c r="AT1245" s="25"/>
      <c r="AU1245" s="25"/>
      <c r="AV1245" s="25"/>
      <c r="AW1245" s="25"/>
      <c r="AX1245" s="25"/>
    </row>
    <row r="1246" ht="15.75" customHeight="1">
      <c r="A1246" s="25"/>
      <c r="B1246" s="25"/>
      <c r="C1246" s="27"/>
      <c r="D1246" s="28"/>
      <c r="E1246" s="28"/>
      <c r="F1246" s="25"/>
      <c r="G1246" s="25"/>
      <c r="H1246" s="25"/>
      <c r="I1246" s="25"/>
      <c r="J1246" s="25"/>
      <c r="K1246" s="25"/>
      <c r="L1246" s="25"/>
      <c r="M1246" s="25"/>
      <c r="N1246" s="25"/>
      <c r="O1246" s="25"/>
      <c r="P1246" s="25"/>
      <c r="Q1246" s="25"/>
      <c r="R1246" s="25"/>
      <c r="S1246" s="25"/>
      <c r="T1246" s="25"/>
      <c r="U1246" s="25"/>
      <c r="V1246" s="25"/>
      <c r="W1246" s="25"/>
      <c r="X1246" s="25"/>
      <c r="Y1246" s="25"/>
      <c r="Z1246" s="25"/>
      <c r="AA1246" s="25"/>
      <c r="AB1246" s="25"/>
      <c r="AC1246" s="25"/>
      <c r="AD1246" s="25"/>
      <c r="AE1246" s="25"/>
      <c r="AF1246" s="25"/>
      <c r="AG1246" s="25"/>
      <c r="AH1246" s="25"/>
      <c r="AI1246" s="25"/>
      <c r="AJ1246" s="25"/>
      <c r="AK1246" s="25"/>
      <c r="AL1246" s="25"/>
      <c r="AM1246" s="25"/>
      <c r="AN1246" s="25"/>
      <c r="AO1246" s="25"/>
      <c r="AP1246" s="25"/>
      <c r="AQ1246" s="25"/>
      <c r="AR1246" s="25"/>
      <c r="AS1246" s="25"/>
      <c r="AT1246" s="25"/>
      <c r="AU1246" s="25"/>
      <c r="AV1246" s="25"/>
      <c r="AW1246" s="25"/>
      <c r="AX1246" s="25"/>
    </row>
    <row r="1247" ht="15.75" customHeight="1">
      <c r="A1247" s="25"/>
      <c r="B1247" s="25"/>
      <c r="C1247" s="27"/>
      <c r="D1247" s="28"/>
      <c r="E1247" s="28"/>
      <c r="F1247" s="25"/>
      <c r="G1247" s="25"/>
      <c r="H1247" s="25"/>
      <c r="I1247" s="25"/>
      <c r="J1247" s="25"/>
      <c r="K1247" s="25"/>
      <c r="L1247" s="25"/>
      <c r="M1247" s="25"/>
      <c r="N1247" s="25"/>
      <c r="O1247" s="25"/>
      <c r="P1247" s="25"/>
      <c r="Q1247" s="25"/>
      <c r="R1247" s="25"/>
      <c r="S1247" s="25"/>
      <c r="T1247" s="25"/>
      <c r="U1247" s="25"/>
      <c r="V1247" s="25"/>
      <c r="W1247" s="25"/>
      <c r="X1247" s="25"/>
      <c r="Y1247" s="25"/>
      <c r="Z1247" s="25"/>
      <c r="AA1247" s="25"/>
      <c r="AB1247" s="25"/>
      <c r="AC1247" s="25"/>
      <c r="AD1247" s="25"/>
      <c r="AE1247" s="25"/>
      <c r="AF1247" s="25"/>
      <c r="AG1247" s="25"/>
      <c r="AH1247" s="25"/>
      <c r="AI1247" s="25"/>
      <c r="AJ1247" s="25"/>
      <c r="AK1247" s="25"/>
      <c r="AL1247" s="25"/>
      <c r="AM1247" s="25"/>
      <c r="AN1247" s="25"/>
      <c r="AO1247" s="25"/>
      <c r="AP1247" s="25"/>
      <c r="AQ1247" s="25"/>
      <c r="AR1247" s="25"/>
      <c r="AS1247" s="25"/>
      <c r="AT1247" s="25"/>
      <c r="AU1247" s="25"/>
      <c r="AV1247" s="25"/>
      <c r="AW1247" s="25"/>
      <c r="AX1247" s="25"/>
    </row>
    <row r="1248" ht="15.75" customHeight="1">
      <c r="A1248" s="25"/>
      <c r="B1248" s="25"/>
      <c r="C1248" s="27"/>
      <c r="D1248" s="28"/>
      <c r="E1248" s="28"/>
      <c r="F1248" s="25"/>
      <c r="G1248" s="25"/>
      <c r="H1248" s="25"/>
      <c r="I1248" s="25"/>
      <c r="J1248" s="25"/>
      <c r="K1248" s="25"/>
      <c r="L1248" s="25"/>
      <c r="M1248" s="25"/>
      <c r="N1248" s="25"/>
      <c r="O1248" s="25"/>
      <c r="P1248" s="25"/>
      <c r="Q1248" s="25"/>
      <c r="R1248" s="25"/>
      <c r="S1248" s="25"/>
      <c r="T1248" s="25"/>
      <c r="U1248" s="25"/>
      <c r="V1248" s="25"/>
      <c r="W1248" s="25"/>
      <c r="X1248" s="25"/>
      <c r="Y1248" s="25"/>
      <c r="Z1248" s="25"/>
      <c r="AA1248" s="25"/>
      <c r="AB1248" s="25"/>
      <c r="AC1248" s="25"/>
      <c r="AD1248" s="25"/>
      <c r="AE1248" s="25"/>
      <c r="AF1248" s="25"/>
      <c r="AG1248" s="25"/>
      <c r="AH1248" s="25"/>
      <c r="AI1248" s="25"/>
      <c r="AJ1248" s="25"/>
      <c r="AK1248" s="25"/>
      <c r="AL1248" s="25"/>
      <c r="AM1248" s="25"/>
      <c r="AN1248" s="25"/>
      <c r="AO1248" s="25"/>
      <c r="AP1248" s="25"/>
      <c r="AQ1248" s="25"/>
      <c r="AR1248" s="25"/>
      <c r="AS1248" s="25"/>
      <c r="AT1248" s="25"/>
      <c r="AU1248" s="25"/>
      <c r="AV1248" s="25"/>
      <c r="AW1248" s="25"/>
      <c r="AX1248" s="25"/>
    </row>
    <row r="1249" ht="15.75" customHeight="1">
      <c r="A1249" s="25"/>
      <c r="B1249" s="25"/>
      <c r="C1249" s="27"/>
      <c r="D1249" s="28"/>
      <c r="E1249" s="28"/>
      <c r="F1249" s="25"/>
      <c r="G1249" s="25"/>
      <c r="H1249" s="25"/>
      <c r="I1249" s="25"/>
      <c r="J1249" s="25"/>
      <c r="K1249" s="25"/>
      <c r="L1249" s="25"/>
      <c r="M1249" s="25"/>
      <c r="N1249" s="25"/>
      <c r="O1249" s="25"/>
      <c r="P1249" s="25"/>
      <c r="Q1249" s="25"/>
      <c r="R1249" s="25"/>
      <c r="S1249" s="25"/>
      <c r="T1249" s="25"/>
      <c r="U1249" s="25"/>
      <c r="V1249" s="25"/>
      <c r="W1249" s="25"/>
      <c r="X1249" s="25"/>
      <c r="Y1249" s="25"/>
      <c r="Z1249" s="25"/>
      <c r="AA1249" s="25"/>
      <c r="AB1249" s="25"/>
      <c r="AC1249" s="25"/>
      <c r="AD1249" s="25"/>
      <c r="AE1249" s="25"/>
      <c r="AF1249" s="25"/>
      <c r="AG1249" s="25"/>
      <c r="AH1249" s="25"/>
      <c r="AI1249" s="25"/>
      <c r="AJ1249" s="25"/>
      <c r="AK1249" s="25"/>
      <c r="AL1249" s="25"/>
      <c r="AM1249" s="25"/>
      <c r="AN1249" s="25"/>
      <c r="AO1249" s="25"/>
      <c r="AP1249" s="25"/>
      <c r="AQ1249" s="25"/>
      <c r="AR1249" s="25"/>
      <c r="AS1249" s="25"/>
      <c r="AT1249" s="25"/>
      <c r="AU1249" s="25"/>
      <c r="AV1249" s="25"/>
      <c r="AW1249" s="25"/>
      <c r="AX1249" s="25"/>
    </row>
    <row r="1250" ht="15.75" customHeight="1">
      <c r="A1250" s="25"/>
      <c r="B1250" s="25"/>
      <c r="C1250" s="27"/>
      <c r="D1250" s="28"/>
      <c r="E1250" s="28"/>
      <c r="F1250" s="25"/>
      <c r="G1250" s="25"/>
      <c r="H1250" s="25"/>
      <c r="I1250" s="25"/>
      <c r="J1250" s="25"/>
      <c r="K1250" s="25"/>
      <c r="L1250" s="25"/>
      <c r="M1250" s="25"/>
      <c r="N1250" s="25"/>
      <c r="O1250" s="25"/>
      <c r="P1250" s="25"/>
      <c r="Q1250" s="25"/>
      <c r="R1250" s="25"/>
      <c r="S1250" s="25"/>
      <c r="T1250" s="25"/>
      <c r="U1250" s="25"/>
      <c r="V1250" s="25"/>
      <c r="W1250" s="25"/>
      <c r="X1250" s="25"/>
      <c r="Y1250" s="25"/>
      <c r="Z1250" s="25"/>
      <c r="AA1250" s="25"/>
      <c r="AB1250" s="25"/>
      <c r="AC1250" s="25"/>
      <c r="AD1250" s="25"/>
      <c r="AE1250" s="25"/>
      <c r="AF1250" s="25"/>
      <c r="AG1250" s="25"/>
      <c r="AH1250" s="25"/>
      <c r="AI1250" s="25"/>
      <c r="AJ1250" s="25"/>
      <c r="AK1250" s="25"/>
      <c r="AL1250" s="25"/>
      <c r="AM1250" s="25"/>
      <c r="AN1250" s="25"/>
      <c r="AO1250" s="25"/>
      <c r="AP1250" s="25"/>
      <c r="AQ1250" s="25"/>
      <c r="AR1250" s="25"/>
      <c r="AS1250" s="25"/>
      <c r="AT1250" s="25"/>
      <c r="AU1250" s="25"/>
      <c r="AV1250" s="25"/>
      <c r="AW1250" s="25"/>
      <c r="AX1250" s="25"/>
    </row>
    <row r="1251" ht="15.75" customHeight="1">
      <c r="A1251" s="25"/>
      <c r="B1251" s="25"/>
      <c r="C1251" s="27"/>
      <c r="D1251" s="28"/>
      <c r="E1251" s="28"/>
      <c r="F1251" s="25"/>
      <c r="G1251" s="25"/>
      <c r="H1251" s="25"/>
      <c r="I1251" s="25"/>
      <c r="J1251" s="25"/>
      <c r="K1251" s="25"/>
      <c r="L1251" s="25"/>
      <c r="M1251" s="25"/>
      <c r="N1251" s="25"/>
      <c r="O1251" s="25"/>
      <c r="P1251" s="25"/>
      <c r="Q1251" s="25"/>
      <c r="R1251" s="25"/>
      <c r="S1251" s="25"/>
      <c r="T1251" s="25"/>
      <c r="U1251" s="25"/>
      <c r="V1251" s="25"/>
      <c r="W1251" s="25"/>
      <c r="X1251" s="25"/>
      <c r="Y1251" s="25"/>
      <c r="Z1251" s="25"/>
      <c r="AA1251" s="25"/>
      <c r="AB1251" s="25"/>
      <c r="AC1251" s="25"/>
      <c r="AD1251" s="25"/>
      <c r="AE1251" s="25"/>
      <c r="AF1251" s="25"/>
      <c r="AG1251" s="25"/>
      <c r="AH1251" s="25"/>
      <c r="AI1251" s="25"/>
      <c r="AJ1251" s="25"/>
      <c r="AK1251" s="25"/>
      <c r="AL1251" s="25"/>
      <c r="AM1251" s="25"/>
      <c r="AN1251" s="25"/>
      <c r="AO1251" s="25"/>
      <c r="AP1251" s="25"/>
      <c r="AQ1251" s="25"/>
      <c r="AR1251" s="25"/>
      <c r="AS1251" s="25"/>
      <c r="AT1251" s="25"/>
      <c r="AU1251" s="25"/>
      <c r="AV1251" s="25"/>
      <c r="AW1251" s="25"/>
      <c r="AX1251" s="25"/>
    </row>
    <row r="1252" ht="15.75" customHeight="1">
      <c r="A1252" s="25"/>
      <c r="B1252" s="25"/>
      <c r="C1252" s="27"/>
      <c r="D1252" s="28"/>
      <c r="E1252" s="28"/>
      <c r="F1252" s="25"/>
      <c r="G1252" s="25"/>
      <c r="H1252" s="25"/>
      <c r="I1252" s="25"/>
      <c r="J1252" s="25"/>
      <c r="K1252" s="25"/>
      <c r="L1252" s="25"/>
      <c r="M1252" s="25"/>
      <c r="N1252" s="25"/>
      <c r="O1252" s="25"/>
      <c r="P1252" s="25"/>
      <c r="Q1252" s="25"/>
      <c r="R1252" s="25"/>
      <c r="S1252" s="25"/>
      <c r="T1252" s="25"/>
      <c r="U1252" s="25"/>
      <c r="V1252" s="25"/>
      <c r="W1252" s="25"/>
      <c r="X1252" s="25"/>
      <c r="Y1252" s="25"/>
      <c r="Z1252" s="25"/>
      <c r="AA1252" s="25"/>
      <c r="AB1252" s="25"/>
      <c r="AC1252" s="25"/>
      <c r="AD1252" s="25"/>
      <c r="AE1252" s="25"/>
      <c r="AF1252" s="25"/>
      <c r="AG1252" s="25"/>
      <c r="AH1252" s="25"/>
      <c r="AI1252" s="25"/>
      <c r="AJ1252" s="25"/>
      <c r="AK1252" s="25"/>
      <c r="AL1252" s="25"/>
      <c r="AM1252" s="25"/>
      <c r="AN1252" s="25"/>
      <c r="AO1252" s="25"/>
      <c r="AP1252" s="25"/>
      <c r="AQ1252" s="25"/>
      <c r="AR1252" s="25"/>
      <c r="AS1252" s="25"/>
      <c r="AT1252" s="25"/>
      <c r="AU1252" s="25"/>
      <c r="AV1252" s="25"/>
      <c r="AW1252" s="25"/>
      <c r="AX1252" s="25"/>
    </row>
    <row r="1253" ht="15.75" customHeight="1">
      <c r="A1253" s="25"/>
      <c r="B1253" s="25"/>
      <c r="C1253" s="27"/>
      <c r="D1253" s="28"/>
      <c r="E1253" s="28"/>
      <c r="F1253" s="25"/>
      <c r="G1253" s="25"/>
      <c r="H1253" s="25"/>
      <c r="I1253" s="25"/>
      <c r="J1253" s="25"/>
      <c r="K1253" s="25"/>
      <c r="L1253" s="25"/>
      <c r="M1253" s="25"/>
      <c r="N1253" s="25"/>
      <c r="O1253" s="25"/>
      <c r="P1253" s="25"/>
      <c r="Q1253" s="25"/>
      <c r="R1253" s="25"/>
      <c r="S1253" s="25"/>
      <c r="T1253" s="25"/>
      <c r="U1253" s="25"/>
      <c r="V1253" s="25"/>
      <c r="W1253" s="25"/>
      <c r="X1253" s="25"/>
      <c r="Y1253" s="25"/>
      <c r="Z1253" s="25"/>
      <c r="AA1253" s="25"/>
      <c r="AB1253" s="25"/>
      <c r="AC1253" s="25"/>
      <c r="AD1253" s="25"/>
      <c r="AE1253" s="25"/>
      <c r="AF1253" s="25"/>
      <c r="AG1253" s="25"/>
      <c r="AH1253" s="25"/>
      <c r="AI1253" s="25"/>
      <c r="AJ1253" s="25"/>
      <c r="AK1253" s="25"/>
      <c r="AL1253" s="25"/>
      <c r="AM1253" s="25"/>
      <c r="AN1253" s="25"/>
      <c r="AO1253" s="25"/>
      <c r="AP1253" s="25"/>
      <c r="AQ1253" s="25"/>
      <c r="AR1253" s="25"/>
      <c r="AS1253" s="25"/>
      <c r="AT1253" s="25"/>
      <c r="AU1253" s="25"/>
      <c r="AV1253" s="25"/>
      <c r="AW1253" s="25"/>
      <c r="AX1253" s="25"/>
    </row>
    <row r="1254" ht="15.75" customHeight="1">
      <c r="A1254" s="25"/>
      <c r="B1254" s="25"/>
      <c r="C1254" s="27"/>
      <c r="D1254" s="28"/>
      <c r="E1254" s="28"/>
      <c r="F1254" s="25"/>
      <c r="G1254" s="25"/>
      <c r="H1254" s="25"/>
      <c r="I1254" s="25"/>
      <c r="J1254" s="25"/>
      <c r="K1254" s="25"/>
      <c r="L1254" s="25"/>
      <c r="M1254" s="25"/>
      <c r="N1254" s="25"/>
      <c r="O1254" s="25"/>
      <c r="P1254" s="25"/>
      <c r="Q1254" s="25"/>
      <c r="R1254" s="25"/>
      <c r="S1254" s="25"/>
      <c r="T1254" s="25"/>
      <c r="U1254" s="25"/>
      <c r="V1254" s="25"/>
      <c r="W1254" s="25"/>
      <c r="X1254" s="25"/>
      <c r="Y1254" s="25"/>
      <c r="Z1254" s="25"/>
      <c r="AA1254" s="25"/>
      <c r="AB1254" s="25"/>
      <c r="AC1254" s="25"/>
      <c r="AD1254" s="25"/>
      <c r="AE1254" s="25"/>
      <c r="AF1254" s="25"/>
      <c r="AG1254" s="25"/>
      <c r="AH1254" s="25"/>
      <c r="AI1254" s="25"/>
      <c r="AJ1254" s="25"/>
      <c r="AK1254" s="25"/>
      <c r="AL1254" s="25"/>
      <c r="AM1254" s="25"/>
      <c r="AN1254" s="25"/>
      <c r="AO1254" s="25"/>
      <c r="AP1254" s="25"/>
      <c r="AQ1254" s="25"/>
      <c r="AR1254" s="25"/>
      <c r="AS1254" s="25"/>
      <c r="AT1254" s="25"/>
      <c r="AU1254" s="25"/>
      <c r="AV1254" s="25"/>
      <c r="AW1254" s="25"/>
      <c r="AX1254" s="25"/>
    </row>
    <row r="1255" ht="15.75" customHeight="1">
      <c r="A1255" s="25"/>
      <c r="B1255" s="25"/>
      <c r="C1255" s="27"/>
      <c r="D1255" s="28"/>
      <c r="E1255" s="28"/>
      <c r="F1255" s="25"/>
      <c r="G1255" s="25"/>
      <c r="H1255" s="25"/>
      <c r="I1255" s="25"/>
      <c r="J1255" s="25"/>
      <c r="K1255" s="25"/>
      <c r="L1255" s="25"/>
      <c r="M1255" s="25"/>
      <c r="N1255" s="25"/>
      <c r="O1255" s="25"/>
      <c r="P1255" s="25"/>
      <c r="Q1255" s="25"/>
      <c r="R1255" s="25"/>
      <c r="S1255" s="25"/>
      <c r="T1255" s="25"/>
      <c r="U1255" s="25"/>
      <c r="V1255" s="25"/>
      <c r="W1255" s="25"/>
      <c r="X1255" s="25"/>
      <c r="Y1255" s="25"/>
      <c r="Z1255" s="25"/>
      <c r="AA1255" s="25"/>
      <c r="AB1255" s="25"/>
      <c r="AC1255" s="25"/>
      <c r="AD1255" s="25"/>
      <c r="AE1255" s="25"/>
      <c r="AF1255" s="25"/>
      <c r="AG1255" s="25"/>
      <c r="AH1255" s="25"/>
      <c r="AI1255" s="25"/>
      <c r="AJ1255" s="25"/>
      <c r="AK1255" s="25"/>
      <c r="AL1255" s="25"/>
      <c r="AM1255" s="25"/>
      <c r="AN1255" s="25"/>
      <c r="AO1255" s="25"/>
      <c r="AP1255" s="25"/>
      <c r="AQ1255" s="25"/>
      <c r="AR1255" s="25"/>
      <c r="AS1255" s="25"/>
      <c r="AT1255" s="25"/>
      <c r="AU1255" s="25"/>
      <c r="AV1255" s="25"/>
      <c r="AW1255" s="25"/>
      <c r="AX1255" s="25"/>
    </row>
    <row r="1256" ht="15.75" customHeight="1">
      <c r="A1256" s="25"/>
      <c r="B1256" s="25"/>
      <c r="C1256" s="27"/>
      <c r="D1256" s="28"/>
      <c r="E1256" s="28"/>
      <c r="F1256" s="25"/>
      <c r="G1256" s="25"/>
      <c r="H1256" s="25"/>
      <c r="I1256" s="25"/>
      <c r="J1256" s="25"/>
      <c r="K1256" s="25"/>
      <c r="L1256" s="25"/>
      <c r="M1256" s="25"/>
      <c r="N1256" s="25"/>
      <c r="O1256" s="25"/>
      <c r="P1256" s="25"/>
      <c r="Q1256" s="25"/>
      <c r="R1256" s="25"/>
      <c r="S1256" s="25"/>
      <c r="T1256" s="25"/>
      <c r="U1256" s="25"/>
      <c r="V1256" s="25"/>
      <c r="W1256" s="25"/>
      <c r="X1256" s="25"/>
      <c r="Y1256" s="25"/>
      <c r="Z1256" s="25"/>
      <c r="AA1256" s="25"/>
      <c r="AB1256" s="25"/>
      <c r="AC1256" s="25"/>
      <c r="AD1256" s="25"/>
      <c r="AE1256" s="25"/>
      <c r="AF1256" s="25"/>
      <c r="AG1256" s="25"/>
      <c r="AH1256" s="25"/>
      <c r="AI1256" s="25"/>
      <c r="AJ1256" s="25"/>
      <c r="AK1256" s="25"/>
      <c r="AL1256" s="25"/>
      <c r="AM1256" s="25"/>
      <c r="AN1256" s="25"/>
      <c r="AO1256" s="25"/>
      <c r="AP1256" s="25"/>
      <c r="AQ1256" s="25"/>
      <c r="AR1256" s="25"/>
      <c r="AS1256" s="25"/>
      <c r="AT1256" s="25"/>
      <c r="AU1256" s="25"/>
      <c r="AV1256" s="25"/>
      <c r="AW1256" s="25"/>
      <c r="AX1256" s="25"/>
    </row>
    <row r="1257" ht="15.75" customHeight="1">
      <c r="A1257" s="25"/>
      <c r="B1257" s="25"/>
      <c r="C1257" s="27"/>
      <c r="D1257" s="28"/>
      <c r="E1257" s="28"/>
      <c r="F1257" s="25"/>
      <c r="G1257" s="25"/>
      <c r="H1257" s="25"/>
      <c r="I1257" s="25"/>
      <c r="J1257" s="25"/>
      <c r="K1257" s="25"/>
      <c r="L1257" s="25"/>
      <c r="M1257" s="25"/>
      <c r="N1257" s="25"/>
      <c r="O1257" s="25"/>
      <c r="P1257" s="25"/>
      <c r="Q1257" s="25"/>
      <c r="R1257" s="25"/>
      <c r="S1257" s="25"/>
      <c r="T1257" s="25"/>
      <c r="U1257" s="25"/>
      <c r="V1257" s="25"/>
      <c r="W1257" s="25"/>
      <c r="X1257" s="25"/>
      <c r="Y1257" s="25"/>
      <c r="Z1257" s="25"/>
      <c r="AA1257" s="25"/>
      <c r="AB1257" s="25"/>
      <c r="AC1257" s="25"/>
      <c r="AD1257" s="25"/>
      <c r="AE1257" s="25"/>
      <c r="AF1257" s="25"/>
      <c r="AG1257" s="25"/>
      <c r="AH1257" s="25"/>
      <c r="AI1257" s="25"/>
      <c r="AJ1257" s="25"/>
      <c r="AK1257" s="25"/>
      <c r="AL1257" s="25"/>
      <c r="AM1257" s="25"/>
      <c r="AN1257" s="25"/>
      <c r="AO1257" s="25"/>
      <c r="AP1257" s="25"/>
      <c r="AQ1257" s="25"/>
      <c r="AR1257" s="25"/>
      <c r="AS1257" s="25"/>
      <c r="AT1257" s="25"/>
      <c r="AU1257" s="25"/>
      <c r="AV1257" s="25"/>
      <c r="AW1257" s="25"/>
      <c r="AX1257" s="25"/>
    </row>
    <row r="1258" ht="15.75" customHeight="1">
      <c r="A1258" s="25"/>
      <c r="B1258" s="25"/>
      <c r="C1258" s="27"/>
      <c r="D1258" s="28"/>
      <c r="E1258" s="28"/>
      <c r="F1258" s="25"/>
      <c r="G1258" s="25"/>
      <c r="H1258" s="25"/>
      <c r="I1258" s="25"/>
      <c r="J1258" s="25"/>
      <c r="K1258" s="25"/>
      <c r="L1258" s="25"/>
      <c r="M1258" s="25"/>
      <c r="N1258" s="25"/>
      <c r="O1258" s="25"/>
      <c r="P1258" s="25"/>
      <c r="Q1258" s="25"/>
      <c r="R1258" s="25"/>
      <c r="S1258" s="25"/>
      <c r="T1258" s="25"/>
      <c r="U1258" s="25"/>
      <c r="V1258" s="25"/>
      <c r="W1258" s="25"/>
      <c r="X1258" s="25"/>
      <c r="Y1258" s="25"/>
      <c r="Z1258" s="25"/>
      <c r="AA1258" s="25"/>
      <c r="AB1258" s="25"/>
      <c r="AC1258" s="25"/>
      <c r="AD1258" s="25"/>
      <c r="AE1258" s="25"/>
      <c r="AF1258" s="25"/>
      <c r="AG1258" s="25"/>
      <c r="AH1258" s="25"/>
      <c r="AI1258" s="25"/>
      <c r="AJ1258" s="25"/>
      <c r="AK1258" s="25"/>
      <c r="AL1258" s="25"/>
      <c r="AM1258" s="25"/>
      <c r="AN1258" s="25"/>
      <c r="AO1258" s="25"/>
      <c r="AP1258" s="25"/>
      <c r="AQ1258" s="25"/>
      <c r="AR1258" s="25"/>
      <c r="AS1258" s="25"/>
      <c r="AT1258" s="25"/>
      <c r="AU1258" s="25"/>
      <c r="AV1258" s="25"/>
      <c r="AW1258" s="25"/>
      <c r="AX1258" s="25"/>
    </row>
    <row r="1259" ht="15.75" customHeight="1">
      <c r="A1259" s="25"/>
      <c r="B1259" s="25"/>
      <c r="C1259" s="27"/>
      <c r="D1259" s="28"/>
      <c r="E1259" s="28"/>
      <c r="F1259" s="25"/>
      <c r="G1259" s="25"/>
      <c r="H1259" s="25"/>
      <c r="I1259" s="25"/>
      <c r="J1259" s="25"/>
      <c r="K1259" s="25"/>
      <c r="L1259" s="25"/>
      <c r="M1259" s="25"/>
      <c r="N1259" s="25"/>
      <c r="O1259" s="25"/>
      <c r="P1259" s="25"/>
      <c r="Q1259" s="25"/>
      <c r="R1259" s="25"/>
      <c r="S1259" s="25"/>
      <c r="T1259" s="25"/>
      <c r="U1259" s="25"/>
      <c r="V1259" s="25"/>
      <c r="W1259" s="25"/>
      <c r="X1259" s="25"/>
      <c r="Y1259" s="25"/>
      <c r="Z1259" s="25"/>
      <c r="AA1259" s="25"/>
      <c r="AB1259" s="25"/>
      <c r="AC1259" s="25"/>
      <c r="AD1259" s="25"/>
      <c r="AE1259" s="25"/>
      <c r="AF1259" s="25"/>
      <c r="AG1259" s="25"/>
      <c r="AH1259" s="25"/>
      <c r="AI1259" s="25"/>
      <c r="AJ1259" s="25"/>
      <c r="AK1259" s="25"/>
      <c r="AL1259" s="25"/>
      <c r="AM1259" s="25"/>
      <c r="AN1259" s="25"/>
      <c r="AO1259" s="25"/>
      <c r="AP1259" s="25"/>
      <c r="AQ1259" s="25"/>
      <c r="AR1259" s="25"/>
      <c r="AS1259" s="25"/>
      <c r="AT1259" s="25"/>
      <c r="AU1259" s="25"/>
      <c r="AV1259" s="25"/>
      <c r="AW1259" s="25"/>
      <c r="AX1259" s="25"/>
    </row>
    <row r="1260" ht="15.75" customHeight="1">
      <c r="A1260" s="25"/>
      <c r="B1260" s="25"/>
      <c r="C1260" s="27"/>
      <c r="D1260" s="28"/>
      <c r="E1260" s="28"/>
      <c r="F1260" s="25"/>
      <c r="G1260" s="25"/>
      <c r="H1260" s="25"/>
      <c r="I1260" s="25"/>
      <c r="J1260" s="25"/>
      <c r="K1260" s="25"/>
      <c r="L1260" s="25"/>
      <c r="M1260" s="25"/>
      <c r="N1260" s="25"/>
      <c r="O1260" s="25"/>
      <c r="P1260" s="25"/>
      <c r="Q1260" s="25"/>
      <c r="R1260" s="25"/>
      <c r="S1260" s="25"/>
      <c r="T1260" s="25"/>
      <c r="U1260" s="25"/>
      <c r="V1260" s="25"/>
      <c r="W1260" s="25"/>
      <c r="X1260" s="25"/>
      <c r="Y1260" s="25"/>
      <c r="Z1260" s="25"/>
      <c r="AA1260" s="25"/>
      <c r="AB1260" s="25"/>
      <c r="AC1260" s="25"/>
      <c r="AD1260" s="25"/>
      <c r="AE1260" s="25"/>
      <c r="AF1260" s="25"/>
      <c r="AG1260" s="25"/>
      <c r="AH1260" s="25"/>
      <c r="AI1260" s="25"/>
      <c r="AJ1260" s="25"/>
      <c r="AK1260" s="25"/>
      <c r="AL1260" s="25"/>
      <c r="AM1260" s="25"/>
      <c r="AN1260" s="25"/>
      <c r="AO1260" s="25"/>
      <c r="AP1260" s="25"/>
      <c r="AQ1260" s="25"/>
      <c r="AR1260" s="25"/>
      <c r="AS1260" s="25"/>
      <c r="AT1260" s="25"/>
      <c r="AU1260" s="25"/>
      <c r="AV1260" s="25"/>
      <c r="AW1260" s="25"/>
      <c r="AX1260" s="25"/>
    </row>
    <row r="1261" ht="15.75" customHeight="1">
      <c r="A1261" s="25"/>
      <c r="B1261" s="25"/>
      <c r="C1261" s="27"/>
      <c r="D1261" s="28"/>
      <c r="E1261" s="28"/>
      <c r="F1261" s="25"/>
      <c r="G1261" s="25"/>
      <c r="H1261" s="25"/>
      <c r="I1261" s="25"/>
      <c r="J1261" s="25"/>
      <c r="K1261" s="25"/>
      <c r="L1261" s="25"/>
      <c r="M1261" s="25"/>
      <c r="N1261" s="25"/>
      <c r="O1261" s="25"/>
      <c r="P1261" s="25"/>
      <c r="Q1261" s="25"/>
      <c r="R1261" s="25"/>
      <c r="S1261" s="25"/>
      <c r="T1261" s="25"/>
      <c r="U1261" s="25"/>
      <c r="V1261" s="25"/>
      <c r="W1261" s="25"/>
      <c r="X1261" s="25"/>
      <c r="Y1261" s="25"/>
      <c r="Z1261" s="25"/>
      <c r="AA1261" s="25"/>
      <c r="AB1261" s="25"/>
      <c r="AC1261" s="25"/>
      <c r="AD1261" s="25"/>
      <c r="AE1261" s="25"/>
      <c r="AF1261" s="25"/>
      <c r="AG1261" s="25"/>
      <c r="AH1261" s="25"/>
      <c r="AI1261" s="25"/>
      <c r="AJ1261" s="25"/>
      <c r="AK1261" s="25"/>
      <c r="AL1261" s="25"/>
      <c r="AM1261" s="25"/>
      <c r="AN1261" s="25"/>
      <c r="AO1261" s="25"/>
      <c r="AP1261" s="25"/>
      <c r="AQ1261" s="25"/>
      <c r="AR1261" s="25"/>
      <c r="AS1261" s="25"/>
      <c r="AT1261" s="25"/>
      <c r="AU1261" s="25"/>
      <c r="AV1261" s="25"/>
      <c r="AW1261" s="25"/>
      <c r="AX1261" s="25"/>
    </row>
    <row r="1262" ht="15.75" customHeight="1">
      <c r="A1262" s="25"/>
      <c r="B1262" s="25"/>
      <c r="C1262" s="27"/>
      <c r="D1262" s="28"/>
      <c r="E1262" s="28"/>
      <c r="F1262" s="25"/>
      <c r="G1262" s="25"/>
      <c r="H1262" s="25"/>
      <c r="I1262" s="25"/>
      <c r="J1262" s="25"/>
      <c r="K1262" s="25"/>
      <c r="L1262" s="25"/>
      <c r="M1262" s="25"/>
      <c r="N1262" s="25"/>
      <c r="O1262" s="25"/>
      <c r="P1262" s="25"/>
      <c r="Q1262" s="25"/>
      <c r="R1262" s="25"/>
      <c r="S1262" s="25"/>
      <c r="T1262" s="25"/>
      <c r="U1262" s="25"/>
      <c r="V1262" s="25"/>
      <c r="W1262" s="25"/>
      <c r="X1262" s="25"/>
      <c r="Y1262" s="25"/>
      <c r="Z1262" s="25"/>
      <c r="AA1262" s="25"/>
      <c r="AB1262" s="25"/>
      <c r="AC1262" s="25"/>
      <c r="AD1262" s="25"/>
      <c r="AE1262" s="25"/>
      <c r="AF1262" s="25"/>
      <c r="AG1262" s="25"/>
      <c r="AH1262" s="25"/>
      <c r="AI1262" s="25"/>
      <c r="AJ1262" s="25"/>
      <c r="AK1262" s="25"/>
      <c r="AL1262" s="25"/>
      <c r="AM1262" s="25"/>
      <c r="AN1262" s="25"/>
      <c r="AO1262" s="25"/>
      <c r="AP1262" s="25"/>
      <c r="AQ1262" s="25"/>
      <c r="AR1262" s="25"/>
      <c r="AS1262" s="25"/>
      <c r="AT1262" s="25"/>
      <c r="AU1262" s="25"/>
      <c r="AV1262" s="25"/>
      <c r="AW1262" s="25"/>
      <c r="AX1262" s="25"/>
    </row>
    <row r="1263" ht="15.75" customHeight="1">
      <c r="A1263" s="25"/>
      <c r="B1263" s="25"/>
      <c r="C1263" s="27"/>
      <c r="D1263" s="28"/>
      <c r="E1263" s="28"/>
      <c r="F1263" s="25"/>
      <c r="G1263" s="25"/>
      <c r="H1263" s="25"/>
      <c r="I1263" s="25"/>
      <c r="J1263" s="25"/>
      <c r="K1263" s="25"/>
      <c r="L1263" s="25"/>
      <c r="M1263" s="25"/>
      <c r="N1263" s="25"/>
      <c r="O1263" s="25"/>
      <c r="P1263" s="25"/>
      <c r="Q1263" s="25"/>
      <c r="R1263" s="25"/>
      <c r="S1263" s="25"/>
      <c r="T1263" s="25"/>
      <c r="U1263" s="25"/>
      <c r="V1263" s="25"/>
      <c r="W1263" s="25"/>
      <c r="X1263" s="25"/>
      <c r="Y1263" s="25"/>
      <c r="Z1263" s="25"/>
      <c r="AA1263" s="25"/>
      <c r="AB1263" s="25"/>
      <c r="AC1263" s="25"/>
      <c r="AD1263" s="25"/>
      <c r="AE1263" s="25"/>
      <c r="AF1263" s="25"/>
      <c r="AG1263" s="25"/>
      <c r="AH1263" s="25"/>
      <c r="AI1263" s="25"/>
      <c r="AJ1263" s="25"/>
      <c r="AK1263" s="25"/>
      <c r="AL1263" s="25"/>
      <c r="AM1263" s="25"/>
      <c r="AN1263" s="25"/>
      <c r="AO1263" s="25"/>
      <c r="AP1263" s="25"/>
      <c r="AQ1263" s="25"/>
      <c r="AR1263" s="25"/>
      <c r="AS1263" s="25"/>
      <c r="AT1263" s="25"/>
      <c r="AU1263" s="25"/>
      <c r="AV1263" s="25"/>
      <c r="AW1263" s="25"/>
      <c r="AX1263" s="25"/>
    </row>
    <row r="1264" ht="15.75" customHeight="1">
      <c r="A1264" s="25"/>
      <c r="B1264" s="25"/>
      <c r="C1264" s="27"/>
      <c r="D1264" s="28"/>
      <c r="E1264" s="28"/>
      <c r="F1264" s="25"/>
      <c r="G1264" s="25"/>
      <c r="H1264" s="25"/>
      <c r="I1264" s="25"/>
      <c r="J1264" s="25"/>
      <c r="K1264" s="25"/>
      <c r="L1264" s="25"/>
      <c r="M1264" s="25"/>
      <c r="N1264" s="25"/>
      <c r="O1264" s="25"/>
      <c r="P1264" s="25"/>
      <c r="Q1264" s="25"/>
      <c r="R1264" s="25"/>
      <c r="S1264" s="25"/>
      <c r="T1264" s="25"/>
      <c r="U1264" s="25"/>
      <c r="V1264" s="25"/>
      <c r="W1264" s="25"/>
      <c r="X1264" s="25"/>
      <c r="Y1264" s="25"/>
      <c r="Z1264" s="25"/>
      <c r="AA1264" s="25"/>
      <c r="AB1264" s="25"/>
      <c r="AC1264" s="25"/>
      <c r="AD1264" s="25"/>
      <c r="AE1264" s="25"/>
      <c r="AF1264" s="25"/>
      <c r="AG1264" s="25"/>
      <c r="AH1264" s="25"/>
      <c r="AI1264" s="25"/>
      <c r="AJ1264" s="25"/>
      <c r="AK1264" s="25"/>
      <c r="AL1264" s="25"/>
      <c r="AM1264" s="25"/>
      <c r="AN1264" s="25"/>
      <c r="AO1264" s="25"/>
      <c r="AP1264" s="25"/>
      <c r="AQ1264" s="25"/>
      <c r="AR1264" s="25"/>
      <c r="AS1264" s="25"/>
      <c r="AT1264" s="25"/>
      <c r="AU1264" s="25"/>
      <c r="AV1264" s="25"/>
      <c r="AW1264" s="25"/>
      <c r="AX1264" s="25"/>
    </row>
    <row r="1265" ht="15.75" customHeight="1">
      <c r="A1265" s="25"/>
      <c r="B1265" s="25"/>
      <c r="C1265" s="27"/>
      <c r="D1265" s="28"/>
      <c r="E1265" s="28"/>
      <c r="F1265" s="25"/>
      <c r="G1265" s="25"/>
      <c r="H1265" s="25"/>
      <c r="I1265" s="25"/>
      <c r="J1265" s="25"/>
      <c r="K1265" s="25"/>
      <c r="L1265" s="25"/>
      <c r="M1265" s="25"/>
      <c r="N1265" s="25"/>
      <c r="O1265" s="25"/>
      <c r="P1265" s="25"/>
      <c r="Q1265" s="25"/>
      <c r="R1265" s="25"/>
      <c r="S1265" s="25"/>
      <c r="T1265" s="25"/>
      <c r="U1265" s="25"/>
      <c r="V1265" s="25"/>
      <c r="W1265" s="25"/>
      <c r="X1265" s="25"/>
      <c r="Y1265" s="25"/>
      <c r="Z1265" s="25"/>
      <c r="AA1265" s="25"/>
      <c r="AB1265" s="25"/>
      <c r="AC1265" s="25"/>
      <c r="AD1265" s="25"/>
      <c r="AE1265" s="25"/>
      <c r="AF1265" s="25"/>
      <c r="AG1265" s="25"/>
      <c r="AH1265" s="25"/>
      <c r="AI1265" s="25"/>
      <c r="AJ1265" s="25"/>
      <c r="AK1265" s="25"/>
      <c r="AL1265" s="25"/>
      <c r="AM1265" s="25"/>
      <c r="AN1265" s="25"/>
      <c r="AO1265" s="25"/>
      <c r="AP1265" s="25"/>
      <c r="AQ1265" s="25"/>
      <c r="AR1265" s="25"/>
      <c r="AS1265" s="25"/>
      <c r="AT1265" s="25"/>
      <c r="AU1265" s="25"/>
      <c r="AV1265" s="25"/>
      <c r="AW1265" s="25"/>
      <c r="AX1265" s="25"/>
    </row>
    <row r="1266" ht="15.75" customHeight="1">
      <c r="A1266" s="25"/>
      <c r="B1266" s="25"/>
      <c r="C1266" s="27"/>
      <c r="D1266" s="28"/>
      <c r="E1266" s="28"/>
      <c r="F1266" s="25"/>
      <c r="G1266" s="25"/>
      <c r="H1266" s="25"/>
      <c r="I1266" s="25"/>
      <c r="J1266" s="25"/>
      <c r="K1266" s="25"/>
      <c r="L1266" s="25"/>
      <c r="M1266" s="25"/>
      <c r="N1266" s="25"/>
      <c r="O1266" s="25"/>
      <c r="P1266" s="25"/>
      <c r="Q1266" s="25"/>
      <c r="R1266" s="25"/>
      <c r="S1266" s="25"/>
      <c r="T1266" s="25"/>
      <c r="U1266" s="25"/>
      <c r="V1266" s="25"/>
      <c r="W1266" s="25"/>
      <c r="X1266" s="25"/>
      <c r="Y1266" s="25"/>
      <c r="Z1266" s="25"/>
      <c r="AA1266" s="25"/>
      <c r="AB1266" s="25"/>
      <c r="AC1266" s="25"/>
      <c r="AD1266" s="25"/>
      <c r="AE1266" s="25"/>
      <c r="AF1266" s="25"/>
      <c r="AG1266" s="25"/>
      <c r="AH1266" s="25"/>
      <c r="AI1266" s="25"/>
      <c r="AJ1266" s="25"/>
      <c r="AK1266" s="25"/>
      <c r="AL1266" s="25"/>
      <c r="AM1266" s="25"/>
      <c r="AN1266" s="25"/>
      <c r="AO1266" s="25"/>
      <c r="AP1266" s="25"/>
      <c r="AQ1266" s="25"/>
      <c r="AR1266" s="25"/>
      <c r="AS1266" s="25"/>
      <c r="AT1266" s="25"/>
      <c r="AU1266" s="25"/>
      <c r="AV1266" s="25"/>
      <c r="AW1266" s="25"/>
      <c r="AX1266" s="25"/>
    </row>
    <row r="1267" ht="15.75" customHeight="1">
      <c r="A1267" s="25"/>
      <c r="B1267" s="25"/>
      <c r="C1267" s="27"/>
      <c r="D1267" s="28"/>
      <c r="E1267" s="28"/>
      <c r="F1267" s="25"/>
      <c r="G1267" s="25"/>
      <c r="H1267" s="25"/>
      <c r="I1267" s="25"/>
      <c r="J1267" s="25"/>
      <c r="K1267" s="25"/>
      <c r="L1267" s="25"/>
      <c r="M1267" s="25"/>
      <c r="N1267" s="25"/>
      <c r="O1267" s="25"/>
      <c r="P1267" s="25"/>
      <c r="Q1267" s="25"/>
      <c r="R1267" s="25"/>
      <c r="S1267" s="25"/>
      <c r="T1267" s="25"/>
      <c r="U1267" s="25"/>
      <c r="V1267" s="25"/>
      <c r="W1267" s="25"/>
      <c r="X1267" s="25"/>
      <c r="Y1267" s="25"/>
      <c r="Z1267" s="25"/>
      <c r="AA1267" s="25"/>
      <c r="AB1267" s="25"/>
      <c r="AC1267" s="25"/>
      <c r="AD1267" s="25"/>
      <c r="AE1267" s="25"/>
      <c r="AF1267" s="25"/>
      <c r="AG1267" s="25"/>
      <c r="AH1267" s="25"/>
      <c r="AI1267" s="25"/>
      <c r="AJ1267" s="25"/>
      <c r="AK1267" s="25"/>
      <c r="AL1267" s="25"/>
      <c r="AM1267" s="25"/>
      <c r="AN1267" s="25"/>
      <c r="AO1267" s="25"/>
      <c r="AP1267" s="25"/>
      <c r="AQ1267" s="25"/>
      <c r="AR1267" s="25"/>
      <c r="AS1267" s="25"/>
      <c r="AT1267" s="25"/>
      <c r="AU1267" s="25"/>
      <c r="AV1267" s="25"/>
      <c r="AW1267" s="25"/>
      <c r="AX1267" s="25"/>
    </row>
    <row r="1268" ht="15.75" customHeight="1">
      <c r="A1268" s="25"/>
      <c r="B1268" s="25"/>
      <c r="C1268" s="27"/>
      <c r="D1268" s="28"/>
      <c r="E1268" s="28"/>
      <c r="F1268" s="25"/>
      <c r="G1268" s="25"/>
      <c r="H1268" s="25"/>
      <c r="I1268" s="25"/>
      <c r="J1268" s="25"/>
      <c r="K1268" s="25"/>
      <c r="L1268" s="25"/>
      <c r="M1268" s="25"/>
      <c r="N1268" s="25"/>
      <c r="O1268" s="25"/>
      <c r="P1268" s="25"/>
      <c r="Q1268" s="25"/>
      <c r="R1268" s="25"/>
      <c r="S1268" s="25"/>
      <c r="T1268" s="25"/>
      <c r="U1268" s="25"/>
      <c r="V1268" s="25"/>
      <c r="W1268" s="25"/>
      <c r="X1268" s="25"/>
      <c r="Y1268" s="25"/>
      <c r="Z1268" s="25"/>
      <c r="AA1268" s="25"/>
      <c r="AB1268" s="25"/>
      <c r="AC1268" s="25"/>
      <c r="AD1268" s="25"/>
      <c r="AE1268" s="25"/>
      <c r="AF1268" s="25"/>
      <c r="AG1268" s="25"/>
      <c r="AH1268" s="25"/>
      <c r="AI1268" s="25"/>
      <c r="AJ1268" s="25"/>
      <c r="AK1268" s="25"/>
      <c r="AL1268" s="25"/>
      <c r="AM1268" s="25"/>
      <c r="AN1268" s="25"/>
      <c r="AO1268" s="25"/>
      <c r="AP1268" s="25"/>
      <c r="AQ1268" s="25"/>
      <c r="AR1268" s="25"/>
      <c r="AS1268" s="25"/>
      <c r="AT1268" s="25"/>
      <c r="AU1268" s="25"/>
      <c r="AV1268" s="25"/>
      <c r="AW1268" s="25"/>
      <c r="AX1268" s="25"/>
    </row>
    <row r="1269" ht="15.75" customHeight="1">
      <c r="A1269" s="25"/>
      <c r="B1269" s="25"/>
      <c r="C1269" s="27"/>
      <c r="D1269" s="28"/>
      <c r="E1269" s="28"/>
      <c r="F1269" s="25"/>
      <c r="G1269" s="25"/>
      <c r="H1269" s="25"/>
      <c r="I1269" s="25"/>
      <c r="J1269" s="25"/>
      <c r="K1269" s="25"/>
      <c r="L1269" s="25"/>
      <c r="M1269" s="25"/>
      <c r="N1269" s="25"/>
      <c r="O1269" s="25"/>
      <c r="P1269" s="25"/>
      <c r="Q1269" s="25"/>
      <c r="R1269" s="25"/>
      <c r="S1269" s="25"/>
      <c r="T1269" s="25"/>
      <c r="U1269" s="25"/>
      <c r="V1269" s="25"/>
      <c r="W1269" s="25"/>
      <c r="X1269" s="25"/>
      <c r="Y1269" s="25"/>
      <c r="Z1269" s="25"/>
      <c r="AA1269" s="25"/>
      <c r="AB1269" s="25"/>
      <c r="AC1269" s="25"/>
      <c r="AD1269" s="25"/>
      <c r="AE1269" s="25"/>
      <c r="AF1269" s="25"/>
      <c r="AG1269" s="25"/>
      <c r="AH1269" s="25"/>
      <c r="AI1269" s="25"/>
      <c r="AJ1269" s="25"/>
      <c r="AK1269" s="25"/>
      <c r="AL1269" s="25"/>
      <c r="AM1269" s="25"/>
      <c r="AN1269" s="25"/>
      <c r="AO1269" s="25"/>
      <c r="AP1269" s="25"/>
      <c r="AQ1269" s="25"/>
      <c r="AR1269" s="25"/>
      <c r="AS1269" s="25"/>
      <c r="AT1269" s="25"/>
      <c r="AU1269" s="25"/>
      <c r="AV1269" s="25"/>
      <c r="AW1269" s="25"/>
      <c r="AX1269" s="25"/>
    </row>
    <row r="1270" ht="15.75" customHeight="1">
      <c r="A1270" s="25"/>
      <c r="B1270" s="25"/>
      <c r="C1270" s="27"/>
      <c r="D1270" s="28"/>
      <c r="E1270" s="28"/>
      <c r="F1270" s="25"/>
      <c r="G1270" s="25"/>
      <c r="H1270" s="25"/>
      <c r="I1270" s="25"/>
      <c r="J1270" s="25"/>
      <c r="K1270" s="25"/>
      <c r="L1270" s="25"/>
      <c r="M1270" s="25"/>
      <c r="N1270" s="25"/>
      <c r="O1270" s="25"/>
      <c r="P1270" s="25"/>
      <c r="Q1270" s="25"/>
      <c r="R1270" s="25"/>
      <c r="S1270" s="25"/>
      <c r="T1270" s="25"/>
      <c r="U1270" s="25"/>
      <c r="V1270" s="25"/>
      <c r="W1270" s="25"/>
      <c r="X1270" s="25"/>
      <c r="Y1270" s="25"/>
      <c r="Z1270" s="25"/>
      <c r="AA1270" s="25"/>
      <c r="AB1270" s="25"/>
      <c r="AC1270" s="25"/>
      <c r="AD1270" s="25"/>
      <c r="AE1270" s="25"/>
      <c r="AF1270" s="25"/>
      <c r="AG1270" s="25"/>
      <c r="AH1270" s="25"/>
      <c r="AI1270" s="25"/>
      <c r="AJ1270" s="25"/>
      <c r="AK1270" s="25"/>
      <c r="AL1270" s="25"/>
      <c r="AM1270" s="25"/>
      <c r="AN1270" s="25"/>
      <c r="AO1270" s="25"/>
      <c r="AP1270" s="25"/>
      <c r="AQ1270" s="25"/>
      <c r="AR1270" s="25"/>
      <c r="AS1270" s="25"/>
      <c r="AT1270" s="25"/>
      <c r="AU1270" s="25"/>
      <c r="AV1270" s="25"/>
      <c r="AW1270" s="25"/>
      <c r="AX1270" s="25"/>
    </row>
    <row r="1271" ht="15.75" customHeight="1">
      <c r="A1271" s="25"/>
      <c r="B1271" s="25"/>
      <c r="C1271" s="27"/>
      <c r="D1271" s="28"/>
      <c r="E1271" s="28"/>
      <c r="F1271" s="25"/>
      <c r="G1271" s="25"/>
      <c r="H1271" s="25"/>
      <c r="I1271" s="25"/>
      <c r="J1271" s="25"/>
      <c r="K1271" s="25"/>
      <c r="L1271" s="25"/>
      <c r="M1271" s="25"/>
      <c r="N1271" s="25"/>
      <c r="O1271" s="25"/>
      <c r="P1271" s="25"/>
      <c r="Q1271" s="25"/>
      <c r="R1271" s="25"/>
      <c r="S1271" s="25"/>
      <c r="T1271" s="25"/>
      <c r="U1271" s="25"/>
      <c r="V1271" s="25"/>
      <c r="W1271" s="25"/>
      <c r="X1271" s="25"/>
      <c r="Y1271" s="25"/>
      <c r="Z1271" s="25"/>
      <c r="AA1271" s="25"/>
      <c r="AB1271" s="25"/>
      <c r="AC1271" s="25"/>
      <c r="AD1271" s="25"/>
      <c r="AE1271" s="25"/>
      <c r="AF1271" s="25"/>
      <c r="AG1271" s="25"/>
      <c r="AH1271" s="25"/>
      <c r="AI1271" s="25"/>
      <c r="AJ1271" s="25"/>
      <c r="AK1271" s="25"/>
      <c r="AL1271" s="25"/>
      <c r="AM1271" s="25"/>
      <c r="AN1271" s="25"/>
      <c r="AO1271" s="25"/>
      <c r="AP1271" s="25"/>
      <c r="AQ1271" s="25"/>
      <c r="AR1271" s="25"/>
      <c r="AS1271" s="25"/>
      <c r="AT1271" s="25"/>
      <c r="AU1271" s="25"/>
      <c r="AV1271" s="25"/>
      <c r="AW1271" s="25"/>
      <c r="AX1271" s="25"/>
    </row>
    <row r="1272" ht="15.75" customHeight="1">
      <c r="A1272" s="25"/>
      <c r="B1272" s="25"/>
      <c r="C1272" s="27"/>
      <c r="D1272" s="28"/>
      <c r="E1272" s="28"/>
      <c r="F1272" s="25"/>
      <c r="G1272" s="25"/>
      <c r="H1272" s="25"/>
      <c r="I1272" s="25"/>
      <c r="J1272" s="25"/>
      <c r="K1272" s="25"/>
      <c r="L1272" s="25"/>
      <c r="M1272" s="25"/>
      <c r="N1272" s="25"/>
      <c r="O1272" s="25"/>
      <c r="P1272" s="25"/>
      <c r="Q1272" s="25"/>
      <c r="R1272" s="25"/>
      <c r="S1272" s="25"/>
      <c r="T1272" s="25"/>
      <c r="U1272" s="25"/>
      <c r="V1272" s="25"/>
      <c r="W1272" s="25"/>
      <c r="X1272" s="25"/>
      <c r="Y1272" s="25"/>
      <c r="Z1272" s="25"/>
      <c r="AA1272" s="25"/>
      <c r="AB1272" s="25"/>
      <c r="AC1272" s="25"/>
      <c r="AD1272" s="25"/>
      <c r="AE1272" s="25"/>
      <c r="AF1272" s="25"/>
      <c r="AG1272" s="25"/>
      <c r="AH1272" s="25"/>
      <c r="AI1272" s="25"/>
      <c r="AJ1272" s="25"/>
      <c r="AK1272" s="25"/>
      <c r="AL1272" s="25"/>
      <c r="AM1272" s="25"/>
      <c r="AN1272" s="25"/>
      <c r="AO1272" s="25"/>
      <c r="AP1272" s="25"/>
      <c r="AQ1272" s="25"/>
      <c r="AR1272" s="25"/>
      <c r="AS1272" s="25"/>
      <c r="AT1272" s="25"/>
      <c r="AU1272" s="25"/>
      <c r="AV1272" s="25"/>
      <c r="AW1272" s="25"/>
      <c r="AX1272" s="25"/>
    </row>
    <row r="1273" ht="15.75" customHeight="1">
      <c r="A1273" s="25"/>
      <c r="B1273" s="25"/>
      <c r="C1273" s="27"/>
      <c r="D1273" s="28"/>
      <c r="E1273" s="28"/>
      <c r="F1273" s="25"/>
      <c r="G1273" s="25"/>
      <c r="H1273" s="25"/>
      <c r="I1273" s="25"/>
      <c r="J1273" s="25"/>
      <c r="K1273" s="25"/>
      <c r="L1273" s="25"/>
      <c r="M1273" s="25"/>
      <c r="N1273" s="25"/>
      <c r="O1273" s="25"/>
      <c r="P1273" s="25"/>
      <c r="Q1273" s="25"/>
      <c r="R1273" s="25"/>
      <c r="S1273" s="25"/>
      <c r="T1273" s="25"/>
      <c r="U1273" s="25"/>
      <c r="V1273" s="25"/>
      <c r="W1273" s="25"/>
      <c r="X1273" s="25"/>
      <c r="Y1273" s="25"/>
      <c r="Z1273" s="25"/>
      <c r="AA1273" s="25"/>
      <c r="AB1273" s="25"/>
      <c r="AC1273" s="25"/>
      <c r="AD1273" s="25"/>
      <c r="AE1273" s="25"/>
      <c r="AF1273" s="25"/>
      <c r="AG1273" s="25"/>
      <c r="AH1273" s="25"/>
      <c r="AI1273" s="25"/>
      <c r="AJ1273" s="25"/>
      <c r="AK1273" s="25"/>
      <c r="AL1273" s="25"/>
      <c r="AM1273" s="25"/>
      <c r="AN1273" s="25"/>
      <c r="AO1273" s="25"/>
      <c r="AP1273" s="25"/>
      <c r="AQ1273" s="25"/>
      <c r="AR1273" s="25"/>
      <c r="AS1273" s="25"/>
      <c r="AT1273" s="25"/>
      <c r="AU1273" s="25"/>
      <c r="AV1273" s="25"/>
      <c r="AW1273" s="25"/>
      <c r="AX1273" s="25"/>
    </row>
    <row r="1274" ht="15.75" customHeight="1">
      <c r="A1274" s="25"/>
      <c r="B1274" s="25"/>
      <c r="C1274" s="27"/>
      <c r="D1274" s="28"/>
      <c r="E1274" s="28"/>
      <c r="F1274" s="25"/>
      <c r="G1274" s="25"/>
      <c r="H1274" s="25"/>
      <c r="I1274" s="25"/>
      <c r="J1274" s="25"/>
      <c r="K1274" s="25"/>
      <c r="L1274" s="25"/>
      <c r="M1274" s="25"/>
      <c r="N1274" s="25"/>
      <c r="O1274" s="25"/>
      <c r="P1274" s="25"/>
      <c r="Q1274" s="25"/>
      <c r="R1274" s="25"/>
      <c r="S1274" s="25"/>
      <c r="T1274" s="25"/>
      <c r="U1274" s="25"/>
      <c r="V1274" s="25"/>
      <c r="W1274" s="25"/>
      <c r="X1274" s="25"/>
      <c r="Y1274" s="25"/>
      <c r="Z1274" s="25"/>
      <c r="AA1274" s="25"/>
      <c r="AB1274" s="25"/>
      <c r="AC1274" s="25"/>
      <c r="AD1274" s="25"/>
      <c r="AE1274" s="25"/>
      <c r="AF1274" s="25"/>
      <c r="AG1274" s="25"/>
      <c r="AH1274" s="25"/>
      <c r="AI1274" s="25"/>
      <c r="AJ1274" s="25"/>
      <c r="AK1274" s="25"/>
      <c r="AL1274" s="25"/>
      <c r="AM1274" s="25"/>
      <c r="AN1274" s="25"/>
      <c r="AO1274" s="25"/>
      <c r="AP1274" s="25"/>
      <c r="AQ1274" s="25"/>
      <c r="AR1274" s="25"/>
      <c r="AS1274" s="25"/>
      <c r="AT1274" s="25"/>
      <c r="AU1274" s="25"/>
      <c r="AV1274" s="25"/>
      <c r="AW1274" s="25"/>
      <c r="AX1274" s="25"/>
    </row>
    <row r="1275" ht="15.75" customHeight="1">
      <c r="A1275" s="25"/>
      <c r="B1275" s="25"/>
      <c r="C1275" s="27"/>
      <c r="D1275" s="28"/>
      <c r="E1275" s="28"/>
      <c r="F1275" s="25"/>
      <c r="G1275" s="25"/>
      <c r="H1275" s="25"/>
      <c r="I1275" s="25"/>
      <c r="J1275" s="25"/>
      <c r="K1275" s="25"/>
      <c r="L1275" s="25"/>
      <c r="M1275" s="25"/>
      <c r="N1275" s="25"/>
      <c r="O1275" s="25"/>
      <c r="P1275" s="25"/>
      <c r="Q1275" s="25"/>
      <c r="R1275" s="25"/>
      <c r="S1275" s="25"/>
      <c r="T1275" s="25"/>
      <c r="U1275" s="25"/>
      <c r="V1275" s="25"/>
      <c r="W1275" s="25"/>
      <c r="X1275" s="25"/>
      <c r="Y1275" s="25"/>
      <c r="Z1275" s="25"/>
      <c r="AA1275" s="25"/>
      <c r="AB1275" s="25"/>
      <c r="AC1275" s="25"/>
      <c r="AD1275" s="25"/>
      <c r="AE1275" s="25"/>
      <c r="AF1275" s="25"/>
      <c r="AG1275" s="25"/>
      <c r="AH1275" s="25"/>
      <c r="AI1275" s="25"/>
      <c r="AJ1275" s="25"/>
      <c r="AK1275" s="25"/>
      <c r="AL1275" s="25"/>
      <c r="AM1275" s="25"/>
      <c r="AN1275" s="25"/>
      <c r="AO1275" s="25"/>
      <c r="AP1275" s="25"/>
      <c r="AQ1275" s="25"/>
      <c r="AR1275" s="25"/>
      <c r="AS1275" s="25"/>
      <c r="AT1275" s="25"/>
      <c r="AU1275" s="25"/>
      <c r="AV1275" s="25"/>
      <c r="AW1275" s="25"/>
      <c r="AX1275" s="25"/>
    </row>
    <row r="1276" ht="15.75" customHeight="1">
      <c r="A1276" s="25"/>
      <c r="B1276" s="25"/>
      <c r="C1276" s="27"/>
      <c r="D1276" s="28"/>
      <c r="E1276" s="28"/>
      <c r="F1276" s="25"/>
      <c r="G1276" s="25"/>
      <c r="H1276" s="25"/>
      <c r="I1276" s="25"/>
      <c r="J1276" s="25"/>
      <c r="K1276" s="25"/>
      <c r="L1276" s="25"/>
      <c r="M1276" s="25"/>
      <c r="N1276" s="25"/>
      <c r="O1276" s="25"/>
      <c r="P1276" s="25"/>
      <c r="Q1276" s="25"/>
      <c r="R1276" s="25"/>
      <c r="S1276" s="25"/>
      <c r="T1276" s="25"/>
      <c r="U1276" s="25"/>
      <c r="V1276" s="25"/>
      <c r="W1276" s="25"/>
      <c r="X1276" s="25"/>
      <c r="Y1276" s="25"/>
      <c r="Z1276" s="25"/>
      <c r="AA1276" s="25"/>
      <c r="AB1276" s="25"/>
      <c r="AC1276" s="25"/>
      <c r="AD1276" s="25"/>
      <c r="AE1276" s="25"/>
      <c r="AF1276" s="25"/>
      <c r="AG1276" s="25"/>
      <c r="AH1276" s="25"/>
      <c r="AI1276" s="25"/>
      <c r="AJ1276" s="25"/>
      <c r="AK1276" s="25"/>
      <c r="AL1276" s="25"/>
      <c r="AM1276" s="25"/>
      <c r="AN1276" s="25"/>
      <c r="AO1276" s="25"/>
      <c r="AP1276" s="25"/>
      <c r="AQ1276" s="25"/>
      <c r="AR1276" s="25"/>
      <c r="AS1276" s="25"/>
      <c r="AT1276" s="25"/>
      <c r="AU1276" s="25"/>
      <c r="AV1276" s="25"/>
      <c r="AW1276" s="25"/>
      <c r="AX1276" s="25"/>
    </row>
    <row r="1277" ht="15.75" customHeight="1">
      <c r="A1277" s="25"/>
      <c r="B1277" s="25"/>
      <c r="C1277" s="27"/>
      <c r="D1277" s="28"/>
      <c r="E1277" s="28"/>
      <c r="F1277" s="25"/>
      <c r="G1277" s="25"/>
      <c r="H1277" s="25"/>
      <c r="I1277" s="25"/>
      <c r="J1277" s="25"/>
      <c r="K1277" s="25"/>
      <c r="L1277" s="25"/>
      <c r="M1277" s="25"/>
      <c r="N1277" s="25"/>
      <c r="O1277" s="25"/>
      <c r="P1277" s="25"/>
      <c r="Q1277" s="25"/>
      <c r="R1277" s="25"/>
      <c r="S1277" s="25"/>
      <c r="T1277" s="25"/>
      <c r="U1277" s="25"/>
      <c r="V1277" s="25"/>
      <c r="W1277" s="25"/>
      <c r="X1277" s="25"/>
      <c r="Y1277" s="25"/>
      <c r="Z1277" s="25"/>
      <c r="AA1277" s="25"/>
      <c r="AB1277" s="25"/>
      <c r="AC1277" s="25"/>
      <c r="AD1277" s="25"/>
      <c r="AE1277" s="25"/>
      <c r="AF1277" s="25"/>
      <c r="AG1277" s="25"/>
      <c r="AH1277" s="25"/>
      <c r="AI1277" s="25"/>
      <c r="AJ1277" s="25"/>
      <c r="AK1277" s="25"/>
      <c r="AL1277" s="25"/>
      <c r="AM1277" s="25"/>
      <c r="AN1277" s="25"/>
      <c r="AO1277" s="25"/>
      <c r="AP1277" s="25"/>
      <c r="AQ1277" s="25"/>
      <c r="AR1277" s="25"/>
      <c r="AS1277" s="25"/>
      <c r="AT1277" s="25"/>
      <c r="AU1277" s="25"/>
      <c r="AV1277" s="25"/>
      <c r="AW1277" s="25"/>
      <c r="AX1277" s="25"/>
    </row>
    <row r="1278" ht="15.75" customHeight="1">
      <c r="A1278" s="25"/>
      <c r="B1278" s="25"/>
      <c r="C1278" s="27"/>
      <c r="D1278" s="28"/>
      <c r="E1278" s="28"/>
      <c r="F1278" s="25"/>
      <c r="G1278" s="25"/>
      <c r="H1278" s="25"/>
      <c r="I1278" s="25"/>
      <c r="J1278" s="25"/>
      <c r="K1278" s="25"/>
      <c r="L1278" s="25"/>
      <c r="M1278" s="25"/>
      <c r="N1278" s="25"/>
      <c r="O1278" s="25"/>
      <c r="P1278" s="25"/>
      <c r="Q1278" s="25"/>
      <c r="R1278" s="25"/>
      <c r="S1278" s="25"/>
      <c r="T1278" s="25"/>
      <c r="U1278" s="25"/>
      <c r="V1278" s="25"/>
      <c r="W1278" s="25"/>
      <c r="X1278" s="25"/>
      <c r="Y1278" s="25"/>
      <c r="Z1278" s="25"/>
      <c r="AA1278" s="25"/>
      <c r="AB1278" s="25"/>
      <c r="AC1278" s="25"/>
      <c r="AD1278" s="25"/>
      <c r="AE1278" s="25"/>
      <c r="AF1278" s="25"/>
      <c r="AG1278" s="25"/>
      <c r="AH1278" s="25"/>
      <c r="AI1278" s="25"/>
      <c r="AJ1278" s="25"/>
      <c r="AK1278" s="25"/>
      <c r="AL1278" s="25"/>
      <c r="AM1278" s="25"/>
      <c r="AN1278" s="25"/>
      <c r="AO1278" s="25"/>
      <c r="AP1278" s="25"/>
      <c r="AQ1278" s="25"/>
      <c r="AR1278" s="25"/>
      <c r="AS1278" s="25"/>
      <c r="AT1278" s="25"/>
      <c r="AU1278" s="25"/>
      <c r="AV1278" s="25"/>
      <c r="AW1278" s="25"/>
      <c r="AX1278" s="25"/>
    </row>
    <row r="1279" ht="15.75" customHeight="1">
      <c r="A1279" s="25"/>
      <c r="B1279" s="25"/>
      <c r="C1279" s="27"/>
      <c r="D1279" s="28"/>
      <c r="E1279" s="28"/>
      <c r="F1279" s="25"/>
      <c r="G1279" s="25"/>
      <c r="H1279" s="25"/>
      <c r="I1279" s="25"/>
      <c r="J1279" s="25"/>
      <c r="K1279" s="25"/>
      <c r="L1279" s="25"/>
      <c r="M1279" s="25"/>
      <c r="N1279" s="25"/>
      <c r="O1279" s="25"/>
      <c r="P1279" s="25"/>
      <c r="Q1279" s="25"/>
      <c r="R1279" s="25"/>
      <c r="S1279" s="25"/>
      <c r="T1279" s="25"/>
      <c r="U1279" s="25"/>
      <c r="V1279" s="25"/>
      <c r="W1279" s="25"/>
      <c r="X1279" s="25"/>
      <c r="Y1279" s="25"/>
      <c r="Z1279" s="25"/>
      <c r="AA1279" s="25"/>
      <c r="AB1279" s="25"/>
      <c r="AC1279" s="25"/>
      <c r="AD1279" s="25"/>
      <c r="AE1279" s="25"/>
      <c r="AF1279" s="25"/>
      <c r="AG1279" s="25"/>
      <c r="AH1279" s="25"/>
      <c r="AI1279" s="25"/>
      <c r="AJ1279" s="25"/>
      <c r="AK1279" s="25"/>
      <c r="AL1279" s="25"/>
      <c r="AM1279" s="25"/>
      <c r="AN1279" s="25"/>
      <c r="AO1279" s="25"/>
      <c r="AP1279" s="25"/>
      <c r="AQ1279" s="25"/>
      <c r="AR1279" s="25"/>
      <c r="AS1279" s="25"/>
      <c r="AT1279" s="25"/>
      <c r="AU1279" s="25"/>
      <c r="AV1279" s="25"/>
      <c r="AW1279" s="25"/>
      <c r="AX1279" s="25"/>
    </row>
    <row r="1280" ht="15.75" customHeight="1">
      <c r="A1280" s="25"/>
      <c r="B1280" s="25"/>
      <c r="C1280" s="27"/>
      <c r="D1280" s="28"/>
      <c r="E1280" s="28"/>
      <c r="F1280" s="25"/>
      <c r="G1280" s="25"/>
      <c r="H1280" s="25"/>
      <c r="I1280" s="25"/>
      <c r="J1280" s="25"/>
      <c r="K1280" s="25"/>
      <c r="L1280" s="25"/>
      <c r="M1280" s="25"/>
      <c r="N1280" s="25"/>
      <c r="O1280" s="25"/>
      <c r="P1280" s="25"/>
      <c r="Q1280" s="25"/>
      <c r="R1280" s="25"/>
      <c r="S1280" s="25"/>
      <c r="T1280" s="25"/>
      <c r="U1280" s="25"/>
      <c r="V1280" s="25"/>
      <c r="W1280" s="25"/>
      <c r="X1280" s="25"/>
      <c r="Y1280" s="25"/>
      <c r="Z1280" s="25"/>
      <c r="AA1280" s="25"/>
      <c r="AB1280" s="25"/>
      <c r="AC1280" s="25"/>
      <c r="AD1280" s="25"/>
      <c r="AE1280" s="25"/>
      <c r="AF1280" s="25"/>
      <c r="AG1280" s="25"/>
      <c r="AH1280" s="25"/>
      <c r="AI1280" s="25"/>
      <c r="AJ1280" s="25"/>
      <c r="AK1280" s="25"/>
      <c r="AL1280" s="25"/>
      <c r="AM1280" s="25"/>
      <c r="AN1280" s="25"/>
      <c r="AO1280" s="25"/>
      <c r="AP1280" s="25"/>
      <c r="AQ1280" s="25"/>
      <c r="AR1280" s="25"/>
      <c r="AS1280" s="25"/>
      <c r="AT1280" s="25"/>
      <c r="AU1280" s="25"/>
      <c r="AV1280" s="25"/>
      <c r="AW1280" s="25"/>
      <c r="AX1280" s="25"/>
    </row>
    <row r="1281" ht="15.75" customHeight="1">
      <c r="A1281" s="25"/>
      <c r="B1281" s="25"/>
      <c r="C1281" s="27"/>
      <c r="D1281" s="28"/>
      <c r="E1281" s="28"/>
      <c r="F1281" s="25"/>
      <c r="G1281" s="25"/>
      <c r="H1281" s="25"/>
      <c r="I1281" s="25"/>
      <c r="J1281" s="25"/>
      <c r="K1281" s="25"/>
      <c r="L1281" s="25"/>
      <c r="M1281" s="25"/>
      <c r="N1281" s="25"/>
      <c r="O1281" s="25"/>
      <c r="P1281" s="25"/>
      <c r="Q1281" s="25"/>
      <c r="R1281" s="25"/>
      <c r="S1281" s="25"/>
      <c r="T1281" s="25"/>
      <c r="U1281" s="25"/>
      <c r="V1281" s="25"/>
      <c r="W1281" s="25"/>
      <c r="X1281" s="25"/>
      <c r="Y1281" s="25"/>
      <c r="Z1281" s="25"/>
      <c r="AA1281" s="25"/>
      <c r="AB1281" s="25"/>
      <c r="AC1281" s="25"/>
      <c r="AD1281" s="25"/>
      <c r="AE1281" s="25"/>
      <c r="AF1281" s="25"/>
      <c r="AG1281" s="25"/>
      <c r="AH1281" s="25"/>
      <c r="AI1281" s="25"/>
      <c r="AJ1281" s="25"/>
      <c r="AK1281" s="25"/>
      <c r="AL1281" s="25"/>
      <c r="AM1281" s="25"/>
      <c r="AN1281" s="25"/>
      <c r="AO1281" s="25"/>
      <c r="AP1281" s="25"/>
      <c r="AQ1281" s="25"/>
      <c r="AR1281" s="25"/>
      <c r="AS1281" s="25"/>
      <c r="AT1281" s="25"/>
      <c r="AU1281" s="25"/>
      <c r="AV1281" s="25"/>
      <c r="AW1281" s="25"/>
      <c r="AX1281" s="25"/>
    </row>
    <row r="1282" ht="15.75" customHeight="1">
      <c r="A1282" s="25"/>
      <c r="B1282" s="25"/>
      <c r="C1282" s="27"/>
      <c r="D1282" s="28"/>
      <c r="E1282" s="28"/>
      <c r="F1282" s="25"/>
      <c r="G1282" s="25"/>
      <c r="H1282" s="25"/>
      <c r="I1282" s="25"/>
      <c r="J1282" s="25"/>
      <c r="K1282" s="25"/>
      <c r="L1282" s="25"/>
      <c r="M1282" s="25"/>
      <c r="N1282" s="25"/>
      <c r="O1282" s="25"/>
      <c r="P1282" s="25"/>
      <c r="Q1282" s="25"/>
      <c r="R1282" s="25"/>
      <c r="S1282" s="25"/>
      <c r="T1282" s="25"/>
      <c r="U1282" s="25"/>
      <c r="V1282" s="25"/>
      <c r="W1282" s="25"/>
      <c r="X1282" s="25"/>
      <c r="Y1282" s="25"/>
      <c r="Z1282" s="25"/>
      <c r="AA1282" s="25"/>
      <c r="AB1282" s="25"/>
      <c r="AC1282" s="25"/>
      <c r="AD1282" s="25"/>
      <c r="AE1282" s="25"/>
      <c r="AF1282" s="25"/>
      <c r="AG1282" s="25"/>
      <c r="AH1282" s="25"/>
      <c r="AI1282" s="25"/>
      <c r="AJ1282" s="25"/>
      <c r="AK1282" s="25"/>
      <c r="AL1282" s="25"/>
      <c r="AM1282" s="25"/>
      <c r="AN1282" s="25"/>
      <c r="AO1282" s="25"/>
      <c r="AP1282" s="25"/>
      <c r="AQ1282" s="25"/>
      <c r="AR1282" s="25"/>
      <c r="AS1282" s="25"/>
      <c r="AT1282" s="25"/>
      <c r="AU1282" s="25"/>
      <c r="AV1282" s="25"/>
      <c r="AW1282" s="25"/>
      <c r="AX1282" s="25"/>
    </row>
    <row r="1283" ht="15.75" customHeight="1">
      <c r="A1283" s="25"/>
      <c r="B1283" s="25"/>
      <c r="C1283" s="27"/>
      <c r="D1283" s="28"/>
      <c r="E1283" s="28"/>
      <c r="F1283" s="25"/>
      <c r="G1283" s="25"/>
      <c r="H1283" s="25"/>
      <c r="I1283" s="25"/>
      <c r="J1283" s="25"/>
      <c r="K1283" s="25"/>
      <c r="L1283" s="25"/>
      <c r="M1283" s="25"/>
      <c r="N1283" s="25"/>
      <c r="O1283" s="25"/>
      <c r="P1283" s="25"/>
      <c r="Q1283" s="25"/>
      <c r="R1283" s="25"/>
      <c r="S1283" s="25"/>
      <c r="T1283" s="25"/>
      <c r="U1283" s="25"/>
      <c r="V1283" s="25"/>
      <c r="W1283" s="25"/>
      <c r="X1283" s="25"/>
      <c r="Y1283" s="25"/>
      <c r="Z1283" s="25"/>
      <c r="AA1283" s="25"/>
      <c r="AB1283" s="25"/>
      <c r="AC1283" s="25"/>
      <c r="AD1283" s="25"/>
      <c r="AE1283" s="25"/>
      <c r="AF1283" s="25"/>
      <c r="AG1283" s="25"/>
      <c r="AH1283" s="25"/>
      <c r="AI1283" s="25"/>
      <c r="AJ1283" s="25"/>
      <c r="AK1283" s="25"/>
      <c r="AL1283" s="25"/>
      <c r="AM1283" s="25"/>
      <c r="AN1283" s="25"/>
      <c r="AO1283" s="25"/>
      <c r="AP1283" s="25"/>
      <c r="AQ1283" s="25"/>
      <c r="AR1283" s="25"/>
      <c r="AS1283" s="25"/>
      <c r="AT1283" s="25"/>
      <c r="AU1283" s="25"/>
      <c r="AV1283" s="25"/>
      <c r="AW1283" s="25"/>
      <c r="AX1283" s="25"/>
    </row>
    <row r="1284" ht="15.75" customHeight="1">
      <c r="A1284" s="25"/>
      <c r="B1284" s="25"/>
      <c r="C1284" s="27"/>
      <c r="D1284" s="28"/>
      <c r="E1284" s="28"/>
      <c r="F1284" s="25"/>
      <c r="G1284" s="25"/>
      <c r="H1284" s="25"/>
      <c r="I1284" s="25"/>
      <c r="J1284" s="25"/>
      <c r="K1284" s="25"/>
      <c r="L1284" s="25"/>
      <c r="M1284" s="25"/>
      <c r="N1284" s="25"/>
      <c r="O1284" s="25"/>
      <c r="P1284" s="25"/>
      <c r="Q1284" s="25"/>
      <c r="R1284" s="25"/>
      <c r="S1284" s="25"/>
      <c r="T1284" s="25"/>
      <c r="U1284" s="25"/>
      <c r="V1284" s="25"/>
      <c r="W1284" s="25"/>
      <c r="X1284" s="25"/>
      <c r="Y1284" s="25"/>
      <c r="Z1284" s="25"/>
      <c r="AA1284" s="25"/>
      <c r="AB1284" s="25"/>
      <c r="AC1284" s="25"/>
      <c r="AD1284" s="25"/>
      <c r="AE1284" s="25"/>
      <c r="AF1284" s="25"/>
      <c r="AG1284" s="25"/>
      <c r="AH1284" s="25"/>
      <c r="AI1284" s="25"/>
      <c r="AJ1284" s="25"/>
      <c r="AK1284" s="25"/>
      <c r="AL1284" s="25"/>
      <c r="AM1284" s="25"/>
      <c r="AN1284" s="25"/>
      <c r="AO1284" s="25"/>
      <c r="AP1284" s="25"/>
      <c r="AQ1284" s="25"/>
      <c r="AR1284" s="25"/>
      <c r="AS1284" s="25"/>
      <c r="AT1284" s="25"/>
      <c r="AU1284" s="25"/>
      <c r="AV1284" s="25"/>
      <c r="AW1284" s="25"/>
      <c r="AX1284" s="25"/>
    </row>
    <row r="1285" ht="15.75" customHeight="1">
      <c r="A1285" s="25"/>
      <c r="B1285" s="25"/>
      <c r="C1285" s="27"/>
      <c r="D1285" s="28"/>
      <c r="E1285" s="28"/>
      <c r="F1285" s="25"/>
      <c r="G1285" s="25"/>
      <c r="H1285" s="25"/>
      <c r="I1285" s="25"/>
      <c r="J1285" s="25"/>
      <c r="K1285" s="25"/>
      <c r="L1285" s="25"/>
      <c r="M1285" s="25"/>
      <c r="N1285" s="25"/>
      <c r="O1285" s="25"/>
      <c r="P1285" s="25"/>
      <c r="Q1285" s="25"/>
      <c r="R1285" s="25"/>
      <c r="S1285" s="25"/>
      <c r="T1285" s="25"/>
      <c r="U1285" s="25"/>
      <c r="V1285" s="25"/>
      <c r="W1285" s="25"/>
      <c r="X1285" s="25"/>
      <c r="Y1285" s="25"/>
      <c r="Z1285" s="25"/>
      <c r="AA1285" s="25"/>
      <c r="AB1285" s="25"/>
      <c r="AC1285" s="25"/>
      <c r="AD1285" s="25"/>
      <c r="AE1285" s="25"/>
      <c r="AF1285" s="25"/>
      <c r="AG1285" s="25"/>
      <c r="AH1285" s="25"/>
      <c r="AI1285" s="25"/>
      <c r="AJ1285" s="25"/>
      <c r="AK1285" s="25"/>
      <c r="AL1285" s="25"/>
      <c r="AM1285" s="25"/>
      <c r="AN1285" s="25"/>
      <c r="AO1285" s="25"/>
      <c r="AP1285" s="25"/>
      <c r="AQ1285" s="25"/>
      <c r="AR1285" s="25"/>
      <c r="AS1285" s="25"/>
      <c r="AT1285" s="25"/>
      <c r="AU1285" s="25"/>
      <c r="AV1285" s="25"/>
      <c r="AW1285" s="25"/>
      <c r="AX1285" s="25"/>
    </row>
    <row r="1286" ht="15.75" customHeight="1">
      <c r="A1286" s="25"/>
      <c r="B1286" s="25"/>
      <c r="C1286" s="27"/>
      <c r="D1286" s="28"/>
      <c r="E1286" s="28"/>
      <c r="F1286" s="25"/>
      <c r="G1286" s="25"/>
      <c r="H1286" s="25"/>
      <c r="I1286" s="25"/>
      <c r="J1286" s="25"/>
      <c r="K1286" s="25"/>
      <c r="L1286" s="25"/>
      <c r="M1286" s="25"/>
      <c r="N1286" s="25"/>
      <c r="O1286" s="25"/>
      <c r="P1286" s="25"/>
      <c r="Q1286" s="25"/>
      <c r="R1286" s="25"/>
      <c r="S1286" s="25"/>
      <c r="T1286" s="25"/>
      <c r="U1286" s="25"/>
      <c r="V1286" s="25"/>
      <c r="W1286" s="25"/>
      <c r="X1286" s="25"/>
      <c r="Y1286" s="25"/>
      <c r="Z1286" s="25"/>
      <c r="AA1286" s="25"/>
      <c r="AB1286" s="25"/>
      <c r="AC1286" s="25"/>
      <c r="AD1286" s="25"/>
      <c r="AE1286" s="25"/>
      <c r="AF1286" s="25"/>
      <c r="AG1286" s="25"/>
      <c r="AH1286" s="25"/>
      <c r="AI1286" s="25"/>
      <c r="AJ1286" s="25"/>
      <c r="AK1286" s="25"/>
      <c r="AL1286" s="25"/>
      <c r="AM1286" s="25"/>
      <c r="AN1286" s="25"/>
      <c r="AO1286" s="25"/>
      <c r="AP1286" s="25"/>
      <c r="AQ1286" s="25"/>
      <c r="AR1286" s="25"/>
      <c r="AS1286" s="25"/>
      <c r="AT1286" s="25"/>
      <c r="AU1286" s="25"/>
      <c r="AV1286" s="25"/>
      <c r="AW1286" s="25"/>
      <c r="AX1286" s="25"/>
    </row>
    <row r="1287" ht="15.75" customHeight="1">
      <c r="A1287" s="25"/>
      <c r="B1287" s="25"/>
      <c r="C1287" s="27"/>
      <c r="D1287" s="28"/>
      <c r="E1287" s="28"/>
      <c r="F1287" s="25"/>
      <c r="G1287" s="25"/>
      <c r="H1287" s="25"/>
      <c r="I1287" s="25"/>
      <c r="J1287" s="25"/>
      <c r="K1287" s="25"/>
      <c r="L1287" s="25"/>
      <c r="M1287" s="25"/>
      <c r="N1287" s="25"/>
      <c r="O1287" s="25"/>
      <c r="P1287" s="25"/>
      <c r="Q1287" s="25"/>
      <c r="R1287" s="25"/>
      <c r="S1287" s="25"/>
      <c r="T1287" s="25"/>
      <c r="U1287" s="25"/>
      <c r="V1287" s="25"/>
      <c r="W1287" s="25"/>
      <c r="X1287" s="25"/>
      <c r="Y1287" s="25"/>
      <c r="Z1287" s="25"/>
      <c r="AA1287" s="25"/>
      <c r="AB1287" s="25"/>
      <c r="AC1287" s="25"/>
      <c r="AD1287" s="25"/>
      <c r="AE1287" s="25"/>
      <c r="AF1287" s="25"/>
      <c r="AG1287" s="25"/>
      <c r="AH1287" s="25"/>
      <c r="AI1287" s="25"/>
      <c r="AJ1287" s="25"/>
      <c r="AK1287" s="25"/>
      <c r="AL1287" s="25"/>
      <c r="AM1287" s="25"/>
      <c r="AN1287" s="25"/>
      <c r="AO1287" s="25"/>
      <c r="AP1287" s="25"/>
      <c r="AQ1287" s="25"/>
      <c r="AR1287" s="25"/>
      <c r="AS1287" s="25"/>
      <c r="AT1287" s="25"/>
      <c r="AU1287" s="25"/>
      <c r="AV1287" s="25"/>
      <c r="AW1287" s="25"/>
      <c r="AX1287" s="25"/>
    </row>
    <row r="1288" ht="15.75" customHeight="1">
      <c r="A1288" s="25"/>
      <c r="B1288" s="25"/>
      <c r="C1288" s="27"/>
      <c r="D1288" s="28"/>
      <c r="E1288" s="28"/>
      <c r="F1288" s="25"/>
      <c r="G1288" s="25"/>
      <c r="H1288" s="25"/>
      <c r="I1288" s="25"/>
      <c r="J1288" s="25"/>
      <c r="K1288" s="25"/>
      <c r="L1288" s="25"/>
      <c r="M1288" s="25"/>
      <c r="N1288" s="25"/>
      <c r="O1288" s="25"/>
      <c r="P1288" s="25"/>
      <c r="Q1288" s="25"/>
      <c r="R1288" s="25"/>
      <c r="S1288" s="25"/>
      <c r="T1288" s="25"/>
      <c r="U1288" s="25"/>
      <c r="V1288" s="25"/>
      <c r="W1288" s="25"/>
      <c r="X1288" s="25"/>
      <c r="Y1288" s="25"/>
      <c r="Z1288" s="25"/>
      <c r="AA1288" s="25"/>
      <c r="AB1288" s="25"/>
      <c r="AC1288" s="25"/>
      <c r="AD1288" s="25"/>
      <c r="AE1288" s="25"/>
      <c r="AF1288" s="25"/>
      <c r="AG1288" s="25"/>
      <c r="AH1288" s="25"/>
      <c r="AI1288" s="25"/>
      <c r="AJ1288" s="25"/>
      <c r="AK1288" s="25"/>
      <c r="AL1288" s="25"/>
      <c r="AM1288" s="25"/>
      <c r="AN1288" s="25"/>
      <c r="AO1288" s="25"/>
      <c r="AP1288" s="25"/>
      <c r="AQ1288" s="25"/>
      <c r="AR1288" s="25"/>
      <c r="AS1288" s="25"/>
      <c r="AT1288" s="25"/>
      <c r="AU1288" s="25"/>
      <c r="AV1288" s="25"/>
      <c r="AW1288" s="25"/>
      <c r="AX1288" s="25"/>
    </row>
    <row r="1289" ht="15.75" customHeight="1">
      <c r="A1289" s="25"/>
      <c r="B1289" s="25"/>
      <c r="C1289" s="27"/>
      <c r="D1289" s="28"/>
      <c r="E1289" s="28"/>
      <c r="F1289" s="25"/>
      <c r="G1289" s="25"/>
      <c r="H1289" s="25"/>
      <c r="I1289" s="25"/>
      <c r="J1289" s="25"/>
      <c r="K1289" s="25"/>
      <c r="L1289" s="25"/>
      <c r="M1289" s="25"/>
      <c r="N1289" s="25"/>
      <c r="O1289" s="25"/>
      <c r="P1289" s="25"/>
      <c r="Q1289" s="25"/>
      <c r="R1289" s="25"/>
      <c r="S1289" s="25"/>
      <c r="T1289" s="25"/>
      <c r="U1289" s="25"/>
      <c r="V1289" s="25"/>
      <c r="W1289" s="25"/>
      <c r="X1289" s="25"/>
      <c r="Y1289" s="25"/>
      <c r="Z1289" s="25"/>
      <c r="AA1289" s="25"/>
      <c r="AB1289" s="25"/>
      <c r="AC1289" s="25"/>
      <c r="AD1289" s="25"/>
      <c r="AE1289" s="25"/>
      <c r="AF1289" s="25"/>
      <c r="AG1289" s="25"/>
      <c r="AH1289" s="25"/>
      <c r="AI1289" s="25"/>
      <c r="AJ1289" s="25"/>
      <c r="AK1289" s="25"/>
      <c r="AL1289" s="25"/>
      <c r="AM1289" s="25"/>
      <c r="AN1289" s="25"/>
      <c r="AO1289" s="25"/>
      <c r="AP1289" s="25"/>
      <c r="AQ1289" s="25"/>
      <c r="AR1289" s="25"/>
      <c r="AS1289" s="25"/>
      <c r="AT1289" s="25"/>
      <c r="AU1289" s="25"/>
      <c r="AV1289" s="25"/>
      <c r="AW1289" s="25"/>
      <c r="AX1289" s="25"/>
    </row>
    <row r="1290" ht="15.75" customHeight="1">
      <c r="A1290" s="25"/>
      <c r="B1290" s="25"/>
      <c r="C1290" s="27"/>
      <c r="D1290" s="28"/>
      <c r="E1290" s="28"/>
      <c r="F1290" s="25"/>
      <c r="G1290" s="25"/>
      <c r="H1290" s="25"/>
      <c r="I1290" s="25"/>
      <c r="J1290" s="25"/>
      <c r="K1290" s="25"/>
      <c r="L1290" s="25"/>
      <c r="M1290" s="25"/>
      <c r="N1290" s="25"/>
      <c r="O1290" s="25"/>
      <c r="P1290" s="25"/>
      <c r="Q1290" s="25"/>
      <c r="R1290" s="25"/>
      <c r="S1290" s="25"/>
      <c r="T1290" s="25"/>
      <c r="U1290" s="25"/>
      <c r="V1290" s="25"/>
      <c r="W1290" s="25"/>
      <c r="X1290" s="25"/>
      <c r="Y1290" s="25"/>
      <c r="Z1290" s="25"/>
      <c r="AA1290" s="25"/>
      <c r="AB1290" s="25"/>
      <c r="AC1290" s="25"/>
      <c r="AD1290" s="25"/>
      <c r="AE1290" s="25"/>
      <c r="AF1290" s="25"/>
      <c r="AG1290" s="25"/>
      <c r="AH1290" s="25"/>
      <c r="AI1290" s="25"/>
      <c r="AJ1290" s="25"/>
      <c r="AK1290" s="25"/>
      <c r="AL1290" s="25"/>
      <c r="AM1290" s="25"/>
      <c r="AN1290" s="25"/>
      <c r="AO1290" s="25"/>
      <c r="AP1290" s="25"/>
      <c r="AQ1290" s="25"/>
      <c r="AR1290" s="25"/>
      <c r="AS1290" s="25"/>
      <c r="AT1290" s="25"/>
      <c r="AU1290" s="25"/>
      <c r="AV1290" s="25"/>
      <c r="AW1290" s="25"/>
      <c r="AX1290" s="25"/>
    </row>
    <row r="1291" ht="15.75" customHeight="1">
      <c r="A1291" s="25"/>
      <c r="B1291" s="25"/>
      <c r="C1291" s="27"/>
      <c r="D1291" s="28"/>
      <c r="E1291" s="28"/>
      <c r="F1291" s="25"/>
      <c r="G1291" s="25"/>
      <c r="H1291" s="25"/>
      <c r="I1291" s="25"/>
      <c r="J1291" s="25"/>
      <c r="K1291" s="25"/>
      <c r="L1291" s="25"/>
      <c r="M1291" s="25"/>
      <c r="N1291" s="25"/>
      <c r="O1291" s="25"/>
      <c r="P1291" s="25"/>
      <c r="Q1291" s="25"/>
      <c r="R1291" s="25"/>
      <c r="S1291" s="25"/>
      <c r="T1291" s="25"/>
      <c r="U1291" s="25"/>
      <c r="V1291" s="25"/>
      <c r="W1291" s="25"/>
      <c r="X1291" s="25"/>
      <c r="Y1291" s="25"/>
      <c r="Z1291" s="25"/>
      <c r="AA1291" s="25"/>
      <c r="AB1291" s="25"/>
      <c r="AC1291" s="25"/>
      <c r="AD1291" s="25"/>
      <c r="AE1291" s="25"/>
      <c r="AF1291" s="25"/>
      <c r="AG1291" s="25"/>
      <c r="AH1291" s="25"/>
      <c r="AI1291" s="25"/>
      <c r="AJ1291" s="25"/>
      <c r="AK1291" s="25"/>
      <c r="AL1291" s="25"/>
      <c r="AM1291" s="25"/>
      <c r="AN1291" s="25"/>
      <c r="AO1291" s="25"/>
      <c r="AP1291" s="25"/>
      <c r="AQ1291" s="25"/>
      <c r="AR1291" s="25"/>
      <c r="AS1291" s="25"/>
      <c r="AT1291" s="25"/>
      <c r="AU1291" s="25"/>
      <c r="AV1291" s="25"/>
      <c r="AW1291" s="25"/>
      <c r="AX1291" s="25"/>
    </row>
    <row r="1292" ht="15.75" customHeight="1">
      <c r="A1292" s="25"/>
      <c r="B1292" s="25"/>
      <c r="C1292" s="27"/>
      <c r="D1292" s="28"/>
      <c r="E1292" s="28"/>
      <c r="F1292" s="25"/>
      <c r="G1292" s="25"/>
      <c r="H1292" s="25"/>
      <c r="I1292" s="25"/>
      <c r="J1292" s="25"/>
      <c r="K1292" s="25"/>
      <c r="L1292" s="25"/>
      <c r="M1292" s="25"/>
      <c r="N1292" s="25"/>
      <c r="O1292" s="25"/>
      <c r="P1292" s="25"/>
      <c r="Q1292" s="25"/>
      <c r="R1292" s="25"/>
      <c r="S1292" s="25"/>
      <c r="T1292" s="25"/>
      <c r="U1292" s="25"/>
      <c r="V1292" s="25"/>
      <c r="W1292" s="25"/>
      <c r="X1292" s="25"/>
      <c r="Y1292" s="25"/>
      <c r="Z1292" s="25"/>
      <c r="AA1292" s="25"/>
      <c r="AB1292" s="25"/>
      <c r="AC1292" s="25"/>
      <c r="AD1292" s="25"/>
      <c r="AE1292" s="25"/>
      <c r="AF1292" s="25"/>
      <c r="AG1292" s="25"/>
      <c r="AH1292" s="25"/>
      <c r="AI1292" s="25"/>
      <c r="AJ1292" s="25"/>
      <c r="AK1292" s="25"/>
      <c r="AL1292" s="25"/>
      <c r="AM1292" s="25"/>
      <c r="AN1292" s="25"/>
      <c r="AO1292" s="25"/>
      <c r="AP1292" s="25"/>
      <c r="AQ1292" s="25"/>
      <c r="AR1292" s="25"/>
      <c r="AS1292" s="25"/>
      <c r="AT1292" s="25"/>
      <c r="AU1292" s="25"/>
      <c r="AV1292" s="25"/>
      <c r="AW1292" s="25"/>
      <c r="AX1292" s="25"/>
    </row>
    <row r="1293" ht="15.75" customHeight="1">
      <c r="A1293" s="25"/>
      <c r="B1293" s="25"/>
      <c r="C1293" s="27"/>
      <c r="D1293" s="28"/>
      <c r="E1293" s="28"/>
      <c r="F1293" s="25"/>
      <c r="G1293" s="25"/>
      <c r="H1293" s="25"/>
      <c r="I1293" s="25"/>
      <c r="J1293" s="25"/>
      <c r="K1293" s="25"/>
      <c r="L1293" s="25"/>
      <c r="M1293" s="25"/>
      <c r="N1293" s="25"/>
      <c r="O1293" s="25"/>
      <c r="P1293" s="25"/>
      <c r="Q1293" s="25"/>
      <c r="R1293" s="25"/>
      <c r="S1293" s="25"/>
      <c r="T1293" s="25"/>
      <c r="U1293" s="25"/>
      <c r="V1293" s="25"/>
      <c r="W1293" s="25"/>
      <c r="X1293" s="25"/>
      <c r="Y1293" s="25"/>
      <c r="Z1293" s="25"/>
      <c r="AA1293" s="25"/>
      <c r="AB1293" s="25"/>
      <c r="AC1293" s="25"/>
      <c r="AD1293" s="25"/>
      <c r="AE1293" s="25"/>
      <c r="AF1293" s="25"/>
      <c r="AG1293" s="25"/>
      <c r="AH1293" s="25"/>
      <c r="AI1293" s="25"/>
      <c r="AJ1293" s="25"/>
      <c r="AK1293" s="25"/>
      <c r="AL1293" s="25"/>
      <c r="AM1293" s="25"/>
      <c r="AN1293" s="25"/>
      <c r="AO1293" s="25"/>
      <c r="AP1293" s="25"/>
      <c r="AQ1293" s="25"/>
      <c r="AR1293" s="25"/>
      <c r="AS1293" s="25"/>
      <c r="AT1293" s="25"/>
      <c r="AU1293" s="25"/>
      <c r="AV1293" s="25"/>
      <c r="AW1293" s="25"/>
      <c r="AX1293" s="25"/>
    </row>
    <row r="1294" ht="15.75" customHeight="1">
      <c r="A1294" s="25"/>
      <c r="B1294" s="25"/>
      <c r="C1294" s="27"/>
      <c r="D1294" s="28"/>
      <c r="E1294" s="28"/>
      <c r="F1294" s="25"/>
      <c r="G1294" s="25"/>
      <c r="H1294" s="25"/>
      <c r="I1294" s="25"/>
      <c r="J1294" s="25"/>
      <c r="K1294" s="25"/>
      <c r="L1294" s="25"/>
      <c r="M1294" s="25"/>
      <c r="N1294" s="25"/>
      <c r="O1294" s="25"/>
      <c r="P1294" s="25"/>
      <c r="Q1294" s="25"/>
      <c r="R1294" s="25"/>
      <c r="S1294" s="25"/>
      <c r="T1294" s="25"/>
      <c r="U1294" s="25"/>
      <c r="V1294" s="25"/>
      <c r="W1294" s="25"/>
      <c r="X1294" s="25"/>
      <c r="Y1294" s="25"/>
      <c r="Z1294" s="25"/>
      <c r="AA1294" s="25"/>
      <c r="AB1294" s="25"/>
      <c r="AC1294" s="25"/>
      <c r="AD1294" s="25"/>
      <c r="AE1294" s="25"/>
      <c r="AF1294" s="25"/>
      <c r="AG1294" s="25"/>
      <c r="AH1294" s="25"/>
      <c r="AI1294" s="25"/>
      <c r="AJ1294" s="25"/>
      <c r="AK1294" s="25"/>
      <c r="AL1294" s="25"/>
      <c r="AM1294" s="25"/>
      <c r="AN1294" s="25"/>
      <c r="AO1294" s="25"/>
      <c r="AP1294" s="25"/>
      <c r="AQ1294" s="25"/>
      <c r="AR1294" s="25"/>
      <c r="AS1294" s="25"/>
      <c r="AT1294" s="25"/>
      <c r="AU1294" s="25"/>
      <c r="AV1294" s="25"/>
      <c r="AW1294" s="25"/>
      <c r="AX1294" s="25"/>
    </row>
    <row r="1295" ht="15.75" customHeight="1">
      <c r="A1295" s="25"/>
      <c r="B1295" s="25"/>
      <c r="C1295" s="27"/>
      <c r="D1295" s="28"/>
      <c r="E1295" s="28"/>
      <c r="F1295" s="25"/>
      <c r="G1295" s="25"/>
      <c r="H1295" s="25"/>
      <c r="I1295" s="25"/>
      <c r="J1295" s="25"/>
      <c r="K1295" s="25"/>
      <c r="L1295" s="25"/>
      <c r="M1295" s="25"/>
      <c r="N1295" s="25"/>
      <c r="O1295" s="25"/>
      <c r="P1295" s="25"/>
      <c r="Q1295" s="25"/>
      <c r="R1295" s="25"/>
      <c r="S1295" s="25"/>
      <c r="T1295" s="25"/>
      <c r="U1295" s="25"/>
      <c r="V1295" s="25"/>
      <c r="W1295" s="25"/>
      <c r="X1295" s="25"/>
      <c r="Y1295" s="25"/>
      <c r="Z1295" s="25"/>
      <c r="AA1295" s="25"/>
      <c r="AB1295" s="25"/>
      <c r="AC1295" s="25"/>
      <c r="AD1295" s="25"/>
      <c r="AE1295" s="25"/>
      <c r="AF1295" s="25"/>
      <c r="AG1295" s="25"/>
      <c r="AH1295" s="25"/>
      <c r="AI1295" s="25"/>
      <c r="AJ1295" s="25"/>
      <c r="AK1295" s="25"/>
      <c r="AL1295" s="25"/>
      <c r="AM1295" s="25"/>
      <c r="AN1295" s="25"/>
      <c r="AO1295" s="25"/>
      <c r="AP1295" s="25"/>
      <c r="AQ1295" s="25"/>
      <c r="AR1295" s="25"/>
      <c r="AS1295" s="25"/>
      <c r="AT1295" s="25"/>
      <c r="AU1295" s="25"/>
      <c r="AV1295" s="25"/>
      <c r="AW1295" s="25"/>
      <c r="AX1295" s="25"/>
    </row>
    <row r="1296" ht="15.75" customHeight="1">
      <c r="A1296" s="25"/>
      <c r="B1296" s="25"/>
      <c r="C1296" s="27"/>
      <c r="D1296" s="28"/>
      <c r="E1296" s="28"/>
      <c r="F1296" s="25"/>
      <c r="G1296" s="25"/>
      <c r="H1296" s="25"/>
      <c r="I1296" s="25"/>
      <c r="J1296" s="25"/>
      <c r="K1296" s="25"/>
      <c r="L1296" s="25"/>
      <c r="M1296" s="25"/>
      <c r="N1296" s="25"/>
      <c r="O1296" s="25"/>
      <c r="P1296" s="25"/>
      <c r="Q1296" s="25"/>
      <c r="R1296" s="25"/>
      <c r="S1296" s="25"/>
      <c r="T1296" s="25"/>
      <c r="U1296" s="25"/>
      <c r="V1296" s="25"/>
      <c r="W1296" s="25"/>
      <c r="X1296" s="25"/>
      <c r="Y1296" s="25"/>
      <c r="Z1296" s="25"/>
      <c r="AA1296" s="25"/>
      <c r="AB1296" s="25"/>
      <c r="AC1296" s="25"/>
      <c r="AD1296" s="25"/>
      <c r="AE1296" s="25"/>
      <c r="AF1296" s="25"/>
      <c r="AG1296" s="25"/>
      <c r="AH1296" s="25"/>
      <c r="AI1296" s="25"/>
      <c r="AJ1296" s="25"/>
      <c r="AK1296" s="25"/>
      <c r="AL1296" s="25"/>
      <c r="AM1296" s="25"/>
      <c r="AN1296" s="25"/>
      <c r="AO1296" s="25"/>
      <c r="AP1296" s="25"/>
      <c r="AQ1296" s="25"/>
      <c r="AR1296" s="25"/>
      <c r="AS1296" s="25"/>
      <c r="AT1296" s="25"/>
      <c r="AU1296" s="25"/>
      <c r="AV1296" s="25"/>
      <c r="AW1296" s="25"/>
      <c r="AX1296" s="25"/>
    </row>
    <row r="1297" ht="15.75" customHeight="1">
      <c r="A1297" s="25"/>
      <c r="B1297" s="25"/>
      <c r="C1297" s="27"/>
      <c r="D1297" s="28"/>
      <c r="E1297" s="28"/>
      <c r="F1297" s="25"/>
      <c r="G1297" s="25"/>
      <c r="H1297" s="25"/>
      <c r="I1297" s="25"/>
      <c r="J1297" s="25"/>
      <c r="K1297" s="25"/>
      <c r="L1297" s="25"/>
      <c r="M1297" s="25"/>
      <c r="N1297" s="25"/>
      <c r="O1297" s="25"/>
      <c r="P1297" s="25"/>
      <c r="Q1297" s="25"/>
      <c r="R1297" s="25"/>
      <c r="S1297" s="25"/>
      <c r="T1297" s="25"/>
      <c r="U1297" s="25"/>
      <c r="V1297" s="25"/>
      <c r="W1297" s="25"/>
      <c r="X1297" s="25"/>
      <c r="Y1297" s="25"/>
      <c r="Z1297" s="25"/>
      <c r="AA1297" s="25"/>
      <c r="AB1297" s="25"/>
      <c r="AC1297" s="25"/>
      <c r="AD1297" s="25"/>
      <c r="AE1297" s="25"/>
      <c r="AF1297" s="25"/>
      <c r="AG1297" s="25"/>
      <c r="AH1297" s="25"/>
      <c r="AI1297" s="25"/>
      <c r="AJ1297" s="25"/>
      <c r="AK1297" s="25"/>
      <c r="AL1297" s="25"/>
      <c r="AM1297" s="25"/>
      <c r="AN1297" s="25"/>
      <c r="AO1297" s="25"/>
      <c r="AP1297" s="25"/>
      <c r="AQ1297" s="25"/>
      <c r="AR1297" s="25"/>
      <c r="AS1297" s="25"/>
      <c r="AT1297" s="25"/>
      <c r="AU1297" s="25"/>
      <c r="AV1297" s="25"/>
      <c r="AW1297" s="25"/>
      <c r="AX1297" s="25"/>
    </row>
    <row r="1298" ht="15.75" customHeight="1">
      <c r="A1298" s="25"/>
      <c r="B1298" s="25"/>
      <c r="C1298" s="27"/>
      <c r="D1298" s="28"/>
      <c r="E1298" s="28"/>
      <c r="F1298" s="25"/>
      <c r="G1298" s="25"/>
      <c r="H1298" s="25"/>
      <c r="I1298" s="25"/>
      <c r="J1298" s="25"/>
      <c r="K1298" s="25"/>
      <c r="L1298" s="25"/>
      <c r="M1298" s="25"/>
      <c r="N1298" s="25"/>
      <c r="O1298" s="25"/>
      <c r="P1298" s="25"/>
      <c r="Q1298" s="25"/>
      <c r="R1298" s="25"/>
      <c r="S1298" s="25"/>
      <c r="T1298" s="25"/>
      <c r="U1298" s="25"/>
      <c r="V1298" s="25"/>
      <c r="W1298" s="25"/>
      <c r="X1298" s="25"/>
      <c r="Y1298" s="25"/>
      <c r="Z1298" s="25"/>
      <c r="AA1298" s="25"/>
      <c r="AB1298" s="25"/>
      <c r="AC1298" s="25"/>
      <c r="AD1298" s="25"/>
      <c r="AE1298" s="25"/>
      <c r="AF1298" s="25"/>
      <c r="AG1298" s="25"/>
      <c r="AH1298" s="25"/>
      <c r="AI1298" s="25"/>
      <c r="AJ1298" s="25"/>
      <c r="AK1298" s="25"/>
      <c r="AL1298" s="25"/>
      <c r="AM1298" s="25"/>
      <c r="AN1298" s="25"/>
      <c r="AO1298" s="25"/>
      <c r="AP1298" s="25"/>
      <c r="AQ1298" s="25"/>
      <c r="AR1298" s="25"/>
      <c r="AS1298" s="25"/>
      <c r="AT1298" s="25"/>
      <c r="AU1298" s="25"/>
      <c r="AV1298" s="25"/>
      <c r="AW1298" s="25"/>
      <c r="AX1298" s="25"/>
    </row>
    <row r="1299" ht="15.75" customHeight="1">
      <c r="A1299" s="25"/>
      <c r="B1299" s="25"/>
      <c r="C1299" s="27"/>
      <c r="D1299" s="28"/>
      <c r="E1299" s="28"/>
      <c r="F1299" s="25"/>
      <c r="G1299" s="25"/>
      <c r="H1299" s="25"/>
      <c r="I1299" s="25"/>
      <c r="J1299" s="25"/>
      <c r="K1299" s="25"/>
      <c r="L1299" s="25"/>
      <c r="M1299" s="25"/>
      <c r="N1299" s="25"/>
      <c r="O1299" s="25"/>
      <c r="P1299" s="25"/>
      <c r="Q1299" s="25"/>
      <c r="R1299" s="25"/>
      <c r="S1299" s="25"/>
      <c r="T1299" s="25"/>
      <c r="U1299" s="25"/>
      <c r="V1299" s="25"/>
      <c r="W1299" s="25"/>
      <c r="X1299" s="25"/>
      <c r="Y1299" s="25"/>
      <c r="Z1299" s="25"/>
      <c r="AA1299" s="25"/>
      <c r="AB1299" s="25"/>
      <c r="AC1299" s="25"/>
      <c r="AD1299" s="25"/>
      <c r="AE1299" s="25"/>
      <c r="AF1299" s="25"/>
      <c r="AG1299" s="25"/>
      <c r="AH1299" s="25"/>
      <c r="AI1299" s="25"/>
      <c r="AJ1299" s="25"/>
      <c r="AK1299" s="25"/>
      <c r="AL1299" s="25"/>
      <c r="AM1299" s="25"/>
      <c r="AN1299" s="25"/>
      <c r="AO1299" s="25"/>
      <c r="AP1299" s="25"/>
      <c r="AQ1299" s="25"/>
      <c r="AR1299" s="25"/>
      <c r="AS1299" s="25"/>
      <c r="AT1299" s="25"/>
      <c r="AU1299" s="25"/>
      <c r="AV1299" s="25"/>
      <c r="AW1299" s="25"/>
      <c r="AX1299" s="25"/>
    </row>
    <row r="1300" ht="15.75" customHeight="1">
      <c r="A1300" s="25"/>
      <c r="B1300" s="25"/>
      <c r="C1300" s="27"/>
      <c r="D1300" s="28"/>
      <c r="E1300" s="28"/>
      <c r="F1300" s="25"/>
      <c r="G1300" s="25"/>
      <c r="H1300" s="25"/>
      <c r="I1300" s="25"/>
      <c r="J1300" s="25"/>
      <c r="K1300" s="25"/>
      <c r="L1300" s="25"/>
      <c r="M1300" s="25"/>
      <c r="N1300" s="25"/>
      <c r="O1300" s="25"/>
      <c r="P1300" s="25"/>
      <c r="Q1300" s="25"/>
      <c r="R1300" s="25"/>
      <c r="S1300" s="25"/>
      <c r="T1300" s="25"/>
      <c r="U1300" s="25"/>
      <c r="V1300" s="25"/>
      <c r="W1300" s="25"/>
      <c r="X1300" s="25"/>
      <c r="Y1300" s="25"/>
      <c r="Z1300" s="25"/>
      <c r="AA1300" s="25"/>
      <c r="AB1300" s="25"/>
      <c r="AC1300" s="25"/>
      <c r="AD1300" s="25"/>
      <c r="AE1300" s="25"/>
      <c r="AF1300" s="25"/>
      <c r="AG1300" s="25"/>
      <c r="AH1300" s="25"/>
      <c r="AI1300" s="25"/>
      <c r="AJ1300" s="25"/>
      <c r="AK1300" s="25"/>
      <c r="AL1300" s="25"/>
      <c r="AM1300" s="25"/>
      <c r="AN1300" s="25"/>
      <c r="AO1300" s="25"/>
      <c r="AP1300" s="25"/>
      <c r="AQ1300" s="25"/>
      <c r="AR1300" s="25"/>
      <c r="AS1300" s="25"/>
      <c r="AT1300" s="25"/>
      <c r="AU1300" s="25"/>
      <c r="AV1300" s="25"/>
      <c r="AW1300" s="25"/>
      <c r="AX1300" s="25"/>
    </row>
    <row r="1301" ht="15.75" customHeight="1">
      <c r="A1301" s="25"/>
      <c r="B1301" s="25"/>
      <c r="C1301" s="27"/>
      <c r="D1301" s="28"/>
      <c r="E1301" s="28"/>
      <c r="F1301" s="25"/>
      <c r="G1301" s="25"/>
      <c r="H1301" s="25"/>
      <c r="I1301" s="25"/>
      <c r="J1301" s="25"/>
      <c r="K1301" s="25"/>
      <c r="L1301" s="25"/>
      <c r="M1301" s="25"/>
      <c r="N1301" s="25"/>
      <c r="O1301" s="25"/>
      <c r="P1301" s="25"/>
      <c r="Q1301" s="25"/>
      <c r="R1301" s="25"/>
      <c r="S1301" s="25"/>
      <c r="T1301" s="25"/>
      <c r="U1301" s="25"/>
      <c r="V1301" s="25"/>
      <c r="W1301" s="25"/>
      <c r="X1301" s="25"/>
      <c r="Y1301" s="25"/>
      <c r="Z1301" s="25"/>
      <c r="AA1301" s="25"/>
      <c r="AB1301" s="25"/>
      <c r="AC1301" s="25"/>
      <c r="AD1301" s="25"/>
      <c r="AE1301" s="25"/>
      <c r="AF1301" s="25"/>
      <c r="AG1301" s="25"/>
      <c r="AH1301" s="25"/>
      <c r="AI1301" s="25"/>
      <c r="AJ1301" s="25"/>
      <c r="AK1301" s="25"/>
      <c r="AL1301" s="25"/>
      <c r="AM1301" s="25"/>
      <c r="AN1301" s="25"/>
      <c r="AO1301" s="25"/>
      <c r="AP1301" s="25"/>
      <c r="AQ1301" s="25"/>
      <c r="AR1301" s="25"/>
      <c r="AS1301" s="25"/>
      <c r="AT1301" s="25"/>
      <c r="AU1301" s="25"/>
      <c r="AV1301" s="25"/>
      <c r="AW1301" s="25"/>
      <c r="AX1301" s="25"/>
    </row>
    <row r="1302" ht="15.75" customHeight="1">
      <c r="A1302" s="25"/>
      <c r="B1302" s="25"/>
      <c r="C1302" s="27"/>
      <c r="D1302" s="28"/>
      <c r="E1302" s="28"/>
      <c r="F1302" s="25"/>
      <c r="G1302" s="25"/>
      <c r="H1302" s="25"/>
      <c r="I1302" s="25"/>
      <c r="J1302" s="25"/>
      <c r="K1302" s="25"/>
      <c r="L1302" s="25"/>
      <c r="M1302" s="25"/>
      <c r="N1302" s="25"/>
      <c r="O1302" s="25"/>
      <c r="P1302" s="25"/>
      <c r="Q1302" s="25"/>
      <c r="R1302" s="25"/>
      <c r="S1302" s="25"/>
      <c r="T1302" s="25"/>
      <c r="U1302" s="25"/>
      <c r="V1302" s="25"/>
      <c r="W1302" s="25"/>
      <c r="X1302" s="25"/>
      <c r="Y1302" s="25"/>
      <c r="Z1302" s="25"/>
      <c r="AA1302" s="25"/>
      <c r="AB1302" s="25"/>
      <c r="AC1302" s="25"/>
      <c r="AD1302" s="25"/>
      <c r="AE1302" s="25"/>
      <c r="AF1302" s="25"/>
      <c r="AG1302" s="25"/>
      <c r="AH1302" s="25"/>
      <c r="AI1302" s="25"/>
      <c r="AJ1302" s="25"/>
      <c r="AK1302" s="25"/>
      <c r="AL1302" s="25"/>
      <c r="AM1302" s="25"/>
      <c r="AN1302" s="25"/>
      <c r="AO1302" s="25"/>
      <c r="AP1302" s="25"/>
      <c r="AQ1302" s="25"/>
      <c r="AR1302" s="25"/>
      <c r="AS1302" s="25"/>
      <c r="AT1302" s="25"/>
      <c r="AU1302" s="25"/>
      <c r="AV1302" s="25"/>
      <c r="AW1302" s="25"/>
      <c r="AX1302" s="25"/>
    </row>
    <row r="1303" ht="15.75" customHeight="1">
      <c r="A1303" s="25"/>
      <c r="B1303" s="25"/>
      <c r="C1303" s="27"/>
      <c r="D1303" s="28"/>
      <c r="E1303" s="28"/>
      <c r="F1303" s="25"/>
      <c r="G1303" s="25"/>
      <c r="H1303" s="25"/>
      <c r="I1303" s="25"/>
      <c r="J1303" s="25"/>
      <c r="K1303" s="25"/>
      <c r="L1303" s="25"/>
      <c r="M1303" s="25"/>
      <c r="N1303" s="25"/>
      <c r="O1303" s="25"/>
      <c r="P1303" s="25"/>
      <c r="Q1303" s="25"/>
      <c r="R1303" s="25"/>
      <c r="S1303" s="25"/>
      <c r="T1303" s="25"/>
      <c r="U1303" s="25"/>
      <c r="V1303" s="25"/>
      <c r="W1303" s="25"/>
      <c r="X1303" s="25"/>
      <c r="Y1303" s="25"/>
      <c r="Z1303" s="25"/>
      <c r="AA1303" s="25"/>
      <c r="AB1303" s="25"/>
      <c r="AC1303" s="25"/>
      <c r="AD1303" s="25"/>
      <c r="AE1303" s="25"/>
      <c r="AF1303" s="25"/>
      <c r="AG1303" s="25"/>
      <c r="AH1303" s="25"/>
      <c r="AI1303" s="25"/>
      <c r="AJ1303" s="25"/>
      <c r="AK1303" s="25"/>
      <c r="AL1303" s="25"/>
      <c r="AM1303" s="25"/>
      <c r="AN1303" s="25"/>
      <c r="AO1303" s="25"/>
      <c r="AP1303" s="25"/>
      <c r="AQ1303" s="25"/>
      <c r="AR1303" s="25"/>
      <c r="AS1303" s="25"/>
      <c r="AT1303" s="25"/>
      <c r="AU1303" s="25"/>
      <c r="AV1303" s="25"/>
      <c r="AW1303" s="25"/>
      <c r="AX1303" s="25"/>
    </row>
    <row r="1304" ht="15.75" customHeight="1">
      <c r="A1304" s="25"/>
      <c r="B1304" s="25"/>
      <c r="C1304" s="27"/>
      <c r="D1304" s="28"/>
      <c r="E1304" s="28"/>
      <c r="F1304" s="25"/>
      <c r="G1304" s="25"/>
      <c r="H1304" s="25"/>
      <c r="I1304" s="25"/>
      <c r="J1304" s="25"/>
      <c r="K1304" s="25"/>
      <c r="L1304" s="25"/>
      <c r="M1304" s="25"/>
      <c r="N1304" s="25"/>
      <c r="O1304" s="25"/>
      <c r="P1304" s="25"/>
      <c r="Q1304" s="25"/>
      <c r="R1304" s="25"/>
      <c r="S1304" s="25"/>
      <c r="T1304" s="25"/>
      <c r="U1304" s="25"/>
      <c r="V1304" s="25"/>
      <c r="W1304" s="25"/>
      <c r="X1304" s="25"/>
      <c r="Y1304" s="25"/>
      <c r="Z1304" s="25"/>
      <c r="AA1304" s="25"/>
      <c r="AB1304" s="25"/>
      <c r="AC1304" s="25"/>
      <c r="AD1304" s="25"/>
      <c r="AE1304" s="25"/>
      <c r="AF1304" s="25"/>
      <c r="AG1304" s="25"/>
      <c r="AH1304" s="25"/>
      <c r="AI1304" s="25"/>
      <c r="AJ1304" s="25"/>
      <c r="AK1304" s="25"/>
      <c r="AL1304" s="25"/>
      <c r="AM1304" s="25"/>
      <c r="AN1304" s="25"/>
      <c r="AO1304" s="25"/>
      <c r="AP1304" s="25"/>
      <c r="AQ1304" s="25"/>
      <c r="AR1304" s="25"/>
      <c r="AS1304" s="25"/>
      <c r="AT1304" s="25"/>
      <c r="AU1304" s="25"/>
      <c r="AV1304" s="25"/>
      <c r="AW1304" s="25"/>
      <c r="AX1304" s="25"/>
    </row>
    <row r="1305" ht="15.75" customHeight="1">
      <c r="A1305" s="25"/>
      <c r="B1305" s="25"/>
      <c r="C1305" s="27"/>
      <c r="D1305" s="28"/>
      <c r="E1305" s="28"/>
      <c r="F1305" s="25"/>
      <c r="G1305" s="25"/>
      <c r="H1305" s="25"/>
      <c r="I1305" s="25"/>
      <c r="J1305" s="25"/>
      <c r="K1305" s="25"/>
      <c r="L1305" s="25"/>
      <c r="M1305" s="25"/>
      <c r="N1305" s="25"/>
      <c r="O1305" s="25"/>
      <c r="P1305" s="25"/>
      <c r="Q1305" s="25"/>
      <c r="R1305" s="25"/>
      <c r="S1305" s="25"/>
      <c r="T1305" s="25"/>
      <c r="U1305" s="25"/>
      <c r="V1305" s="25"/>
      <c r="W1305" s="25"/>
      <c r="X1305" s="25"/>
      <c r="Y1305" s="25"/>
      <c r="Z1305" s="25"/>
      <c r="AA1305" s="25"/>
      <c r="AB1305" s="25"/>
      <c r="AC1305" s="25"/>
      <c r="AD1305" s="25"/>
      <c r="AE1305" s="25"/>
      <c r="AF1305" s="25"/>
      <c r="AG1305" s="25"/>
      <c r="AH1305" s="25"/>
      <c r="AI1305" s="25"/>
      <c r="AJ1305" s="25"/>
      <c r="AK1305" s="25"/>
      <c r="AL1305" s="25"/>
      <c r="AM1305" s="25"/>
      <c r="AN1305" s="25"/>
      <c r="AO1305" s="25"/>
      <c r="AP1305" s="25"/>
      <c r="AQ1305" s="25"/>
      <c r="AR1305" s="25"/>
      <c r="AS1305" s="25"/>
      <c r="AT1305" s="25"/>
      <c r="AU1305" s="25"/>
      <c r="AV1305" s="25"/>
      <c r="AW1305" s="25"/>
      <c r="AX1305" s="25"/>
    </row>
    <row r="1306" ht="15.75" customHeight="1">
      <c r="A1306" s="25"/>
      <c r="B1306" s="25"/>
      <c r="C1306" s="27"/>
      <c r="D1306" s="28"/>
      <c r="E1306" s="28"/>
      <c r="F1306" s="25"/>
      <c r="G1306" s="25"/>
      <c r="H1306" s="25"/>
      <c r="I1306" s="25"/>
      <c r="J1306" s="25"/>
      <c r="K1306" s="25"/>
      <c r="L1306" s="25"/>
      <c r="M1306" s="25"/>
      <c r="N1306" s="25"/>
      <c r="O1306" s="25"/>
      <c r="P1306" s="25"/>
      <c r="Q1306" s="25"/>
      <c r="R1306" s="25"/>
      <c r="S1306" s="25"/>
      <c r="T1306" s="25"/>
      <c r="U1306" s="25"/>
      <c r="V1306" s="25"/>
      <c r="W1306" s="25"/>
      <c r="X1306" s="25"/>
      <c r="Y1306" s="25"/>
      <c r="Z1306" s="25"/>
      <c r="AA1306" s="25"/>
      <c r="AB1306" s="25"/>
      <c r="AC1306" s="25"/>
      <c r="AD1306" s="25"/>
      <c r="AE1306" s="25"/>
      <c r="AF1306" s="25"/>
      <c r="AG1306" s="25"/>
      <c r="AH1306" s="25"/>
      <c r="AI1306" s="25"/>
      <c r="AJ1306" s="25"/>
      <c r="AK1306" s="25"/>
      <c r="AL1306" s="25"/>
      <c r="AM1306" s="25"/>
      <c r="AN1306" s="25"/>
      <c r="AO1306" s="25"/>
      <c r="AP1306" s="25"/>
      <c r="AQ1306" s="25"/>
      <c r="AR1306" s="25"/>
      <c r="AS1306" s="25"/>
      <c r="AT1306" s="25"/>
      <c r="AU1306" s="25"/>
      <c r="AV1306" s="25"/>
      <c r="AW1306" s="25"/>
      <c r="AX1306" s="25"/>
    </row>
    <row r="1307" ht="15.75" customHeight="1">
      <c r="A1307" s="25"/>
      <c r="B1307" s="25"/>
      <c r="C1307" s="27"/>
      <c r="D1307" s="28"/>
      <c r="E1307" s="28"/>
      <c r="F1307" s="25"/>
      <c r="G1307" s="25"/>
      <c r="H1307" s="25"/>
      <c r="I1307" s="25"/>
      <c r="J1307" s="25"/>
      <c r="K1307" s="25"/>
      <c r="L1307" s="25"/>
      <c r="M1307" s="25"/>
      <c r="N1307" s="25"/>
      <c r="O1307" s="25"/>
      <c r="P1307" s="25"/>
      <c r="Q1307" s="25"/>
      <c r="R1307" s="25"/>
      <c r="S1307" s="25"/>
      <c r="T1307" s="25"/>
      <c r="U1307" s="25"/>
      <c r="V1307" s="25"/>
      <c r="W1307" s="25"/>
      <c r="X1307" s="25"/>
      <c r="Y1307" s="25"/>
      <c r="Z1307" s="25"/>
      <c r="AA1307" s="25"/>
      <c r="AB1307" s="25"/>
      <c r="AC1307" s="25"/>
      <c r="AD1307" s="25"/>
      <c r="AE1307" s="25"/>
      <c r="AF1307" s="25"/>
      <c r="AG1307" s="25"/>
      <c r="AH1307" s="25"/>
      <c r="AI1307" s="25"/>
      <c r="AJ1307" s="25"/>
      <c r="AK1307" s="25"/>
      <c r="AL1307" s="25"/>
      <c r="AM1307" s="25"/>
      <c r="AN1307" s="25"/>
      <c r="AO1307" s="25"/>
      <c r="AP1307" s="25"/>
      <c r="AQ1307" s="25"/>
      <c r="AR1307" s="25"/>
      <c r="AS1307" s="25"/>
      <c r="AT1307" s="25"/>
      <c r="AU1307" s="25"/>
      <c r="AV1307" s="25"/>
      <c r="AW1307" s="25"/>
      <c r="AX1307" s="25"/>
    </row>
    <row r="1308" ht="15.75" customHeight="1">
      <c r="A1308" s="25"/>
      <c r="B1308" s="25"/>
      <c r="C1308" s="27"/>
      <c r="D1308" s="28"/>
      <c r="E1308" s="28"/>
      <c r="F1308" s="25"/>
      <c r="G1308" s="25"/>
      <c r="H1308" s="25"/>
      <c r="I1308" s="25"/>
      <c r="J1308" s="25"/>
      <c r="K1308" s="25"/>
      <c r="L1308" s="25"/>
      <c r="M1308" s="25"/>
      <c r="N1308" s="25"/>
      <c r="O1308" s="25"/>
      <c r="P1308" s="25"/>
      <c r="Q1308" s="25"/>
      <c r="R1308" s="25"/>
      <c r="S1308" s="25"/>
      <c r="T1308" s="25"/>
      <c r="U1308" s="25"/>
      <c r="V1308" s="25"/>
      <c r="W1308" s="25"/>
      <c r="X1308" s="25"/>
      <c r="Y1308" s="25"/>
      <c r="Z1308" s="25"/>
      <c r="AA1308" s="25"/>
      <c r="AB1308" s="25"/>
      <c r="AC1308" s="25"/>
      <c r="AD1308" s="25"/>
      <c r="AE1308" s="25"/>
      <c r="AF1308" s="25"/>
      <c r="AG1308" s="25"/>
      <c r="AH1308" s="25"/>
      <c r="AI1308" s="25"/>
      <c r="AJ1308" s="25"/>
      <c r="AK1308" s="25"/>
      <c r="AL1308" s="25"/>
      <c r="AM1308" s="25"/>
      <c r="AN1308" s="25"/>
      <c r="AO1308" s="25"/>
      <c r="AP1308" s="25"/>
      <c r="AQ1308" s="25"/>
      <c r="AR1308" s="25"/>
      <c r="AS1308" s="25"/>
      <c r="AT1308" s="25"/>
      <c r="AU1308" s="25"/>
      <c r="AV1308" s="25"/>
      <c r="AW1308" s="25"/>
      <c r="AX1308" s="25"/>
    </row>
    <row r="1309" ht="15.75" customHeight="1">
      <c r="A1309" s="25"/>
      <c r="B1309" s="25"/>
      <c r="C1309" s="27"/>
      <c r="D1309" s="28"/>
      <c r="E1309" s="28"/>
      <c r="F1309" s="25"/>
      <c r="G1309" s="25"/>
      <c r="H1309" s="25"/>
      <c r="I1309" s="25"/>
      <c r="J1309" s="25"/>
      <c r="K1309" s="25"/>
      <c r="L1309" s="25"/>
      <c r="M1309" s="25"/>
      <c r="N1309" s="25"/>
      <c r="O1309" s="25"/>
      <c r="P1309" s="25"/>
      <c r="Q1309" s="25"/>
      <c r="R1309" s="25"/>
      <c r="S1309" s="25"/>
      <c r="T1309" s="25"/>
      <c r="U1309" s="25"/>
      <c r="V1309" s="25"/>
      <c r="W1309" s="25"/>
      <c r="X1309" s="25"/>
      <c r="Y1309" s="25"/>
      <c r="Z1309" s="25"/>
      <c r="AA1309" s="25"/>
      <c r="AB1309" s="25"/>
      <c r="AC1309" s="25"/>
      <c r="AD1309" s="25"/>
      <c r="AE1309" s="25"/>
      <c r="AF1309" s="25"/>
      <c r="AG1309" s="25"/>
      <c r="AH1309" s="25"/>
      <c r="AI1309" s="25"/>
      <c r="AJ1309" s="25"/>
      <c r="AK1309" s="25"/>
      <c r="AL1309" s="25"/>
      <c r="AM1309" s="25"/>
      <c r="AN1309" s="25"/>
      <c r="AO1309" s="25"/>
      <c r="AP1309" s="25"/>
      <c r="AQ1309" s="25"/>
      <c r="AR1309" s="25"/>
      <c r="AS1309" s="25"/>
      <c r="AT1309" s="25"/>
      <c r="AU1309" s="25"/>
      <c r="AV1309" s="25"/>
      <c r="AW1309" s="25"/>
      <c r="AX1309" s="25"/>
    </row>
    <row r="1310" ht="15.75" customHeight="1">
      <c r="A1310" s="25"/>
      <c r="B1310" s="25"/>
      <c r="C1310" s="27"/>
      <c r="D1310" s="28"/>
      <c r="E1310" s="28"/>
      <c r="F1310" s="25"/>
      <c r="G1310" s="25"/>
      <c r="H1310" s="25"/>
      <c r="I1310" s="25"/>
      <c r="J1310" s="25"/>
      <c r="K1310" s="25"/>
      <c r="L1310" s="25"/>
      <c r="M1310" s="25"/>
      <c r="N1310" s="25"/>
      <c r="O1310" s="25"/>
      <c r="P1310" s="25"/>
      <c r="Q1310" s="25"/>
      <c r="R1310" s="25"/>
      <c r="S1310" s="25"/>
      <c r="T1310" s="25"/>
      <c r="U1310" s="25"/>
      <c r="V1310" s="25"/>
      <c r="W1310" s="25"/>
      <c r="X1310" s="25"/>
      <c r="Y1310" s="25"/>
      <c r="Z1310" s="25"/>
      <c r="AA1310" s="25"/>
      <c r="AB1310" s="25"/>
      <c r="AC1310" s="25"/>
      <c r="AD1310" s="25"/>
      <c r="AE1310" s="25"/>
      <c r="AF1310" s="25"/>
      <c r="AG1310" s="25"/>
      <c r="AH1310" s="25"/>
      <c r="AI1310" s="25"/>
      <c r="AJ1310" s="25"/>
      <c r="AK1310" s="25"/>
      <c r="AL1310" s="25"/>
      <c r="AM1310" s="25"/>
      <c r="AN1310" s="25"/>
      <c r="AO1310" s="25"/>
      <c r="AP1310" s="25"/>
      <c r="AQ1310" s="25"/>
      <c r="AR1310" s="25"/>
      <c r="AS1310" s="25"/>
      <c r="AT1310" s="25"/>
      <c r="AU1310" s="25"/>
      <c r="AV1310" s="25"/>
      <c r="AW1310" s="25"/>
      <c r="AX1310" s="25"/>
    </row>
    <row r="1311" ht="15.75" customHeight="1">
      <c r="A1311" s="25"/>
      <c r="B1311" s="25"/>
      <c r="C1311" s="27"/>
      <c r="D1311" s="28"/>
      <c r="E1311" s="28"/>
      <c r="F1311" s="25"/>
      <c r="G1311" s="25"/>
      <c r="H1311" s="25"/>
      <c r="I1311" s="25"/>
      <c r="J1311" s="25"/>
      <c r="K1311" s="25"/>
      <c r="L1311" s="25"/>
      <c r="M1311" s="25"/>
      <c r="N1311" s="25"/>
      <c r="O1311" s="25"/>
      <c r="P1311" s="25"/>
      <c r="Q1311" s="25"/>
      <c r="R1311" s="25"/>
      <c r="S1311" s="25"/>
      <c r="T1311" s="25"/>
      <c r="U1311" s="25"/>
      <c r="V1311" s="25"/>
      <c r="W1311" s="25"/>
      <c r="X1311" s="25"/>
      <c r="Y1311" s="25"/>
      <c r="Z1311" s="25"/>
      <c r="AA1311" s="25"/>
      <c r="AB1311" s="25"/>
      <c r="AC1311" s="25"/>
      <c r="AD1311" s="25"/>
      <c r="AE1311" s="25"/>
      <c r="AF1311" s="25"/>
      <c r="AG1311" s="25"/>
      <c r="AH1311" s="25"/>
      <c r="AI1311" s="25"/>
      <c r="AJ1311" s="25"/>
      <c r="AK1311" s="25"/>
      <c r="AL1311" s="25"/>
      <c r="AM1311" s="25"/>
      <c r="AN1311" s="25"/>
      <c r="AO1311" s="25"/>
      <c r="AP1311" s="25"/>
      <c r="AQ1311" s="25"/>
      <c r="AR1311" s="25"/>
      <c r="AS1311" s="25"/>
      <c r="AT1311" s="25"/>
      <c r="AU1311" s="25"/>
      <c r="AV1311" s="25"/>
      <c r="AW1311" s="25"/>
      <c r="AX1311" s="25"/>
    </row>
    <row r="1312" ht="15.75" customHeight="1">
      <c r="A1312" s="25"/>
      <c r="B1312" s="25"/>
      <c r="C1312" s="27"/>
      <c r="D1312" s="28"/>
      <c r="E1312" s="28"/>
      <c r="F1312" s="25"/>
      <c r="G1312" s="25"/>
      <c r="H1312" s="25"/>
      <c r="I1312" s="25"/>
      <c r="J1312" s="25"/>
      <c r="K1312" s="25"/>
      <c r="L1312" s="25"/>
      <c r="M1312" s="25"/>
      <c r="N1312" s="25"/>
      <c r="O1312" s="25"/>
      <c r="P1312" s="25"/>
      <c r="Q1312" s="25"/>
      <c r="R1312" s="25"/>
      <c r="S1312" s="25"/>
      <c r="T1312" s="25"/>
      <c r="U1312" s="25"/>
      <c r="V1312" s="25"/>
      <c r="W1312" s="25"/>
      <c r="X1312" s="25"/>
      <c r="Y1312" s="25"/>
      <c r="Z1312" s="25"/>
      <c r="AA1312" s="25"/>
      <c r="AB1312" s="25"/>
      <c r="AC1312" s="25"/>
      <c r="AD1312" s="25"/>
      <c r="AE1312" s="25"/>
      <c r="AF1312" s="25"/>
      <c r="AG1312" s="25"/>
      <c r="AH1312" s="25"/>
      <c r="AI1312" s="25"/>
      <c r="AJ1312" s="25"/>
      <c r="AK1312" s="25"/>
      <c r="AL1312" s="25"/>
      <c r="AM1312" s="25"/>
      <c r="AN1312" s="25"/>
      <c r="AO1312" s="25"/>
      <c r="AP1312" s="25"/>
      <c r="AQ1312" s="25"/>
      <c r="AR1312" s="25"/>
      <c r="AS1312" s="25"/>
      <c r="AT1312" s="25"/>
      <c r="AU1312" s="25"/>
      <c r="AV1312" s="25"/>
      <c r="AW1312" s="25"/>
      <c r="AX1312" s="25"/>
    </row>
    <row r="1313" ht="15.75" customHeight="1">
      <c r="A1313" s="25"/>
      <c r="B1313" s="25"/>
      <c r="C1313" s="27"/>
      <c r="D1313" s="28"/>
      <c r="E1313" s="28"/>
      <c r="F1313" s="25"/>
      <c r="G1313" s="25"/>
      <c r="H1313" s="25"/>
      <c r="I1313" s="25"/>
      <c r="J1313" s="25"/>
      <c r="K1313" s="25"/>
      <c r="L1313" s="25"/>
      <c r="M1313" s="25"/>
      <c r="N1313" s="25"/>
      <c r="O1313" s="25"/>
      <c r="P1313" s="25"/>
      <c r="Q1313" s="25"/>
      <c r="R1313" s="25"/>
      <c r="S1313" s="25"/>
      <c r="T1313" s="25"/>
      <c r="U1313" s="25"/>
      <c r="V1313" s="25"/>
      <c r="W1313" s="25"/>
      <c r="X1313" s="25"/>
      <c r="Y1313" s="25"/>
      <c r="Z1313" s="25"/>
      <c r="AA1313" s="25"/>
      <c r="AB1313" s="25"/>
      <c r="AC1313" s="25"/>
      <c r="AD1313" s="25"/>
      <c r="AE1313" s="25"/>
      <c r="AF1313" s="25"/>
      <c r="AG1313" s="25"/>
      <c r="AH1313" s="25"/>
      <c r="AI1313" s="25"/>
      <c r="AJ1313" s="25"/>
      <c r="AK1313" s="25"/>
      <c r="AL1313" s="25"/>
      <c r="AM1313" s="25"/>
      <c r="AN1313" s="25"/>
      <c r="AO1313" s="25"/>
      <c r="AP1313" s="25"/>
      <c r="AQ1313" s="25"/>
      <c r="AR1313" s="25"/>
      <c r="AS1313" s="25"/>
      <c r="AT1313" s="25"/>
      <c r="AU1313" s="25"/>
      <c r="AV1313" s="25"/>
      <c r="AW1313" s="25"/>
      <c r="AX1313" s="25"/>
    </row>
    <row r="1314" ht="15.75" customHeight="1">
      <c r="A1314" s="25"/>
      <c r="B1314" s="25"/>
      <c r="C1314" s="27"/>
      <c r="D1314" s="28"/>
      <c r="E1314" s="28"/>
      <c r="F1314" s="25"/>
      <c r="G1314" s="25"/>
      <c r="H1314" s="25"/>
      <c r="I1314" s="25"/>
      <c r="J1314" s="25"/>
      <c r="K1314" s="25"/>
      <c r="L1314" s="25"/>
      <c r="M1314" s="25"/>
      <c r="N1314" s="25"/>
      <c r="O1314" s="25"/>
      <c r="P1314" s="25"/>
      <c r="Q1314" s="25"/>
      <c r="R1314" s="25"/>
      <c r="S1314" s="25"/>
      <c r="T1314" s="25"/>
      <c r="U1314" s="25"/>
      <c r="V1314" s="25"/>
      <c r="W1314" s="25"/>
      <c r="X1314" s="25"/>
      <c r="Y1314" s="25"/>
      <c r="Z1314" s="25"/>
      <c r="AA1314" s="25"/>
      <c r="AB1314" s="25"/>
      <c r="AC1314" s="25"/>
      <c r="AD1314" s="25"/>
      <c r="AE1314" s="25"/>
      <c r="AF1314" s="25"/>
      <c r="AG1314" s="25"/>
      <c r="AH1314" s="25"/>
      <c r="AI1314" s="25"/>
      <c r="AJ1314" s="25"/>
      <c r="AK1314" s="25"/>
      <c r="AL1314" s="25"/>
      <c r="AM1314" s="25"/>
      <c r="AN1314" s="25"/>
      <c r="AO1314" s="25"/>
      <c r="AP1314" s="25"/>
      <c r="AQ1314" s="25"/>
      <c r="AR1314" s="25"/>
      <c r="AS1314" s="25"/>
      <c r="AT1314" s="25"/>
      <c r="AU1314" s="25"/>
      <c r="AV1314" s="25"/>
      <c r="AW1314" s="25"/>
      <c r="AX1314" s="25"/>
    </row>
    <row r="1315" ht="15.75" customHeight="1">
      <c r="A1315" s="25"/>
      <c r="B1315" s="25"/>
      <c r="C1315" s="27"/>
      <c r="D1315" s="28"/>
      <c r="E1315" s="28"/>
      <c r="F1315" s="25"/>
      <c r="G1315" s="25"/>
      <c r="H1315" s="25"/>
      <c r="I1315" s="25"/>
      <c r="J1315" s="25"/>
      <c r="K1315" s="25"/>
      <c r="L1315" s="25"/>
      <c r="M1315" s="25"/>
      <c r="N1315" s="25"/>
      <c r="O1315" s="25"/>
      <c r="P1315" s="25"/>
      <c r="Q1315" s="25"/>
      <c r="R1315" s="25"/>
      <c r="S1315" s="25"/>
      <c r="T1315" s="25"/>
      <c r="U1315" s="25"/>
      <c r="V1315" s="25"/>
      <c r="W1315" s="25"/>
      <c r="X1315" s="25"/>
      <c r="Y1315" s="25"/>
      <c r="Z1315" s="25"/>
      <c r="AA1315" s="25"/>
      <c r="AB1315" s="25"/>
      <c r="AC1315" s="25"/>
      <c r="AD1315" s="25"/>
      <c r="AE1315" s="25"/>
      <c r="AF1315" s="25"/>
      <c r="AG1315" s="25"/>
      <c r="AH1315" s="25"/>
      <c r="AI1315" s="25"/>
      <c r="AJ1315" s="25"/>
      <c r="AK1315" s="25"/>
      <c r="AL1315" s="25"/>
      <c r="AM1315" s="25"/>
      <c r="AN1315" s="25"/>
      <c r="AO1315" s="25"/>
      <c r="AP1315" s="25"/>
      <c r="AQ1315" s="25"/>
      <c r="AR1315" s="25"/>
      <c r="AS1315" s="25"/>
      <c r="AT1315" s="25"/>
      <c r="AU1315" s="25"/>
      <c r="AV1315" s="25"/>
      <c r="AW1315" s="25"/>
      <c r="AX1315" s="25"/>
    </row>
    <row r="1316" ht="15.75" customHeight="1">
      <c r="A1316" s="25"/>
      <c r="B1316" s="25"/>
      <c r="C1316" s="27"/>
      <c r="D1316" s="28"/>
      <c r="E1316" s="28"/>
      <c r="F1316" s="25"/>
      <c r="G1316" s="25"/>
      <c r="H1316" s="25"/>
      <c r="I1316" s="25"/>
      <c r="J1316" s="25"/>
      <c r="K1316" s="25"/>
      <c r="L1316" s="25"/>
      <c r="M1316" s="25"/>
      <c r="N1316" s="25"/>
      <c r="O1316" s="25"/>
      <c r="P1316" s="25"/>
      <c r="Q1316" s="25"/>
      <c r="R1316" s="25"/>
      <c r="S1316" s="25"/>
      <c r="T1316" s="25"/>
      <c r="U1316" s="25"/>
      <c r="V1316" s="25"/>
      <c r="W1316" s="25"/>
      <c r="X1316" s="25"/>
      <c r="Y1316" s="25"/>
      <c r="Z1316" s="25"/>
      <c r="AA1316" s="25"/>
      <c r="AB1316" s="25"/>
      <c r="AC1316" s="25"/>
      <c r="AD1316" s="25"/>
      <c r="AE1316" s="25"/>
      <c r="AF1316" s="25"/>
      <c r="AG1316" s="25"/>
      <c r="AH1316" s="25"/>
      <c r="AI1316" s="25"/>
      <c r="AJ1316" s="25"/>
      <c r="AK1316" s="25"/>
      <c r="AL1316" s="25"/>
      <c r="AM1316" s="25"/>
      <c r="AN1316" s="25"/>
      <c r="AO1316" s="25"/>
      <c r="AP1316" s="25"/>
      <c r="AQ1316" s="25"/>
      <c r="AR1316" s="25"/>
      <c r="AS1316" s="25"/>
      <c r="AT1316" s="25"/>
      <c r="AU1316" s="25"/>
      <c r="AV1316" s="25"/>
      <c r="AW1316" s="25"/>
      <c r="AX1316" s="25"/>
    </row>
    <row r="1317" ht="15.75" customHeight="1">
      <c r="A1317" s="25"/>
      <c r="B1317" s="25"/>
      <c r="C1317" s="27"/>
      <c r="D1317" s="28"/>
      <c r="E1317" s="28"/>
      <c r="F1317" s="25"/>
      <c r="G1317" s="25"/>
      <c r="H1317" s="25"/>
      <c r="I1317" s="25"/>
      <c r="J1317" s="25"/>
      <c r="K1317" s="25"/>
      <c r="L1317" s="25"/>
      <c r="M1317" s="25"/>
      <c r="N1317" s="25"/>
      <c r="O1317" s="25"/>
      <c r="P1317" s="25"/>
      <c r="Q1317" s="25"/>
      <c r="R1317" s="25"/>
      <c r="S1317" s="25"/>
      <c r="T1317" s="25"/>
      <c r="U1317" s="25"/>
      <c r="V1317" s="25"/>
      <c r="W1317" s="25"/>
      <c r="X1317" s="25"/>
      <c r="Y1317" s="25"/>
      <c r="Z1317" s="25"/>
      <c r="AA1317" s="25"/>
      <c r="AB1317" s="25"/>
      <c r="AC1317" s="25"/>
      <c r="AD1317" s="25"/>
      <c r="AE1317" s="25"/>
      <c r="AF1317" s="25"/>
      <c r="AG1317" s="25"/>
      <c r="AH1317" s="25"/>
      <c r="AI1317" s="25"/>
      <c r="AJ1317" s="25"/>
      <c r="AK1317" s="25"/>
      <c r="AL1317" s="25"/>
      <c r="AM1317" s="25"/>
      <c r="AN1317" s="25"/>
      <c r="AO1317" s="25"/>
      <c r="AP1317" s="25"/>
      <c r="AQ1317" s="25"/>
      <c r="AR1317" s="25"/>
      <c r="AS1317" s="25"/>
      <c r="AT1317" s="25"/>
      <c r="AU1317" s="25"/>
      <c r="AV1317" s="25"/>
      <c r="AW1317" s="25"/>
      <c r="AX1317" s="25"/>
    </row>
    <row r="1318" ht="15.75" customHeight="1">
      <c r="A1318" s="25"/>
      <c r="B1318" s="25"/>
      <c r="C1318" s="27"/>
      <c r="D1318" s="28"/>
      <c r="E1318" s="28"/>
      <c r="F1318" s="25"/>
      <c r="G1318" s="25"/>
      <c r="H1318" s="25"/>
      <c r="I1318" s="25"/>
      <c r="J1318" s="25"/>
      <c r="K1318" s="25"/>
      <c r="L1318" s="25"/>
      <c r="M1318" s="25"/>
      <c r="N1318" s="25"/>
      <c r="O1318" s="25"/>
      <c r="P1318" s="25"/>
      <c r="Q1318" s="25"/>
      <c r="R1318" s="25"/>
      <c r="S1318" s="25"/>
      <c r="T1318" s="25"/>
      <c r="U1318" s="25"/>
      <c r="V1318" s="25"/>
      <c r="W1318" s="25"/>
      <c r="X1318" s="25"/>
      <c r="Y1318" s="25"/>
      <c r="Z1318" s="25"/>
      <c r="AA1318" s="25"/>
      <c r="AB1318" s="25"/>
      <c r="AC1318" s="25"/>
      <c r="AD1318" s="25"/>
      <c r="AE1318" s="25"/>
      <c r="AF1318" s="25"/>
      <c r="AG1318" s="25"/>
      <c r="AH1318" s="25"/>
      <c r="AI1318" s="25"/>
      <c r="AJ1318" s="25"/>
      <c r="AK1318" s="25"/>
      <c r="AL1318" s="25"/>
      <c r="AM1318" s="25"/>
      <c r="AN1318" s="25"/>
      <c r="AO1318" s="25"/>
      <c r="AP1318" s="25"/>
      <c r="AQ1318" s="25"/>
      <c r="AR1318" s="25"/>
      <c r="AS1318" s="25"/>
      <c r="AT1318" s="25"/>
      <c r="AU1318" s="25"/>
      <c r="AV1318" s="25"/>
      <c r="AW1318" s="25"/>
      <c r="AX1318" s="25"/>
    </row>
    <row r="1319" ht="15.75" customHeight="1">
      <c r="A1319" s="25"/>
      <c r="B1319" s="25"/>
      <c r="C1319" s="27"/>
      <c r="D1319" s="28"/>
      <c r="E1319" s="28"/>
      <c r="F1319" s="25"/>
      <c r="G1319" s="25"/>
      <c r="H1319" s="25"/>
      <c r="I1319" s="25"/>
      <c r="J1319" s="25"/>
      <c r="K1319" s="25"/>
      <c r="L1319" s="25"/>
      <c r="M1319" s="25"/>
      <c r="N1319" s="25"/>
      <c r="O1319" s="25"/>
      <c r="P1319" s="25"/>
      <c r="Q1319" s="25"/>
      <c r="R1319" s="25"/>
      <c r="S1319" s="25"/>
      <c r="T1319" s="25"/>
      <c r="U1319" s="25"/>
      <c r="V1319" s="25"/>
      <c r="W1319" s="25"/>
      <c r="X1319" s="25"/>
      <c r="Y1319" s="25"/>
      <c r="Z1319" s="25"/>
      <c r="AA1319" s="25"/>
      <c r="AB1319" s="25"/>
      <c r="AC1319" s="25"/>
      <c r="AD1319" s="25"/>
      <c r="AE1319" s="25"/>
      <c r="AF1319" s="25"/>
      <c r="AG1319" s="25"/>
      <c r="AH1319" s="25"/>
      <c r="AI1319" s="25"/>
      <c r="AJ1319" s="25"/>
      <c r="AK1319" s="25"/>
      <c r="AL1319" s="25"/>
      <c r="AM1319" s="25"/>
      <c r="AN1319" s="25"/>
      <c r="AO1319" s="25"/>
      <c r="AP1319" s="25"/>
      <c r="AQ1319" s="25"/>
      <c r="AR1319" s="25"/>
      <c r="AS1319" s="25"/>
      <c r="AT1319" s="25"/>
      <c r="AU1319" s="25"/>
      <c r="AV1319" s="25"/>
      <c r="AW1319" s="25"/>
      <c r="AX1319" s="25"/>
    </row>
    <row r="1320" ht="15.75" customHeight="1">
      <c r="A1320" s="25"/>
      <c r="B1320" s="25"/>
      <c r="C1320" s="27"/>
      <c r="D1320" s="28"/>
      <c r="E1320" s="28"/>
      <c r="F1320" s="25"/>
      <c r="G1320" s="25"/>
      <c r="H1320" s="25"/>
      <c r="I1320" s="25"/>
      <c r="J1320" s="25"/>
      <c r="K1320" s="25"/>
      <c r="L1320" s="25"/>
      <c r="M1320" s="25"/>
      <c r="N1320" s="25"/>
      <c r="O1320" s="25"/>
      <c r="P1320" s="25"/>
      <c r="Q1320" s="25"/>
      <c r="R1320" s="25"/>
      <c r="S1320" s="25"/>
      <c r="T1320" s="25"/>
      <c r="U1320" s="25"/>
      <c r="V1320" s="25"/>
      <c r="W1320" s="25"/>
      <c r="X1320" s="25"/>
      <c r="Y1320" s="25"/>
      <c r="Z1320" s="25"/>
      <c r="AA1320" s="25"/>
      <c r="AB1320" s="25"/>
      <c r="AC1320" s="25"/>
      <c r="AD1320" s="25"/>
      <c r="AE1320" s="25"/>
      <c r="AF1320" s="25"/>
      <c r="AG1320" s="25"/>
      <c r="AH1320" s="25"/>
      <c r="AI1320" s="25"/>
      <c r="AJ1320" s="25"/>
      <c r="AK1320" s="25"/>
      <c r="AL1320" s="25"/>
      <c r="AM1320" s="25"/>
      <c r="AN1320" s="25"/>
      <c r="AO1320" s="25"/>
      <c r="AP1320" s="25"/>
      <c r="AQ1320" s="25"/>
      <c r="AR1320" s="25"/>
      <c r="AS1320" s="25"/>
      <c r="AT1320" s="25"/>
      <c r="AU1320" s="25"/>
      <c r="AV1320" s="25"/>
      <c r="AW1320" s="25"/>
      <c r="AX1320" s="25"/>
    </row>
    <row r="1321" ht="15.75" customHeight="1">
      <c r="A1321" s="25"/>
      <c r="B1321" s="25"/>
      <c r="C1321" s="27"/>
      <c r="D1321" s="28"/>
      <c r="E1321" s="28"/>
      <c r="F1321" s="25"/>
      <c r="G1321" s="25"/>
      <c r="H1321" s="25"/>
      <c r="I1321" s="25"/>
      <c r="J1321" s="25"/>
      <c r="K1321" s="25"/>
      <c r="L1321" s="25"/>
      <c r="M1321" s="25"/>
      <c r="N1321" s="25"/>
      <c r="O1321" s="25"/>
      <c r="P1321" s="25"/>
      <c r="Q1321" s="25"/>
      <c r="R1321" s="25"/>
      <c r="S1321" s="25"/>
      <c r="T1321" s="25"/>
      <c r="U1321" s="25"/>
      <c r="V1321" s="25"/>
      <c r="W1321" s="25"/>
      <c r="X1321" s="25"/>
      <c r="Y1321" s="25"/>
      <c r="Z1321" s="25"/>
      <c r="AA1321" s="25"/>
      <c r="AB1321" s="25"/>
      <c r="AC1321" s="25"/>
      <c r="AD1321" s="25"/>
      <c r="AE1321" s="25"/>
      <c r="AF1321" s="25"/>
      <c r="AG1321" s="25"/>
      <c r="AH1321" s="25"/>
      <c r="AI1321" s="25"/>
      <c r="AJ1321" s="25"/>
      <c r="AK1321" s="25"/>
      <c r="AL1321" s="25"/>
      <c r="AM1321" s="25"/>
      <c r="AN1321" s="25"/>
      <c r="AO1321" s="25"/>
      <c r="AP1321" s="25"/>
      <c r="AQ1321" s="25"/>
      <c r="AR1321" s="25"/>
      <c r="AS1321" s="25"/>
      <c r="AT1321" s="25"/>
      <c r="AU1321" s="25"/>
      <c r="AV1321" s="25"/>
      <c r="AW1321" s="25"/>
      <c r="AX1321" s="25"/>
    </row>
    <row r="1322" ht="15.75" customHeight="1">
      <c r="A1322" s="25"/>
      <c r="B1322" s="25"/>
      <c r="C1322" s="27"/>
      <c r="D1322" s="28"/>
      <c r="E1322" s="28"/>
      <c r="F1322" s="25"/>
      <c r="G1322" s="25"/>
      <c r="H1322" s="25"/>
      <c r="I1322" s="25"/>
      <c r="J1322" s="25"/>
      <c r="K1322" s="25"/>
      <c r="L1322" s="25"/>
      <c r="M1322" s="25"/>
      <c r="N1322" s="25"/>
      <c r="O1322" s="25"/>
      <c r="P1322" s="25"/>
      <c r="Q1322" s="25"/>
      <c r="R1322" s="25"/>
      <c r="S1322" s="25"/>
      <c r="T1322" s="25"/>
      <c r="U1322" s="25"/>
      <c r="V1322" s="25"/>
      <c r="W1322" s="25"/>
      <c r="X1322" s="25"/>
      <c r="Y1322" s="25"/>
      <c r="Z1322" s="25"/>
      <c r="AA1322" s="25"/>
      <c r="AB1322" s="25"/>
      <c r="AC1322" s="25"/>
      <c r="AD1322" s="25"/>
      <c r="AE1322" s="25"/>
      <c r="AF1322" s="25"/>
      <c r="AG1322" s="25"/>
      <c r="AH1322" s="25"/>
      <c r="AI1322" s="25"/>
      <c r="AJ1322" s="25"/>
      <c r="AK1322" s="25"/>
      <c r="AL1322" s="25"/>
      <c r="AM1322" s="25"/>
      <c r="AN1322" s="25"/>
      <c r="AO1322" s="25"/>
      <c r="AP1322" s="25"/>
      <c r="AQ1322" s="25"/>
      <c r="AR1322" s="25"/>
      <c r="AS1322" s="25"/>
      <c r="AT1322" s="25"/>
      <c r="AU1322" s="25"/>
      <c r="AV1322" s="25"/>
      <c r="AW1322" s="25"/>
      <c r="AX1322" s="25"/>
    </row>
    <row r="1323" ht="15.75" customHeight="1">
      <c r="A1323" s="25"/>
      <c r="B1323" s="25"/>
      <c r="C1323" s="27"/>
      <c r="D1323" s="28"/>
      <c r="E1323" s="28"/>
      <c r="F1323" s="25"/>
      <c r="G1323" s="25"/>
      <c r="H1323" s="25"/>
      <c r="I1323" s="25"/>
      <c r="J1323" s="25"/>
      <c r="K1323" s="25"/>
      <c r="L1323" s="25"/>
      <c r="M1323" s="25"/>
      <c r="N1323" s="25"/>
      <c r="O1323" s="25"/>
      <c r="P1323" s="25"/>
      <c r="Q1323" s="25"/>
      <c r="R1323" s="25"/>
      <c r="S1323" s="25"/>
      <c r="T1323" s="25"/>
      <c r="U1323" s="25"/>
      <c r="V1323" s="25"/>
      <c r="W1323" s="25"/>
      <c r="X1323" s="25"/>
      <c r="Y1323" s="25"/>
      <c r="Z1323" s="25"/>
      <c r="AA1323" s="25"/>
      <c r="AB1323" s="25"/>
      <c r="AC1323" s="25"/>
      <c r="AD1323" s="25"/>
      <c r="AE1323" s="25"/>
      <c r="AF1323" s="25"/>
      <c r="AG1323" s="25"/>
      <c r="AH1323" s="25"/>
      <c r="AI1323" s="25"/>
      <c r="AJ1323" s="25"/>
      <c r="AK1323" s="25"/>
      <c r="AL1323" s="25"/>
      <c r="AM1323" s="25"/>
      <c r="AN1323" s="25"/>
      <c r="AO1323" s="25"/>
      <c r="AP1323" s="25"/>
      <c r="AQ1323" s="25"/>
      <c r="AR1323" s="25"/>
      <c r="AS1323" s="25"/>
      <c r="AT1323" s="25"/>
      <c r="AU1323" s="25"/>
      <c r="AV1323" s="25"/>
      <c r="AW1323" s="25"/>
      <c r="AX1323" s="25"/>
    </row>
    <row r="1324" ht="15.75" customHeight="1">
      <c r="A1324" s="25"/>
      <c r="B1324" s="25"/>
      <c r="C1324" s="27"/>
      <c r="D1324" s="28"/>
      <c r="E1324" s="28"/>
      <c r="F1324" s="25"/>
      <c r="G1324" s="25"/>
      <c r="H1324" s="25"/>
      <c r="I1324" s="25"/>
      <c r="J1324" s="25"/>
      <c r="K1324" s="25"/>
      <c r="L1324" s="25"/>
      <c r="M1324" s="25"/>
      <c r="N1324" s="25"/>
      <c r="O1324" s="25"/>
      <c r="P1324" s="25"/>
      <c r="Q1324" s="25"/>
      <c r="R1324" s="25"/>
      <c r="S1324" s="25"/>
      <c r="T1324" s="25"/>
      <c r="U1324" s="25"/>
      <c r="V1324" s="25"/>
      <c r="W1324" s="25"/>
      <c r="X1324" s="25"/>
      <c r="Y1324" s="25"/>
      <c r="Z1324" s="25"/>
      <c r="AA1324" s="25"/>
      <c r="AB1324" s="25"/>
      <c r="AC1324" s="25"/>
      <c r="AD1324" s="25"/>
      <c r="AE1324" s="25"/>
      <c r="AF1324" s="25"/>
      <c r="AG1324" s="25"/>
      <c r="AH1324" s="25"/>
      <c r="AI1324" s="25"/>
      <c r="AJ1324" s="25"/>
      <c r="AK1324" s="25"/>
      <c r="AL1324" s="25"/>
      <c r="AM1324" s="25"/>
      <c r="AN1324" s="25"/>
      <c r="AO1324" s="25"/>
      <c r="AP1324" s="25"/>
      <c r="AQ1324" s="25"/>
      <c r="AR1324" s="25"/>
      <c r="AS1324" s="25"/>
      <c r="AT1324" s="25"/>
      <c r="AU1324" s="25"/>
      <c r="AV1324" s="25"/>
      <c r="AW1324" s="25"/>
      <c r="AX1324" s="25"/>
    </row>
    <row r="1325" ht="15.75" customHeight="1">
      <c r="A1325" s="25"/>
      <c r="B1325" s="25"/>
      <c r="C1325" s="27"/>
      <c r="D1325" s="28"/>
      <c r="E1325" s="28"/>
      <c r="F1325" s="25"/>
      <c r="G1325" s="25"/>
      <c r="H1325" s="25"/>
      <c r="I1325" s="25"/>
      <c r="J1325" s="25"/>
      <c r="K1325" s="25"/>
      <c r="L1325" s="25"/>
      <c r="M1325" s="25"/>
      <c r="N1325" s="25"/>
      <c r="O1325" s="25"/>
      <c r="P1325" s="25"/>
      <c r="Q1325" s="25"/>
      <c r="R1325" s="25"/>
      <c r="S1325" s="25"/>
      <c r="T1325" s="25"/>
      <c r="U1325" s="25"/>
      <c r="V1325" s="25"/>
      <c r="W1325" s="25"/>
      <c r="X1325" s="25"/>
      <c r="Y1325" s="25"/>
      <c r="Z1325" s="25"/>
      <c r="AA1325" s="25"/>
      <c r="AB1325" s="25"/>
      <c r="AC1325" s="25"/>
      <c r="AD1325" s="25"/>
      <c r="AE1325" s="25"/>
      <c r="AF1325" s="25"/>
      <c r="AG1325" s="25"/>
      <c r="AH1325" s="25"/>
      <c r="AI1325" s="25"/>
      <c r="AJ1325" s="25"/>
      <c r="AK1325" s="25"/>
      <c r="AL1325" s="25"/>
      <c r="AM1325" s="25"/>
      <c r="AN1325" s="25"/>
      <c r="AO1325" s="25"/>
      <c r="AP1325" s="25"/>
      <c r="AQ1325" s="25"/>
      <c r="AR1325" s="25"/>
      <c r="AS1325" s="25"/>
      <c r="AT1325" s="25"/>
      <c r="AU1325" s="25"/>
      <c r="AV1325" s="25"/>
      <c r="AW1325" s="25"/>
      <c r="AX1325" s="25"/>
    </row>
    <row r="1326" ht="15.75" customHeight="1">
      <c r="A1326" s="25"/>
      <c r="B1326" s="25"/>
      <c r="C1326" s="27"/>
      <c r="D1326" s="28"/>
      <c r="E1326" s="28"/>
      <c r="F1326" s="25"/>
      <c r="G1326" s="25"/>
      <c r="H1326" s="25"/>
      <c r="I1326" s="25"/>
      <c r="J1326" s="25"/>
      <c r="K1326" s="25"/>
      <c r="L1326" s="25"/>
      <c r="M1326" s="25"/>
      <c r="N1326" s="25"/>
      <c r="O1326" s="25"/>
      <c r="P1326" s="25"/>
      <c r="Q1326" s="25"/>
      <c r="R1326" s="25"/>
      <c r="S1326" s="25"/>
      <c r="T1326" s="25"/>
      <c r="U1326" s="25"/>
      <c r="V1326" s="25"/>
      <c r="W1326" s="25"/>
      <c r="X1326" s="25"/>
      <c r="Y1326" s="25"/>
      <c r="Z1326" s="25"/>
      <c r="AA1326" s="25"/>
      <c r="AB1326" s="25"/>
      <c r="AC1326" s="25"/>
      <c r="AD1326" s="25"/>
      <c r="AE1326" s="25"/>
      <c r="AF1326" s="25"/>
      <c r="AG1326" s="25"/>
      <c r="AH1326" s="25"/>
      <c r="AI1326" s="25"/>
      <c r="AJ1326" s="25"/>
      <c r="AK1326" s="25"/>
      <c r="AL1326" s="25"/>
      <c r="AM1326" s="25"/>
      <c r="AN1326" s="25"/>
      <c r="AO1326" s="25"/>
      <c r="AP1326" s="25"/>
      <c r="AQ1326" s="25"/>
      <c r="AR1326" s="25"/>
      <c r="AS1326" s="25"/>
      <c r="AT1326" s="25"/>
      <c r="AU1326" s="25"/>
      <c r="AV1326" s="25"/>
      <c r="AW1326" s="25"/>
      <c r="AX1326" s="25"/>
    </row>
    <row r="1327" ht="15.75" customHeight="1">
      <c r="A1327" s="25"/>
      <c r="B1327" s="25"/>
      <c r="C1327" s="27"/>
      <c r="D1327" s="28"/>
      <c r="E1327" s="28"/>
      <c r="F1327" s="25"/>
      <c r="G1327" s="25"/>
      <c r="H1327" s="25"/>
      <c r="I1327" s="25"/>
      <c r="J1327" s="25"/>
      <c r="K1327" s="25"/>
      <c r="L1327" s="25"/>
      <c r="M1327" s="25"/>
      <c r="N1327" s="25"/>
      <c r="O1327" s="25"/>
      <c r="P1327" s="25"/>
      <c r="Q1327" s="25"/>
      <c r="R1327" s="25"/>
      <c r="S1327" s="25"/>
      <c r="T1327" s="25"/>
      <c r="U1327" s="25"/>
      <c r="V1327" s="25"/>
      <c r="W1327" s="25"/>
      <c r="X1327" s="25"/>
      <c r="Y1327" s="25"/>
      <c r="Z1327" s="25"/>
      <c r="AA1327" s="25"/>
      <c r="AB1327" s="25"/>
      <c r="AC1327" s="25"/>
      <c r="AD1327" s="25"/>
      <c r="AE1327" s="25"/>
      <c r="AF1327" s="25"/>
      <c r="AG1327" s="25"/>
      <c r="AH1327" s="25"/>
      <c r="AI1327" s="25"/>
      <c r="AJ1327" s="25"/>
      <c r="AK1327" s="25"/>
      <c r="AL1327" s="25"/>
      <c r="AM1327" s="25"/>
      <c r="AN1327" s="25"/>
      <c r="AO1327" s="25"/>
      <c r="AP1327" s="25"/>
      <c r="AQ1327" s="25"/>
      <c r="AR1327" s="25"/>
      <c r="AS1327" s="25"/>
      <c r="AT1327" s="25"/>
      <c r="AU1327" s="25"/>
      <c r="AV1327" s="25"/>
      <c r="AW1327" s="25"/>
      <c r="AX1327" s="25"/>
    </row>
    <row r="1328" ht="15.75" customHeight="1">
      <c r="A1328" s="25"/>
      <c r="B1328" s="25"/>
      <c r="C1328" s="27"/>
      <c r="D1328" s="28"/>
      <c r="E1328" s="28"/>
      <c r="F1328" s="25"/>
      <c r="G1328" s="25"/>
      <c r="H1328" s="25"/>
      <c r="I1328" s="25"/>
      <c r="J1328" s="25"/>
      <c r="K1328" s="25"/>
      <c r="L1328" s="25"/>
      <c r="M1328" s="25"/>
      <c r="N1328" s="25"/>
      <c r="O1328" s="25"/>
      <c r="P1328" s="25"/>
      <c r="Q1328" s="25"/>
      <c r="R1328" s="25"/>
      <c r="S1328" s="25"/>
      <c r="T1328" s="25"/>
      <c r="U1328" s="25"/>
      <c r="V1328" s="25"/>
      <c r="W1328" s="25"/>
      <c r="X1328" s="25"/>
      <c r="Y1328" s="25"/>
      <c r="Z1328" s="25"/>
      <c r="AA1328" s="25"/>
      <c r="AB1328" s="25"/>
      <c r="AC1328" s="25"/>
      <c r="AD1328" s="25"/>
      <c r="AE1328" s="25"/>
      <c r="AF1328" s="25"/>
      <c r="AG1328" s="25"/>
      <c r="AH1328" s="25"/>
      <c r="AI1328" s="25"/>
      <c r="AJ1328" s="25"/>
      <c r="AK1328" s="25"/>
      <c r="AL1328" s="25"/>
      <c r="AM1328" s="25"/>
      <c r="AN1328" s="25"/>
      <c r="AO1328" s="25"/>
      <c r="AP1328" s="25"/>
      <c r="AQ1328" s="25"/>
      <c r="AR1328" s="25"/>
      <c r="AS1328" s="25"/>
      <c r="AT1328" s="25"/>
      <c r="AU1328" s="25"/>
      <c r="AV1328" s="25"/>
      <c r="AW1328" s="25"/>
      <c r="AX1328" s="25"/>
    </row>
    <row r="1329" ht="15.75" customHeight="1">
      <c r="A1329" s="25"/>
      <c r="B1329" s="25"/>
      <c r="C1329" s="27"/>
      <c r="D1329" s="28"/>
      <c r="E1329" s="28"/>
      <c r="F1329" s="25"/>
      <c r="G1329" s="25"/>
      <c r="H1329" s="25"/>
      <c r="I1329" s="25"/>
      <c r="J1329" s="25"/>
      <c r="K1329" s="25"/>
      <c r="L1329" s="25"/>
      <c r="M1329" s="25"/>
      <c r="N1329" s="25"/>
      <c r="O1329" s="25"/>
      <c r="P1329" s="25"/>
      <c r="Q1329" s="25"/>
      <c r="R1329" s="25"/>
      <c r="S1329" s="25"/>
      <c r="T1329" s="25"/>
      <c r="U1329" s="25"/>
      <c r="V1329" s="25"/>
      <c r="W1329" s="25"/>
      <c r="X1329" s="25"/>
      <c r="Y1329" s="25"/>
      <c r="Z1329" s="25"/>
      <c r="AA1329" s="25"/>
      <c r="AB1329" s="25"/>
      <c r="AC1329" s="25"/>
      <c r="AD1329" s="25"/>
      <c r="AE1329" s="25"/>
      <c r="AF1329" s="25"/>
      <c r="AG1329" s="25"/>
      <c r="AH1329" s="25"/>
      <c r="AI1329" s="25"/>
      <c r="AJ1329" s="25"/>
      <c r="AK1329" s="25"/>
      <c r="AL1329" s="25"/>
      <c r="AM1329" s="25"/>
      <c r="AN1329" s="25"/>
      <c r="AO1329" s="25"/>
      <c r="AP1329" s="25"/>
      <c r="AQ1329" s="25"/>
      <c r="AR1329" s="25"/>
      <c r="AS1329" s="25"/>
      <c r="AT1329" s="25"/>
      <c r="AU1329" s="25"/>
      <c r="AV1329" s="25"/>
      <c r="AW1329" s="25"/>
      <c r="AX1329" s="25"/>
    </row>
    <row r="1330" ht="15.75" customHeight="1">
      <c r="A1330" s="25"/>
      <c r="B1330" s="25"/>
      <c r="C1330" s="27"/>
      <c r="D1330" s="28"/>
      <c r="E1330" s="28"/>
      <c r="F1330" s="25"/>
      <c r="G1330" s="25"/>
      <c r="H1330" s="25"/>
      <c r="I1330" s="25"/>
      <c r="J1330" s="25"/>
      <c r="K1330" s="25"/>
      <c r="L1330" s="25"/>
      <c r="M1330" s="25"/>
      <c r="N1330" s="25"/>
      <c r="O1330" s="25"/>
      <c r="P1330" s="25"/>
      <c r="Q1330" s="25"/>
      <c r="R1330" s="25"/>
      <c r="S1330" s="25"/>
      <c r="T1330" s="25"/>
      <c r="U1330" s="25"/>
      <c r="V1330" s="25"/>
      <c r="W1330" s="25"/>
      <c r="X1330" s="25"/>
      <c r="Y1330" s="25"/>
      <c r="Z1330" s="25"/>
      <c r="AA1330" s="25"/>
      <c r="AB1330" s="25"/>
      <c r="AC1330" s="25"/>
      <c r="AD1330" s="25"/>
      <c r="AE1330" s="25"/>
      <c r="AF1330" s="25"/>
      <c r="AG1330" s="25"/>
      <c r="AH1330" s="25"/>
      <c r="AI1330" s="25"/>
      <c r="AJ1330" s="25"/>
      <c r="AK1330" s="25"/>
      <c r="AL1330" s="25"/>
      <c r="AM1330" s="25"/>
      <c r="AN1330" s="25"/>
      <c r="AO1330" s="25"/>
      <c r="AP1330" s="25"/>
      <c r="AQ1330" s="25"/>
      <c r="AR1330" s="25"/>
      <c r="AS1330" s="25"/>
      <c r="AT1330" s="25"/>
      <c r="AU1330" s="25"/>
      <c r="AV1330" s="25"/>
      <c r="AW1330" s="25"/>
      <c r="AX1330" s="25"/>
    </row>
    <row r="1331" ht="15.75" customHeight="1">
      <c r="A1331" s="25"/>
      <c r="B1331" s="25"/>
      <c r="C1331" s="27"/>
      <c r="D1331" s="28"/>
      <c r="E1331" s="28"/>
      <c r="F1331" s="25"/>
      <c r="G1331" s="25"/>
      <c r="H1331" s="25"/>
      <c r="I1331" s="25"/>
      <c r="J1331" s="25"/>
      <c r="K1331" s="25"/>
      <c r="L1331" s="25"/>
      <c r="M1331" s="25"/>
      <c r="N1331" s="25"/>
      <c r="O1331" s="25"/>
      <c r="P1331" s="25"/>
      <c r="Q1331" s="25"/>
      <c r="R1331" s="25"/>
      <c r="S1331" s="25"/>
      <c r="T1331" s="25"/>
      <c r="U1331" s="25"/>
      <c r="V1331" s="25"/>
      <c r="W1331" s="25"/>
      <c r="X1331" s="25"/>
      <c r="Y1331" s="25"/>
      <c r="Z1331" s="25"/>
      <c r="AA1331" s="25"/>
      <c r="AB1331" s="25"/>
      <c r="AC1331" s="25"/>
      <c r="AD1331" s="25"/>
      <c r="AE1331" s="25"/>
      <c r="AF1331" s="25"/>
      <c r="AG1331" s="25"/>
      <c r="AH1331" s="25"/>
      <c r="AI1331" s="25"/>
      <c r="AJ1331" s="25"/>
      <c r="AK1331" s="25"/>
      <c r="AL1331" s="25"/>
      <c r="AM1331" s="25"/>
      <c r="AN1331" s="25"/>
      <c r="AO1331" s="25"/>
      <c r="AP1331" s="25"/>
      <c r="AQ1331" s="25"/>
      <c r="AR1331" s="25"/>
      <c r="AS1331" s="25"/>
      <c r="AT1331" s="25"/>
      <c r="AU1331" s="25"/>
      <c r="AV1331" s="25"/>
      <c r="AW1331" s="25"/>
      <c r="AX1331" s="25"/>
    </row>
    <row r="1332" ht="15.75" customHeight="1">
      <c r="A1332" s="25"/>
      <c r="B1332" s="25"/>
      <c r="C1332" s="27"/>
      <c r="D1332" s="28"/>
      <c r="E1332" s="28"/>
      <c r="F1332" s="25"/>
      <c r="G1332" s="25"/>
      <c r="H1332" s="25"/>
      <c r="I1332" s="25"/>
      <c r="J1332" s="25"/>
      <c r="K1332" s="25"/>
      <c r="L1332" s="25"/>
      <c r="M1332" s="25"/>
      <c r="N1332" s="25"/>
      <c r="O1332" s="25"/>
      <c r="P1332" s="25"/>
      <c r="Q1332" s="25"/>
      <c r="R1332" s="25"/>
      <c r="S1332" s="25"/>
      <c r="T1332" s="25"/>
      <c r="U1332" s="25"/>
      <c r="V1332" s="25"/>
      <c r="W1332" s="25"/>
      <c r="X1332" s="25"/>
      <c r="Y1332" s="25"/>
      <c r="Z1332" s="25"/>
      <c r="AA1332" s="25"/>
      <c r="AB1332" s="25"/>
      <c r="AC1332" s="25"/>
      <c r="AD1332" s="25"/>
      <c r="AE1332" s="25"/>
      <c r="AF1332" s="25"/>
      <c r="AG1332" s="25"/>
      <c r="AH1332" s="25"/>
      <c r="AI1332" s="25"/>
      <c r="AJ1332" s="25"/>
      <c r="AK1332" s="25"/>
      <c r="AL1332" s="25"/>
      <c r="AM1332" s="25"/>
      <c r="AN1332" s="25"/>
      <c r="AO1332" s="25"/>
      <c r="AP1332" s="25"/>
      <c r="AQ1332" s="25"/>
      <c r="AR1332" s="25"/>
      <c r="AS1332" s="25"/>
      <c r="AT1332" s="25"/>
      <c r="AU1332" s="25"/>
      <c r="AV1332" s="25"/>
      <c r="AW1332" s="25"/>
      <c r="AX1332" s="25"/>
    </row>
    <row r="1333" ht="15.75" customHeight="1">
      <c r="A1333" s="25"/>
      <c r="B1333" s="25"/>
      <c r="C1333" s="27"/>
      <c r="D1333" s="28"/>
      <c r="E1333" s="28"/>
      <c r="F1333" s="25"/>
      <c r="G1333" s="25"/>
      <c r="H1333" s="25"/>
      <c r="I1333" s="25"/>
      <c r="J1333" s="25"/>
      <c r="K1333" s="25"/>
      <c r="L1333" s="25"/>
      <c r="M1333" s="25"/>
      <c r="N1333" s="25"/>
      <c r="O1333" s="25"/>
      <c r="P1333" s="25"/>
      <c r="Q1333" s="25"/>
      <c r="R1333" s="25"/>
      <c r="S1333" s="25"/>
      <c r="T1333" s="25"/>
      <c r="U1333" s="25"/>
      <c r="V1333" s="25"/>
      <c r="W1333" s="25"/>
      <c r="X1333" s="25"/>
      <c r="Y1333" s="25"/>
      <c r="Z1333" s="25"/>
      <c r="AA1333" s="25"/>
      <c r="AB1333" s="25"/>
      <c r="AC1333" s="25"/>
      <c r="AD1333" s="25"/>
      <c r="AE1333" s="25"/>
      <c r="AF1333" s="25"/>
      <c r="AG1333" s="25"/>
      <c r="AH1333" s="25"/>
      <c r="AI1333" s="25"/>
      <c r="AJ1333" s="25"/>
      <c r="AK1333" s="25"/>
      <c r="AL1333" s="25"/>
      <c r="AM1333" s="25"/>
      <c r="AN1333" s="25"/>
      <c r="AO1333" s="25"/>
      <c r="AP1333" s="25"/>
      <c r="AQ1333" s="25"/>
      <c r="AR1333" s="25"/>
      <c r="AS1333" s="25"/>
      <c r="AT1333" s="25"/>
      <c r="AU1333" s="25"/>
      <c r="AV1333" s="25"/>
      <c r="AW1333" s="25"/>
      <c r="AX1333" s="25"/>
    </row>
    <row r="1334" ht="15.75" customHeight="1">
      <c r="A1334" s="25"/>
      <c r="B1334" s="25"/>
      <c r="C1334" s="27"/>
      <c r="D1334" s="28"/>
      <c r="E1334" s="28"/>
      <c r="F1334" s="25"/>
      <c r="G1334" s="25"/>
      <c r="H1334" s="25"/>
      <c r="I1334" s="25"/>
      <c r="J1334" s="25"/>
      <c r="K1334" s="25"/>
      <c r="L1334" s="25"/>
      <c r="M1334" s="25"/>
      <c r="N1334" s="25"/>
      <c r="O1334" s="25"/>
      <c r="P1334" s="25"/>
      <c r="Q1334" s="25"/>
      <c r="R1334" s="25"/>
      <c r="S1334" s="25"/>
      <c r="T1334" s="25"/>
      <c r="U1334" s="25"/>
      <c r="V1334" s="25"/>
      <c r="W1334" s="25"/>
      <c r="X1334" s="25"/>
      <c r="Y1334" s="25"/>
      <c r="Z1334" s="25"/>
      <c r="AA1334" s="25"/>
      <c r="AB1334" s="25"/>
      <c r="AC1334" s="25"/>
      <c r="AD1334" s="25"/>
      <c r="AE1334" s="25"/>
      <c r="AF1334" s="25"/>
      <c r="AG1334" s="25"/>
      <c r="AH1334" s="25"/>
      <c r="AI1334" s="25"/>
      <c r="AJ1334" s="25"/>
      <c r="AK1334" s="25"/>
      <c r="AL1334" s="25"/>
      <c r="AM1334" s="25"/>
      <c r="AN1334" s="25"/>
      <c r="AO1334" s="25"/>
      <c r="AP1334" s="25"/>
      <c r="AQ1334" s="25"/>
      <c r="AR1334" s="25"/>
      <c r="AS1334" s="25"/>
      <c r="AT1334" s="25"/>
      <c r="AU1334" s="25"/>
      <c r="AV1334" s="25"/>
      <c r="AW1334" s="25"/>
      <c r="AX1334" s="25"/>
    </row>
    <row r="1335" ht="15.75" customHeight="1">
      <c r="A1335" s="25"/>
      <c r="B1335" s="25"/>
      <c r="C1335" s="27"/>
      <c r="D1335" s="28"/>
      <c r="E1335" s="28"/>
      <c r="F1335" s="25"/>
      <c r="G1335" s="25"/>
      <c r="H1335" s="25"/>
      <c r="I1335" s="25"/>
      <c r="J1335" s="25"/>
      <c r="K1335" s="25"/>
      <c r="L1335" s="25"/>
      <c r="M1335" s="25"/>
      <c r="N1335" s="25"/>
      <c r="O1335" s="25"/>
      <c r="P1335" s="25"/>
      <c r="Q1335" s="25"/>
      <c r="R1335" s="25"/>
      <c r="S1335" s="25"/>
      <c r="T1335" s="25"/>
      <c r="U1335" s="25"/>
      <c r="V1335" s="25"/>
      <c r="W1335" s="25"/>
      <c r="X1335" s="25"/>
      <c r="Y1335" s="25"/>
      <c r="Z1335" s="25"/>
      <c r="AA1335" s="25"/>
      <c r="AB1335" s="25"/>
      <c r="AC1335" s="25"/>
      <c r="AD1335" s="25"/>
      <c r="AE1335" s="25"/>
      <c r="AF1335" s="25"/>
      <c r="AG1335" s="25"/>
      <c r="AH1335" s="25"/>
      <c r="AI1335" s="25"/>
      <c r="AJ1335" s="25"/>
      <c r="AK1335" s="25"/>
      <c r="AL1335" s="25"/>
      <c r="AM1335" s="25"/>
      <c r="AN1335" s="25"/>
      <c r="AO1335" s="25"/>
      <c r="AP1335" s="25"/>
      <c r="AQ1335" s="25"/>
      <c r="AR1335" s="25"/>
      <c r="AS1335" s="25"/>
      <c r="AT1335" s="25"/>
      <c r="AU1335" s="25"/>
      <c r="AV1335" s="25"/>
      <c r="AW1335" s="25"/>
      <c r="AX1335" s="25"/>
    </row>
    <row r="1336" ht="15.75" customHeight="1">
      <c r="A1336" s="25"/>
      <c r="B1336" s="25"/>
      <c r="C1336" s="27"/>
      <c r="D1336" s="28"/>
      <c r="E1336" s="28"/>
      <c r="F1336" s="25"/>
      <c r="G1336" s="25"/>
      <c r="H1336" s="25"/>
      <c r="I1336" s="25"/>
      <c r="J1336" s="25"/>
      <c r="K1336" s="25"/>
      <c r="L1336" s="25"/>
      <c r="M1336" s="25"/>
      <c r="N1336" s="25"/>
      <c r="O1336" s="25"/>
      <c r="P1336" s="25"/>
      <c r="Q1336" s="25"/>
      <c r="R1336" s="25"/>
      <c r="S1336" s="25"/>
      <c r="T1336" s="25"/>
      <c r="U1336" s="25"/>
      <c r="V1336" s="25"/>
      <c r="W1336" s="25"/>
      <c r="X1336" s="25"/>
      <c r="Y1336" s="25"/>
      <c r="Z1336" s="25"/>
      <c r="AA1336" s="25"/>
      <c r="AB1336" s="25"/>
      <c r="AC1336" s="25"/>
      <c r="AD1336" s="25"/>
      <c r="AE1336" s="25"/>
      <c r="AF1336" s="25"/>
      <c r="AG1336" s="25"/>
      <c r="AH1336" s="25"/>
      <c r="AI1336" s="25"/>
      <c r="AJ1336" s="25"/>
      <c r="AK1336" s="25"/>
      <c r="AL1336" s="25"/>
      <c r="AM1336" s="25"/>
      <c r="AN1336" s="25"/>
      <c r="AO1336" s="25"/>
      <c r="AP1336" s="25"/>
      <c r="AQ1336" s="25"/>
      <c r="AR1336" s="25"/>
      <c r="AS1336" s="25"/>
      <c r="AT1336" s="25"/>
      <c r="AU1336" s="25"/>
      <c r="AV1336" s="25"/>
      <c r="AW1336" s="25"/>
      <c r="AX1336" s="25"/>
    </row>
    <row r="1337" ht="15.75" customHeight="1">
      <c r="A1337" s="25"/>
      <c r="B1337" s="25"/>
      <c r="C1337" s="27"/>
      <c r="D1337" s="28"/>
      <c r="E1337" s="28"/>
      <c r="F1337" s="25"/>
      <c r="G1337" s="25"/>
      <c r="H1337" s="25"/>
      <c r="I1337" s="25"/>
      <c r="J1337" s="25"/>
      <c r="K1337" s="25"/>
      <c r="L1337" s="25"/>
      <c r="M1337" s="25"/>
      <c r="N1337" s="25"/>
      <c r="O1337" s="25"/>
      <c r="P1337" s="25"/>
      <c r="Q1337" s="25"/>
      <c r="R1337" s="25"/>
      <c r="S1337" s="25"/>
      <c r="T1337" s="25"/>
      <c r="U1337" s="25"/>
      <c r="V1337" s="25"/>
      <c r="W1337" s="25"/>
      <c r="X1337" s="25"/>
      <c r="Y1337" s="25"/>
      <c r="Z1337" s="25"/>
      <c r="AA1337" s="25"/>
      <c r="AB1337" s="25"/>
      <c r="AC1337" s="25"/>
      <c r="AD1337" s="25"/>
      <c r="AE1337" s="25"/>
      <c r="AF1337" s="25"/>
      <c r="AG1337" s="25"/>
      <c r="AH1337" s="25"/>
      <c r="AI1337" s="25"/>
      <c r="AJ1337" s="25"/>
      <c r="AK1337" s="25"/>
      <c r="AL1337" s="25"/>
      <c r="AM1337" s="25"/>
      <c r="AN1337" s="25"/>
      <c r="AO1337" s="25"/>
      <c r="AP1337" s="25"/>
      <c r="AQ1337" s="25"/>
      <c r="AR1337" s="25"/>
      <c r="AS1337" s="25"/>
      <c r="AT1337" s="25"/>
      <c r="AU1337" s="25"/>
      <c r="AV1337" s="25"/>
      <c r="AW1337" s="25"/>
      <c r="AX1337" s="25"/>
    </row>
    <row r="1338" ht="15.75" customHeight="1">
      <c r="A1338" s="25"/>
      <c r="B1338" s="25"/>
      <c r="C1338" s="27"/>
      <c r="D1338" s="28"/>
      <c r="E1338" s="28"/>
      <c r="F1338" s="25"/>
      <c r="G1338" s="25"/>
      <c r="H1338" s="25"/>
      <c r="I1338" s="25"/>
      <c r="J1338" s="25"/>
      <c r="K1338" s="25"/>
      <c r="L1338" s="25"/>
      <c r="M1338" s="25"/>
      <c r="N1338" s="25"/>
      <c r="O1338" s="25"/>
      <c r="P1338" s="25"/>
      <c r="Q1338" s="25"/>
      <c r="R1338" s="25"/>
      <c r="S1338" s="25"/>
      <c r="T1338" s="25"/>
      <c r="U1338" s="25"/>
      <c r="V1338" s="25"/>
      <c r="W1338" s="25"/>
      <c r="X1338" s="25"/>
      <c r="Y1338" s="25"/>
      <c r="Z1338" s="25"/>
      <c r="AA1338" s="25"/>
      <c r="AB1338" s="25"/>
      <c r="AC1338" s="25"/>
      <c r="AD1338" s="25"/>
      <c r="AE1338" s="25"/>
      <c r="AF1338" s="25"/>
      <c r="AG1338" s="25"/>
      <c r="AH1338" s="25"/>
      <c r="AI1338" s="25"/>
      <c r="AJ1338" s="25"/>
      <c r="AK1338" s="25"/>
      <c r="AL1338" s="25"/>
      <c r="AM1338" s="25"/>
      <c r="AN1338" s="25"/>
      <c r="AO1338" s="25"/>
      <c r="AP1338" s="25"/>
      <c r="AQ1338" s="25"/>
      <c r="AR1338" s="25"/>
      <c r="AS1338" s="25"/>
      <c r="AT1338" s="25"/>
      <c r="AU1338" s="25"/>
      <c r="AV1338" s="25"/>
      <c r="AW1338" s="25"/>
      <c r="AX1338" s="25"/>
    </row>
    <row r="1339" ht="15.75" customHeight="1">
      <c r="A1339" s="25"/>
      <c r="B1339" s="25"/>
      <c r="C1339" s="27"/>
      <c r="D1339" s="28"/>
      <c r="E1339" s="28"/>
      <c r="F1339" s="25"/>
      <c r="G1339" s="25"/>
      <c r="H1339" s="25"/>
      <c r="I1339" s="25"/>
      <c r="J1339" s="25"/>
      <c r="K1339" s="25"/>
      <c r="L1339" s="25"/>
      <c r="M1339" s="25"/>
      <c r="N1339" s="25"/>
      <c r="O1339" s="25"/>
      <c r="P1339" s="25"/>
      <c r="Q1339" s="25"/>
      <c r="R1339" s="25"/>
      <c r="S1339" s="25"/>
      <c r="T1339" s="25"/>
      <c r="U1339" s="25"/>
      <c r="V1339" s="25"/>
      <c r="W1339" s="25"/>
      <c r="X1339" s="25"/>
      <c r="Y1339" s="25"/>
      <c r="Z1339" s="25"/>
      <c r="AA1339" s="25"/>
      <c r="AB1339" s="25"/>
      <c r="AC1339" s="25"/>
      <c r="AD1339" s="25"/>
      <c r="AE1339" s="25"/>
      <c r="AF1339" s="25"/>
      <c r="AG1339" s="25"/>
      <c r="AH1339" s="25"/>
      <c r="AI1339" s="25"/>
      <c r="AJ1339" s="25"/>
      <c r="AK1339" s="25"/>
      <c r="AL1339" s="25"/>
      <c r="AM1339" s="25"/>
      <c r="AN1339" s="25"/>
      <c r="AO1339" s="25"/>
      <c r="AP1339" s="25"/>
      <c r="AQ1339" s="25"/>
      <c r="AR1339" s="25"/>
      <c r="AS1339" s="25"/>
      <c r="AT1339" s="25"/>
      <c r="AU1339" s="25"/>
      <c r="AV1339" s="25"/>
      <c r="AW1339" s="25"/>
      <c r="AX1339" s="25"/>
    </row>
    <row r="1340" ht="15.75" customHeight="1">
      <c r="A1340" s="25"/>
      <c r="B1340" s="25"/>
      <c r="C1340" s="27"/>
      <c r="D1340" s="28"/>
      <c r="E1340" s="28"/>
      <c r="F1340" s="25"/>
      <c r="G1340" s="25"/>
      <c r="H1340" s="25"/>
      <c r="I1340" s="25"/>
      <c r="J1340" s="25"/>
      <c r="K1340" s="25"/>
      <c r="L1340" s="25"/>
      <c r="M1340" s="25"/>
      <c r="N1340" s="25"/>
      <c r="O1340" s="25"/>
      <c r="P1340" s="25"/>
      <c r="Q1340" s="25"/>
      <c r="R1340" s="25"/>
      <c r="S1340" s="25"/>
      <c r="T1340" s="25"/>
      <c r="U1340" s="25"/>
      <c r="V1340" s="25"/>
      <c r="W1340" s="25"/>
      <c r="X1340" s="25"/>
      <c r="Y1340" s="25"/>
      <c r="Z1340" s="25"/>
      <c r="AA1340" s="25"/>
      <c r="AB1340" s="25"/>
      <c r="AC1340" s="25"/>
      <c r="AD1340" s="25"/>
      <c r="AE1340" s="25"/>
      <c r="AF1340" s="25"/>
      <c r="AG1340" s="25"/>
      <c r="AH1340" s="25"/>
      <c r="AI1340" s="25"/>
      <c r="AJ1340" s="25"/>
      <c r="AK1340" s="25"/>
      <c r="AL1340" s="25"/>
      <c r="AM1340" s="25"/>
      <c r="AN1340" s="25"/>
      <c r="AO1340" s="25"/>
      <c r="AP1340" s="25"/>
      <c r="AQ1340" s="25"/>
      <c r="AR1340" s="25"/>
      <c r="AS1340" s="25"/>
      <c r="AT1340" s="25"/>
      <c r="AU1340" s="25"/>
      <c r="AV1340" s="25"/>
      <c r="AW1340" s="25"/>
      <c r="AX1340" s="25"/>
    </row>
    <row r="1341" ht="15.75" customHeight="1">
      <c r="A1341" s="25"/>
      <c r="B1341" s="25"/>
      <c r="C1341" s="27"/>
      <c r="D1341" s="28"/>
      <c r="E1341" s="28"/>
      <c r="F1341" s="25"/>
      <c r="G1341" s="25"/>
      <c r="H1341" s="25"/>
      <c r="I1341" s="25"/>
      <c r="J1341" s="25"/>
      <c r="K1341" s="25"/>
      <c r="L1341" s="25"/>
      <c r="M1341" s="25"/>
      <c r="N1341" s="25"/>
      <c r="O1341" s="25"/>
      <c r="P1341" s="25"/>
      <c r="Q1341" s="25"/>
      <c r="R1341" s="25"/>
      <c r="S1341" s="25"/>
      <c r="T1341" s="25"/>
      <c r="U1341" s="25"/>
      <c r="V1341" s="25"/>
      <c r="W1341" s="25"/>
      <c r="X1341" s="25"/>
      <c r="Y1341" s="25"/>
      <c r="Z1341" s="25"/>
      <c r="AA1341" s="25"/>
      <c r="AB1341" s="25"/>
      <c r="AC1341" s="25"/>
      <c r="AD1341" s="25"/>
      <c r="AE1341" s="25"/>
      <c r="AF1341" s="25"/>
      <c r="AG1341" s="25"/>
      <c r="AH1341" s="25"/>
      <c r="AI1341" s="25"/>
      <c r="AJ1341" s="25"/>
      <c r="AK1341" s="25"/>
      <c r="AL1341" s="25"/>
      <c r="AM1341" s="25"/>
      <c r="AN1341" s="25"/>
      <c r="AO1341" s="25"/>
      <c r="AP1341" s="25"/>
      <c r="AQ1341" s="25"/>
      <c r="AR1341" s="25"/>
      <c r="AS1341" s="25"/>
      <c r="AT1341" s="25"/>
      <c r="AU1341" s="25"/>
      <c r="AV1341" s="25"/>
      <c r="AW1341" s="25"/>
      <c r="AX1341" s="25"/>
    </row>
    <row r="1342" ht="15.75" customHeight="1">
      <c r="A1342" s="25"/>
      <c r="B1342" s="25"/>
      <c r="C1342" s="27"/>
      <c r="D1342" s="28"/>
      <c r="E1342" s="28"/>
      <c r="F1342" s="25"/>
      <c r="G1342" s="25"/>
      <c r="H1342" s="25"/>
      <c r="I1342" s="25"/>
      <c r="J1342" s="25"/>
      <c r="K1342" s="25"/>
      <c r="L1342" s="25"/>
      <c r="M1342" s="25"/>
      <c r="N1342" s="25"/>
      <c r="O1342" s="25"/>
      <c r="P1342" s="25"/>
      <c r="Q1342" s="25"/>
      <c r="R1342" s="25"/>
      <c r="S1342" s="25"/>
      <c r="T1342" s="25"/>
      <c r="U1342" s="25"/>
      <c r="V1342" s="25"/>
      <c r="W1342" s="25"/>
      <c r="X1342" s="25"/>
      <c r="Y1342" s="25"/>
      <c r="Z1342" s="25"/>
      <c r="AA1342" s="25"/>
      <c r="AB1342" s="25"/>
      <c r="AC1342" s="25"/>
      <c r="AD1342" s="25"/>
      <c r="AE1342" s="25"/>
      <c r="AF1342" s="25"/>
      <c r="AG1342" s="25"/>
      <c r="AH1342" s="25"/>
      <c r="AI1342" s="25"/>
      <c r="AJ1342" s="25"/>
      <c r="AK1342" s="25"/>
      <c r="AL1342" s="25"/>
      <c r="AM1342" s="25"/>
      <c r="AN1342" s="25"/>
      <c r="AO1342" s="25"/>
      <c r="AP1342" s="25"/>
      <c r="AQ1342" s="25"/>
      <c r="AR1342" s="25"/>
      <c r="AS1342" s="25"/>
      <c r="AT1342" s="25"/>
      <c r="AU1342" s="25"/>
      <c r="AV1342" s="25"/>
      <c r="AW1342" s="25"/>
      <c r="AX1342" s="25"/>
    </row>
    <row r="1343" ht="15.75" customHeight="1">
      <c r="A1343" s="25"/>
      <c r="B1343" s="25"/>
      <c r="C1343" s="27"/>
      <c r="D1343" s="28"/>
      <c r="E1343" s="28"/>
      <c r="F1343" s="25"/>
      <c r="G1343" s="25"/>
      <c r="H1343" s="25"/>
      <c r="I1343" s="25"/>
      <c r="J1343" s="25"/>
      <c r="K1343" s="25"/>
      <c r="L1343" s="25"/>
      <c r="M1343" s="25"/>
      <c r="N1343" s="25"/>
      <c r="O1343" s="25"/>
      <c r="P1343" s="25"/>
      <c r="Q1343" s="25"/>
      <c r="R1343" s="25"/>
      <c r="S1343" s="25"/>
      <c r="T1343" s="25"/>
      <c r="U1343" s="25"/>
      <c r="V1343" s="25"/>
      <c r="W1343" s="25"/>
      <c r="X1343" s="25"/>
      <c r="Y1343" s="25"/>
      <c r="Z1343" s="25"/>
      <c r="AA1343" s="25"/>
      <c r="AB1343" s="25"/>
      <c r="AC1343" s="25"/>
      <c r="AD1343" s="25"/>
      <c r="AE1343" s="25"/>
      <c r="AF1343" s="25"/>
      <c r="AG1343" s="25"/>
      <c r="AH1343" s="25"/>
      <c r="AI1343" s="25"/>
      <c r="AJ1343" s="25"/>
      <c r="AK1343" s="25"/>
      <c r="AL1343" s="25"/>
      <c r="AM1343" s="25"/>
      <c r="AN1343" s="25"/>
      <c r="AO1343" s="25"/>
      <c r="AP1343" s="25"/>
      <c r="AQ1343" s="25"/>
      <c r="AR1343" s="25"/>
      <c r="AS1343" s="25"/>
      <c r="AT1343" s="25"/>
      <c r="AU1343" s="25"/>
      <c r="AV1343" s="25"/>
      <c r="AW1343" s="25"/>
      <c r="AX1343" s="25"/>
    </row>
    <row r="1344" ht="15.75" customHeight="1">
      <c r="A1344" s="25"/>
      <c r="B1344" s="25"/>
      <c r="C1344" s="27"/>
      <c r="D1344" s="28"/>
      <c r="E1344" s="28"/>
      <c r="F1344" s="25"/>
      <c r="G1344" s="25"/>
      <c r="H1344" s="25"/>
      <c r="I1344" s="25"/>
      <c r="J1344" s="25"/>
      <c r="K1344" s="25"/>
      <c r="L1344" s="25"/>
      <c r="M1344" s="25"/>
      <c r="N1344" s="25"/>
      <c r="O1344" s="25"/>
      <c r="P1344" s="25"/>
      <c r="Q1344" s="25"/>
      <c r="R1344" s="25"/>
      <c r="S1344" s="25"/>
      <c r="T1344" s="25"/>
      <c r="U1344" s="25"/>
      <c r="V1344" s="25"/>
      <c r="W1344" s="25"/>
      <c r="X1344" s="25"/>
      <c r="Y1344" s="25"/>
      <c r="Z1344" s="25"/>
      <c r="AA1344" s="25"/>
      <c r="AB1344" s="25"/>
      <c r="AC1344" s="25"/>
      <c r="AD1344" s="25"/>
      <c r="AE1344" s="25"/>
      <c r="AF1344" s="25"/>
      <c r="AG1344" s="25"/>
      <c r="AH1344" s="25"/>
      <c r="AI1344" s="25"/>
      <c r="AJ1344" s="25"/>
      <c r="AK1344" s="25"/>
      <c r="AL1344" s="25"/>
      <c r="AM1344" s="25"/>
      <c r="AN1344" s="25"/>
      <c r="AO1344" s="25"/>
      <c r="AP1344" s="25"/>
      <c r="AQ1344" s="25"/>
      <c r="AR1344" s="25"/>
      <c r="AS1344" s="25"/>
      <c r="AT1344" s="25"/>
      <c r="AU1344" s="25"/>
      <c r="AV1344" s="25"/>
      <c r="AW1344" s="25"/>
      <c r="AX1344" s="25"/>
    </row>
    <row r="1345" ht="15.75" customHeight="1">
      <c r="A1345" s="25"/>
      <c r="B1345" s="25"/>
      <c r="C1345" s="27"/>
      <c r="D1345" s="28"/>
      <c r="E1345" s="28"/>
      <c r="F1345" s="25"/>
      <c r="G1345" s="25"/>
      <c r="H1345" s="25"/>
      <c r="I1345" s="25"/>
      <c r="J1345" s="25"/>
      <c r="K1345" s="25"/>
      <c r="L1345" s="25"/>
      <c r="M1345" s="25"/>
      <c r="N1345" s="25"/>
      <c r="O1345" s="25"/>
      <c r="P1345" s="25"/>
      <c r="Q1345" s="25"/>
      <c r="R1345" s="25"/>
      <c r="S1345" s="25"/>
      <c r="T1345" s="25"/>
      <c r="U1345" s="25"/>
      <c r="V1345" s="25"/>
      <c r="W1345" s="25"/>
      <c r="X1345" s="25"/>
      <c r="Y1345" s="25"/>
      <c r="Z1345" s="25"/>
      <c r="AA1345" s="25"/>
      <c r="AB1345" s="25"/>
      <c r="AC1345" s="25"/>
      <c r="AD1345" s="25"/>
      <c r="AE1345" s="25"/>
      <c r="AF1345" s="25"/>
      <c r="AG1345" s="25"/>
      <c r="AH1345" s="25"/>
      <c r="AI1345" s="25"/>
      <c r="AJ1345" s="25"/>
      <c r="AK1345" s="25"/>
      <c r="AL1345" s="25"/>
      <c r="AM1345" s="25"/>
      <c r="AN1345" s="25"/>
      <c r="AO1345" s="25"/>
      <c r="AP1345" s="25"/>
      <c r="AQ1345" s="25"/>
      <c r="AR1345" s="25"/>
      <c r="AS1345" s="25"/>
      <c r="AT1345" s="25"/>
      <c r="AU1345" s="25"/>
      <c r="AV1345" s="25"/>
      <c r="AW1345" s="25"/>
      <c r="AX1345" s="25"/>
    </row>
    <row r="1346" ht="15.75" customHeight="1">
      <c r="A1346" s="25"/>
      <c r="B1346" s="25"/>
      <c r="C1346" s="27"/>
      <c r="D1346" s="28"/>
      <c r="E1346" s="28"/>
      <c r="F1346" s="25"/>
      <c r="G1346" s="25"/>
      <c r="H1346" s="25"/>
      <c r="I1346" s="25"/>
      <c r="J1346" s="25"/>
      <c r="K1346" s="25"/>
      <c r="L1346" s="25"/>
      <c r="M1346" s="25"/>
      <c r="N1346" s="25"/>
      <c r="O1346" s="25"/>
      <c r="P1346" s="25"/>
      <c r="Q1346" s="25"/>
      <c r="R1346" s="25"/>
      <c r="S1346" s="25"/>
      <c r="T1346" s="25"/>
      <c r="U1346" s="25"/>
      <c r="V1346" s="25"/>
      <c r="W1346" s="25"/>
      <c r="X1346" s="25"/>
      <c r="Y1346" s="25"/>
      <c r="Z1346" s="25"/>
      <c r="AA1346" s="25"/>
      <c r="AB1346" s="25"/>
      <c r="AC1346" s="25"/>
      <c r="AD1346" s="25"/>
      <c r="AE1346" s="25"/>
      <c r="AF1346" s="25"/>
      <c r="AG1346" s="25"/>
      <c r="AH1346" s="25"/>
      <c r="AI1346" s="25"/>
      <c r="AJ1346" s="25"/>
      <c r="AK1346" s="25"/>
      <c r="AL1346" s="25"/>
      <c r="AM1346" s="25"/>
      <c r="AN1346" s="25"/>
      <c r="AO1346" s="25"/>
      <c r="AP1346" s="25"/>
      <c r="AQ1346" s="25"/>
      <c r="AR1346" s="25"/>
      <c r="AS1346" s="25"/>
      <c r="AT1346" s="25"/>
      <c r="AU1346" s="25"/>
      <c r="AV1346" s="25"/>
      <c r="AW1346" s="25"/>
      <c r="AX1346" s="25"/>
    </row>
    <row r="1347" ht="15.75" customHeight="1">
      <c r="A1347" s="25"/>
      <c r="B1347" s="25"/>
      <c r="C1347" s="27"/>
      <c r="D1347" s="28"/>
      <c r="E1347" s="28"/>
      <c r="F1347" s="25"/>
      <c r="G1347" s="25"/>
      <c r="H1347" s="25"/>
      <c r="I1347" s="25"/>
      <c r="J1347" s="25"/>
      <c r="K1347" s="25"/>
      <c r="L1347" s="25"/>
      <c r="M1347" s="25"/>
      <c r="N1347" s="25"/>
      <c r="O1347" s="25"/>
      <c r="P1347" s="25"/>
      <c r="Q1347" s="25"/>
      <c r="R1347" s="25"/>
      <c r="S1347" s="25"/>
      <c r="T1347" s="25"/>
      <c r="U1347" s="25"/>
      <c r="V1347" s="25"/>
      <c r="W1347" s="25"/>
      <c r="X1347" s="25"/>
      <c r="Y1347" s="25"/>
      <c r="Z1347" s="25"/>
      <c r="AA1347" s="25"/>
      <c r="AB1347" s="25"/>
      <c r="AC1347" s="25"/>
      <c r="AD1347" s="25"/>
      <c r="AE1347" s="25"/>
      <c r="AF1347" s="25"/>
      <c r="AG1347" s="25"/>
      <c r="AH1347" s="25"/>
      <c r="AI1347" s="25"/>
      <c r="AJ1347" s="25"/>
      <c r="AK1347" s="25"/>
      <c r="AL1347" s="25"/>
      <c r="AM1347" s="25"/>
      <c r="AN1347" s="25"/>
      <c r="AO1347" s="25"/>
      <c r="AP1347" s="25"/>
      <c r="AQ1347" s="25"/>
      <c r="AR1347" s="25"/>
      <c r="AS1347" s="25"/>
      <c r="AT1347" s="25"/>
      <c r="AU1347" s="25"/>
      <c r="AV1347" s="25"/>
      <c r="AW1347" s="25"/>
      <c r="AX1347" s="25"/>
    </row>
    <row r="1348" ht="15.75" customHeight="1">
      <c r="A1348" s="25"/>
      <c r="B1348" s="25"/>
      <c r="C1348" s="27"/>
      <c r="D1348" s="28"/>
      <c r="E1348" s="28"/>
      <c r="F1348" s="25"/>
      <c r="G1348" s="25"/>
      <c r="H1348" s="25"/>
      <c r="I1348" s="25"/>
      <c r="J1348" s="25"/>
      <c r="K1348" s="25"/>
      <c r="L1348" s="25"/>
      <c r="M1348" s="25"/>
      <c r="N1348" s="25"/>
      <c r="O1348" s="25"/>
      <c r="P1348" s="25"/>
      <c r="Q1348" s="25"/>
      <c r="R1348" s="25"/>
      <c r="S1348" s="25"/>
      <c r="T1348" s="25"/>
      <c r="U1348" s="25"/>
      <c r="V1348" s="25"/>
      <c r="W1348" s="25"/>
      <c r="X1348" s="25"/>
      <c r="Y1348" s="25"/>
      <c r="Z1348" s="25"/>
      <c r="AA1348" s="25"/>
      <c r="AB1348" s="25"/>
      <c r="AC1348" s="25"/>
      <c r="AD1348" s="25"/>
      <c r="AE1348" s="25"/>
      <c r="AF1348" s="25"/>
      <c r="AG1348" s="25"/>
      <c r="AH1348" s="25"/>
      <c r="AI1348" s="25"/>
      <c r="AJ1348" s="25"/>
      <c r="AK1348" s="25"/>
      <c r="AL1348" s="25"/>
      <c r="AM1348" s="25"/>
      <c r="AN1348" s="25"/>
      <c r="AO1348" s="25"/>
      <c r="AP1348" s="25"/>
      <c r="AQ1348" s="25"/>
      <c r="AR1348" s="25"/>
      <c r="AS1348" s="25"/>
      <c r="AT1348" s="25"/>
      <c r="AU1348" s="25"/>
      <c r="AV1348" s="25"/>
      <c r="AW1348" s="25"/>
      <c r="AX1348" s="25"/>
    </row>
    <row r="1349" ht="15.75" customHeight="1">
      <c r="A1349" s="25"/>
      <c r="B1349" s="25"/>
      <c r="C1349" s="27"/>
      <c r="D1349" s="28"/>
      <c r="E1349" s="28"/>
      <c r="F1349" s="25"/>
      <c r="G1349" s="25"/>
      <c r="H1349" s="25"/>
      <c r="I1349" s="25"/>
      <c r="J1349" s="25"/>
      <c r="K1349" s="25"/>
      <c r="L1349" s="25"/>
      <c r="M1349" s="25"/>
      <c r="N1349" s="25"/>
      <c r="O1349" s="25"/>
      <c r="P1349" s="25"/>
      <c r="Q1349" s="25"/>
      <c r="R1349" s="25"/>
      <c r="S1349" s="25"/>
      <c r="T1349" s="25"/>
      <c r="U1349" s="25"/>
      <c r="V1349" s="25"/>
      <c r="W1349" s="25"/>
      <c r="X1349" s="25"/>
      <c r="Y1349" s="25"/>
      <c r="Z1349" s="25"/>
      <c r="AA1349" s="25"/>
      <c r="AB1349" s="25"/>
      <c r="AC1349" s="25"/>
      <c r="AD1349" s="25"/>
      <c r="AE1349" s="25"/>
      <c r="AF1349" s="25"/>
      <c r="AG1349" s="25"/>
      <c r="AH1349" s="25"/>
      <c r="AI1349" s="25"/>
      <c r="AJ1349" s="25"/>
      <c r="AK1349" s="25"/>
      <c r="AL1349" s="25"/>
      <c r="AM1349" s="25"/>
      <c r="AN1349" s="25"/>
      <c r="AO1349" s="25"/>
      <c r="AP1349" s="25"/>
      <c r="AQ1349" s="25"/>
      <c r="AR1349" s="25"/>
      <c r="AS1349" s="25"/>
      <c r="AT1349" s="25"/>
      <c r="AU1349" s="25"/>
      <c r="AV1349" s="25"/>
      <c r="AW1349" s="25"/>
      <c r="AX1349" s="25"/>
    </row>
    <row r="1350" ht="15.75" customHeight="1">
      <c r="A1350" s="25"/>
      <c r="B1350" s="25"/>
      <c r="C1350" s="27"/>
      <c r="D1350" s="28"/>
      <c r="E1350" s="28"/>
      <c r="F1350" s="25"/>
      <c r="G1350" s="25"/>
      <c r="H1350" s="25"/>
      <c r="I1350" s="25"/>
      <c r="J1350" s="25"/>
      <c r="K1350" s="25"/>
      <c r="L1350" s="25"/>
      <c r="M1350" s="25"/>
      <c r="N1350" s="25"/>
      <c r="O1350" s="25"/>
      <c r="P1350" s="25"/>
      <c r="Q1350" s="25"/>
      <c r="R1350" s="25"/>
      <c r="S1350" s="25"/>
      <c r="T1350" s="25"/>
      <c r="U1350" s="25"/>
      <c r="V1350" s="25"/>
      <c r="W1350" s="25"/>
      <c r="X1350" s="25"/>
      <c r="Y1350" s="25"/>
      <c r="Z1350" s="25"/>
      <c r="AA1350" s="25"/>
      <c r="AB1350" s="25"/>
      <c r="AC1350" s="25"/>
      <c r="AD1350" s="25"/>
      <c r="AE1350" s="25"/>
      <c r="AF1350" s="25"/>
      <c r="AG1350" s="25"/>
      <c r="AH1350" s="25"/>
      <c r="AI1350" s="25"/>
      <c r="AJ1350" s="25"/>
      <c r="AK1350" s="25"/>
      <c r="AL1350" s="25"/>
      <c r="AM1350" s="25"/>
      <c r="AN1350" s="25"/>
      <c r="AO1350" s="25"/>
      <c r="AP1350" s="25"/>
      <c r="AQ1350" s="25"/>
      <c r="AR1350" s="25"/>
      <c r="AS1350" s="25"/>
      <c r="AT1350" s="25"/>
      <c r="AU1350" s="25"/>
      <c r="AV1350" s="25"/>
      <c r="AW1350" s="25"/>
      <c r="AX1350" s="25"/>
    </row>
    <row r="1351" ht="15.75" customHeight="1">
      <c r="A1351" s="25"/>
      <c r="B1351" s="25"/>
      <c r="C1351" s="27"/>
      <c r="D1351" s="28"/>
      <c r="E1351" s="28"/>
      <c r="F1351" s="25"/>
      <c r="G1351" s="25"/>
      <c r="H1351" s="25"/>
      <c r="I1351" s="25"/>
      <c r="J1351" s="25"/>
      <c r="K1351" s="25"/>
      <c r="L1351" s="25"/>
      <c r="M1351" s="25"/>
      <c r="N1351" s="25"/>
      <c r="O1351" s="25"/>
      <c r="P1351" s="25"/>
      <c r="Q1351" s="25"/>
      <c r="R1351" s="25"/>
      <c r="S1351" s="25"/>
      <c r="T1351" s="25"/>
      <c r="U1351" s="25"/>
      <c r="V1351" s="25"/>
      <c r="W1351" s="25"/>
      <c r="X1351" s="25"/>
      <c r="Y1351" s="25"/>
      <c r="Z1351" s="25"/>
      <c r="AA1351" s="25"/>
      <c r="AB1351" s="25"/>
      <c r="AC1351" s="25"/>
      <c r="AD1351" s="25"/>
      <c r="AE1351" s="25"/>
      <c r="AF1351" s="25"/>
      <c r="AG1351" s="25"/>
      <c r="AH1351" s="25"/>
      <c r="AI1351" s="25"/>
      <c r="AJ1351" s="25"/>
      <c r="AK1351" s="25"/>
      <c r="AL1351" s="25"/>
      <c r="AM1351" s="25"/>
      <c r="AN1351" s="25"/>
      <c r="AO1351" s="25"/>
      <c r="AP1351" s="25"/>
      <c r="AQ1351" s="25"/>
      <c r="AR1351" s="25"/>
      <c r="AS1351" s="25"/>
      <c r="AT1351" s="25"/>
      <c r="AU1351" s="25"/>
      <c r="AV1351" s="25"/>
      <c r="AW1351" s="25"/>
      <c r="AX1351" s="25"/>
    </row>
    <row r="1352" ht="15.75" customHeight="1">
      <c r="A1352" s="25"/>
      <c r="B1352" s="25"/>
      <c r="C1352" s="27"/>
      <c r="D1352" s="28"/>
      <c r="E1352" s="28"/>
      <c r="F1352" s="25"/>
      <c r="G1352" s="25"/>
      <c r="H1352" s="25"/>
      <c r="I1352" s="25"/>
      <c r="J1352" s="25"/>
      <c r="K1352" s="25"/>
      <c r="L1352" s="25"/>
      <c r="M1352" s="25"/>
      <c r="N1352" s="25"/>
      <c r="O1352" s="25"/>
      <c r="P1352" s="25"/>
      <c r="Q1352" s="25"/>
      <c r="R1352" s="25"/>
      <c r="S1352" s="25"/>
      <c r="T1352" s="25"/>
      <c r="U1352" s="25"/>
      <c r="V1352" s="25"/>
      <c r="W1352" s="25"/>
      <c r="X1352" s="25"/>
      <c r="Y1352" s="25"/>
      <c r="Z1352" s="25"/>
      <c r="AA1352" s="25"/>
      <c r="AB1352" s="25"/>
      <c r="AC1352" s="25"/>
      <c r="AD1352" s="25"/>
      <c r="AE1352" s="25"/>
      <c r="AF1352" s="25"/>
      <c r="AG1352" s="25"/>
      <c r="AH1352" s="25"/>
      <c r="AI1352" s="25"/>
      <c r="AJ1352" s="25"/>
      <c r="AK1352" s="25"/>
      <c r="AL1352" s="25"/>
      <c r="AM1352" s="25"/>
      <c r="AN1352" s="25"/>
      <c r="AO1352" s="25"/>
      <c r="AP1352" s="25"/>
      <c r="AQ1352" s="25"/>
      <c r="AR1352" s="25"/>
      <c r="AS1352" s="25"/>
      <c r="AT1352" s="25"/>
      <c r="AU1352" s="25"/>
      <c r="AV1352" s="25"/>
      <c r="AW1352" s="25"/>
      <c r="AX1352" s="25"/>
    </row>
    <row r="1353" ht="15.75" customHeight="1">
      <c r="A1353" s="25"/>
      <c r="B1353" s="25"/>
      <c r="C1353" s="27"/>
      <c r="D1353" s="28"/>
      <c r="E1353" s="28"/>
      <c r="F1353" s="25"/>
      <c r="G1353" s="25"/>
      <c r="H1353" s="25"/>
      <c r="I1353" s="25"/>
      <c r="J1353" s="25"/>
      <c r="K1353" s="25"/>
      <c r="L1353" s="25"/>
      <c r="M1353" s="25"/>
      <c r="N1353" s="25"/>
      <c r="O1353" s="25"/>
      <c r="P1353" s="25"/>
      <c r="Q1353" s="25"/>
      <c r="R1353" s="25"/>
      <c r="S1353" s="25"/>
      <c r="T1353" s="25"/>
      <c r="U1353" s="25"/>
      <c r="V1353" s="25"/>
      <c r="W1353" s="25"/>
      <c r="X1353" s="25"/>
      <c r="Y1353" s="25"/>
      <c r="Z1353" s="25"/>
      <c r="AA1353" s="25"/>
      <c r="AB1353" s="25"/>
      <c r="AC1353" s="25"/>
      <c r="AD1353" s="25"/>
      <c r="AE1353" s="25"/>
      <c r="AF1353" s="25"/>
      <c r="AG1353" s="25"/>
      <c r="AH1353" s="25"/>
      <c r="AI1353" s="25"/>
      <c r="AJ1353" s="25"/>
      <c r="AK1353" s="25"/>
      <c r="AL1353" s="25"/>
      <c r="AM1353" s="25"/>
      <c r="AN1353" s="25"/>
      <c r="AO1353" s="25"/>
      <c r="AP1353" s="25"/>
      <c r="AQ1353" s="25"/>
      <c r="AR1353" s="25"/>
      <c r="AS1353" s="25"/>
      <c r="AT1353" s="25"/>
      <c r="AU1353" s="25"/>
      <c r="AV1353" s="25"/>
      <c r="AW1353" s="25"/>
      <c r="AX1353" s="25"/>
    </row>
    <row r="1354" ht="15.75" customHeight="1">
      <c r="A1354" s="25"/>
      <c r="B1354" s="25"/>
      <c r="C1354" s="27"/>
      <c r="D1354" s="28"/>
      <c r="E1354" s="28"/>
      <c r="F1354" s="25"/>
      <c r="G1354" s="25"/>
      <c r="H1354" s="25"/>
      <c r="I1354" s="25"/>
      <c r="J1354" s="25"/>
      <c r="K1354" s="25"/>
      <c r="L1354" s="25"/>
      <c r="M1354" s="25"/>
      <c r="N1354" s="25"/>
      <c r="O1354" s="25"/>
      <c r="P1354" s="25"/>
      <c r="Q1354" s="25"/>
      <c r="R1354" s="25"/>
      <c r="S1354" s="25"/>
      <c r="T1354" s="25"/>
      <c r="U1354" s="25"/>
      <c r="V1354" s="25"/>
      <c r="W1354" s="25"/>
      <c r="X1354" s="25"/>
      <c r="Y1354" s="25"/>
      <c r="Z1354" s="25"/>
      <c r="AA1354" s="25"/>
      <c r="AB1354" s="25"/>
      <c r="AC1354" s="25"/>
      <c r="AD1354" s="25"/>
      <c r="AE1354" s="25"/>
      <c r="AF1354" s="25"/>
      <c r="AG1354" s="25"/>
      <c r="AH1354" s="25"/>
      <c r="AI1354" s="25"/>
      <c r="AJ1354" s="25"/>
      <c r="AK1354" s="25"/>
      <c r="AL1354" s="25"/>
      <c r="AM1354" s="25"/>
      <c r="AN1354" s="25"/>
      <c r="AO1354" s="25"/>
      <c r="AP1354" s="25"/>
      <c r="AQ1354" s="25"/>
      <c r="AR1354" s="25"/>
      <c r="AS1354" s="25"/>
      <c r="AT1354" s="25"/>
      <c r="AU1354" s="25"/>
      <c r="AV1354" s="25"/>
      <c r="AW1354" s="25"/>
      <c r="AX1354" s="25"/>
    </row>
    <row r="1355" ht="15.75" customHeight="1">
      <c r="A1355" s="25"/>
      <c r="B1355" s="25"/>
      <c r="C1355" s="27"/>
      <c r="D1355" s="28"/>
      <c r="E1355" s="28"/>
      <c r="F1355" s="25"/>
      <c r="G1355" s="25"/>
      <c r="H1355" s="25"/>
      <c r="I1355" s="25"/>
      <c r="J1355" s="25"/>
      <c r="K1355" s="25"/>
      <c r="L1355" s="25"/>
      <c r="M1355" s="25"/>
      <c r="N1355" s="25"/>
      <c r="O1355" s="25"/>
      <c r="P1355" s="25"/>
      <c r="Q1355" s="25"/>
      <c r="R1355" s="25"/>
      <c r="S1355" s="25"/>
      <c r="T1355" s="25"/>
      <c r="U1355" s="25"/>
      <c r="V1355" s="25"/>
      <c r="W1355" s="25"/>
      <c r="X1355" s="25"/>
      <c r="Y1355" s="25"/>
      <c r="Z1355" s="25"/>
      <c r="AA1355" s="25"/>
      <c r="AB1355" s="25"/>
      <c r="AC1355" s="25"/>
      <c r="AD1355" s="25"/>
      <c r="AE1355" s="25"/>
      <c r="AF1355" s="25"/>
      <c r="AG1355" s="25"/>
      <c r="AH1355" s="25"/>
      <c r="AI1355" s="25"/>
      <c r="AJ1355" s="25"/>
      <c r="AK1355" s="25"/>
      <c r="AL1355" s="25"/>
      <c r="AM1355" s="25"/>
      <c r="AN1355" s="25"/>
      <c r="AO1355" s="25"/>
      <c r="AP1355" s="25"/>
      <c r="AQ1355" s="25"/>
      <c r="AR1355" s="25"/>
      <c r="AS1355" s="25"/>
      <c r="AT1355" s="25"/>
      <c r="AU1355" s="25"/>
      <c r="AV1355" s="25"/>
      <c r="AW1355" s="25"/>
      <c r="AX1355" s="25"/>
    </row>
    <row r="1356" ht="15.75" customHeight="1">
      <c r="A1356" s="25"/>
      <c r="B1356" s="25"/>
      <c r="C1356" s="27"/>
      <c r="D1356" s="28"/>
      <c r="E1356" s="28"/>
      <c r="F1356" s="25"/>
      <c r="G1356" s="25"/>
      <c r="H1356" s="25"/>
      <c r="I1356" s="25"/>
      <c r="J1356" s="25"/>
      <c r="K1356" s="25"/>
      <c r="L1356" s="25"/>
      <c r="M1356" s="25"/>
      <c r="N1356" s="25"/>
      <c r="O1356" s="25"/>
      <c r="P1356" s="25"/>
      <c r="Q1356" s="25"/>
      <c r="R1356" s="25"/>
      <c r="S1356" s="25"/>
      <c r="T1356" s="25"/>
      <c r="U1356" s="25"/>
      <c r="V1356" s="25"/>
      <c r="W1356" s="25"/>
      <c r="X1356" s="25"/>
      <c r="Y1356" s="25"/>
      <c r="Z1356" s="25"/>
      <c r="AA1356" s="25"/>
      <c r="AB1356" s="25"/>
      <c r="AC1356" s="25"/>
      <c r="AD1356" s="25"/>
      <c r="AE1356" s="25"/>
      <c r="AF1356" s="25"/>
      <c r="AG1356" s="25"/>
      <c r="AH1356" s="25"/>
      <c r="AI1356" s="25"/>
      <c r="AJ1356" s="25"/>
      <c r="AK1356" s="25"/>
      <c r="AL1356" s="25"/>
      <c r="AM1356" s="25"/>
      <c r="AN1356" s="25"/>
      <c r="AO1356" s="25"/>
      <c r="AP1356" s="25"/>
      <c r="AQ1356" s="25"/>
      <c r="AR1356" s="25"/>
      <c r="AS1356" s="25"/>
      <c r="AT1356" s="25"/>
      <c r="AU1356" s="25"/>
      <c r="AV1356" s="25"/>
      <c r="AW1356" s="25"/>
      <c r="AX1356" s="25"/>
    </row>
    <row r="1357" ht="15.75" customHeight="1">
      <c r="A1357" s="25"/>
      <c r="B1357" s="25"/>
      <c r="C1357" s="27"/>
      <c r="D1357" s="28"/>
      <c r="E1357" s="28"/>
      <c r="F1357" s="25"/>
      <c r="G1357" s="25"/>
      <c r="H1357" s="25"/>
      <c r="I1357" s="25"/>
      <c r="J1357" s="25"/>
      <c r="K1357" s="25"/>
      <c r="L1357" s="25"/>
      <c r="M1357" s="25"/>
      <c r="N1357" s="25"/>
      <c r="O1357" s="25"/>
      <c r="P1357" s="25"/>
      <c r="Q1357" s="25"/>
      <c r="R1357" s="25"/>
      <c r="S1357" s="25"/>
      <c r="T1357" s="25"/>
      <c r="U1357" s="25"/>
      <c r="V1357" s="25"/>
      <c r="W1357" s="25"/>
      <c r="X1357" s="25"/>
      <c r="Y1357" s="25"/>
      <c r="Z1357" s="25"/>
      <c r="AA1357" s="25"/>
      <c r="AB1357" s="25"/>
      <c r="AC1357" s="25"/>
      <c r="AD1357" s="25"/>
      <c r="AE1357" s="25"/>
      <c r="AF1357" s="25"/>
      <c r="AG1357" s="25"/>
      <c r="AH1357" s="25"/>
      <c r="AI1357" s="25"/>
      <c r="AJ1357" s="25"/>
      <c r="AK1357" s="25"/>
      <c r="AL1357" s="25"/>
      <c r="AM1357" s="25"/>
      <c r="AN1357" s="25"/>
      <c r="AO1357" s="25"/>
      <c r="AP1357" s="25"/>
      <c r="AQ1357" s="25"/>
      <c r="AR1357" s="25"/>
      <c r="AS1357" s="25"/>
      <c r="AT1357" s="25"/>
      <c r="AU1357" s="25"/>
      <c r="AV1357" s="25"/>
      <c r="AW1357" s="25"/>
      <c r="AX1357" s="25"/>
    </row>
    <row r="1358" ht="15.75" customHeight="1">
      <c r="A1358" s="25"/>
      <c r="B1358" s="25"/>
      <c r="C1358" s="27"/>
      <c r="D1358" s="28"/>
      <c r="E1358" s="28"/>
      <c r="F1358" s="25"/>
      <c r="G1358" s="25"/>
      <c r="H1358" s="25"/>
      <c r="I1358" s="25"/>
      <c r="J1358" s="25"/>
      <c r="K1358" s="25"/>
      <c r="L1358" s="25"/>
      <c r="M1358" s="25"/>
      <c r="N1358" s="25"/>
      <c r="O1358" s="25"/>
      <c r="P1358" s="25"/>
      <c r="Q1358" s="25"/>
      <c r="R1358" s="25"/>
      <c r="S1358" s="25"/>
      <c r="T1358" s="25"/>
      <c r="U1358" s="25"/>
      <c r="V1358" s="25"/>
      <c r="W1358" s="25"/>
      <c r="X1358" s="25"/>
      <c r="Y1358" s="25"/>
      <c r="Z1358" s="25"/>
      <c r="AA1358" s="25"/>
      <c r="AB1358" s="25"/>
      <c r="AC1358" s="25"/>
      <c r="AD1358" s="25"/>
      <c r="AE1358" s="25"/>
      <c r="AF1358" s="25"/>
      <c r="AG1358" s="25"/>
      <c r="AH1358" s="25"/>
      <c r="AI1358" s="25"/>
      <c r="AJ1358" s="25"/>
      <c r="AK1358" s="25"/>
      <c r="AL1358" s="25"/>
      <c r="AM1358" s="25"/>
      <c r="AN1358" s="25"/>
      <c r="AO1358" s="25"/>
      <c r="AP1358" s="25"/>
      <c r="AQ1358" s="25"/>
      <c r="AR1358" s="25"/>
      <c r="AS1358" s="25"/>
      <c r="AT1358" s="25"/>
      <c r="AU1358" s="25"/>
      <c r="AV1358" s="25"/>
      <c r="AW1358" s="25"/>
      <c r="AX1358" s="25"/>
    </row>
    <row r="1359" ht="15.75" customHeight="1">
      <c r="A1359" s="25"/>
      <c r="B1359" s="25"/>
      <c r="C1359" s="27"/>
      <c r="D1359" s="28"/>
      <c r="E1359" s="28"/>
      <c r="F1359" s="25"/>
      <c r="G1359" s="25"/>
      <c r="H1359" s="25"/>
      <c r="I1359" s="25"/>
      <c r="J1359" s="25"/>
      <c r="K1359" s="25"/>
      <c r="L1359" s="25"/>
      <c r="M1359" s="25"/>
      <c r="N1359" s="25"/>
      <c r="O1359" s="25"/>
      <c r="P1359" s="25"/>
      <c r="Q1359" s="25"/>
      <c r="R1359" s="25"/>
      <c r="S1359" s="25"/>
      <c r="T1359" s="25"/>
      <c r="U1359" s="25"/>
      <c r="V1359" s="25"/>
      <c r="W1359" s="25"/>
      <c r="X1359" s="25"/>
      <c r="Y1359" s="25"/>
      <c r="Z1359" s="25"/>
      <c r="AA1359" s="25"/>
      <c r="AB1359" s="25"/>
      <c r="AC1359" s="25"/>
      <c r="AD1359" s="25"/>
      <c r="AE1359" s="25"/>
      <c r="AF1359" s="25"/>
      <c r="AG1359" s="25"/>
      <c r="AH1359" s="25"/>
      <c r="AI1359" s="25"/>
      <c r="AJ1359" s="25"/>
      <c r="AK1359" s="25"/>
      <c r="AL1359" s="25"/>
      <c r="AM1359" s="25"/>
      <c r="AN1359" s="25"/>
      <c r="AO1359" s="25"/>
      <c r="AP1359" s="25"/>
      <c r="AQ1359" s="25"/>
      <c r="AR1359" s="25"/>
      <c r="AS1359" s="25"/>
      <c r="AT1359" s="25"/>
      <c r="AU1359" s="25"/>
      <c r="AV1359" s="25"/>
      <c r="AW1359" s="25"/>
      <c r="AX1359" s="25"/>
    </row>
    <row r="1360" ht="15.75" customHeight="1">
      <c r="A1360" s="25"/>
      <c r="B1360" s="25"/>
      <c r="C1360" s="27"/>
      <c r="D1360" s="28"/>
      <c r="E1360" s="28"/>
      <c r="F1360" s="25"/>
      <c r="G1360" s="25"/>
      <c r="H1360" s="25"/>
      <c r="I1360" s="25"/>
      <c r="J1360" s="25"/>
      <c r="K1360" s="25"/>
      <c r="L1360" s="25"/>
      <c r="M1360" s="25"/>
      <c r="N1360" s="25"/>
      <c r="O1360" s="25"/>
      <c r="P1360" s="25"/>
      <c r="Q1360" s="25"/>
      <c r="R1360" s="25"/>
      <c r="S1360" s="25"/>
      <c r="T1360" s="25"/>
      <c r="U1360" s="25"/>
      <c r="V1360" s="25"/>
      <c r="W1360" s="25"/>
      <c r="X1360" s="25"/>
      <c r="Y1360" s="25"/>
      <c r="Z1360" s="25"/>
      <c r="AA1360" s="25"/>
      <c r="AB1360" s="25"/>
      <c r="AC1360" s="25"/>
      <c r="AD1360" s="25"/>
      <c r="AE1360" s="25"/>
      <c r="AF1360" s="25"/>
      <c r="AG1360" s="25"/>
      <c r="AH1360" s="25"/>
      <c r="AI1360" s="25"/>
      <c r="AJ1360" s="25"/>
      <c r="AK1360" s="25"/>
      <c r="AL1360" s="25"/>
      <c r="AM1360" s="25"/>
      <c r="AN1360" s="25"/>
      <c r="AO1360" s="25"/>
      <c r="AP1360" s="25"/>
      <c r="AQ1360" s="25"/>
      <c r="AR1360" s="25"/>
      <c r="AS1360" s="25"/>
      <c r="AT1360" s="25"/>
      <c r="AU1360" s="25"/>
      <c r="AV1360" s="25"/>
      <c r="AW1360" s="25"/>
      <c r="AX1360" s="25"/>
    </row>
    <row r="1361" ht="15.75" customHeight="1">
      <c r="A1361" s="25"/>
      <c r="B1361" s="25"/>
      <c r="C1361" s="27"/>
      <c r="D1361" s="28"/>
      <c r="E1361" s="28"/>
      <c r="F1361" s="25"/>
      <c r="G1361" s="25"/>
      <c r="H1361" s="25"/>
      <c r="I1361" s="25"/>
      <c r="J1361" s="25"/>
      <c r="K1361" s="25"/>
      <c r="L1361" s="25"/>
      <c r="M1361" s="25"/>
      <c r="N1361" s="25"/>
      <c r="O1361" s="25"/>
      <c r="P1361" s="25"/>
      <c r="Q1361" s="25"/>
      <c r="R1361" s="25"/>
      <c r="S1361" s="25"/>
      <c r="T1361" s="25"/>
      <c r="U1361" s="25"/>
      <c r="V1361" s="25"/>
      <c r="W1361" s="25"/>
      <c r="X1361" s="25"/>
      <c r="Y1361" s="25"/>
      <c r="Z1361" s="25"/>
      <c r="AA1361" s="25"/>
      <c r="AB1361" s="25"/>
      <c r="AC1361" s="25"/>
      <c r="AD1361" s="25"/>
      <c r="AE1361" s="25"/>
      <c r="AF1361" s="25"/>
      <c r="AG1361" s="25"/>
      <c r="AH1361" s="25"/>
      <c r="AI1361" s="25"/>
      <c r="AJ1361" s="25"/>
      <c r="AK1361" s="25"/>
      <c r="AL1361" s="25"/>
      <c r="AM1361" s="25"/>
      <c r="AN1361" s="25"/>
      <c r="AO1361" s="25"/>
      <c r="AP1361" s="25"/>
      <c r="AQ1361" s="25"/>
      <c r="AR1361" s="25"/>
      <c r="AS1361" s="25"/>
      <c r="AT1361" s="25"/>
      <c r="AU1361" s="25"/>
      <c r="AV1361" s="25"/>
      <c r="AW1361" s="25"/>
      <c r="AX1361" s="25"/>
    </row>
    <row r="1362" ht="15.75" customHeight="1">
      <c r="A1362" s="25"/>
      <c r="B1362" s="25"/>
      <c r="C1362" s="27"/>
      <c r="D1362" s="28"/>
      <c r="E1362" s="28"/>
      <c r="F1362" s="25"/>
      <c r="G1362" s="25"/>
      <c r="H1362" s="25"/>
      <c r="I1362" s="25"/>
      <c r="J1362" s="25"/>
      <c r="K1362" s="25"/>
      <c r="L1362" s="25"/>
      <c r="M1362" s="25"/>
      <c r="N1362" s="25"/>
      <c r="O1362" s="25"/>
      <c r="P1362" s="25"/>
      <c r="Q1362" s="25"/>
      <c r="R1362" s="25"/>
      <c r="S1362" s="25"/>
      <c r="T1362" s="25"/>
      <c r="U1362" s="25"/>
      <c r="V1362" s="25"/>
      <c r="W1362" s="25"/>
      <c r="X1362" s="25"/>
      <c r="Y1362" s="25"/>
      <c r="Z1362" s="25"/>
      <c r="AA1362" s="25"/>
      <c r="AB1362" s="25"/>
      <c r="AC1362" s="25"/>
      <c r="AD1362" s="25"/>
      <c r="AE1362" s="25"/>
      <c r="AF1362" s="25"/>
      <c r="AG1362" s="25"/>
      <c r="AH1362" s="25"/>
      <c r="AI1362" s="25"/>
      <c r="AJ1362" s="25"/>
      <c r="AK1362" s="25"/>
      <c r="AL1362" s="25"/>
      <c r="AM1362" s="25"/>
      <c r="AN1362" s="25"/>
      <c r="AO1362" s="25"/>
      <c r="AP1362" s="25"/>
      <c r="AQ1362" s="25"/>
      <c r="AR1362" s="25"/>
      <c r="AS1362" s="25"/>
      <c r="AT1362" s="25"/>
      <c r="AU1362" s="25"/>
      <c r="AV1362" s="25"/>
      <c r="AW1362" s="25"/>
      <c r="AX1362" s="25"/>
    </row>
    <row r="1363" ht="15.75" customHeight="1">
      <c r="A1363" s="25"/>
      <c r="B1363" s="25"/>
      <c r="C1363" s="27"/>
      <c r="D1363" s="28"/>
      <c r="E1363" s="28"/>
      <c r="F1363" s="25"/>
      <c r="G1363" s="25"/>
      <c r="H1363" s="25"/>
      <c r="I1363" s="25"/>
      <c r="J1363" s="25"/>
      <c r="K1363" s="25"/>
      <c r="L1363" s="25"/>
      <c r="M1363" s="25"/>
      <c r="N1363" s="25"/>
      <c r="O1363" s="25"/>
      <c r="P1363" s="25"/>
      <c r="Q1363" s="25"/>
      <c r="R1363" s="25"/>
      <c r="S1363" s="25"/>
      <c r="T1363" s="25"/>
      <c r="U1363" s="25"/>
      <c r="V1363" s="25"/>
      <c r="W1363" s="25"/>
      <c r="X1363" s="25"/>
      <c r="Y1363" s="25"/>
      <c r="Z1363" s="25"/>
      <c r="AA1363" s="25"/>
      <c r="AB1363" s="25"/>
      <c r="AC1363" s="25"/>
      <c r="AD1363" s="25"/>
      <c r="AE1363" s="25"/>
      <c r="AF1363" s="25"/>
      <c r="AG1363" s="25"/>
      <c r="AH1363" s="25"/>
      <c r="AI1363" s="25"/>
      <c r="AJ1363" s="25"/>
      <c r="AK1363" s="25"/>
      <c r="AL1363" s="25"/>
      <c r="AM1363" s="25"/>
      <c r="AN1363" s="25"/>
      <c r="AO1363" s="25"/>
      <c r="AP1363" s="25"/>
      <c r="AQ1363" s="25"/>
      <c r="AR1363" s="25"/>
      <c r="AS1363" s="25"/>
      <c r="AT1363" s="25"/>
      <c r="AU1363" s="25"/>
      <c r="AV1363" s="25"/>
      <c r="AW1363" s="25"/>
      <c r="AX1363" s="25"/>
    </row>
    <row r="1364" ht="15.75" customHeight="1">
      <c r="A1364" s="25"/>
      <c r="B1364" s="25"/>
      <c r="C1364" s="27"/>
      <c r="D1364" s="28"/>
      <c r="E1364" s="28"/>
      <c r="F1364" s="25"/>
      <c r="G1364" s="25"/>
      <c r="H1364" s="25"/>
      <c r="I1364" s="25"/>
      <c r="J1364" s="25"/>
      <c r="K1364" s="25"/>
      <c r="L1364" s="25"/>
      <c r="M1364" s="25"/>
      <c r="N1364" s="25"/>
      <c r="O1364" s="25"/>
      <c r="P1364" s="25"/>
      <c r="Q1364" s="25"/>
      <c r="R1364" s="25"/>
      <c r="S1364" s="25"/>
      <c r="T1364" s="25"/>
      <c r="U1364" s="25"/>
      <c r="V1364" s="25"/>
      <c r="W1364" s="25"/>
      <c r="X1364" s="25"/>
      <c r="Y1364" s="25"/>
      <c r="Z1364" s="25"/>
      <c r="AA1364" s="25"/>
      <c r="AB1364" s="25"/>
      <c r="AC1364" s="25"/>
      <c r="AD1364" s="25"/>
      <c r="AE1364" s="25"/>
      <c r="AF1364" s="25"/>
      <c r="AG1364" s="25"/>
      <c r="AH1364" s="25"/>
      <c r="AI1364" s="25"/>
      <c r="AJ1364" s="25"/>
      <c r="AK1364" s="25"/>
      <c r="AL1364" s="25"/>
      <c r="AM1364" s="25"/>
      <c r="AN1364" s="25"/>
      <c r="AO1364" s="25"/>
      <c r="AP1364" s="25"/>
      <c r="AQ1364" s="25"/>
      <c r="AR1364" s="25"/>
      <c r="AS1364" s="25"/>
      <c r="AT1364" s="25"/>
      <c r="AU1364" s="25"/>
      <c r="AV1364" s="25"/>
      <c r="AW1364" s="25"/>
      <c r="AX1364" s="25"/>
    </row>
    <row r="1365" ht="15.75" customHeight="1">
      <c r="A1365" s="25"/>
      <c r="B1365" s="25"/>
      <c r="C1365" s="27"/>
      <c r="D1365" s="28"/>
      <c r="E1365" s="28"/>
      <c r="F1365" s="25"/>
      <c r="G1365" s="25"/>
      <c r="H1365" s="25"/>
      <c r="I1365" s="25"/>
      <c r="J1365" s="25"/>
      <c r="K1365" s="25"/>
      <c r="L1365" s="25"/>
      <c r="M1365" s="25"/>
      <c r="N1365" s="25"/>
      <c r="O1365" s="25"/>
      <c r="P1365" s="25"/>
      <c r="Q1365" s="25"/>
      <c r="R1365" s="25"/>
      <c r="S1365" s="25"/>
      <c r="T1365" s="25"/>
      <c r="U1365" s="25"/>
      <c r="V1365" s="25"/>
      <c r="W1365" s="25"/>
      <c r="X1365" s="25"/>
      <c r="Y1365" s="25"/>
      <c r="Z1365" s="25"/>
      <c r="AA1365" s="25"/>
      <c r="AB1365" s="25"/>
      <c r="AC1365" s="25"/>
      <c r="AD1365" s="25"/>
      <c r="AE1365" s="25"/>
      <c r="AF1365" s="25"/>
      <c r="AG1365" s="25"/>
      <c r="AH1365" s="25"/>
      <c r="AI1365" s="25"/>
      <c r="AJ1365" s="25"/>
      <c r="AK1365" s="25"/>
      <c r="AL1365" s="25"/>
      <c r="AM1365" s="25"/>
      <c r="AN1365" s="25"/>
      <c r="AO1365" s="25"/>
      <c r="AP1365" s="25"/>
      <c r="AQ1365" s="25"/>
      <c r="AR1365" s="25"/>
      <c r="AS1365" s="25"/>
      <c r="AT1365" s="25"/>
      <c r="AU1365" s="25"/>
      <c r="AV1365" s="25"/>
      <c r="AW1365" s="25"/>
      <c r="AX1365" s="25"/>
    </row>
    <row r="1366" ht="15.75" customHeight="1">
      <c r="A1366" s="25"/>
      <c r="B1366" s="25"/>
      <c r="C1366" s="27"/>
      <c r="D1366" s="28"/>
      <c r="E1366" s="28"/>
      <c r="F1366" s="25"/>
      <c r="G1366" s="25"/>
      <c r="H1366" s="25"/>
      <c r="I1366" s="25"/>
      <c r="J1366" s="25"/>
      <c r="K1366" s="25"/>
      <c r="L1366" s="25"/>
      <c r="M1366" s="25"/>
      <c r="N1366" s="25"/>
      <c r="O1366" s="25"/>
      <c r="P1366" s="25"/>
      <c r="Q1366" s="25"/>
      <c r="R1366" s="25"/>
      <c r="S1366" s="25"/>
      <c r="T1366" s="25"/>
      <c r="U1366" s="25"/>
      <c r="V1366" s="25"/>
      <c r="W1366" s="25"/>
      <c r="X1366" s="25"/>
      <c r="Y1366" s="25"/>
      <c r="Z1366" s="25"/>
      <c r="AA1366" s="25"/>
      <c r="AB1366" s="25"/>
      <c r="AC1366" s="25"/>
      <c r="AD1366" s="25"/>
      <c r="AE1366" s="25"/>
      <c r="AF1366" s="25"/>
      <c r="AG1366" s="25"/>
      <c r="AH1366" s="25"/>
      <c r="AI1366" s="25"/>
      <c r="AJ1366" s="25"/>
      <c r="AK1366" s="25"/>
      <c r="AL1366" s="25"/>
      <c r="AM1366" s="25"/>
      <c r="AN1366" s="25"/>
      <c r="AO1366" s="25"/>
      <c r="AP1366" s="25"/>
      <c r="AQ1366" s="25"/>
      <c r="AR1366" s="25"/>
      <c r="AS1366" s="25"/>
      <c r="AT1366" s="25"/>
      <c r="AU1366" s="25"/>
      <c r="AV1366" s="25"/>
      <c r="AW1366" s="25"/>
      <c r="AX1366" s="25"/>
    </row>
    <row r="1367" ht="15.75" customHeight="1">
      <c r="A1367" s="25"/>
      <c r="B1367" s="25"/>
      <c r="C1367" s="27"/>
      <c r="D1367" s="28"/>
      <c r="E1367" s="28"/>
      <c r="F1367" s="25"/>
      <c r="G1367" s="25"/>
      <c r="H1367" s="25"/>
      <c r="I1367" s="25"/>
      <c r="J1367" s="25"/>
      <c r="K1367" s="25"/>
      <c r="L1367" s="25"/>
      <c r="M1367" s="25"/>
      <c r="N1367" s="25"/>
      <c r="O1367" s="25"/>
      <c r="P1367" s="25"/>
      <c r="Q1367" s="25"/>
      <c r="R1367" s="25"/>
      <c r="S1367" s="25"/>
      <c r="T1367" s="25"/>
      <c r="U1367" s="25"/>
      <c r="V1367" s="25"/>
      <c r="W1367" s="25"/>
      <c r="X1367" s="25"/>
      <c r="Y1367" s="25"/>
      <c r="Z1367" s="25"/>
      <c r="AA1367" s="25"/>
      <c r="AB1367" s="25"/>
      <c r="AC1367" s="25"/>
      <c r="AD1367" s="25"/>
      <c r="AE1367" s="25"/>
      <c r="AF1367" s="25"/>
      <c r="AG1367" s="25"/>
      <c r="AH1367" s="25"/>
      <c r="AI1367" s="25"/>
      <c r="AJ1367" s="25"/>
      <c r="AK1367" s="25"/>
      <c r="AL1367" s="25"/>
      <c r="AM1367" s="25"/>
      <c r="AN1367" s="25"/>
      <c r="AO1367" s="25"/>
      <c r="AP1367" s="25"/>
      <c r="AQ1367" s="25"/>
      <c r="AR1367" s="25"/>
      <c r="AS1367" s="25"/>
      <c r="AT1367" s="25"/>
      <c r="AU1367" s="25"/>
      <c r="AV1367" s="25"/>
      <c r="AW1367" s="25"/>
      <c r="AX1367" s="25"/>
    </row>
    <row r="1368" ht="15.75" customHeight="1">
      <c r="A1368" s="25"/>
      <c r="B1368" s="25"/>
      <c r="C1368" s="27"/>
      <c r="D1368" s="28"/>
      <c r="E1368" s="28"/>
      <c r="F1368" s="25"/>
      <c r="G1368" s="25"/>
      <c r="H1368" s="25"/>
      <c r="I1368" s="25"/>
      <c r="J1368" s="25"/>
      <c r="K1368" s="25"/>
      <c r="L1368" s="25"/>
      <c r="M1368" s="25"/>
      <c r="N1368" s="25"/>
      <c r="O1368" s="25"/>
      <c r="P1368" s="25"/>
      <c r="Q1368" s="25"/>
      <c r="R1368" s="25"/>
      <c r="S1368" s="25"/>
      <c r="T1368" s="25"/>
      <c r="U1368" s="25"/>
      <c r="V1368" s="25"/>
      <c r="W1368" s="25"/>
      <c r="X1368" s="25"/>
      <c r="Y1368" s="25"/>
      <c r="Z1368" s="25"/>
      <c r="AA1368" s="25"/>
      <c r="AB1368" s="25"/>
      <c r="AC1368" s="25"/>
      <c r="AD1368" s="25"/>
      <c r="AE1368" s="25"/>
      <c r="AF1368" s="25"/>
      <c r="AG1368" s="25"/>
      <c r="AH1368" s="25"/>
      <c r="AI1368" s="25"/>
      <c r="AJ1368" s="25"/>
      <c r="AK1368" s="25"/>
      <c r="AL1368" s="25"/>
      <c r="AM1368" s="25"/>
      <c r="AN1368" s="25"/>
      <c r="AO1368" s="25"/>
      <c r="AP1368" s="25"/>
      <c r="AQ1368" s="25"/>
      <c r="AR1368" s="25"/>
      <c r="AS1368" s="25"/>
      <c r="AT1368" s="25"/>
      <c r="AU1368" s="25"/>
      <c r="AV1368" s="25"/>
      <c r="AW1368" s="25"/>
      <c r="AX1368" s="25"/>
    </row>
    <row r="1369" ht="15.75" customHeight="1">
      <c r="A1369" s="25"/>
      <c r="B1369" s="25"/>
      <c r="C1369" s="27"/>
      <c r="D1369" s="28"/>
      <c r="E1369" s="28"/>
      <c r="F1369" s="25"/>
      <c r="G1369" s="25"/>
      <c r="H1369" s="25"/>
      <c r="I1369" s="25"/>
      <c r="J1369" s="25"/>
      <c r="K1369" s="25"/>
      <c r="L1369" s="25"/>
      <c r="M1369" s="25"/>
      <c r="N1369" s="25"/>
      <c r="O1369" s="25"/>
      <c r="P1369" s="25"/>
      <c r="Q1369" s="25"/>
      <c r="R1369" s="25"/>
      <c r="S1369" s="25"/>
      <c r="T1369" s="25"/>
      <c r="U1369" s="25"/>
      <c r="V1369" s="25"/>
      <c r="W1369" s="25"/>
      <c r="X1369" s="25"/>
      <c r="Y1369" s="25"/>
      <c r="Z1369" s="25"/>
      <c r="AA1369" s="25"/>
      <c r="AB1369" s="25"/>
      <c r="AC1369" s="25"/>
      <c r="AD1369" s="25"/>
      <c r="AE1369" s="25"/>
      <c r="AF1369" s="25"/>
      <c r="AG1369" s="25"/>
      <c r="AH1369" s="25"/>
      <c r="AI1369" s="25"/>
      <c r="AJ1369" s="25"/>
      <c r="AK1369" s="25"/>
      <c r="AL1369" s="25"/>
      <c r="AM1369" s="25"/>
      <c r="AN1369" s="25"/>
      <c r="AO1369" s="25"/>
      <c r="AP1369" s="25"/>
      <c r="AQ1369" s="25"/>
      <c r="AR1369" s="25"/>
      <c r="AS1369" s="25"/>
      <c r="AT1369" s="25"/>
      <c r="AU1369" s="25"/>
      <c r="AV1369" s="25"/>
      <c r="AW1369" s="25"/>
      <c r="AX1369" s="25"/>
    </row>
    <row r="1370" ht="15.75" customHeight="1">
      <c r="A1370" s="25"/>
      <c r="B1370" s="25"/>
      <c r="C1370" s="27"/>
      <c r="D1370" s="28"/>
      <c r="E1370" s="28"/>
      <c r="F1370" s="25"/>
      <c r="G1370" s="25"/>
      <c r="H1370" s="25"/>
      <c r="I1370" s="25"/>
      <c r="J1370" s="25"/>
      <c r="K1370" s="25"/>
      <c r="L1370" s="25"/>
      <c r="M1370" s="25"/>
      <c r="N1370" s="25"/>
      <c r="O1370" s="25"/>
      <c r="P1370" s="25"/>
      <c r="Q1370" s="25"/>
      <c r="R1370" s="25"/>
      <c r="S1370" s="25"/>
      <c r="T1370" s="25"/>
      <c r="U1370" s="25"/>
      <c r="V1370" s="25"/>
      <c r="W1370" s="25"/>
      <c r="X1370" s="25"/>
      <c r="Y1370" s="25"/>
      <c r="Z1370" s="25"/>
      <c r="AA1370" s="25"/>
      <c r="AB1370" s="25"/>
      <c r="AC1370" s="25"/>
      <c r="AD1370" s="25"/>
      <c r="AE1370" s="25"/>
      <c r="AF1370" s="25"/>
      <c r="AG1370" s="25"/>
      <c r="AH1370" s="25"/>
      <c r="AI1370" s="25"/>
      <c r="AJ1370" s="25"/>
      <c r="AK1370" s="25"/>
      <c r="AL1370" s="25"/>
      <c r="AM1370" s="25"/>
      <c r="AN1370" s="25"/>
      <c r="AO1370" s="25"/>
      <c r="AP1370" s="25"/>
      <c r="AQ1370" s="25"/>
      <c r="AR1370" s="25"/>
      <c r="AS1370" s="25"/>
      <c r="AT1370" s="25"/>
      <c r="AU1370" s="25"/>
      <c r="AV1370" s="25"/>
      <c r="AW1370" s="25"/>
      <c r="AX1370" s="25"/>
    </row>
    <row r="1371" ht="15.75" customHeight="1">
      <c r="A1371" s="25"/>
      <c r="B1371" s="25"/>
      <c r="C1371" s="27"/>
      <c r="D1371" s="28"/>
      <c r="E1371" s="28"/>
      <c r="F1371" s="25"/>
      <c r="G1371" s="25"/>
      <c r="H1371" s="25"/>
      <c r="I1371" s="25"/>
      <c r="J1371" s="25"/>
      <c r="K1371" s="25"/>
      <c r="L1371" s="25"/>
      <c r="M1371" s="25"/>
      <c r="N1371" s="25"/>
      <c r="O1371" s="25"/>
      <c r="P1371" s="25"/>
      <c r="Q1371" s="25"/>
      <c r="R1371" s="25"/>
      <c r="S1371" s="25"/>
      <c r="T1371" s="25"/>
      <c r="U1371" s="25"/>
      <c r="V1371" s="25"/>
      <c r="W1371" s="25"/>
      <c r="X1371" s="25"/>
      <c r="Y1371" s="25"/>
      <c r="Z1371" s="25"/>
      <c r="AA1371" s="25"/>
      <c r="AB1371" s="25"/>
      <c r="AC1371" s="25"/>
      <c r="AD1371" s="25"/>
      <c r="AE1371" s="25"/>
      <c r="AF1371" s="25"/>
      <c r="AG1371" s="25"/>
      <c r="AH1371" s="25"/>
      <c r="AI1371" s="25"/>
      <c r="AJ1371" s="25"/>
      <c r="AK1371" s="25"/>
      <c r="AL1371" s="25"/>
      <c r="AM1371" s="25"/>
      <c r="AN1371" s="25"/>
      <c r="AO1371" s="25"/>
      <c r="AP1371" s="25"/>
      <c r="AQ1371" s="25"/>
      <c r="AR1371" s="25"/>
      <c r="AS1371" s="25"/>
      <c r="AT1371" s="25"/>
      <c r="AU1371" s="25"/>
      <c r="AV1371" s="25"/>
      <c r="AW1371" s="25"/>
      <c r="AX1371" s="25"/>
    </row>
    <row r="1372" ht="15.75" customHeight="1">
      <c r="A1372" s="25"/>
      <c r="B1372" s="25"/>
      <c r="C1372" s="27"/>
      <c r="D1372" s="28"/>
      <c r="E1372" s="28"/>
      <c r="F1372" s="25"/>
      <c r="G1372" s="25"/>
      <c r="H1372" s="25"/>
      <c r="I1372" s="25"/>
      <c r="J1372" s="25"/>
      <c r="K1372" s="25"/>
      <c r="L1372" s="25"/>
      <c r="M1372" s="25"/>
      <c r="N1372" s="25"/>
      <c r="O1372" s="25"/>
      <c r="P1372" s="25"/>
      <c r="Q1372" s="25"/>
      <c r="R1372" s="25"/>
      <c r="S1372" s="25"/>
      <c r="T1372" s="25"/>
      <c r="U1372" s="25"/>
      <c r="V1372" s="25"/>
      <c r="W1372" s="25"/>
      <c r="X1372" s="25"/>
      <c r="Y1372" s="25"/>
      <c r="Z1372" s="25"/>
      <c r="AA1372" s="25"/>
      <c r="AB1372" s="25"/>
      <c r="AC1372" s="25"/>
      <c r="AD1372" s="25"/>
      <c r="AE1372" s="25"/>
      <c r="AF1372" s="25"/>
      <c r="AG1372" s="25"/>
      <c r="AH1372" s="25"/>
      <c r="AI1372" s="25"/>
      <c r="AJ1372" s="25"/>
      <c r="AK1372" s="25"/>
      <c r="AL1372" s="25"/>
      <c r="AM1372" s="25"/>
      <c r="AN1372" s="25"/>
      <c r="AO1372" s="25"/>
      <c r="AP1372" s="25"/>
      <c r="AQ1372" s="25"/>
      <c r="AR1372" s="25"/>
      <c r="AS1372" s="25"/>
      <c r="AT1372" s="25"/>
      <c r="AU1372" s="25"/>
      <c r="AV1372" s="25"/>
      <c r="AW1372" s="25"/>
      <c r="AX1372" s="25"/>
    </row>
    <row r="1373" ht="15.75" customHeight="1">
      <c r="A1373" s="25"/>
      <c r="B1373" s="25"/>
      <c r="C1373" s="27"/>
      <c r="D1373" s="28"/>
      <c r="E1373" s="28"/>
      <c r="F1373" s="25"/>
      <c r="G1373" s="25"/>
      <c r="H1373" s="25"/>
      <c r="I1373" s="25"/>
      <c r="J1373" s="25"/>
      <c r="K1373" s="25"/>
      <c r="L1373" s="25"/>
      <c r="M1373" s="25"/>
      <c r="N1373" s="25"/>
      <c r="O1373" s="25"/>
      <c r="P1373" s="25"/>
      <c r="Q1373" s="25"/>
      <c r="R1373" s="25"/>
      <c r="S1373" s="25"/>
      <c r="T1373" s="25"/>
      <c r="U1373" s="25"/>
      <c r="V1373" s="25"/>
      <c r="W1373" s="25"/>
      <c r="X1373" s="25"/>
      <c r="Y1373" s="25"/>
      <c r="Z1373" s="25"/>
      <c r="AA1373" s="25"/>
      <c r="AB1373" s="25"/>
      <c r="AC1373" s="25"/>
      <c r="AD1373" s="25"/>
      <c r="AE1373" s="25"/>
      <c r="AF1373" s="25"/>
      <c r="AG1373" s="25"/>
      <c r="AH1373" s="25"/>
      <c r="AI1373" s="25"/>
      <c r="AJ1373" s="25"/>
      <c r="AK1373" s="25"/>
      <c r="AL1373" s="25"/>
      <c r="AM1373" s="25"/>
      <c r="AN1373" s="25"/>
      <c r="AO1373" s="25"/>
      <c r="AP1373" s="25"/>
      <c r="AQ1373" s="25"/>
      <c r="AR1373" s="25"/>
      <c r="AS1373" s="25"/>
      <c r="AT1373" s="25"/>
      <c r="AU1373" s="25"/>
      <c r="AV1373" s="25"/>
      <c r="AW1373" s="25"/>
      <c r="AX1373" s="25"/>
    </row>
    <row r="1374" ht="15.75" customHeight="1">
      <c r="A1374" s="25"/>
      <c r="B1374" s="25"/>
      <c r="C1374" s="27"/>
      <c r="D1374" s="28"/>
      <c r="E1374" s="28"/>
      <c r="F1374" s="25"/>
      <c r="G1374" s="25"/>
      <c r="H1374" s="25"/>
      <c r="I1374" s="25"/>
      <c r="J1374" s="25"/>
      <c r="K1374" s="25"/>
      <c r="L1374" s="25"/>
      <c r="M1374" s="25"/>
      <c r="N1374" s="25"/>
      <c r="O1374" s="25"/>
      <c r="P1374" s="25"/>
      <c r="Q1374" s="25"/>
      <c r="R1374" s="25"/>
      <c r="S1374" s="25"/>
      <c r="T1374" s="25"/>
      <c r="U1374" s="25"/>
      <c r="V1374" s="25"/>
      <c r="W1374" s="25"/>
      <c r="X1374" s="25"/>
      <c r="Y1374" s="25"/>
      <c r="Z1374" s="25"/>
      <c r="AA1374" s="25"/>
      <c r="AB1374" s="25"/>
      <c r="AC1374" s="25"/>
      <c r="AD1374" s="25"/>
      <c r="AE1374" s="25"/>
      <c r="AF1374" s="25"/>
      <c r="AG1374" s="25"/>
      <c r="AH1374" s="25"/>
      <c r="AI1374" s="25"/>
      <c r="AJ1374" s="25"/>
      <c r="AK1374" s="25"/>
      <c r="AL1374" s="25"/>
      <c r="AM1374" s="25"/>
      <c r="AN1374" s="25"/>
      <c r="AO1374" s="25"/>
      <c r="AP1374" s="25"/>
      <c r="AQ1374" s="25"/>
      <c r="AR1374" s="25"/>
      <c r="AS1374" s="25"/>
      <c r="AT1374" s="25"/>
      <c r="AU1374" s="25"/>
      <c r="AV1374" s="25"/>
      <c r="AW1374" s="25"/>
      <c r="AX1374" s="25"/>
    </row>
    <row r="1375" ht="15.75" customHeight="1">
      <c r="A1375" s="25"/>
      <c r="B1375" s="25"/>
      <c r="C1375" s="27"/>
      <c r="D1375" s="28"/>
      <c r="E1375" s="28"/>
      <c r="F1375" s="25"/>
      <c r="G1375" s="25"/>
      <c r="H1375" s="25"/>
      <c r="I1375" s="25"/>
      <c r="J1375" s="25"/>
      <c r="K1375" s="25"/>
      <c r="L1375" s="25"/>
      <c r="M1375" s="25"/>
      <c r="N1375" s="25"/>
      <c r="O1375" s="25"/>
      <c r="P1375" s="25"/>
      <c r="Q1375" s="25"/>
      <c r="R1375" s="25"/>
      <c r="S1375" s="25"/>
      <c r="T1375" s="25"/>
      <c r="U1375" s="25"/>
      <c r="V1375" s="25"/>
      <c r="W1375" s="25"/>
      <c r="X1375" s="25"/>
      <c r="Y1375" s="25"/>
      <c r="Z1375" s="25"/>
      <c r="AA1375" s="25"/>
      <c r="AB1375" s="25"/>
      <c r="AC1375" s="25"/>
      <c r="AD1375" s="25"/>
      <c r="AE1375" s="25"/>
      <c r="AF1375" s="25"/>
      <c r="AG1375" s="25"/>
      <c r="AH1375" s="25"/>
      <c r="AI1375" s="25"/>
      <c r="AJ1375" s="25"/>
      <c r="AK1375" s="25"/>
      <c r="AL1375" s="25"/>
      <c r="AM1375" s="25"/>
      <c r="AN1375" s="25"/>
      <c r="AO1375" s="25"/>
      <c r="AP1375" s="25"/>
      <c r="AQ1375" s="25"/>
      <c r="AR1375" s="25"/>
      <c r="AS1375" s="25"/>
      <c r="AT1375" s="25"/>
      <c r="AU1375" s="25"/>
      <c r="AV1375" s="25"/>
      <c r="AW1375" s="25"/>
      <c r="AX1375" s="25"/>
    </row>
    <row r="1376" ht="15.75" customHeight="1">
      <c r="A1376" s="25"/>
      <c r="B1376" s="25"/>
      <c r="C1376" s="27"/>
      <c r="D1376" s="28"/>
      <c r="E1376" s="28"/>
      <c r="F1376" s="25"/>
      <c r="G1376" s="25"/>
      <c r="H1376" s="25"/>
      <c r="I1376" s="25"/>
      <c r="J1376" s="25"/>
      <c r="K1376" s="25"/>
      <c r="L1376" s="25"/>
      <c r="M1376" s="25"/>
      <c r="N1376" s="25"/>
      <c r="O1376" s="25"/>
      <c r="P1376" s="25"/>
      <c r="Q1376" s="25"/>
      <c r="R1376" s="25"/>
      <c r="S1376" s="25"/>
      <c r="T1376" s="25"/>
      <c r="U1376" s="25"/>
      <c r="V1376" s="25"/>
      <c r="W1376" s="25"/>
      <c r="X1376" s="25"/>
      <c r="Y1376" s="25"/>
      <c r="Z1376" s="25"/>
      <c r="AA1376" s="25"/>
      <c r="AB1376" s="25"/>
      <c r="AC1376" s="25"/>
      <c r="AD1376" s="25"/>
      <c r="AE1376" s="25"/>
      <c r="AF1376" s="25"/>
      <c r="AG1376" s="25"/>
      <c r="AH1376" s="25"/>
      <c r="AI1376" s="25"/>
      <c r="AJ1376" s="25"/>
      <c r="AK1376" s="25"/>
      <c r="AL1376" s="25"/>
      <c r="AM1376" s="25"/>
      <c r="AN1376" s="25"/>
      <c r="AO1376" s="25"/>
      <c r="AP1376" s="25"/>
      <c r="AQ1376" s="25"/>
      <c r="AR1376" s="25"/>
      <c r="AS1376" s="25"/>
      <c r="AT1376" s="25"/>
      <c r="AU1376" s="25"/>
      <c r="AV1376" s="25"/>
      <c r="AW1376" s="25"/>
      <c r="AX1376" s="25"/>
    </row>
    <row r="1377" ht="15.75" customHeight="1">
      <c r="A1377" s="25"/>
      <c r="B1377" s="25"/>
      <c r="C1377" s="27"/>
      <c r="D1377" s="28"/>
      <c r="E1377" s="28"/>
      <c r="F1377" s="25"/>
      <c r="G1377" s="25"/>
      <c r="H1377" s="25"/>
      <c r="I1377" s="25"/>
      <c r="J1377" s="25"/>
      <c r="K1377" s="25"/>
      <c r="L1377" s="25"/>
      <c r="M1377" s="25"/>
      <c r="N1377" s="25"/>
      <c r="O1377" s="25"/>
      <c r="P1377" s="25"/>
      <c r="Q1377" s="25"/>
      <c r="R1377" s="25"/>
      <c r="S1377" s="25"/>
      <c r="T1377" s="25"/>
      <c r="U1377" s="25"/>
      <c r="V1377" s="25"/>
      <c r="W1377" s="25"/>
      <c r="X1377" s="25"/>
      <c r="Y1377" s="25"/>
      <c r="Z1377" s="25"/>
      <c r="AA1377" s="25"/>
      <c r="AB1377" s="25"/>
      <c r="AC1377" s="25"/>
      <c r="AD1377" s="25"/>
      <c r="AE1377" s="25"/>
      <c r="AF1377" s="25"/>
      <c r="AG1377" s="25"/>
      <c r="AH1377" s="25"/>
      <c r="AI1377" s="25"/>
      <c r="AJ1377" s="25"/>
      <c r="AK1377" s="25"/>
      <c r="AL1377" s="25"/>
      <c r="AM1377" s="25"/>
      <c r="AN1377" s="25"/>
      <c r="AO1377" s="25"/>
      <c r="AP1377" s="25"/>
      <c r="AQ1377" s="25"/>
      <c r="AR1377" s="25"/>
      <c r="AS1377" s="25"/>
      <c r="AT1377" s="25"/>
      <c r="AU1377" s="25"/>
      <c r="AV1377" s="25"/>
      <c r="AW1377" s="25"/>
      <c r="AX1377" s="25"/>
    </row>
    <row r="1378" ht="15.75" customHeight="1">
      <c r="A1378" s="25"/>
      <c r="B1378" s="25"/>
      <c r="C1378" s="27"/>
      <c r="D1378" s="28"/>
      <c r="E1378" s="28"/>
      <c r="F1378" s="25"/>
      <c r="G1378" s="25"/>
      <c r="H1378" s="25"/>
      <c r="I1378" s="25"/>
      <c r="J1378" s="25"/>
      <c r="K1378" s="25"/>
      <c r="L1378" s="25"/>
      <c r="M1378" s="25"/>
      <c r="N1378" s="25"/>
      <c r="O1378" s="25"/>
      <c r="P1378" s="25"/>
      <c r="Q1378" s="25"/>
      <c r="R1378" s="25"/>
      <c r="S1378" s="25"/>
      <c r="T1378" s="25"/>
      <c r="U1378" s="25"/>
      <c r="V1378" s="25"/>
      <c r="W1378" s="25"/>
      <c r="X1378" s="25"/>
      <c r="Y1378" s="25"/>
      <c r="Z1378" s="25"/>
      <c r="AA1378" s="25"/>
      <c r="AB1378" s="25"/>
      <c r="AC1378" s="25"/>
      <c r="AD1378" s="25"/>
      <c r="AE1378" s="25"/>
      <c r="AF1378" s="25"/>
      <c r="AG1378" s="25"/>
      <c r="AH1378" s="25"/>
      <c r="AI1378" s="25"/>
      <c r="AJ1378" s="25"/>
      <c r="AK1378" s="25"/>
      <c r="AL1378" s="25"/>
      <c r="AM1378" s="25"/>
      <c r="AN1378" s="25"/>
      <c r="AO1378" s="25"/>
      <c r="AP1378" s="25"/>
      <c r="AQ1378" s="25"/>
      <c r="AR1378" s="25"/>
      <c r="AS1378" s="25"/>
      <c r="AT1378" s="25"/>
      <c r="AU1378" s="25"/>
      <c r="AV1378" s="25"/>
      <c r="AW1378" s="25"/>
      <c r="AX1378" s="25"/>
    </row>
    <row r="1379" ht="15.75" customHeight="1">
      <c r="A1379" s="25"/>
      <c r="B1379" s="25"/>
      <c r="C1379" s="27"/>
      <c r="D1379" s="28"/>
      <c r="E1379" s="28"/>
      <c r="F1379" s="25"/>
      <c r="G1379" s="25"/>
      <c r="H1379" s="25"/>
      <c r="I1379" s="25"/>
      <c r="J1379" s="25"/>
      <c r="K1379" s="25"/>
      <c r="L1379" s="25"/>
      <c r="M1379" s="25"/>
      <c r="N1379" s="25"/>
      <c r="O1379" s="25"/>
      <c r="P1379" s="25"/>
      <c r="Q1379" s="25"/>
      <c r="R1379" s="25"/>
      <c r="S1379" s="25"/>
      <c r="T1379" s="25"/>
      <c r="U1379" s="25"/>
      <c r="V1379" s="25"/>
      <c r="W1379" s="25"/>
      <c r="X1379" s="25"/>
      <c r="Y1379" s="25"/>
      <c r="Z1379" s="25"/>
      <c r="AA1379" s="25"/>
      <c r="AB1379" s="25"/>
      <c r="AC1379" s="25"/>
      <c r="AD1379" s="25"/>
      <c r="AE1379" s="25"/>
      <c r="AF1379" s="25"/>
      <c r="AG1379" s="25"/>
      <c r="AH1379" s="25"/>
      <c r="AI1379" s="25"/>
      <c r="AJ1379" s="25"/>
      <c r="AK1379" s="25"/>
      <c r="AL1379" s="25"/>
      <c r="AM1379" s="25"/>
      <c r="AN1379" s="25"/>
      <c r="AO1379" s="25"/>
      <c r="AP1379" s="25"/>
      <c r="AQ1379" s="25"/>
      <c r="AR1379" s="25"/>
      <c r="AS1379" s="25"/>
      <c r="AT1379" s="25"/>
      <c r="AU1379" s="25"/>
      <c r="AV1379" s="25"/>
      <c r="AW1379" s="25"/>
      <c r="AX1379" s="25"/>
    </row>
    <row r="1380" ht="15.75" customHeight="1">
      <c r="A1380" s="25"/>
      <c r="B1380" s="25"/>
      <c r="C1380" s="27"/>
      <c r="D1380" s="28"/>
      <c r="E1380" s="28"/>
      <c r="F1380" s="25"/>
      <c r="G1380" s="25"/>
      <c r="H1380" s="25"/>
      <c r="I1380" s="25"/>
      <c r="J1380" s="25"/>
      <c r="K1380" s="25"/>
      <c r="L1380" s="25"/>
      <c r="M1380" s="25"/>
      <c r="N1380" s="25"/>
      <c r="O1380" s="25"/>
      <c r="P1380" s="25"/>
      <c r="Q1380" s="25"/>
      <c r="R1380" s="25"/>
      <c r="S1380" s="25"/>
      <c r="T1380" s="25"/>
      <c r="U1380" s="25"/>
      <c r="V1380" s="25"/>
      <c r="W1380" s="25"/>
      <c r="X1380" s="25"/>
      <c r="Y1380" s="25"/>
      <c r="Z1380" s="25"/>
      <c r="AA1380" s="25"/>
      <c r="AB1380" s="25"/>
      <c r="AC1380" s="25"/>
      <c r="AD1380" s="25"/>
      <c r="AE1380" s="25"/>
      <c r="AF1380" s="25"/>
      <c r="AG1380" s="25"/>
      <c r="AH1380" s="25"/>
      <c r="AI1380" s="25"/>
      <c r="AJ1380" s="25"/>
      <c r="AK1380" s="25"/>
      <c r="AL1380" s="25"/>
      <c r="AM1380" s="25"/>
      <c r="AN1380" s="25"/>
      <c r="AO1380" s="25"/>
      <c r="AP1380" s="25"/>
      <c r="AQ1380" s="25"/>
      <c r="AR1380" s="25"/>
      <c r="AS1380" s="25"/>
      <c r="AT1380" s="25"/>
      <c r="AU1380" s="25"/>
      <c r="AV1380" s="25"/>
      <c r="AW1380" s="25"/>
      <c r="AX1380" s="25"/>
    </row>
    <row r="1381" ht="15.75" customHeight="1">
      <c r="A1381" s="25"/>
      <c r="B1381" s="25"/>
      <c r="C1381" s="27"/>
      <c r="D1381" s="28"/>
      <c r="E1381" s="28"/>
      <c r="F1381" s="25"/>
      <c r="G1381" s="25"/>
      <c r="H1381" s="25"/>
      <c r="I1381" s="25"/>
      <c r="J1381" s="25"/>
      <c r="K1381" s="25"/>
      <c r="L1381" s="25"/>
      <c r="M1381" s="25"/>
      <c r="N1381" s="25"/>
      <c r="O1381" s="25"/>
      <c r="P1381" s="25"/>
      <c r="Q1381" s="25"/>
      <c r="R1381" s="25"/>
      <c r="S1381" s="25"/>
      <c r="T1381" s="25"/>
      <c r="U1381" s="25"/>
      <c r="V1381" s="25"/>
      <c r="W1381" s="25"/>
      <c r="X1381" s="25"/>
      <c r="Y1381" s="25"/>
      <c r="Z1381" s="25"/>
      <c r="AA1381" s="25"/>
      <c r="AB1381" s="25"/>
      <c r="AC1381" s="25"/>
      <c r="AD1381" s="25"/>
      <c r="AE1381" s="25"/>
      <c r="AF1381" s="25"/>
      <c r="AG1381" s="25"/>
      <c r="AH1381" s="25"/>
      <c r="AI1381" s="25"/>
      <c r="AJ1381" s="25"/>
      <c r="AK1381" s="25"/>
      <c r="AL1381" s="25"/>
      <c r="AM1381" s="25"/>
      <c r="AN1381" s="25"/>
      <c r="AO1381" s="25"/>
      <c r="AP1381" s="25"/>
      <c r="AQ1381" s="25"/>
      <c r="AR1381" s="25"/>
      <c r="AS1381" s="25"/>
      <c r="AT1381" s="25"/>
      <c r="AU1381" s="25"/>
      <c r="AV1381" s="25"/>
      <c r="AW1381" s="25"/>
      <c r="AX1381" s="25"/>
    </row>
    <row r="1382" ht="15.75" customHeight="1">
      <c r="A1382" s="25"/>
      <c r="B1382" s="25"/>
      <c r="C1382" s="27"/>
      <c r="D1382" s="28"/>
      <c r="E1382" s="28"/>
      <c r="F1382" s="25"/>
      <c r="G1382" s="25"/>
      <c r="H1382" s="25"/>
      <c r="I1382" s="25"/>
      <c r="J1382" s="25"/>
      <c r="K1382" s="25"/>
      <c r="L1382" s="25"/>
      <c r="M1382" s="25"/>
      <c r="N1382" s="25"/>
      <c r="O1382" s="25"/>
      <c r="P1382" s="25"/>
      <c r="Q1382" s="25"/>
      <c r="R1382" s="25"/>
      <c r="S1382" s="25"/>
      <c r="T1382" s="25"/>
      <c r="U1382" s="25"/>
      <c r="V1382" s="25"/>
      <c r="W1382" s="25"/>
      <c r="X1382" s="25"/>
      <c r="Y1382" s="25"/>
      <c r="Z1382" s="25"/>
      <c r="AA1382" s="25"/>
      <c r="AB1382" s="25"/>
      <c r="AC1382" s="25"/>
      <c r="AD1382" s="25"/>
      <c r="AE1382" s="25"/>
      <c r="AF1382" s="25"/>
      <c r="AG1382" s="25"/>
      <c r="AH1382" s="25"/>
      <c r="AI1382" s="25"/>
      <c r="AJ1382" s="25"/>
      <c r="AK1382" s="25"/>
      <c r="AL1382" s="25"/>
      <c r="AM1382" s="25"/>
      <c r="AN1382" s="25"/>
      <c r="AO1382" s="25"/>
      <c r="AP1382" s="25"/>
      <c r="AQ1382" s="25"/>
      <c r="AR1382" s="25"/>
      <c r="AS1382" s="25"/>
      <c r="AT1382" s="25"/>
      <c r="AU1382" s="25"/>
      <c r="AV1382" s="25"/>
      <c r="AW1382" s="25"/>
      <c r="AX1382" s="25"/>
    </row>
    <row r="1383" ht="15.75" customHeight="1">
      <c r="A1383" s="25"/>
      <c r="B1383" s="25"/>
      <c r="C1383" s="27"/>
      <c r="D1383" s="28"/>
      <c r="E1383" s="28"/>
      <c r="F1383" s="25"/>
      <c r="G1383" s="25"/>
      <c r="H1383" s="25"/>
      <c r="I1383" s="25"/>
      <c r="J1383" s="25"/>
      <c r="K1383" s="25"/>
      <c r="L1383" s="25"/>
      <c r="M1383" s="25"/>
      <c r="N1383" s="25"/>
      <c r="O1383" s="25"/>
      <c r="P1383" s="25"/>
      <c r="Q1383" s="25"/>
      <c r="R1383" s="25"/>
      <c r="S1383" s="25"/>
      <c r="T1383" s="25"/>
      <c r="U1383" s="25"/>
      <c r="V1383" s="25"/>
      <c r="W1383" s="25"/>
      <c r="X1383" s="25"/>
      <c r="Y1383" s="25"/>
      <c r="Z1383" s="25"/>
      <c r="AA1383" s="25"/>
      <c r="AB1383" s="25"/>
      <c r="AC1383" s="25"/>
      <c r="AD1383" s="25"/>
      <c r="AE1383" s="25"/>
      <c r="AF1383" s="25"/>
      <c r="AG1383" s="25"/>
      <c r="AH1383" s="25"/>
      <c r="AI1383" s="25"/>
      <c r="AJ1383" s="25"/>
      <c r="AK1383" s="25"/>
      <c r="AL1383" s="25"/>
      <c r="AM1383" s="25"/>
      <c r="AN1383" s="25"/>
      <c r="AO1383" s="25"/>
      <c r="AP1383" s="25"/>
      <c r="AQ1383" s="25"/>
      <c r="AR1383" s="25"/>
      <c r="AS1383" s="25"/>
      <c r="AT1383" s="25"/>
      <c r="AU1383" s="25"/>
      <c r="AV1383" s="25"/>
      <c r="AW1383" s="25"/>
      <c r="AX1383" s="25"/>
    </row>
    <row r="1384" ht="15.75" customHeight="1">
      <c r="A1384" s="25"/>
      <c r="B1384" s="25"/>
      <c r="C1384" s="27"/>
      <c r="D1384" s="28"/>
      <c r="E1384" s="28"/>
      <c r="F1384" s="25"/>
      <c r="G1384" s="25"/>
      <c r="H1384" s="25"/>
      <c r="I1384" s="25"/>
      <c r="J1384" s="25"/>
      <c r="K1384" s="25"/>
      <c r="L1384" s="25"/>
      <c r="M1384" s="25"/>
      <c r="N1384" s="25"/>
      <c r="O1384" s="25"/>
      <c r="P1384" s="25"/>
      <c r="Q1384" s="25"/>
      <c r="R1384" s="25"/>
      <c r="S1384" s="25"/>
      <c r="T1384" s="25"/>
      <c r="U1384" s="25"/>
      <c r="V1384" s="25"/>
      <c r="W1384" s="25"/>
      <c r="X1384" s="25"/>
      <c r="Y1384" s="25"/>
      <c r="Z1384" s="25"/>
      <c r="AA1384" s="25"/>
      <c r="AB1384" s="25"/>
      <c r="AC1384" s="25"/>
      <c r="AD1384" s="25"/>
      <c r="AE1384" s="25"/>
      <c r="AF1384" s="25"/>
      <c r="AG1384" s="25"/>
      <c r="AH1384" s="25"/>
      <c r="AI1384" s="25"/>
      <c r="AJ1384" s="25"/>
      <c r="AK1384" s="25"/>
      <c r="AL1384" s="25"/>
      <c r="AM1384" s="25"/>
      <c r="AN1384" s="25"/>
      <c r="AO1384" s="25"/>
      <c r="AP1384" s="25"/>
      <c r="AQ1384" s="25"/>
      <c r="AR1384" s="25"/>
      <c r="AS1384" s="25"/>
      <c r="AT1384" s="25"/>
      <c r="AU1384" s="25"/>
      <c r="AV1384" s="25"/>
      <c r="AW1384" s="25"/>
      <c r="AX1384" s="25"/>
    </row>
    <row r="1385" ht="15.75" customHeight="1">
      <c r="A1385" s="25"/>
      <c r="B1385" s="25"/>
      <c r="C1385" s="27"/>
      <c r="D1385" s="28"/>
      <c r="E1385" s="28"/>
      <c r="F1385" s="25"/>
      <c r="G1385" s="25"/>
      <c r="H1385" s="25"/>
      <c r="I1385" s="25"/>
      <c r="J1385" s="25"/>
      <c r="K1385" s="25"/>
      <c r="L1385" s="25"/>
      <c r="M1385" s="25"/>
      <c r="N1385" s="25"/>
      <c r="O1385" s="25"/>
      <c r="P1385" s="25"/>
      <c r="Q1385" s="25"/>
      <c r="R1385" s="25"/>
      <c r="S1385" s="25"/>
      <c r="T1385" s="25"/>
      <c r="U1385" s="25"/>
      <c r="V1385" s="25"/>
      <c r="W1385" s="25"/>
      <c r="X1385" s="25"/>
      <c r="Y1385" s="25"/>
      <c r="Z1385" s="25"/>
      <c r="AA1385" s="25"/>
      <c r="AB1385" s="25"/>
      <c r="AC1385" s="25"/>
      <c r="AD1385" s="25"/>
      <c r="AE1385" s="25"/>
      <c r="AF1385" s="25"/>
      <c r="AG1385" s="25"/>
      <c r="AH1385" s="25"/>
      <c r="AI1385" s="25"/>
      <c r="AJ1385" s="25"/>
      <c r="AK1385" s="25"/>
      <c r="AL1385" s="25"/>
      <c r="AM1385" s="25"/>
      <c r="AN1385" s="25"/>
      <c r="AO1385" s="25"/>
      <c r="AP1385" s="25"/>
      <c r="AQ1385" s="25"/>
      <c r="AR1385" s="25"/>
      <c r="AS1385" s="25"/>
      <c r="AT1385" s="25"/>
      <c r="AU1385" s="25"/>
      <c r="AV1385" s="25"/>
      <c r="AW1385" s="25"/>
      <c r="AX1385" s="25"/>
    </row>
    <row r="1386" ht="15.75" customHeight="1">
      <c r="A1386" s="25"/>
      <c r="B1386" s="25"/>
      <c r="C1386" s="27"/>
      <c r="D1386" s="28"/>
      <c r="E1386" s="28"/>
      <c r="F1386" s="25"/>
      <c r="G1386" s="25"/>
      <c r="H1386" s="25"/>
      <c r="I1386" s="25"/>
      <c r="J1386" s="25"/>
      <c r="K1386" s="25"/>
      <c r="L1386" s="25"/>
      <c r="M1386" s="25"/>
      <c r="N1386" s="25"/>
      <c r="O1386" s="25"/>
      <c r="P1386" s="25"/>
      <c r="Q1386" s="25"/>
      <c r="R1386" s="25"/>
      <c r="S1386" s="25"/>
      <c r="T1386" s="25"/>
      <c r="U1386" s="25"/>
      <c r="V1386" s="25"/>
      <c r="W1386" s="25"/>
      <c r="X1386" s="25"/>
      <c r="Y1386" s="25"/>
      <c r="Z1386" s="25"/>
      <c r="AA1386" s="25"/>
      <c r="AB1386" s="25"/>
      <c r="AC1386" s="25"/>
      <c r="AD1386" s="25"/>
      <c r="AE1386" s="25"/>
      <c r="AF1386" s="25"/>
      <c r="AG1386" s="25"/>
      <c r="AH1386" s="25"/>
      <c r="AI1386" s="25"/>
      <c r="AJ1386" s="25"/>
      <c r="AK1386" s="25"/>
      <c r="AL1386" s="25"/>
      <c r="AM1386" s="25"/>
      <c r="AN1386" s="25"/>
      <c r="AO1386" s="25"/>
      <c r="AP1386" s="25"/>
      <c r="AQ1386" s="25"/>
      <c r="AR1386" s="25"/>
      <c r="AS1386" s="25"/>
      <c r="AT1386" s="25"/>
      <c r="AU1386" s="25"/>
      <c r="AV1386" s="25"/>
      <c r="AW1386" s="25"/>
      <c r="AX1386" s="25"/>
    </row>
    <row r="1387" ht="15.75" customHeight="1">
      <c r="A1387" s="25"/>
      <c r="B1387" s="25"/>
      <c r="C1387" s="27"/>
      <c r="D1387" s="28"/>
      <c r="E1387" s="28"/>
      <c r="F1387" s="25"/>
      <c r="G1387" s="25"/>
      <c r="H1387" s="25"/>
      <c r="I1387" s="25"/>
      <c r="J1387" s="25"/>
      <c r="K1387" s="25"/>
      <c r="L1387" s="25"/>
      <c r="M1387" s="25"/>
      <c r="N1387" s="25"/>
      <c r="O1387" s="25"/>
      <c r="P1387" s="25"/>
      <c r="Q1387" s="25"/>
      <c r="R1387" s="25"/>
      <c r="S1387" s="25"/>
      <c r="T1387" s="25"/>
      <c r="U1387" s="25"/>
      <c r="V1387" s="25"/>
      <c r="W1387" s="25"/>
      <c r="X1387" s="25"/>
      <c r="Y1387" s="25"/>
      <c r="Z1387" s="25"/>
      <c r="AA1387" s="25"/>
      <c r="AB1387" s="25"/>
      <c r="AC1387" s="25"/>
      <c r="AD1387" s="25"/>
      <c r="AE1387" s="25"/>
      <c r="AF1387" s="25"/>
      <c r="AG1387" s="25"/>
      <c r="AH1387" s="25"/>
      <c r="AI1387" s="25"/>
      <c r="AJ1387" s="25"/>
      <c r="AK1387" s="25"/>
      <c r="AL1387" s="25"/>
      <c r="AM1387" s="25"/>
      <c r="AN1387" s="25"/>
      <c r="AO1387" s="25"/>
      <c r="AP1387" s="25"/>
      <c r="AQ1387" s="25"/>
      <c r="AR1387" s="25"/>
      <c r="AS1387" s="25"/>
      <c r="AT1387" s="25"/>
      <c r="AU1387" s="25"/>
      <c r="AV1387" s="25"/>
      <c r="AW1387" s="25"/>
      <c r="AX1387" s="25"/>
    </row>
    <row r="1388" ht="15.75" customHeight="1">
      <c r="A1388" s="25"/>
      <c r="B1388" s="25"/>
      <c r="C1388" s="27"/>
      <c r="D1388" s="28"/>
      <c r="E1388" s="28"/>
      <c r="F1388" s="25"/>
      <c r="G1388" s="25"/>
      <c r="H1388" s="25"/>
      <c r="I1388" s="25"/>
      <c r="J1388" s="25"/>
      <c r="K1388" s="25"/>
      <c r="L1388" s="25"/>
      <c r="M1388" s="25"/>
      <c r="N1388" s="25"/>
      <c r="O1388" s="25"/>
      <c r="P1388" s="25"/>
      <c r="Q1388" s="25"/>
      <c r="R1388" s="25"/>
      <c r="S1388" s="25"/>
      <c r="T1388" s="25"/>
      <c r="U1388" s="25"/>
      <c r="V1388" s="25"/>
      <c r="W1388" s="25"/>
      <c r="X1388" s="25"/>
      <c r="Y1388" s="25"/>
      <c r="Z1388" s="25"/>
      <c r="AA1388" s="25"/>
      <c r="AB1388" s="25"/>
      <c r="AC1388" s="25"/>
      <c r="AD1388" s="25"/>
      <c r="AE1388" s="25"/>
      <c r="AF1388" s="25"/>
      <c r="AG1388" s="25"/>
      <c r="AH1388" s="25"/>
      <c r="AI1388" s="25"/>
      <c r="AJ1388" s="25"/>
      <c r="AK1388" s="25"/>
      <c r="AL1388" s="25"/>
      <c r="AM1388" s="25"/>
      <c r="AN1388" s="25"/>
      <c r="AO1388" s="25"/>
      <c r="AP1388" s="25"/>
      <c r="AQ1388" s="25"/>
      <c r="AR1388" s="25"/>
      <c r="AS1388" s="25"/>
      <c r="AT1388" s="25"/>
      <c r="AU1388" s="25"/>
      <c r="AV1388" s="25"/>
      <c r="AW1388" s="25"/>
      <c r="AX1388" s="25"/>
    </row>
    <row r="1389" ht="15.75" customHeight="1">
      <c r="A1389" s="25"/>
      <c r="B1389" s="25"/>
      <c r="C1389" s="27"/>
      <c r="D1389" s="28"/>
      <c r="E1389" s="28"/>
      <c r="F1389" s="25"/>
      <c r="G1389" s="25"/>
      <c r="H1389" s="25"/>
      <c r="I1389" s="25"/>
      <c r="J1389" s="25"/>
      <c r="K1389" s="25"/>
      <c r="L1389" s="25"/>
      <c r="M1389" s="25"/>
      <c r="N1389" s="25"/>
      <c r="O1389" s="25"/>
      <c r="P1389" s="25"/>
      <c r="Q1389" s="25"/>
      <c r="R1389" s="25"/>
      <c r="S1389" s="25"/>
      <c r="T1389" s="25"/>
      <c r="U1389" s="25"/>
      <c r="V1389" s="25"/>
      <c r="W1389" s="25"/>
      <c r="X1389" s="25"/>
      <c r="Y1389" s="25"/>
      <c r="Z1389" s="25"/>
      <c r="AA1389" s="25"/>
      <c r="AB1389" s="25"/>
      <c r="AC1389" s="25"/>
      <c r="AD1389" s="25"/>
      <c r="AE1389" s="25"/>
      <c r="AF1389" s="25"/>
      <c r="AG1389" s="25"/>
      <c r="AH1389" s="25"/>
      <c r="AI1389" s="25"/>
      <c r="AJ1389" s="25"/>
      <c r="AK1389" s="25"/>
      <c r="AL1389" s="25"/>
      <c r="AM1389" s="25"/>
      <c r="AN1389" s="25"/>
      <c r="AO1389" s="25"/>
      <c r="AP1389" s="25"/>
      <c r="AQ1389" s="25"/>
      <c r="AR1389" s="25"/>
      <c r="AS1389" s="25"/>
      <c r="AT1389" s="25"/>
      <c r="AU1389" s="25"/>
      <c r="AV1389" s="25"/>
      <c r="AW1389" s="25"/>
      <c r="AX1389" s="25"/>
    </row>
    <row r="1390" ht="15.75" customHeight="1">
      <c r="A1390" s="25"/>
      <c r="B1390" s="25"/>
      <c r="C1390" s="27"/>
      <c r="D1390" s="28"/>
      <c r="E1390" s="28"/>
      <c r="F1390" s="25"/>
      <c r="G1390" s="25"/>
      <c r="H1390" s="25"/>
      <c r="I1390" s="25"/>
      <c r="J1390" s="25"/>
      <c r="K1390" s="25"/>
      <c r="L1390" s="25"/>
      <c r="M1390" s="25"/>
      <c r="N1390" s="25"/>
      <c r="O1390" s="25"/>
      <c r="P1390" s="25"/>
      <c r="Q1390" s="25"/>
      <c r="R1390" s="25"/>
      <c r="S1390" s="25"/>
      <c r="T1390" s="25"/>
      <c r="U1390" s="25"/>
      <c r="V1390" s="25"/>
      <c r="W1390" s="25"/>
      <c r="X1390" s="25"/>
      <c r="Y1390" s="25"/>
      <c r="Z1390" s="25"/>
      <c r="AA1390" s="25"/>
      <c r="AB1390" s="25"/>
      <c r="AC1390" s="25"/>
      <c r="AD1390" s="25"/>
      <c r="AE1390" s="25"/>
      <c r="AF1390" s="25"/>
      <c r="AG1390" s="25"/>
      <c r="AH1390" s="25"/>
      <c r="AI1390" s="25"/>
      <c r="AJ1390" s="25"/>
      <c r="AK1390" s="25"/>
      <c r="AL1390" s="25"/>
      <c r="AM1390" s="25"/>
      <c r="AN1390" s="25"/>
      <c r="AO1390" s="25"/>
      <c r="AP1390" s="25"/>
      <c r="AQ1390" s="25"/>
      <c r="AR1390" s="25"/>
      <c r="AS1390" s="25"/>
      <c r="AT1390" s="25"/>
      <c r="AU1390" s="25"/>
      <c r="AV1390" s="25"/>
      <c r="AW1390" s="25"/>
      <c r="AX1390" s="25"/>
    </row>
    <row r="1391" ht="15.75" customHeight="1">
      <c r="A1391" s="25"/>
      <c r="B1391" s="25"/>
      <c r="C1391" s="27"/>
      <c r="D1391" s="28"/>
      <c r="E1391" s="28"/>
      <c r="F1391" s="25"/>
      <c r="G1391" s="25"/>
      <c r="H1391" s="25"/>
      <c r="I1391" s="25"/>
      <c r="J1391" s="25"/>
      <c r="K1391" s="25"/>
      <c r="L1391" s="25"/>
      <c r="M1391" s="25"/>
      <c r="N1391" s="25"/>
      <c r="O1391" s="25"/>
      <c r="P1391" s="25"/>
      <c r="Q1391" s="25"/>
      <c r="R1391" s="25"/>
      <c r="S1391" s="25"/>
      <c r="T1391" s="25"/>
      <c r="U1391" s="25"/>
      <c r="V1391" s="25"/>
      <c r="W1391" s="25"/>
      <c r="X1391" s="25"/>
      <c r="Y1391" s="25"/>
      <c r="Z1391" s="25"/>
      <c r="AA1391" s="25"/>
      <c r="AB1391" s="25"/>
      <c r="AC1391" s="25"/>
      <c r="AD1391" s="25"/>
      <c r="AE1391" s="25"/>
      <c r="AF1391" s="25"/>
      <c r="AG1391" s="25"/>
      <c r="AH1391" s="25"/>
      <c r="AI1391" s="25"/>
      <c r="AJ1391" s="25"/>
      <c r="AK1391" s="25"/>
      <c r="AL1391" s="25"/>
      <c r="AM1391" s="25"/>
      <c r="AN1391" s="25"/>
      <c r="AO1391" s="25"/>
      <c r="AP1391" s="25"/>
      <c r="AQ1391" s="25"/>
      <c r="AR1391" s="25"/>
      <c r="AS1391" s="25"/>
      <c r="AT1391" s="25"/>
      <c r="AU1391" s="25"/>
      <c r="AV1391" s="25"/>
      <c r="AW1391" s="25"/>
      <c r="AX1391" s="25"/>
    </row>
    <row r="1392" ht="15.75" customHeight="1">
      <c r="A1392" s="25"/>
      <c r="B1392" s="25"/>
      <c r="C1392" s="27"/>
      <c r="D1392" s="28"/>
      <c r="E1392" s="28"/>
      <c r="F1392" s="25"/>
      <c r="G1392" s="25"/>
      <c r="H1392" s="25"/>
      <c r="I1392" s="25"/>
      <c r="J1392" s="25"/>
      <c r="K1392" s="25"/>
      <c r="L1392" s="25"/>
      <c r="M1392" s="25"/>
      <c r="N1392" s="25"/>
      <c r="O1392" s="25"/>
      <c r="P1392" s="25"/>
      <c r="Q1392" s="25"/>
      <c r="R1392" s="25"/>
      <c r="S1392" s="25"/>
      <c r="T1392" s="25"/>
      <c r="U1392" s="25"/>
      <c r="V1392" s="25"/>
      <c r="W1392" s="25"/>
      <c r="X1392" s="25"/>
      <c r="Y1392" s="25"/>
      <c r="Z1392" s="25"/>
      <c r="AA1392" s="25"/>
      <c r="AB1392" s="25"/>
      <c r="AC1392" s="25"/>
      <c r="AD1392" s="25"/>
      <c r="AE1392" s="25"/>
      <c r="AF1392" s="25"/>
      <c r="AG1392" s="25"/>
      <c r="AH1392" s="25"/>
      <c r="AI1392" s="25"/>
      <c r="AJ1392" s="25"/>
      <c r="AK1392" s="25"/>
      <c r="AL1392" s="25"/>
      <c r="AM1392" s="25"/>
      <c r="AN1392" s="25"/>
      <c r="AO1392" s="25"/>
      <c r="AP1392" s="25"/>
      <c r="AQ1392" s="25"/>
      <c r="AR1392" s="25"/>
      <c r="AS1392" s="25"/>
      <c r="AT1392" s="25"/>
      <c r="AU1392" s="25"/>
      <c r="AV1392" s="25"/>
      <c r="AW1392" s="25"/>
      <c r="AX1392" s="25"/>
    </row>
    <row r="1393" ht="15.75" customHeight="1">
      <c r="A1393" s="25"/>
      <c r="B1393" s="25"/>
      <c r="C1393" s="27"/>
      <c r="D1393" s="28"/>
      <c r="E1393" s="28"/>
      <c r="F1393" s="25"/>
      <c r="G1393" s="25"/>
      <c r="H1393" s="25"/>
      <c r="I1393" s="25"/>
      <c r="J1393" s="25"/>
      <c r="K1393" s="25"/>
      <c r="L1393" s="25"/>
      <c r="M1393" s="25"/>
      <c r="N1393" s="25"/>
      <c r="O1393" s="25"/>
      <c r="P1393" s="25"/>
      <c r="Q1393" s="25"/>
      <c r="R1393" s="25"/>
      <c r="S1393" s="25"/>
      <c r="T1393" s="25"/>
      <c r="U1393" s="25"/>
      <c r="V1393" s="25"/>
      <c r="W1393" s="25"/>
      <c r="X1393" s="25"/>
      <c r="Y1393" s="25"/>
      <c r="Z1393" s="25"/>
      <c r="AA1393" s="25"/>
      <c r="AB1393" s="25"/>
      <c r="AC1393" s="25"/>
      <c r="AD1393" s="25"/>
      <c r="AE1393" s="25"/>
      <c r="AF1393" s="25"/>
      <c r="AG1393" s="25"/>
      <c r="AH1393" s="25"/>
      <c r="AI1393" s="25"/>
      <c r="AJ1393" s="25"/>
      <c r="AK1393" s="25"/>
      <c r="AL1393" s="25"/>
      <c r="AM1393" s="25"/>
      <c r="AN1393" s="25"/>
      <c r="AO1393" s="25"/>
      <c r="AP1393" s="25"/>
      <c r="AQ1393" s="25"/>
      <c r="AR1393" s="25"/>
      <c r="AS1393" s="25"/>
      <c r="AT1393" s="25"/>
      <c r="AU1393" s="25"/>
      <c r="AV1393" s="25"/>
      <c r="AW1393" s="25"/>
      <c r="AX1393" s="25"/>
    </row>
    <row r="1394" ht="15.75" customHeight="1">
      <c r="A1394" s="25"/>
      <c r="B1394" s="25"/>
      <c r="C1394" s="27"/>
      <c r="D1394" s="28"/>
      <c r="E1394" s="28"/>
      <c r="F1394" s="25"/>
      <c r="G1394" s="25"/>
      <c r="H1394" s="25"/>
      <c r="I1394" s="25"/>
      <c r="J1394" s="25"/>
      <c r="K1394" s="25"/>
      <c r="L1394" s="25"/>
      <c r="M1394" s="25"/>
      <c r="N1394" s="25"/>
      <c r="O1394" s="25"/>
      <c r="P1394" s="25"/>
      <c r="Q1394" s="25"/>
      <c r="R1394" s="25"/>
      <c r="S1394" s="25"/>
      <c r="T1394" s="25"/>
      <c r="U1394" s="25"/>
      <c r="V1394" s="25"/>
      <c r="W1394" s="25"/>
      <c r="X1394" s="25"/>
      <c r="Y1394" s="25"/>
      <c r="Z1394" s="25"/>
      <c r="AA1394" s="25"/>
      <c r="AB1394" s="25"/>
      <c r="AC1394" s="25"/>
      <c r="AD1394" s="25"/>
      <c r="AE1394" s="25"/>
      <c r="AF1394" s="25"/>
      <c r="AG1394" s="25"/>
      <c r="AH1394" s="25"/>
      <c r="AI1394" s="25"/>
      <c r="AJ1394" s="25"/>
      <c r="AK1394" s="25"/>
      <c r="AL1394" s="25"/>
      <c r="AM1394" s="25"/>
      <c r="AN1394" s="25"/>
      <c r="AO1394" s="25"/>
      <c r="AP1394" s="25"/>
      <c r="AQ1394" s="25"/>
      <c r="AR1394" s="25"/>
      <c r="AS1394" s="25"/>
      <c r="AT1394" s="25"/>
      <c r="AU1394" s="25"/>
      <c r="AV1394" s="25"/>
      <c r="AW1394" s="25"/>
      <c r="AX1394" s="25"/>
    </row>
    <row r="1395" ht="15.75" customHeight="1">
      <c r="A1395" s="25"/>
      <c r="B1395" s="25"/>
      <c r="C1395" s="27"/>
      <c r="D1395" s="28"/>
      <c r="E1395" s="28"/>
      <c r="F1395" s="25"/>
      <c r="G1395" s="25"/>
      <c r="H1395" s="25"/>
      <c r="I1395" s="25"/>
      <c r="J1395" s="25"/>
      <c r="K1395" s="25"/>
      <c r="L1395" s="25"/>
      <c r="M1395" s="25"/>
      <c r="N1395" s="25"/>
      <c r="O1395" s="25"/>
      <c r="P1395" s="25"/>
      <c r="Q1395" s="25"/>
      <c r="R1395" s="25"/>
      <c r="S1395" s="25"/>
      <c r="T1395" s="25"/>
      <c r="U1395" s="25"/>
      <c r="V1395" s="25"/>
      <c r="W1395" s="25"/>
      <c r="X1395" s="25"/>
      <c r="Y1395" s="25"/>
      <c r="Z1395" s="25"/>
      <c r="AA1395" s="25"/>
      <c r="AB1395" s="25"/>
      <c r="AC1395" s="25"/>
      <c r="AD1395" s="25"/>
      <c r="AE1395" s="25"/>
      <c r="AF1395" s="25"/>
      <c r="AG1395" s="25"/>
      <c r="AH1395" s="25"/>
      <c r="AI1395" s="25"/>
      <c r="AJ1395" s="25"/>
      <c r="AK1395" s="25"/>
      <c r="AL1395" s="25"/>
      <c r="AM1395" s="25"/>
      <c r="AN1395" s="25"/>
      <c r="AO1395" s="25"/>
      <c r="AP1395" s="25"/>
      <c r="AQ1395" s="25"/>
      <c r="AR1395" s="25"/>
      <c r="AS1395" s="25"/>
      <c r="AT1395" s="25"/>
      <c r="AU1395" s="25"/>
      <c r="AV1395" s="25"/>
      <c r="AW1395" s="25"/>
      <c r="AX1395" s="25"/>
    </row>
    <row r="1396" ht="15.75" customHeight="1">
      <c r="A1396" s="25"/>
      <c r="B1396" s="25"/>
      <c r="C1396" s="27"/>
      <c r="D1396" s="28"/>
      <c r="E1396" s="28"/>
      <c r="F1396" s="25"/>
      <c r="G1396" s="25"/>
      <c r="H1396" s="25"/>
      <c r="I1396" s="25"/>
      <c r="J1396" s="25"/>
      <c r="K1396" s="25"/>
      <c r="L1396" s="25"/>
      <c r="M1396" s="25"/>
      <c r="N1396" s="25"/>
      <c r="O1396" s="25"/>
      <c r="P1396" s="25"/>
      <c r="Q1396" s="25"/>
      <c r="R1396" s="25"/>
      <c r="S1396" s="25"/>
      <c r="T1396" s="25"/>
      <c r="U1396" s="25"/>
      <c r="V1396" s="25"/>
      <c r="W1396" s="25"/>
      <c r="X1396" s="25"/>
      <c r="Y1396" s="25"/>
      <c r="Z1396" s="25"/>
      <c r="AA1396" s="25"/>
      <c r="AB1396" s="25"/>
      <c r="AC1396" s="25"/>
      <c r="AD1396" s="25"/>
      <c r="AE1396" s="25"/>
      <c r="AF1396" s="25"/>
      <c r="AG1396" s="25"/>
      <c r="AH1396" s="25"/>
      <c r="AI1396" s="25"/>
      <c r="AJ1396" s="25"/>
      <c r="AK1396" s="25"/>
      <c r="AL1396" s="25"/>
      <c r="AM1396" s="25"/>
      <c r="AN1396" s="25"/>
      <c r="AO1396" s="25"/>
      <c r="AP1396" s="25"/>
      <c r="AQ1396" s="25"/>
      <c r="AR1396" s="25"/>
      <c r="AS1396" s="25"/>
      <c r="AT1396" s="25"/>
      <c r="AU1396" s="25"/>
      <c r="AV1396" s="25"/>
      <c r="AW1396" s="25"/>
      <c r="AX1396" s="25"/>
    </row>
    <row r="1397" ht="15.75" customHeight="1">
      <c r="A1397" s="25"/>
      <c r="B1397" s="25"/>
      <c r="C1397" s="27"/>
      <c r="D1397" s="28"/>
      <c r="E1397" s="28"/>
      <c r="F1397" s="25"/>
      <c r="G1397" s="25"/>
      <c r="H1397" s="25"/>
      <c r="I1397" s="25"/>
      <c r="J1397" s="25"/>
      <c r="K1397" s="25"/>
      <c r="L1397" s="25"/>
      <c r="M1397" s="25"/>
      <c r="N1397" s="25"/>
      <c r="O1397" s="25"/>
      <c r="P1397" s="25"/>
      <c r="Q1397" s="25"/>
      <c r="R1397" s="25"/>
      <c r="S1397" s="25"/>
      <c r="T1397" s="25"/>
      <c r="U1397" s="25"/>
      <c r="V1397" s="25"/>
      <c r="W1397" s="25"/>
      <c r="X1397" s="25"/>
      <c r="Y1397" s="25"/>
      <c r="Z1397" s="25"/>
      <c r="AA1397" s="25"/>
      <c r="AB1397" s="25"/>
      <c r="AC1397" s="25"/>
      <c r="AD1397" s="25"/>
      <c r="AE1397" s="25"/>
      <c r="AF1397" s="25"/>
      <c r="AG1397" s="25"/>
      <c r="AH1397" s="25"/>
      <c r="AI1397" s="25"/>
      <c r="AJ1397" s="25"/>
      <c r="AK1397" s="25"/>
      <c r="AL1397" s="25"/>
      <c r="AM1397" s="25"/>
      <c r="AN1397" s="25"/>
      <c r="AO1397" s="25"/>
      <c r="AP1397" s="25"/>
      <c r="AQ1397" s="25"/>
      <c r="AR1397" s="25"/>
      <c r="AS1397" s="25"/>
      <c r="AT1397" s="25"/>
      <c r="AU1397" s="25"/>
      <c r="AV1397" s="25"/>
      <c r="AW1397" s="25"/>
      <c r="AX1397" s="25"/>
    </row>
    <row r="1398" ht="15.75" customHeight="1">
      <c r="A1398" s="25"/>
      <c r="B1398" s="25"/>
      <c r="C1398" s="27"/>
      <c r="D1398" s="28"/>
      <c r="E1398" s="28"/>
      <c r="F1398" s="25"/>
      <c r="G1398" s="25"/>
      <c r="H1398" s="25"/>
      <c r="I1398" s="25"/>
      <c r="J1398" s="25"/>
      <c r="K1398" s="25"/>
      <c r="L1398" s="25"/>
      <c r="M1398" s="25"/>
      <c r="N1398" s="25"/>
      <c r="O1398" s="25"/>
      <c r="P1398" s="25"/>
      <c r="Q1398" s="25"/>
      <c r="R1398" s="25"/>
      <c r="S1398" s="25"/>
      <c r="T1398" s="25"/>
      <c r="U1398" s="25"/>
      <c r="V1398" s="25"/>
      <c r="W1398" s="25"/>
      <c r="X1398" s="25"/>
      <c r="Y1398" s="25"/>
      <c r="Z1398" s="25"/>
      <c r="AA1398" s="25"/>
      <c r="AB1398" s="25"/>
      <c r="AC1398" s="25"/>
      <c r="AD1398" s="25"/>
      <c r="AE1398" s="25"/>
      <c r="AF1398" s="25"/>
      <c r="AG1398" s="25"/>
      <c r="AH1398" s="25"/>
      <c r="AI1398" s="25"/>
      <c r="AJ1398" s="25"/>
      <c r="AK1398" s="25"/>
      <c r="AL1398" s="25"/>
      <c r="AM1398" s="25"/>
      <c r="AN1398" s="25"/>
      <c r="AO1398" s="25"/>
      <c r="AP1398" s="25"/>
      <c r="AQ1398" s="25"/>
      <c r="AR1398" s="25"/>
      <c r="AS1398" s="25"/>
      <c r="AT1398" s="25"/>
      <c r="AU1398" s="25"/>
      <c r="AV1398" s="25"/>
      <c r="AW1398" s="25"/>
      <c r="AX1398" s="25"/>
    </row>
    <row r="1399" ht="15.75" customHeight="1">
      <c r="A1399" s="25"/>
      <c r="B1399" s="25"/>
      <c r="C1399" s="27"/>
      <c r="D1399" s="28"/>
      <c r="E1399" s="28"/>
      <c r="F1399" s="25"/>
      <c r="G1399" s="25"/>
      <c r="H1399" s="25"/>
      <c r="I1399" s="25"/>
      <c r="J1399" s="25"/>
      <c r="K1399" s="25"/>
      <c r="L1399" s="25"/>
      <c r="M1399" s="25"/>
      <c r="N1399" s="25"/>
      <c r="O1399" s="25"/>
      <c r="P1399" s="25"/>
      <c r="Q1399" s="25"/>
      <c r="R1399" s="25"/>
      <c r="S1399" s="25"/>
      <c r="T1399" s="25"/>
      <c r="U1399" s="25"/>
      <c r="V1399" s="25"/>
      <c r="W1399" s="25"/>
      <c r="X1399" s="25"/>
      <c r="Y1399" s="25"/>
      <c r="Z1399" s="25"/>
      <c r="AA1399" s="25"/>
      <c r="AB1399" s="25"/>
      <c r="AC1399" s="25"/>
      <c r="AD1399" s="25"/>
      <c r="AE1399" s="25"/>
      <c r="AF1399" s="25"/>
      <c r="AG1399" s="25"/>
      <c r="AH1399" s="25"/>
      <c r="AI1399" s="25"/>
      <c r="AJ1399" s="25"/>
      <c r="AK1399" s="25"/>
      <c r="AL1399" s="25"/>
      <c r="AM1399" s="25"/>
      <c r="AN1399" s="25"/>
      <c r="AO1399" s="25"/>
      <c r="AP1399" s="25"/>
      <c r="AQ1399" s="25"/>
      <c r="AR1399" s="25"/>
      <c r="AS1399" s="25"/>
      <c r="AT1399" s="25"/>
      <c r="AU1399" s="25"/>
      <c r="AV1399" s="25"/>
      <c r="AW1399" s="25"/>
      <c r="AX1399" s="25"/>
    </row>
    <row r="1400" ht="15.75" customHeight="1">
      <c r="A1400" s="25"/>
      <c r="B1400" s="25"/>
      <c r="C1400" s="27"/>
      <c r="D1400" s="28"/>
      <c r="E1400" s="28"/>
      <c r="F1400" s="25"/>
      <c r="G1400" s="25"/>
      <c r="H1400" s="25"/>
      <c r="I1400" s="25"/>
      <c r="J1400" s="25"/>
      <c r="K1400" s="25"/>
      <c r="L1400" s="25"/>
      <c r="M1400" s="25"/>
      <c r="N1400" s="25"/>
      <c r="O1400" s="25"/>
      <c r="P1400" s="25"/>
      <c r="Q1400" s="25"/>
      <c r="R1400" s="25"/>
      <c r="S1400" s="25"/>
      <c r="T1400" s="25"/>
      <c r="U1400" s="25"/>
      <c r="V1400" s="25"/>
      <c r="W1400" s="25"/>
      <c r="X1400" s="25"/>
      <c r="Y1400" s="25"/>
      <c r="Z1400" s="25"/>
      <c r="AA1400" s="25"/>
      <c r="AB1400" s="25"/>
      <c r="AC1400" s="25"/>
      <c r="AD1400" s="25"/>
      <c r="AE1400" s="25"/>
      <c r="AF1400" s="25"/>
      <c r="AG1400" s="25"/>
      <c r="AH1400" s="25"/>
      <c r="AI1400" s="25"/>
      <c r="AJ1400" s="25"/>
      <c r="AK1400" s="25"/>
      <c r="AL1400" s="25"/>
      <c r="AM1400" s="25"/>
      <c r="AN1400" s="25"/>
      <c r="AO1400" s="25"/>
      <c r="AP1400" s="25"/>
      <c r="AQ1400" s="25"/>
      <c r="AR1400" s="25"/>
      <c r="AS1400" s="25"/>
      <c r="AT1400" s="25"/>
      <c r="AU1400" s="25"/>
      <c r="AV1400" s="25"/>
      <c r="AW1400" s="25"/>
      <c r="AX1400" s="25"/>
    </row>
    <row r="1401" ht="15.75" customHeight="1">
      <c r="A1401" s="25"/>
      <c r="B1401" s="25"/>
      <c r="C1401" s="27"/>
      <c r="D1401" s="28"/>
      <c r="E1401" s="28"/>
      <c r="F1401" s="25"/>
      <c r="G1401" s="25"/>
      <c r="H1401" s="25"/>
      <c r="I1401" s="25"/>
      <c r="J1401" s="25"/>
      <c r="K1401" s="25"/>
      <c r="L1401" s="25"/>
      <c r="M1401" s="25"/>
      <c r="N1401" s="25"/>
      <c r="O1401" s="25"/>
      <c r="P1401" s="25"/>
      <c r="Q1401" s="25"/>
      <c r="R1401" s="25"/>
      <c r="S1401" s="25"/>
      <c r="T1401" s="25"/>
      <c r="U1401" s="25"/>
      <c r="V1401" s="25"/>
      <c r="W1401" s="25"/>
      <c r="X1401" s="25"/>
      <c r="Y1401" s="25"/>
      <c r="Z1401" s="25"/>
      <c r="AA1401" s="25"/>
      <c r="AB1401" s="25"/>
      <c r="AC1401" s="25"/>
      <c r="AD1401" s="25"/>
      <c r="AE1401" s="25"/>
      <c r="AF1401" s="25"/>
      <c r="AG1401" s="25"/>
      <c r="AH1401" s="25"/>
      <c r="AI1401" s="25"/>
      <c r="AJ1401" s="25"/>
      <c r="AK1401" s="25"/>
      <c r="AL1401" s="25"/>
      <c r="AM1401" s="25"/>
      <c r="AN1401" s="25"/>
      <c r="AO1401" s="25"/>
      <c r="AP1401" s="25"/>
      <c r="AQ1401" s="25"/>
      <c r="AR1401" s="25"/>
      <c r="AS1401" s="25"/>
      <c r="AT1401" s="25"/>
      <c r="AU1401" s="25"/>
      <c r="AV1401" s="25"/>
      <c r="AW1401" s="25"/>
      <c r="AX1401" s="25"/>
    </row>
    <row r="1402" ht="15.75" customHeight="1">
      <c r="A1402" s="25"/>
      <c r="B1402" s="25"/>
      <c r="C1402" s="27"/>
      <c r="D1402" s="28"/>
      <c r="E1402" s="28"/>
      <c r="F1402" s="25"/>
      <c r="G1402" s="25"/>
      <c r="H1402" s="25"/>
      <c r="I1402" s="25"/>
      <c r="J1402" s="25"/>
      <c r="K1402" s="25"/>
      <c r="L1402" s="25"/>
      <c r="M1402" s="25"/>
      <c r="N1402" s="25"/>
      <c r="O1402" s="25"/>
      <c r="P1402" s="25"/>
      <c r="Q1402" s="25"/>
      <c r="R1402" s="25"/>
      <c r="S1402" s="25"/>
      <c r="T1402" s="25"/>
      <c r="U1402" s="25"/>
      <c r="V1402" s="25"/>
      <c r="W1402" s="25"/>
      <c r="X1402" s="25"/>
      <c r="Y1402" s="25"/>
      <c r="Z1402" s="25"/>
      <c r="AA1402" s="25"/>
      <c r="AB1402" s="25"/>
      <c r="AC1402" s="25"/>
      <c r="AD1402" s="25"/>
      <c r="AE1402" s="25"/>
      <c r="AF1402" s="25"/>
      <c r="AG1402" s="25"/>
      <c r="AH1402" s="25"/>
      <c r="AI1402" s="25"/>
      <c r="AJ1402" s="25"/>
      <c r="AK1402" s="25"/>
      <c r="AL1402" s="25"/>
      <c r="AM1402" s="25"/>
      <c r="AN1402" s="25"/>
      <c r="AO1402" s="25"/>
      <c r="AP1402" s="25"/>
      <c r="AQ1402" s="25"/>
      <c r="AR1402" s="25"/>
      <c r="AS1402" s="25"/>
      <c r="AT1402" s="25"/>
      <c r="AU1402" s="25"/>
      <c r="AV1402" s="25"/>
      <c r="AW1402" s="25"/>
      <c r="AX1402" s="25"/>
    </row>
    <row r="1403" ht="15.75" customHeight="1">
      <c r="A1403" s="25"/>
      <c r="B1403" s="25"/>
      <c r="C1403" s="27"/>
      <c r="D1403" s="28"/>
      <c r="E1403" s="28"/>
      <c r="F1403" s="25"/>
      <c r="G1403" s="25"/>
      <c r="H1403" s="25"/>
      <c r="I1403" s="25"/>
      <c r="J1403" s="25"/>
      <c r="K1403" s="25"/>
      <c r="L1403" s="25"/>
      <c r="M1403" s="25"/>
      <c r="N1403" s="25"/>
      <c r="O1403" s="25"/>
      <c r="P1403" s="25"/>
      <c r="Q1403" s="25"/>
      <c r="R1403" s="25"/>
      <c r="S1403" s="25"/>
      <c r="T1403" s="25"/>
      <c r="U1403" s="25"/>
      <c r="V1403" s="25"/>
      <c r="W1403" s="25"/>
      <c r="X1403" s="25"/>
      <c r="Y1403" s="25"/>
      <c r="Z1403" s="25"/>
      <c r="AA1403" s="25"/>
      <c r="AB1403" s="25"/>
      <c r="AC1403" s="25"/>
      <c r="AD1403" s="25"/>
      <c r="AE1403" s="25"/>
      <c r="AF1403" s="25"/>
      <c r="AG1403" s="25"/>
      <c r="AH1403" s="25"/>
      <c r="AI1403" s="25"/>
      <c r="AJ1403" s="25"/>
      <c r="AK1403" s="25"/>
      <c r="AL1403" s="25"/>
      <c r="AM1403" s="25"/>
      <c r="AN1403" s="25"/>
      <c r="AO1403" s="25"/>
      <c r="AP1403" s="25"/>
      <c r="AQ1403" s="25"/>
      <c r="AR1403" s="25"/>
      <c r="AS1403" s="25"/>
      <c r="AT1403" s="25"/>
      <c r="AU1403" s="25"/>
      <c r="AV1403" s="25"/>
      <c r="AW1403" s="25"/>
      <c r="AX1403" s="25"/>
    </row>
    <row r="1404" ht="15.75" customHeight="1">
      <c r="A1404" s="25"/>
      <c r="B1404" s="25"/>
      <c r="C1404" s="27"/>
      <c r="D1404" s="28"/>
      <c r="E1404" s="28"/>
      <c r="F1404" s="25"/>
      <c r="G1404" s="25"/>
      <c r="H1404" s="25"/>
      <c r="I1404" s="25"/>
      <c r="J1404" s="25"/>
      <c r="K1404" s="25"/>
      <c r="L1404" s="25"/>
      <c r="M1404" s="25"/>
      <c r="N1404" s="25"/>
      <c r="O1404" s="25"/>
      <c r="P1404" s="25"/>
      <c r="Q1404" s="25"/>
      <c r="R1404" s="25"/>
      <c r="S1404" s="25"/>
      <c r="T1404" s="25"/>
      <c r="U1404" s="25"/>
      <c r="V1404" s="25"/>
      <c r="W1404" s="25"/>
      <c r="X1404" s="25"/>
      <c r="Y1404" s="25"/>
      <c r="Z1404" s="25"/>
      <c r="AA1404" s="25"/>
      <c r="AB1404" s="25"/>
      <c r="AC1404" s="25"/>
      <c r="AD1404" s="25"/>
      <c r="AE1404" s="25"/>
      <c r="AF1404" s="25"/>
      <c r="AG1404" s="25"/>
      <c r="AH1404" s="25"/>
      <c r="AI1404" s="25"/>
      <c r="AJ1404" s="25"/>
      <c r="AK1404" s="25"/>
      <c r="AL1404" s="25"/>
      <c r="AM1404" s="25"/>
      <c r="AN1404" s="25"/>
      <c r="AO1404" s="25"/>
      <c r="AP1404" s="25"/>
      <c r="AQ1404" s="25"/>
      <c r="AR1404" s="25"/>
      <c r="AS1404" s="25"/>
      <c r="AT1404" s="25"/>
      <c r="AU1404" s="25"/>
      <c r="AV1404" s="25"/>
      <c r="AW1404" s="25"/>
      <c r="AX1404" s="25"/>
    </row>
    <row r="1405" ht="15.75" customHeight="1">
      <c r="A1405" s="25"/>
      <c r="B1405" s="25"/>
      <c r="C1405" s="27"/>
      <c r="D1405" s="28"/>
      <c r="E1405" s="28"/>
      <c r="F1405" s="25"/>
      <c r="G1405" s="25"/>
      <c r="H1405" s="25"/>
      <c r="I1405" s="25"/>
      <c r="J1405" s="25"/>
      <c r="K1405" s="25"/>
      <c r="L1405" s="25"/>
      <c r="M1405" s="25"/>
      <c r="N1405" s="25"/>
      <c r="O1405" s="25"/>
      <c r="P1405" s="25"/>
      <c r="Q1405" s="25"/>
      <c r="R1405" s="25"/>
      <c r="S1405" s="25"/>
      <c r="T1405" s="25"/>
      <c r="U1405" s="25"/>
      <c r="V1405" s="25"/>
      <c r="W1405" s="25"/>
      <c r="X1405" s="25"/>
      <c r="Y1405" s="25"/>
      <c r="Z1405" s="25"/>
      <c r="AA1405" s="25"/>
      <c r="AB1405" s="25"/>
      <c r="AC1405" s="25"/>
      <c r="AD1405" s="25"/>
      <c r="AE1405" s="25"/>
      <c r="AF1405" s="25"/>
      <c r="AG1405" s="25"/>
      <c r="AH1405" s="25"/>
      <c r="AI1405" s="25"/>
      <c r="AJ1405" s="25"/>
      <c r="AK1405" s="25"/>
      <c r="AL1405" s="25"/>
      <c r="AM1405" s="25"/>
      <c r="AN1405" s="25"/>
      <c r="AO1405" s="25"/>
      <c r="AP1405" s="25"/>
      <c r="AQ1405" s="25"/>
      <c r="AR1405" s="25"/>
      <c r="AS1405" s="25"/>
      <c r="AT1405" s="25"/>
      <c r="AU1405" s="25"/>
      <c r="AV1405" s="25"/>
      <c r="AW1405" s="25"/>
      <c r="AX1405" s="25"/>
    </row>
    <row r="1406" ht="15.75" customHeight="1">
      <c r="A1406" s="25"/>
      <c r="B1406" s="25"/>
      <c r="C1406" s="27"/>
      <c r="D1406" s="28"/>
      <c r="E1406" s="28"/>
      <c r="F1406" s="25"/>
      <c r="G1406" s="25"/>
      <c r="H1406" s="25"/>
      <c r="I1406" s="25"/>
      <c r="J1406" s="25"/>
      <c r="K1406" s="25"/>
      <c r="L1406" s="25"/>
      <c r="M1406" s="25"/>
      <c r="N1406" s="25"/>
      <c r="O1406" s="25"/>
      <c r="P1406" s="25"/>
      <c r="Q1406" s="25"/>
      <c r="R1406" s="25"/>
      <c r="S1406" s="25"/>
      <c r="T1406" s="25"/>
      <c r="U1406" s="25"/>
      <c r="V1406" s="25"/>
      <c r="W1406" s="25"/>
      <c r="X1406" s="25"/>
      <c r="Y1406" s="25"/>
      <c r="Z1406" s="25"/>
      <c r="AA1406" s="25"/>
      <c r="AB1406" s="25"/>
      <c r="AC1406" s="25"/>
      <c r="AD1406" s="25"/>
      <c r="AE1406" s="25"/>
      <c r="AF1406" s="25"/>
      <c r="AG1406" s="25"/>
      <c r="AH1406" s="25"/>
      <c r="AI1406" s="25"/>
      <c r="AJ1406" s="25"/>
      <c r="AK1406" s="25"/>
      <c r="AL1406" s="25"/>
      <c r="AM1406" s="25"/>
      <c r="AN1406" s="25"/>
      <c r="AO1406" s="25"/>
      <c r="AP1406" s="25"/>
      <c r="AQ1406" s="25"/>
      <c r="AR1406" s="25"/>
      <c r="AS1406" s="25"/>
      <c r="AT1406" s="25"/>
      <c r="AU1406" s="25"/>
      <c r="AV1406" s="25"/>
      <c r="AW1406" s="25"/>
      <c r="AX1406" s="25"/>
    </row>
    <row r="1407" ht="15.75" customHeight="1">
      <c r="A1407" s="25"/>
      <c r="B1407" s="25"/>
      <c r="C1407" s="27"/>
      <c r="D1407" s="28"/>
      <c r="E1407" s="28"/>
      <c r="F1407" s="25"/>
      <c r="G1407" s="25"/>
      <c r="H1407" s="25"/>
      <c r="I1407" s="25"/>
      <c r="J1407" s="25"/>
      <c r="K1407" s="25"/>
      <c r="L1407" s="25"/>
      <c r="M1407" s="25"/>
      <c r="N1407" s="25"/>
      <c r="O1407" s="25"/>
      <c r="P1407" s="25"/>
      <c r="Q1407" s="25"/>
      <c r="R1407" s="25"/>
      <c r="S1407" s="25"/>
      <c r="T1407" s="25"/>
      <c r="U1407" s="25"/>
      <c r="V1407" s="25"/>
      <c r="W1407" s="25"/>
      <c r="X1407" s="25"/>
      <c r="Y1407" s="25"/>
      <c r="Z1407" s="25"/>
      <c r="AA1407" s="25"/>
      <c r="AB1407" s="25"/>
      <c r="AC1407" s="25"/>
      <c r="AD1407" s="25"/>
      <c r="AE1407" s="25"/>
      <c r="AF1407" s="25"/>
      <c r="AG1407" s="25"/>
      <c r="AH1407" s="25"/>
      <c r="AI1407" s="25"/>
      <c r="AJ1407" s="25"/>
      <c r="AK1407" s="25"/>
      <c r="AL1407" s="25"/>
      <c r="AM1407" s="25"/>
      <c r="AN1407" s="25"/>
      <c r="AO1407" s="25"/>
      <c r="AP1407" s="25"/>
      <c r="AQ1407" s="25"/>
      <c r="AR1407" s="25"/>
      <c r="AS1407" s="25"/>
      <c r="AT1407" s="25"/>
      <c r="AU1407" s="25"/>
      <c r="AV1407" s="25"/>
      <c r="AW1407" s="25"/>
      <c r="AX1407" s="25"/>
    </row>
    <row r="1408" ht="15.75" customHeight="1">
      <c r="A1408" s="25"/>
      <c r="B1408" s="25"/>
      <c r="C1408" s="27"/>
      <c r="D1408" s="28"/>
      <c r="E1408" s="28"/>
      <c r="F1408" s="25"/>
      <c r="G1408" s="25"/>
      <c r="H1408" s="25"/>
      <c r="I1408" s="25"/>
      <c r="J1408" s="25"/>
      <c r="K1408" s="25"/>
      <c r="L1408" s="25"/>
      <c r="M1408" s="25"/>
      <c r="N1408" s="25"/>
      <c r="O1408" s="25"/>
      <c r="P1408" s="25"/>
      <c r="Q1408" s="25"/>
      <c r="R1408" s="25"/>
      <c r="S1408" s="25"/>
      <c r="T1408" s="25"/>
      <c r="U1408" s="25"/>
      <c r="V1408" s="25"/>
      <c r="W1408" s="25"/>
      <c r="X1408" s="25"/>
      <c r="Y1408" s="25"/>
      <c r="Z1408" s="25"/>
      <c r="AA1408" s="25"/>
      <c r="AB1408" s="25"/>
      <c r="AC1408" s="25"/>
      <c r="AD1408" s="25"/>
      <c r="AE1408" s="25"/>
      <c r="AF1408" s="25"/>
      <c r="AG1408" s="25"/>
      <c r="AH1408" s="25"/>
      <c r="AI1408" s="25"/>
      <c r="AJ1408" s="25"/>
      <c r="AK1408" s="25"/>
      <c r="AL1408" s="25"/>
      <c r="AM1408" s="25"/>
      <c r="AN1408" s="25"/>
      <c r="AO1408" s="25"/>
      <c r="AP1408" s="25"/>
      <c r="AQ1408" s="25"/>
      <c r="AR1408" s="25"/>
      <c r="AS1408" s="25"/>
      <c r="AT1408" s="25"/>
      <c r="AU1408" s="25"/>
      <c r="AV1408" s="25"/>
      <c r="AW1408" s="25"/>
      <c r="AX1408" s="25"/>
    </row>
    <row r="1409" ht="15.75" customHeight="1">
      <c r="A1409" s="25"/>
      <c r="B1409" s="25"/>
      <c r="C1409" s="27"/>
      <c r="D1409" s="28"/>
      <c r="E1409" s="28"/>
      <c r="F1409" s="25"/>
      <c r="G1409" s="25"/>
      <c r="H1409" s="25"/>
      <c r="I1409" s="25"/>
      <c r="J1409" s="25"/>
      <c r="K1409" s="25"/>
      <c r="L1409" s="25"/>
      <c r="M1409" s="25"/>
      <c r="N1409" s="25"/>
      <c r="O1409" s="25"/>
      <c r="P1409" s="25"/>
      <c r="Q1409" s="25"/>
      <c r="R1409" s="25"/>
      <c r="S1409" s="25"/>
      <c r="T1409" s="25"/>
      <c r="U1409" s="25"/>
      <c r="V1409" s="25"/>
      <c r="W1409" s="25"/>
      <c r="X1409" s="25"/>
      <c r="Y1409" s="25"/>
      <c r="Z1409" s="25"/>
      <c r="AA1409" s="25"/>
      <c r="AB1409" s="25"/>
      <c r="AC1409" s="25"/>
      <c r="AD1409" s="25"/>
      <c r="AE1409" s="25"/>
      <c r="AF1409" s="25"/>
      <c r="AG1409" s="25"/>
      <c r="AH1409" s="25"/>
      <c r="AI1409" s="25"/>
      <c r="AJ1409" s="25"/>
      <c r="AK1409" s="25"/>
      <c r="AL1409" s="25"/>
      <c r="AM1409" s="25"/>
      <c r="AN1409" s="25"/>
      <c r="AO1409" s="25"/>
      <c r="AP1409" s="25"/>
      <c r="AQ1409" s="25"/>
      <c r="AR1409" s="25"/>
      <c r="AS1409" s="25"/>
      <c r="AT1409" s="25"/>
      <c r="AU1409" s="25"/>
      <c r="AV1409" s="25"/>
      <c r="AW1409" s="25"/>
      <c r="AX1409" s="25"/>
    </row>
    <row r="1410" ht="15.75" customHeight="1">
      <c r="A1410" s="25"/>
      <c r="B1410" s="25"/>
      <c r="C1410" s="27"/>
      <c r="D1410" s="28"/>
      <c r="E1410" s="28"/>
      <c r="F1410" s="25"/>
      <c r="G1410" s="25"/>
      <c r="H1410" s="25"/>
      <c r="I1410" s="25"/>
      <c r="J1410" s="25"/>
      <c r="K1410" s="25"/>
      <c r="L1410" s="25"/>
      <c r="M1410" s="25"/>
      <c r="N1410" s="25"/>
      <c r="O1410" s="25"/>
      <c r="P1410" s="25"/>
      <c r="Q1410" s="25"/>
      <c r="R1410" s="25"/>
      <c r="S1410" s="25"/>
      <c r="T1410" s="25"/>
      <c r="U1410" s="25"/>
      <c r="V1410" s="25"/>
      <c r="W1410" s="25"/>
      <c r="X1410" s="25"/>
      <c r="Y1410" s="25"/>
      <c r="Z1410" s="25"/>
      <c r="AA1410" s="25"/>
      <c r="AB1410" s="25"/>
      <c r="AC1410" s="25"/>
      <c r="AD1410" s="25"/>
      <c r="AE1410" s="25"/>
      <c r="AF1410" s="25"/>
      <c r="AG1410" s="25"/>
      <c r="AH1410" s="25"/>
      <c r="AI1410" s="25"/>
      <c r="AJ1410" s="25"/>
      <c r="AK1410" s="25"/>
      <c r="AL1410" s="25"/>
      <c r="AM1410" s="25"/>
      <c r="AN1410" s="25"/>
      <c r="AO1410" s="25"/>
      <c r="AP1410" s="25"/>
      <c r="AQ1410" s="25"/>
      <c r="AR1410" s="25"/>
      <c r="AS1410" s="25"/>
      <c r="AT1410" s="25"/>
      <c r="AU1410" s="25"/>
      <c r="AV1410" s="25"/>
      <c r="AW1410" s="25"/>
      <c r="AX1410" s="25"/>
    </row>
    <row r="1411" ht="15.75" customHeight="1">
      <c r="A1411" s="25"/>
      <c r="B1411" s="25"/>
      <c r="C1411" s="27"/>
      <c r="D1411" s="28"/>
      <c r="E1411" s="28"/>
      <c r="F1411" s="25"/>
      <c r="G1411" s="25"/>
      <c r="H1411" s="25"/>
      <c r="I1411" s="25"/>
      <c r="J1411" s="25"/>
      <c r="K1411" s="25"/>
      <c r="L1411" s="25"/>
      <c r="M1411" s="25"/>
      <c r="N1411" s="25"/>
      <c r="O1411" s="25"/>
      <c r="P1411" s="25"/>
      <c r="Q1411" s="25"/>
      <c r="R1411" s="25"/>
      <c r="S1411" s="25"/>
      <c r="T1411" s="25"/>
      <c r="U1411" s="25"/>
      <c r="V1411" s="25"/>
      <c r="W1411" s="25"/>
      <c r="X1411" s="25"/>
      <c r="Y1411" s="25"/>
      <c r="Z1411" s="25"/>
      <c r="AA1411" s="25"/>
      <c r="AB1411" s="25"/>
      <c r="AC1411" s="25"/>
      <c r="AD1411" s="25"/>
      <c r="AE1411" s="25"/>
      <c r="AF1411" s="25"/>
      <c r="AG1411" s="25"/>
      <c r="AH1411" s="25"/>
      <c r="AI1411" s="25"/>
      <c r="AJ1411" s="25"/>
      <c r="AK1411" s="25"/>
      <c r="AL1411" s="25"/>
      <c r="AM1411" s="25"/>
      <c r="AN1411" s="25"/>
      <c r="AO1411" s="25"/>
      <c r="AP1411" s="25"/>
      <c r="AQ1411" s="25"/>
      <c r="AR1411" s="25"/>
      <c r="AS1411" s="25"/>
      <c r="AT1411" s="25"/>
      <c r="AU1411" s="25"/>
      <c r="AV1411" s="25"/>
      <c r="AW1411" s="25"/>
      <c r="AX1411" s="25"/>
    </row>
    <row r="1412" ht="15.75" customHeight="1">
      <c r="A1412" s="25"/>
      <c r="B1412" s="25"/>
      <c r="C1412" s="27"/>
      <c r="D1412" s="28"/>
      <c r="E1412" s="28"/>
      <c r="F1412" s="25"/>
      <c r="G1412" s="25"/>
      <c r="H1412" s="25"/>
      <c r="I1412" s="25"/>
      <c r="J1412" s="25"/>
      <c r="K1412" s="25"/>
      <c r="L1412" s="25"/>
      <c r="M1412" s="25"/>
      <c r="N1412" s="25"/>
      <c r="O1412" s="25"/>
      <c r="P1412" s="25"/>
      <c r="Q1412" s="25"/>
      <c r="R1412" s="25"/>
      <c r="S1412" s="25"/>
      <c r="T1412" s="25"/>
      <c r="U1412" s="25"/>
      <c r="V1412" s="25"/>
      <c r="W1412" s="25"/>
      <c r="X1412" s="25"/>
      <c r="Y1412" s="25"/>
      <c r="Z1412" s="25"/>
      <c r="AA1412" s="25"/>
      <c r="AB1412" s="25"/>
      <c r="AC1412" s="25"/>
      <c r="AD1412" s="25"/>
      <c r="AE1412" s="25"/>
      <c r="AF1412" s="25"/>
      <c r="AG1412" s="25"/>
      <c r="AH1412" s="25"/>
      <c r="AI1412" s="25"/>
      <c r="AJ1412" s="25"/>
      <c r="AK1412" s="25"/>
      <c r="AL1412" s="25"/>
      <c r="AM1412" s="25"/>
      <c r="AN1412" s="25"/>
      <c r="AO1412" s="25"/>
      <c r="AP1412" s="25"/>
      <c r="AQ1412" s="25"/>
      <c r="AR1412" s="25"/>
      <c r="AS1412" s="25"/>
      <c r="AT1412" s="25"/>
      <c r="AU1412" s="25"/>
      <c r="AV1412" s="25"/>
      <c r="AW1412" s="25"/>
      <c r="AX1412" s="25"/>
    </row>
    <row r="1413" ht="15.75" customHeight="1">
      <c r="A1413" s="25"/>
      <c r="B1413" s="25"/>
      <c r="C1413" s="27"/>
      <c r="D1413" s="28"/>
      <c r="E1413" s="28"/>
      <c r="F1413" s="25"/>
      <c r="G1413" s="25"/>
      <c r="H1413" s="25"/>
      <c r="I1413" s="25"/>
      <c r="J1413" s="25"/>
      <c r="K1413" s="25"/>
      <c r="L1413" s="25"/>
      <c r="M1413" s="25"/>
      <c r="N1413" s="25"/>
      <c r="O1413" s="25"/>
      <c r="P1413" s="25"/>
      <c r="Q1413" s="25"/>
      <c r="R1413" s="25"/>
      <c r="S1413" s="25"/>
      <c r="T1413" s="25"/>
      <c r="U1413" s="25"/>
      <c r="V1413" s="25"/>
      <c r="W1413" s="25"/>
      <c r="X1413" s="25"/>
      <c r="Y1413" s="25"/>
      <c r="Z1413" s="25"/>
      <c r="AA1413" s="25"/>
      <c r="AB1413" s="25"/>
      <c r="AC1413" s="25"/>
      <c r="AD1413" s="25"/>
      <c r="AE1413" s="25"/>
      <c r="AF1413" s="25"/>
      <c r="AG1413" s="25"/>
      <c r="AH1413" s="25"/>
      <c r="AI1413" s="25"/>
      <c r="AJ1413" s="25"/>
      <c r="AK1413" s="25"/>
      <c r="AL1413" s="25"/>
      <c r="AM1413" s="25"/>
      <c r="AN1413" s="25"/>
      <c r="AO1413" s="25"/>
      <c r="AP1413" s="25"/>
      <c r="AQ1413" s="25"/>
      <c r="AR1413" s="25"/>
      <c r="AS1413" s="25"/>
      <c r="AT1413" s="25"/>
      <c r="AU1413" s="25"/>
      <c r="AV1413" s="25"/>
      <c r="AW1413" s="25"/>
      <c r="AX1413" s="25"/>
    </row>
    <row r="1414" ht="15.75" customHeight="1">
      <c r="A1414" s="25"/>
      <c r="B1414" s="25"/>
      <c r="C1414" s="27"/>
      <c r="D1414" s="28"/>
      <c r="E1414" s="28"/>
      <c r="F1414" s="25"/>
      <c r="G1414" s="25"/>
      <c r="H1414" s="25"/>
      <c r="I1414" s="25"/>
      <c r="J1414" s="25"/>
      <c r="K1414" s="25"/>
      <c r="L1414" s="25"/>
      <c r="M1414" s="25"/>
      <c r="N1414" s="25"/>
      <c r="O1414" s="25"/>
      <c r="P1414" s="25"/>
      <c r="Q1414" s="25"/>
      <c r="R1414" s="25"/>
      <c r="S1414" s="25"/>
      <c r="T1414" s="25"/>
      <c r="U1414" s="25"/>
      <c r="V1414" s="25"/>
      <c r="W1414" s="25"/>
      <c r="X1414" s="25"/>
      <c r="Y1414" s="25"/>
      <c r="Z1414" s="25"/>
      <c r="AA1414" s="25"/>
      <c r="AB1414" s="25"/>
      <c r="AC1414" s="25"/>
      <c r="AD1414" s="25"/>
      <c r="AE1414" s="25"/>
      <c r="AF1414" s="25"/>
      <c r="AG1414" s="25"/>
      <c r="AH1414" s="25"/>
      <c r="AI1414" s="25"/>
      <c r="AJ1414" s="25"/>
      <c r="AK1414" s="25"/>
      <c r="AL1414" s="25"/>
      <c r="AM1414" s="25"/>
      <c r="AN1414" s="25"/>
      <c r="AO1414" s="25"/>
      <c r="AP1414" s="25"/>
      <c r="AQ1414" s="25"/>
      <c r="AR1414" s="25"/>
      <c r="AS1414" s="25"/>
      <c r="AT1414" s="25"/>
      <c r="AU1414" s="25"/>
      <c r="AV1414" s="25"/>
      <c r="AW1414" s="25"/>
      <c r="AX1414" s="25"/>
    </row>
    <row r="1415" ht="15.75" customHeight="1">
      <c r="A1415" s="25"/>
      <c r="B1415" s="25"/>
      <c r="C1415" s="27"/>
      <c r="D1415" s="28"/>
      <c r="E1415" s="28"/>
      <c r="F1415" s="25"/>
      <c r="G1415" s="25"/>
      <c r="H1415" s="25"/>
      <c r="I1415" s="25"/>
      <c r="J1415" s="25"/>
      <c r="K1415" s="25"/>
      <c r="L1415" s="25"/>
      <c r="M1415" s="25"/>
      <c r="N1415" s="25"/>
      <c r="O1415" s="25"/>
      <c r="P1415" s="25"/>
      <c r="Q1415" s="25"/>
      <c r="R1415" s="25"/>
      <c r="S1415" s="25"/>
      <c r="T1415" s="25"/>
      <c r="U1415" s="25"/>
      <c r="V1415" s="25"/>
      <c r="W1415" s="25"/>
      <c r="X1415" s="25"/>
      <c r="Y1415" s="25"/>
      <c r="Z1415" s="25"/>
      <c r="AA1415" s="25"/>
      <c r="AB1415" s="25"/>
      <c r="AC1415" s="25"/>
      <c r="AD1415" s="25"/>
      <c r="AE1415" s="25"/>
      <c r="AF1415" s="25"/>
      <c r="AG1415" s="25"/>
      <c r="AH1415" s="25"/>
      <c r="AI1415" s="25"/>
      <c r="AJ1415" s="25"/>
      <c r="AK1415" s="25"/>
      <c r="AL1415" s="25"/>
      <c r="AM1415" s="25"/>
      <c r="AN1415" s="25"/>
      <c r="AO1415" s="25"/>
      <c r="AP1415" s="25"/>
      <c r="AQ1415" s="25"/>
      <c r="AR1415" s="25"/>
      <c r="AS1415" s="25"/>
      <c r="AT1415" s="25"/>
      <c r="AU1415" s="25"/>
      <c r="AV1415" s="25"/>
      <c r="AW1415" s="25"/>
      <c r="AX1415" s="25"/>
    </row>
    <row r="1416" ht="15.75" customHeight="1">
      <c r="A1416" s="25"/>
      <c r="B1416" s="25"/>
      <c r="C1416" s="27"/>
      <c r="D1416" s="28"/>
      <c r="E1416" s="28"/>
      <c r="F1416" s="25"/>
      <c r="G1416" s="25"/>
      <c r="H1416" s="25"/>
      <c r="I1416" s="25"/>
      <c r="J1416" s="25"/>
      <c r="K1416" s="25"/>
      <c r="L1416" s="25"/>
      <c r="M1416" s="25"/>
      <c r="N1416" s="25"/>
      <c r="O1416" s="25"/>
      <c r="P1416" s="25"/>
      <c r="Q1416" s="25"/>
      <c r="R1416" s="25"/>
      <c r="S1416" s="25"/>
      <c r="T1416" s="25"/>
      <c r="U1416" s="25"/>
      <c r="V1416" s="25"/>
      <c r="W1416" s="25"/>
      <c r="X1416" s="25"/>
      <c r="Y1416" s="25"/>
      <c r="Z1416" s="25"/>
      <c r="AA1416" s="25"/>
      <c r="AB1416" s="25"/>
      <c r="AC1416" s="25"/>
      <c r="AD1416" s="25"/>
      <c r="AE1416" s="25"/>
      <c r="AF1416" s="25"/>
      <c r="AG1416" s="25"/>
      <c r="AH1416" s="25"/>
      <c r="AI1416" s="25"/>
      <c r="AJ1416" s="25"/>
      <c r="AK1416" s="25"/>
      <c r="AL1416" s="25"/>
      <c r="AM1416" s="25"/>
      <c r="AN1416" s="25"/>
      <c r="AO1416" s="25"/>
      <c r="AP1416" s="25"/>
      <c r="AQ1416" s="25"/>
      <c r="AR1416" s="25"/>
      <c r="AS1416" s="25"/>
      <c r="AT1416" s="25"/>
      <c r="AU1416" s="25"/>
      <c r="AV1416" s="25"/>
      <c r="AW1416" s="25"/>
      <c r="AX1416" s="25"/>
    </row>
    <row r="1417" ht="15.75" customHeight="1">
      <c r="A1417" s="25"/>
      <c r="B1417" s="25"/>
      <c r="C1417" s="27"/>
      <c r="D1417" s="28"/>
      <c r="E1417" s="28"/>
      <c r="F1417" s="25"/>
      <c r="G1417" s="25"/>
      <c r="H1417" s="25"/>
      <c r="I1417" s="25"/>
      <c r="J1417" s="25"/>
      <c r="K1417" s="25"/>
      <c r="L1417" s="25"/>
      <c r="M1417" s="25"/>
      <c r="N1417" s="25"/>
      <c r="O1417" s="25"/>
      <c r="P1417" s="25"/>
      <c r="Q1417" s="25"/>
      <c r="R1417" s="25"/>
      <c r="S1417" s="25"/>
      <c r="T1417" s="25"/>
      <c r="U1417" s="25"/>
      <c r="V1417" s="25"/>
      <c r="W1417" s="25"/>
      <c r="X1417" s="25"/>
      <c r="Y1417" s="25"/>
      <c r="Z1417" s="25"/>
      <c r="AA1417" s="25"/>
      <c r="AB1417" s="25"/>
      <c r="AC1417" s="25"/>
      <c r="AD1417" s="25"/>
      <c r="AE1417" s="25"/>
      <c r="AF1417" s="25"/>
      <c r="AG1417" s="25"/>
      <c r="AH1417" s="25"/>
      <c r="AI1417" s="25"/>
      <c r="AJ1417" s="25"/>
      <c r="AK1417" s="25"/>
      <c r="AL1417" s="25"/>
      <c r="AM1417" s="25"/>
      <c r="AN1417" s="25"/>
      <c r="AO1417" s="25"/>
      <c r="AP1417" s="25"/>
      <c r="AQ1417" s="25"/>
      <c r="AR1417" s="25"/>
      <c r="AS1417" s="25"/>
      <c r="AT1417" s="25"/>
      <c r="AU1417" s="25"/>
      <c r="AV1417" s="25"/>
      <c r="AW1417" s="25"/>
      <c r="AX1417" s="25"/>
    </row>
    <row r="1418" ht="15.75" customHeight="1">
      <c r="A1418" s="25"/>
      <c r="B1418" s="25"/>
      <c r="C1418" s="27"/>
      <c r="D1418" s="28"/>
      <c r="E1418" s="28"/>
      <c r="F1418" s="25"/>
      <c r="G1418" s="25"/>
      <c r="H1418" s="25"/>
      <c r="I1418" s="25"/>
      <c r="J1418" s="25"/>
      <c r="K1418" s="25"/>
      <c r="L1418" s="25"/>
      <c r="M1418" s="25"/>
      <c r="N1418" s="25"/>
      <c r="O1418" s="25"/>
      <c r="P1418" s="25"/>
      <c r="Q1418" s="25"/>
      <c r="R1418" s="25"/>
      <c r="S1418" s="25"/>
      <c r="T1418" s="25"/>
      <c r="U1418" s="25"/>
      <c r="V1418" s="25"/>
      <c r="W1418" s="25"/>
      <c r="X1418" s="25"/>
      <c r="Y1418" s="25"/>
      <c r="Z1418" s="25"/>
      <c r="AA1418" s="25"/>
      <c r="AB1418" s="25"/>
      <c r="AC1418" s="25"/>
      <c r="AD1418" s="25"/>
      <c r="AE1418" s="25"/>
      <c r="AF1418" s="25"/>
      <c r="AG1418" s="25"/>
      <c r="AH1418" s="25"/>
      <c r="AI1418" s="25"/>
      <c r="AJ1418" s="25"/>
      <c r="AK1418" s="25"/>
      <c r="AL1418" s="25"/>
      <c r="AM1418" s="25"/>
      <c r="AN1418" s="25"/>
      <c r="AO1418" s="25"/>
      <c r="AP1418" s="25"/>
      <c r="AQ1418" s="25"/>
      <c r="AR1418" s="25"/>
      <c r="AS1418" s="25"/>
      <c r="AT1418" s="25"/>
      <c r="AU1418" s="25"/>
      <c r="AV1418" s="25"/>
      <c r="AW1418" s="25"/>
      <c r="AX1418" s="25"/>
    </row>
    <row r="1419" ht="15.75" customHeight="1">
      <c r="A1419" s="25"/>
      <c r="B1419" s="25"/>
      <c r="C1419" s="27"/>
      <c r="D1419" s="28"/>
      <c r="E1419" s="28"/>
      <c r="F1419" s="25"/>
      <c r="G1419" s="25"/>
      <c r="H1419" s="25"/>
      <c r="I1419" s="25"/>
      <c r="J1419" s="25"/>
      <c r="K1419" s="25"/>
      <c r="L1419" s="25"/>
      <c r="M1419" s="25"/>
      <c r="N1419" s="25"/>
      <c r="O1419" s="25"/>
      <c r="P1419" s="25"/>
      <c r="Q1419" s="25"/>
      <c r="R1419" s="25"/>
      <c r="S1419" s="25"/>
      <c r="T1419" s="25"/>
      <c r="U1419" s="25"/>
      <c r="V1419" s="25"/>
      <c r="W1419" s="25"/>
      <c r="X1419" s="25"/>
      <c r="Y1419" s="25"/>
      <c r="Z1419" s="25"/>
      <c r="AA1419" s="25"/>
      <c r="AB1419" s="25"/>
      <c r="AC1419" s="25"/>
      <c r="AD1419" s="25"/>
      <c r="AE1419" s="25"/>
      <c r="AF1419" s="25"/>
      <c r="AG1419" s="25"/>
      <c r="AH1419" s="25"/>
      <c r="AI1419" s="25"/>
      <c r="AJ1419" s="25"/>
      <c r="AK1419" s="25"/>
      <c r="AL1419" s="25"/>
      <c r="AM1419" s="25"/>
      <c r="AN1419" s="25"/>
      <c r="AO1419" s="25"/>
      <c r="AP1419" s="25"/>
      <c r="AQ1419" s="25"/>
      <c r="AR1419" s="25"/>
      <c r="AS1419" s="25"/>
      <c r="AT1419" s="25"/>
      <c r="AU1419" s="25"/>
      <c r="AV1419" s="25"/>
      <c r="AW1419" s="25"/>
      <c r="AX1419" s="25"/>
    </row>
    <row r="1420" ht="15.75" customHeight="1">
      <c r="A1420" s="25"/>
      <c r="B1420" s="25"/>
      <c r="C1420" s="27"/>
      <c r="D1420" s="28"/>
      <c r="E1420" s="28"/>
      <c r="F1420" s="25"/>
      <c r="G1420" s="25"/>
      <c r="H1420" s="25"/>
      <c r="I1420" s="25"/>
      <c r="J1420" s="25"/>
      <c r="K1420" s="25"/>
      <c r="L1420" s="25"/>
      <c r="M1420" s="25"/>
      <c r="N1420" s="25"/>
      <c r="O1420" s="25"/>
      <c r="P1420" s="25"/>
      <c r="Q1420" s="25"/>
      <c r="R1420" s="25"/>
      <c r="S1420" s="25"/>
      <c r="T1420" s="25"/>
      <c r="U1420" s="25"/>
      <c r="V1420" s="25"/>
      <c r="W1420" s="25"/>
      <c r="X1420" s="25"/>
      <c r="Y1420" s="25"/>
      <c r="Z1420" s="25"/>
      <c r="AA1420" s="25"/>
      <c r="AB1420" s="25"/>
      <c r="AC1420" s="25"/>
      <c r="AD1420" s="25"/>
      <c r="AE1420" s="25"/>
      <c r="AF1420" s="25"/>
      <c r="AG1420" s="25"/>
      <c r="AH1420" s="25"/>
      <c r="AI1420" s="25"/>
      <c r="AJ1420" s="25"/>
      <c r="AK1420" s="25"/>
      <c r="AL1420" s="25"/>
      <c r="AM1420" s="25"/>
      <c r="AN1420" s="25"/>
      <c r="AO1420" s="25"/>
      <c r="AP1420" s="25"/>
      <c r="AQ1420" s="25"/>
      <c r="AR1420" s="25"/>
      <c r="AS1420" s="25"/>
      <c r="AT1420" s="25"/>
      <c r="AU1420" s="25"/>
      <c r="AV1420" s="25"/>
      <c r="AW1420" s="25"/>
      <c r="AX1420" s="25"/>
    </row>
    <row r="1421" ht="15.75" customHeight="1">
      <c r="A1421" s="25"/>
      <c r="B1421" s="25"/>
      <c r="C1421" s="27"/>
      <c r="D1421" s="28"/>
      <c r="E1421" s="28"/>
      <c r="F1421" s="25"/>
      <c r="G1421" s="25"/>
      <c r="H1421" s="25"/>
      <c r="I1421" s="25"/>
      <c r="J1421" s="25"/>
      <c r="K1421" s="25"/>
      <c r="L1421" s="25"/>
      <c r="M1421" s="25"/>
      <c r="N1421" s="25"/>
      <c r="O1421" s="25"/>
      <c r="P1421" s="25"/>
      <c r="Q1421" s="25"/>
      <c r="R1421" s="25"/>
      <c r="S1421" s="25"/>
      <c r="T1421" s="25"/>
      <c r="U1421" s="25"/>
      <c r="V1421" s="25"/>
      <c r="W1421" s="25"/>
      <c r="X1421" s="25"/>
      <c r="Y1421" s="25"/>
      <c r="Z1421" s="25"/>
      <c r="AA1421" s="25"/>
      <c r="AB1421" s="25"/>
      <c r="AC1421" s="25"/>
      <c r="AD1421" s="25"/>
      <c r="AE1421" s="25"/>
      <c r="AF1421" s="25"/>
      <c r="AG1421" s="25"/>
      <c r="AH1421" s="25"/>
      <c r="AI1421" s="25"/>
      <c r="AJ1421" s="25"/>
      <c r="AK1421" s="25"/>
      <c r="AL1421" s="25"/>
      <c r="AM1421" s="25"/>
      <c r="AN1421" s="25"/>
      <c r="AO1421" s="25"/>
      <c r="AP1421" s="25"/>
      <c r="AQ1421" s="25"/>
      <c r="AR1421" s="25"/>
      <c r="AS1421" s="25"/>
      <c r="AT1421" s="25"/>
      <c r="AU1421" s="25"/>
      <c r="AV1421" s="25"/>
      <c r="AW1421" s="25"/>
      <c r="AX1421" s="25"/>
    </row>
    <row r="1422" ht="15.75" customHeight="1">
      <c r="A1422" s="25"/>
      <c r="B1422" s="25"/>
      <c r="C1422" s="27"/>
      <c r="D1422" s="28"/>
      <c r="E1422" s="28"/>
      <c r="F1422" s="25"/>
      <c r="G1422" s="25"/>
      <c r="H1422" s="25"/>
      <c r="I1422" s="25"/>
      <c r="J1422" s="25"/>
      <c r="K1422" s="25"/>
      <c r="L1422" s="25"/>
      <c r="M1422" s="25"/>
      <c r="N1422" s="25"/>
      <c r="O1422" s="25"/>
      <c r="P1422" s="25"/>
      <c r="Q1422" s="25"/>
      <c r="R1422" s="25"/>
      <c r="S1422" s="25"/>
      <c r="T1422" s="25"/>
      <c r="U1422" s="25"/>
      <c r="V1422" s="25"/>
      <c r="W1422" s="25"/>
      <c r="X1422" s="25"/>
      <c r="Y1422" s="25"/>
      <c r="Z1422" s="25"/>
      <c r="AA1422" s="25"/>
      <c r="AB1422" s="25"/>
      <c r="AC1422" s="25"/>
      <c r="AD1422" s="25"/>
      <c r="AE1422" s="25"/>
      <c r="AF1422" s="25"/>
      <c r="AG1422" s="25"/>
      <c r="AH1422" s="25"/>
      <c r="AI1422" s="25"/>
      <c r="AJ1422" s="25"/>
      <c r="AK1422" s="25"/>
      <c r="AL1422" s="25"/>
      <c r="AM1422" s="25"/>
      <c r="AN1422" s="25"/>
      <c r="AO1422" s="25"/>
      <c r="AP1422" s="25"/>
      <c r="AQ1422" s="25"/>
      <c r="AR1422" s="25"/>
      <c r="AS1422" s="25"/>
      <c r="AT1422" s="25"/>
      <c r="AU1422" s="25"/>
      <c r="AV1422" s="25"/>
      <c r="AW1422" s="25"/>
      <c r="AX1422" s="25"/>
    </row>
    <row r="1423" ht="15.75" customHeight="1">
      <c r="A1423" s="25"/>
      <c r="B1423" s="25"/>
      <c r="C1423" s="27"/>
      <c r="D1423" s="28"/>
      <c r="E1423" s="28"/>
      <c r="F1423" s="25"/>
      <c r="G1423" s="25"/>
      <c r="H1423" s="25"/>
      <c r="I1423" s="25"/>
      <c r="J1423" s="25"/>
      <c r="K1423" s="25"/>
      <c r="L1423" s="25"/>
      <c r="M1423" s="25"/>
      <c r="N1423" s="25"/>
      <c r="O1423" s="25"/>
      <c r="P1423" s="25"/>
      <c r="Q1423" s="25"/>
      <c r="R1423" s="25"/>
      <c r="S1423" s="25"/>
      <c r="T1423" s="25"/>
      <c r="U1423" s="25"/>
      <c r="V1423" s="25"/>
      <c r="W1423" s="25"/>
      <c r="X1423" s="25"/>
      <c r="Y1423" s="25"/>
      <c r="Z1423" s="25"/>
      <c r="AA1423" s="25"/>
      <c r="AB1423" s="25"/>
      <c r="AC1423" s="25"/>
      <c r="AD1423" s="25"/>
      <c r="AE1423" s="25"/>
      <c r="AF1423" s="25"/>
      <c r="AG1423" s="25"/>
      <c r="AH1423" s="25"/>
      <c r="AI1423" s="25"/>
      <c r="AJ1423" s="25"/>
      <c r="AK1423" s="25"/>
      <c r="AL1423" s="25"/>
      <c r="AM1423" s="25"/>
      <c r="AN1423" s="25"/>
      <c r="AO1423" s="25"/>
      <c r="AP1423" s="25"/>
      <c r="AQ1423" s="25"/>
      <c r="AR1423" s="25"/>
      <c r="AS1423" s="25"/>
      <c r="AT1423" s="25"/>
      <c r="AU1423" s="25"/>
      <c r="AV1423" s="25"/>
      <c r="AW1423" s="25"/>
      <c r="AX1423" s="25"/>
    </row>
    <row r="1424" ht="15.75" customHeight="1">
      <c r="A1424" s="25"/>
      <c r="B1424" s="25"/>
      <c r="C1424" s="27"/>
      <c r="D1424" s="28"/>
      <c r="E1424" s="28"/>
      <c r="F1424" s="25"/>
      <c r="G1424" s="25"/>
      <c r="H1424" s="25"/>
      <c r="I1424" s="25"/>
      <c r="J1424" s="25"/>
      <c r="K1424" s="25"/>
      <c r="L1424" s="25"/>
      <c r="M1424" s="25"/>
      <c r="N1424" s="25"/>
      <c r="O1424" s="25"/>
      <c r="P1424" s="25"/>
      <c r="Q1424" s="25"/>
      <c r="R1424" s="25"/>
      <c r="S1424" s="25"/>
      <c r="T1424" s="25"/>
      <c r="U1424" s="25"/>
      <c r="V1424" s="25"/>
      <c r="W1424" s="25"/>
      <c r="X1424" s="25"/>
      <c r="Y1424" s="25"/>
      <c r="Z1424" s="25"/>
      <c r="AA1424" s="25"/>
      <c r="AB1424" s="25"/>
      <c r="AC1424" s="25"/>
      <c r="AD1424" s="25"/>
      <c r="AE1424" s="25"/>
      <c r="AF1424" s="25"/>
      <c r="AG1424" s="25"/>
      <c r="AH1424" s="25"/>
      <c r="AI1424" s="25"/>
      <c r="AJ1424" s="25"/>
      <c r="AK1424" s="25"/>
      <c r="AL1424" s="25"/>
      <c r="AM1424" s="25"/>
      <c r="AN1424" s="25"/>
      <c r="AO1424" s="25"/>
      <c r="AP1424" s="25"/>
      <c r="AQ1424" s="25"/>
      <c r="AR1424" s="25"/>
      <c r="AS1424" s="25"/>
      <c r="AT1424" s="25"/>
      <c r="AU1424" s="25"/>
      <c r="AV1424" s="25"/>
      <c r="AW1424" s="25"/>
      <c r="AX1424" s="25"/>
    </row>
    <row r="1425" ht="15.75" customHeight="1">
      <c r="A1425" s="25"/>
      <c r="B1425" s="25"/>
      <c r="C1425" s="27"/>
      <c r="D1425" s="28"/>
      <c r="E1425" s="28"/>
      <c r="F1425" s="25"/>
      <c r="G1425" s="25"/>
      <c r="H1425" s="25"/>
      <c r="I1425" s="25"/>
      <c r="J1425" s="25"/>
      <c r="K1425" s="25"/>
      <c r="L1425" s="25"/>
      <c r="M1425" s="25"/>
      <c r="N1425" s="25"/>
      <c r="O1425" s="25"/>
      <c r="P1425" s="25"/>
      <c r="Q1425" s="25"/>
      <c r="R1425" s="25"/>
      <c r="S1425" s="25"/>
      <c r="T1425" s="25"/>
      <c r="U1425" s="25"/>
      <c r="V1425" s="25"/>
      <c r="W1425" s="25"/>
      <c r="X1425" s="25"/>
      <c r="Y1425" s="25"/>
      <c r="Z1425" s="25"/>
      <c r="AA1425" s="25"/>
      <c r="AB1425" s="25"/>
      <c r="AC1425" s="25"/>
      <c r="AD1425" s="25"/>
      <c r="AE1425" s="25"/>
      <c r="AF1425" s="25"/>
      <c r="AG1425" s="25"/>
      <c r="AH1425" s="25"/>
      <c r="AI1425" s="25"/>
      <c r="AJ1425" s="25"/>
      <c r="AK1425" s="25"/>
      <c r="AL1425" s="25"/>
      <c r="AM1425" s="25"/>
      <c r="AN1425" s="25"/>
      <c r="AO1425" s="25"/>
      <c r="AP1425" s="25"/>
      <c r="AQ1425" s="25"/>
      <c r="AR1425" s="25"/>
      <c r="AS1425" s="25"/>
      <c r="AT1425" s="25"/>
      <c r="AU1425" s="25"/>
      <c r="AV1425" s="25"/>
      <c r="AW1425" s="25"/>
      <c r="AX1425" s="25"/>
    </row>
    <row r="1426" ht="15.75" customHeight="1">
      <c r="A1426" s="25"/>
      <c r="B1426" s="25"/>
      <c r="C1426" s="27"/>
      <c r="D1426" s="28"/>
      <c r="E1426" s="28"/>
      <c r="F1426" s="25"/>
      <c r="G1426" s="25"/>
      <c r="H1426" s="25"/>
      <c r="I1426" s="25"/>
      <c r="J1426" s="25"/>
      <c r="K1426" s="25"/>
      <c r="L1426" s="25"/>
      <c r="M1426" s="25"/>
      <c r="N1426" s="25"/>
      <c r="O1426" s="25"/>
      <c r="P1426" s="25"/>
      <c r="Q1426" s="25"/>
      <c r="R1426" s="25"/>
      <c r="S1426" s="25"/>
      <c r="T1426" s="25"/>
      <c r="U1426" s="25"/>
      <c r="V1426" s="25"/>
      <c r="W1426" s="25"/>
      <c r="X1426" s="25"/>
      <c r="Y1426" s="25"/>
      <c r="Z1426" s="25"/>
      <c r="AA1426" s="25"/>
      <c r="AB1426" s="25"/>
      <c r="AC1426" s="25"/>
      <c r="AD1426" s="25"/>
      <c r="AE1426" s="25"/>
      <c r="AF1426" s="25"/>
      <c r="AG1426" s="25"/>
      <c r="AH1426" s="25"/>
      <c r="AI1426" s="25"/>
      <c r="AJ1426" s="25"/>
      <c r="AK1426" s="25"/>
      <c r="AL1426" s="25"/>
      <c r="AM1426" s="25"/>
      <c r="AN1426" s="25"/>
      <c r="AO1426" s="25"/>
      <c r="AP1426" s="25"/>
      <c r="AQ1426" s="25"/>
      <c r="AR1426" s="25"/>
      <c r="AS1426" s="25"/>
      <c r="AT1426" s="25"/>
      <c r="AU1426" s="25"/>
      <c r="AV1426" s="25"/>
      <c r="AW1426" s="25"/>
      <c r="AX1426" s="25"/>
    </row>
    <row r="1427" ht="15.75" customHeight="1">
      <c r="A1427" s="25"/>
      <c r="B1427" s="25"/>
      <c r="C1427" s="27"/>
      <c r="D1427" s="28"/>
      <c r="E1427" s="28"/>
      <c r="F1427" s="25"/>
      <c r="G1427" s="25"/>
      <c r="H1427" s="25"/>
      <c r="I1427" s="25"/>
      <c r="J1427" s="25"/>
      <c r="K1427" s="25"/>
      <c r="L1427" s="25"/>
      <c r="M1427" s="25"/>
      <c r="N1427" s="25"/>
      <c r="O1427" s="25"/>
      <c r="P1427" s="25"/>
      <c r="Q1427" s="25"/>
      <c r="R1427" s="25"/>
      <c r="S1427" s="25"/>
      <c r="T1427" s="25"/>
      <c r="U1427" s="25"/>
      <c r="V1427" s="25"/>
      <c r="W1427" s="25"/>
      <c r="X1427" s="25"/>
      <c r="Y1427" s="25"/>
      <c r="Z1427" s="25"/>
      <c r="AA1427" s="25"/>
      <c r="AB1427" s="25"/>
      <c r="AC1427" s="25"/>
      <c r="AD1427" s="25"/>
      <c r="AE1427" s="25"/>
      <c r="AF1427" s="25"/>
      <c r="AG1427" s="25"/>
      <c r="AH1427" s="25"/>
      <c r="AI1427" s="25"/>
      <c r="AJ1427" s="25"/>
      <c r="AK1427" s="25"/>
      <c r="AL1427" s="25"/>
      <c r="AM1427" s="25"/>
      <c r="AN1427" s="25"/>
      <c r="AO1427" s="25"/>
      <c r="AP1427" s="25"/>
      <c r="AQ1427" s="25"/>
      <c r="AR1427" s="25"/>
      <c r="AS1427" s="25"/>
      <c r="AT1427" s="25"/>
      <c r="AU1427" s="25"/>
      <c r="AV1427" s="25"/>
      <c r="AW1427" s="25"/>
      <c r="AX1427" s="25"/>
    </row>
    <row r="1428" ht="15.75" customHeight="1">
      <c r="A1428" s="25"/>
      <c r="B1428" s="25"/>
      <c r="C1428" s="27"/>
      <c r="D1428" s="28"/>
      <c r="E1428" s="28"/>
      <c r="F1428" s="25"/>
      <c r="G1428" s="25"/>
      <c r="H1428" s="25"/>
      <c r="I1428" s="25"/>
      <c r="J1428" s="25"/>
      <c r="K1428" s="25"/>
      <c r="L1428" s="25"/>
      <c r="M1428" s="25"/>
      <c r="N1428" s="25"/>
      <c r="O1428" s="25"/>
      <c r="P1428" s="25"/>
      <c r="Q1428" s="25"/>
      <c r="R1428" s="25"/>
      <c r="S1428" s="25"/>
      <c r="T1428" s="25"/>
      <c r="U1428" s="25"/>
      <c r="V1428" s="25"/>
      <c r="W1428" s="25"/>
      <c r="X1428" s="25"/>
      <c r="Y1428" s="25"/>
      <c r="Z1428" s="25"/>
      <c r="AA1428" s="25"/>
      <c r="AB1428" s="25"/>
      <c r="AC1428" s="25"/>
      <c r="AD1428" s="25"/>
      <c r="AE1428" s="25"/>
      <c r="AF1428" s="25"/>
      <c r="AG1428" s="25"/>
      <c r="AH1428" s="25"/>
      <c r="AI1428" s="25"/>
      <c r="AJ1428" s="25"/>
      <c r="AK1428" s="25"/>
      <c r="AL1428" s="25"/>
      <c r="AM1428" s="25"/>
      <c r="AN1428" s="25"/>
      <c r="AO1428" s="25"/>
      <c r="AP1428" s="25"/>
      <c r="AQ1428" s="25"/>
      <c r="AR1428" s="25"/>
      <c r="AS1428" s="25"/>
      <c r="AT1428" s="25"/>
      <c r="AU1428" s="25"/>
      <c r="AV1428" s="25"/>
      <c r="AW1428" s="25"/>
      <c r="AX1428" s="25"/>
    </row>
    <row r="1429" ht="15.75" customHeight="1">
      <c r="A1429" s="25"/>
      <c r="B1429" s="25"/>
      <c r="C1429" s="27"/>
      <c r="D1429" s="28"/>
      <c r="E1429" s="28"/>
      <c r="F1429" s="25"/>
      <c r="G1429" s="25"/>
      <c r="H1429" s="25"/>
      <c r="I1429" s="25"/>
      <c r="J1429" s="25"/>
      <c r="K1429" s="25"/>
      <c r="L1429" s="25"/>
      <c r="M1429" s="25"/>
      <c r="N1429" s="25"/>
      <c r="O1429" s="25"/>
      <c r="P1429" s="25"/>
      <c r="Q1429" s="25"/>
      <c r="R1429" s="25"/>
      <c r="S1429" s="25"/>
      <c r="T1429" s="25"/>
      <c r="U1429" s="25"/>
      <c r="V1429" s="25"/>
      <c r="W1429" s="25"/>
      <c r="X1429" s="25"/>
      <c r="Y1429" s="25"/>
      <c r="Z1429" s="25"/>
      <c r="AA1429" s="25"/>
      <c r="AB1429" s="25"/>
      <c r="AC1429" s="25"/>
      <c r="AD1429" s="25"/>
      <c r="AE1429" s="25"/>
      <c r="AF1429" s="25"/>
      <c r="AG1429" s="25"/>
      <c r="AH1429" s="25"/>
      <c r="AI1429" s="25"/>
      <c r="AJ1429" s="25"/>
      <c r="AK1429" s="25"/>
      <c r="AL1429" s="25"/>
      <c r="AM1429" s="25"/>
      <c r="AN1429" s="25"/>
      <c r="AO1429" s="25"/>
      <c r="AP1429" s="25"/>
      <c r="AQ1429" s="25"/>
      <c r="AR1429" s="25"/>
      <c r="AS1429" s="25"/>
      <c r="AT1429" s="25"/>
      <c r="AU1429" s="25"/>
      <c r="AV1429" s="25"/>
      <c r="AW1429" s="25"/>
      <c r="AX1429" s="25"/>
    </row>
    <row r="1430" ht="15.75" customHeight="1">
      <c r="A1430" s="25"/>
      <c r="B1430" s="25"/>
      <c r="C1430" s="27"/>
      <c r="D1430" s="28"/>
      <c r="E1430" s="28"/>
      <c r="F1430" s="25"/>
      <c r="G1430" s="25"/>
      <c r="H1430" s="25"/>
      <c r="I1430" s="25"/>
      <c r="J1430" s="25"/>
      <c r="K1430" s="25"/>
      <c r="L1430" s="25"/>
      <c r="M1430" s="25"/>
      <c r="N1430" s="25"/>
      <c r="O1430" s="25"/>
      <c r="P1430" s="25"/>
      <c r="Q1430" s="25"/>
      <c r="R1430" s="25"/>
      <c r="S1430" s="25"/>
      <c r="T1430" s="25"/>
      <c r="U1430" s="25"/>
      <c r="V1430" s="25"/>
      <c r="W1430" s="25"/>
      <c r="X1430" s="25"/>
      <c r="Y1430" s="25"/>
      <c r="Z1430" s="25"/>
      <c r="AA1430" s="25"/>
      <c r="AB1430" s="25"/>
      <c r="AC1430" s="25"/>
      <c r="AD1430" s="25"/>
      <c r="AE1430" s="25"/>
      <c r="AF1430" s="25"/>
      <c r="AG1430" s="25"/>
      <c r="AH1430" s="25"/>
      <c r="AI1430" s="25"/>
      <c r="AJ1430" s="25"/>
      <c r="AK1430" s="25"/>
      <c r="AL1430" s="25"/>
      <c r="AM1430" s="25"/>
      <c r="AN1430" s="25"/>
      <c r="AO1430" s="25"/>
      <c r="AP1430" s="25"/>
      <c r="AQ1430" s="25"/>
      <c r="AR1430" s="25"/>
      <c r="AS1430" s="25"/>
      <c r="AT1430" s="25"/>
      <c r="AU1430" s="25"/>
      <c r="AV1430" s="25"/>
      <c r="AW1430" s="25"/>
      <c r="AX1430" s="25"/>
    </row>
    <row r="1431" ht="15.75" customHeight="1">
      <c r="A1431" s="25"/>
      <c r="B1431" s="25"/>
      <c r="C1431" s="27"/>
      <c r="D1431" s="28"/>
      <c r="E1431" s="28"/>
      <c r="F1431" s="25"/>
      <c r="G1431" s="25"/>
      <c r="H1431" s="25"/>
      <c r="I1431" s="25"/>
      <c r="J1431" s="25"/>
      <c r="K1431" s="25"/>
      <c r="L1431" s="25"/>
      <c r="M1431" s="25"/>
      <c r="N1431" s="25"/>
      <c r="O1431" s="25"/>
      <c r="P1431" s="25"/>
      <c r="Q1431" s="25"/>
      <c r="R1431" s="25"/>
      <c r="S1431" s="25"/>
      <c r="T1431" s="25"/>
      <c r="U1431" s="25"/>
      <c r="V1431" s="25"/>
      <c r="W1431" s="25"/>
      <c r="X1431" s="25"/>
      <c r="Y1431" s="25"/>
      <c r="Z1431" s="25"/>
      <c r="AA1431" s="25"/>
      <c r="AB1431" s="25"/>
      <c r="AC1431" s="25"/>
      <c r="AD1431" s="25"/>
      <c r="AE1431" s="25"/>
      <c r="AF1431" s="25"/>
      <c r="AG1431" s="25"/>
      <c r="AH1431" s="25"/>
      <c r="AI1431" s="25"/>
      <c r="AJ1431" s="25"/>
      <c r="AK1431" s="25"/>
      <c r="AL1431" s="25"/>
      <c r="AM1431" s="25"/>
      <c r="AN1431" s="25"/>
      <c r="AO1431" s="25"/>
      <c r="AP1431" s="25"/>
      <c r="AQ1431" s="25"/>
      <c r="AR1431" s="25"/>
      <c r="AS1431" s="25"/>
      <c r="AT1431" s="25"/>
      <c r="AU1431" s="25"/>
      <c r="AV1431" s="25"/>
      <c r="AW1431" s="25"/>
      <c r="AX1431" s="25"/>
    </row>
    <row r="1432" ht="15.75" customHeight="1">
      <c r="A1432" s="25"/>
      <c r="B1432" s="25"/>
      <c r="C1432" s="27"/>
      <c r="D1432" s="28"/>
      <c r="E1432" s="28"/>
      <c r="F1432" s="25"/>
      <c r="G1432" s="25"/>
      <c r="H1432" s="25"/>
      <c r="I1432" s="25"/>
      <c r="J1432" s="25"/>
      <c r="K1432" s="25"/>
      <c r="L1432" s="25"/>
      <c r="M1432" s="25"/>
      <c r="N1432" s="25"/>
      <c r="O1432" s="25"/>
      <c r="P1432" s="25"/>
      <c r="Q1432" s="25"/>
      <c r="R1432" s="25"/>
      <c r="S1432" s="25"/>
      <c r="T1432" s="25"/>
      <c r="U1432" s="25"/>
      <c r="V1432" s="25"/>
      <c r="W1432" s="25"/>
      <c r="X1432" s="25"/>
      <c r="Y1432" s="25"/>
      <c r="Z1432" s="25"/>
      <c r="AA1432" s="25"/>
      <c r="AB1432" s="25"/>
      <c r="AC1432" s="25"/>
      <c r="AD1432" s="25"/>
      <c r="AE1432" s="25"/>
      <c r="AF1432" s="25"/>
      <c r="AG1432" s="25"/>
      <c r="AH1432" s="25"/>
      <c r="AI1432" s="25"/>
      <c r="AJ1432" s="25"/>
      <c r="AK1432" s="25"/>
      <c r="AL1432" s="25"/>
      <c r="AM1432" s="25"/>
      <c r="AN1432" s="25"/>
      <c r="AO1432" s="25"/>
      <c r="AP1432" s="25"/>
      <c r="AQ1432" s="25"/>
      <c r="AR1432" s="25"/>
      <c r="AS1432" s="25"/>
      <c r="AT1432" s="25"/>
      <c r="AU1432" s="25"/>
      <c r="AV1432" s="25"/>
      <c r="AW1432" s="25"/>
      <c r="AX1432" s="25"/>
    </row>
    <row r="1433" ht="15.75" customHeight="1">
      <c r="A1433" s="25"/>
      <c r="B1433" s="25"/>
      <c r="C1433" s="27"/>
      <c r="D1433" s="28"/>
      <c r="E1433" s="28"/>
      <c r="F1433" s="25"/>
      <c r="G1433" s="25"/>
      <c r="H1433" s="25"/>
      <c r="I1433" s="25"/>
      <c r="J1433" s="25"/>
      <c r="K1433" s="25"/>
      <c r="L1433" s="25"/>
      <c r="M1433" s="25"/>
      <c r="N1433" s="25"/>
      <c r="O1433" s="25"/>
      <c r="P1433" s="25"/>
      <c r="Q1433" s="25"/>
      <c r="R1433" s="25"/>
      <c r="S1433" s="25"/>
      <c r="T1433" s="25"/>
      <c r="U1433" s="25"/>
      <c r="V1433" s="25"/>
      <c r="W1433" s="25"/>
      <c r="X1433" s="25"/>
      <c r="Y1433" s="25"/>
      <c r="Z1433" s="25"/>
      <c r="AA1433" s="25"/>
      <c r="AB1433" s="25"/>
      <c r="AC1433" s="25"/>
      <c r="AD1433" s="25"/>
      <c r="AE1433" s="25"/>
      <c r="AF1433" s="25"/>
      <c r="AG1433" s="25"/>
      <c r="AH1433" s="25"/>
      <c r="AI1433" s="25"/>
      <c r="AJ1433" s="25"/>
      <c r="AK1433" s="25"/>
      <c r="AL1433" s="25"/>
      <c r="AM1433" s="25"/>
      <c r="AN1433" s="25"/>
      <c r="AO1433" s="25"/>
      <c r="AP1433" s="25"/>
      <c r="AQ1433" s="25"/>
      <c r="AR1433" s="25"/>
      <c r="AS1433" s="25"/>
      <c r="AT1433" s="25"/>
      <c r="AU1433" s="25"/>
      <c r="AV1433" s="25"/>
      <c r="AW1433" s="25"/>
      <c r="AX1433" s="25"/>
    </row>
    <row r="1434" ht="15.75" customHeight="1">
      <c r="A1434" s="25"/>
      <c r="B1434" s="25"/>
      <c r="C1434" s="27"/>
      <c r="D1434" s="28"/>
      <c r="E1434" s="28"/>
      <c r="F1434" s="25"/>
      <c r="G1434" s="25"/>
      <c r="H1434" s="25"/>
      <c r="I1434" s="25"/>
      <c r="J1434" s="25"/>
      <c r="K1434" s="25"/>
      <c r="L1434" s="25"/>
      <c r="M1434" s="25"/>
      <c r="N1434" s="25"/>
      <c r="O1434" s="25"/>
      <c r="P1434" s="25"/>
      <c r="Q1434" s="25"/>
      <c r="R1434" s="25"/>
      <c r="S1434" s="25"/>
      <c r="T1434" s="25"/>
      <c r="U1434" s="25"/>
      <c r="V1434" s="25"/>
      <c r="W1434" s="25"/>
      <c r="X1434" s="25"/>
      <c r="Y1434" s="25"/>
      <c r="Z1434" s="25"/>
      <c r="AA1434" s="25"/>
      <c r="AB1434" s="25"/>
      <c r="AC1434" s="25"/>
      <c r="AD1434" s="25"/>
      <c r="AE1434" s="25"/>
      <c r="AF1434" s="25"/>
      <c r="AG1434" s="25"/>
      <c r="AH1434" s="25"/>
      <c r="AI1434" s="25"/>
      <c r="AJ1434" s="25"/>
      <c r="AK1434" s="25"/>
      <c r="AL1434" s="25"/>
      <c r="AM1434" s="25"/>
      <c r="AN1434" s="25"/>
      <c r="AO1434" s="25"/>
      <c r="AP1434" s="25"/>
      <c r="AQ1434" s="25"/>
      <c r="AR1434" s="25"/>
      <c r="AS1434" s="25"/>
      <c r="AT1434" s="25"/>
      <c r="AU1434" s="25"/>
      <c r="AV1434" s="25"/>
      <c r="AW1434" s="25"/>
      <c r="AX1434" s="25"/>
    </row>
    <row r="1435" ht="15.75" customHeight="1">
      <c r="A1435" s="25"/>
      <c r="B1435" s="25"/>
      <c r="C1435" s="27"/>
      <c r="D1435" s="28"/>
      <c r="E1435" s="28"/>
      <c r="F1435" s="25"/>
      <c r="G1435" s="25"/>
      <c r="H1435" s="25"/>
      <c r="I1435" s="25"/>
      <c r="J1435" s="25"/>
      <c r="K1435" s="25"/>
      <c r="L1435" s="25"/>
      <c r="M1435" s="25"/>
      <c r="N1435" s="25"/>
      <c r="O1435" s="25"/>
      <c r="P1435" s="25"/>
      <c r="Q1435" s="25"/>
      <c r="R1435" s="25"/>
      <c r="S1435" s="25"/>
      <c r="T1435" s="25"/>
      <c r="U1435" s="25"/>
      <c r="V1435" s="25"/>
      <c r="W1435" s="25"/>
      <c r="X1435" s="25"/>
      <c r="Y1435" s="25"/>
      <c r="Z1435" s="25"/>
      <c r="AA1435" s="25"/>
      <c r="AB1435" s="25"/>
      <c r="AC1435" s="25"/>
      <c r="AD1435" s="25"/>
      <c r="AE1435" s="25"/>
      <c r="AF1435" s="25"/>
      <c r="AG1435" s="25"/>
      <c r="AH1435" s="25"/>
      <c r="AI1435" s="25"/>
      <c r="AJ1435" s="25"/>
      <c r="AK1435" s="25"/>
      <c r="AL1435" s="25"/>
      <c r="AM1435" s="25"/>
      <c r="AN1435" s="25"/>
      <c r="AO1435" s="25"/>
      <c r="AP1435" s="25"/>
      <c r="AQ1435" s="25"/>
      <c r="AR1435" s="25"/>
      <c r="AS1435" s="25"/>
      <c r="AT1435" s="25"/>
      <c r="AU1435" s="25"/>
      <c r="AV1435" s="25"/>
      <c r="AW1435" s="25"/>
      <c r="AX1435" s="25"/>
    </row>
    <row r="1436" ht="15.75" customHeight="1">
      <c r="A1436" s="25"/>
      <c r="B1436" s="25"/>
      <c r="C1436" s="27"/>
      <c r="D1436" s="28"/>
      <c r="E1436" s="28"/>
      <c r="F1436" s="25"/>
      <c r="G1436" s="25"/>
      <c r="H1436" s="25"/>
      <c r="I1436" s="25"/>
      <c r="J1436" s="25"/>
      <c r="K1436" s="25"/>
      <c r="L1436" s="25"/>
      <c r="M1436" s="25"/>
      <c r="N1436" s="25"/>
      <c r="O1436" s="25"/>
      <c r="P1436" s="25"/>
      <c r="Q1436" s="25"/>
      <c r="R1436" s="25"/>
      <c r="S1436" s="25"/>
      <c r="T1436" s="25"/>
      <c r="U1436" s="25"/>
      <c r="V1436" s="25"/>
      <c r="W1436" s="25"/>
      <c r="X1436" s="25"/>
      <c r="Y1436" s="25"/>
      <c r="Z1436" s="25"/>
      <c r="AA1436" s="25"/>
      <c r="AB1436" s="25"/>
      <c r="AC1436" s="25"/>
      <c r="AD1436" s="25"/>
      <c r="AE1436" s="25"/>
      <c r="AF1436" s="25"/>
      <c r="AG1436" s="25"/>
      <c r="AH1436" s="25"/>
      <c r="AI1436" s="25"/>
      <c r="AJ1436" s="25"/>
      <c r="AK1436" s="25"/>
      <c r="AL1436" s="25"/>
      <c r="AM1436" s="25"/>
      <c r="AN1436" s="25"/>
      <c r="AO1436" s="25"/>
      <c r="AP1436" s="25"/>
      <c r="AQ1436" s="25"/>
      <c r="AR1436" s="25"/>
      <c r="AS1436" s="25"/>
      <c r="AT1436" s="25"/>
      <c r="AU1436" s="25"/>
      <c r="AV1436" s="25"/>
      <c r="AW1436" s="25"/>
      <c r="AX1436" s="25"/>
    </row>
    <row r="1437" ht="15.75" customHeight="1">
      <c r="A1437" s="25"/>
      <c r="B1437" s="25"/>
      <c r="C1437" s="27"/>
      <c r="D1437" s="28"/>
      <c r="E1437" s="28"/>
      <c r="F1437" s="25"/>
      <c r="G1437" s="25"/>
      <c r="H1437" s="25"/>
      <c r="I1437" s="25"/>
      <c r="J1437" s="25"/>
      <c r="K1437" s="25"/>
      <c r="L1437" s="25"/>
      <c r="M1437" s="25"/>
      <c r="N1437" s="25"/>
      <c r="O1437" s="25"/>
      <c r="P1437" s="25"/>
      <c r="Q1437" s="25"/>
      <c r="R1437" s="25"/>
      <c r="S1437" s="25"/>
      <c r="T1437" s="25"/>
      <c r="U1437" s="25"/>
      <c r="V1437" s="25"/>
      <c r="W1437" s="25"/>
      <c r="X1437" s="25"/>
      <c r="Y1437" s="25"/>
      <c r="Z1437" s="25"/>
      <c r="AA1437" s="25"/>
      <c r="AB1437" s="25"/>
      <c r="AC1437" s="25"/>
      <c r="AD1437" s="25"/>
      <c r="AE1437" s="25"/>
      <c r="AF1437" s="25"/>
      <c r="AG1437" s="25"/>
      <c r="AH1437" s="25"/>
      <c r="AI1437" s="25"/>
      <c r="AJ1437" s="25"/>
      <c r="AK1437" s="25"/>
      <c r="AL1437" s="25"/>
      <c r="AM1437" s="25"/>
      <c r="AN1437" s="25"/>
      <c r="AO1437" s="25"/>
      <c r="AP1437" s="25"/>
      <c r="AQ1437" s="25"/>
      <c r="AR1437" s="25"/>
      <c r="AS1437" s="25"/>
      <c r="AT1437" s="25"/>
      <c r="AU1437" s="25"/>
      <c r="AV1437" s="25"/>
      <c r="AW1437" s="25"/>
      <c r="AX1437" s="25"/>
    </row>
    <row r="1438" ht="15.75" customHeight="1">
      <c r="A1438" s="25"/>
      <c r="B1438" s="25"/>
      <c r="C1438" s="27"/>
      <c r="D1438" s="28"/>
      <c r="E1438" s="28"/>
      <c r="F1438" s="25"/>
      <c r="G1438" s="25"/>
      <c r="H1438" s="25"/>
      <c r="I1438" s="25"/>
      <c r="J1438" s="25"/>
      <c r="K1438" s="25"/>
      <c r="L1438" s="25"/>
      <c r="M1438" s="25"/>
      <c r="N1438" s="25"/>
      <c r="O1438" s="25"/>
      <c r="P1438" s="25"/>
      <c r="Q1438" s="25"/>
      <c r="R1438" s="25"/>
      <c r="S1438" s="25"/>
      <c r="T1438" s="25"/>
      <c r="U1438" s="25"/>
      <c r="V1438" s="25"/>
      <c r="W1438" s="25"/>
      <c r="X1438" s="25"/>
      <c r="Y1438" s="25"/>
      <c r="Z1438" s="25"/>
      <c r="AA1438" s="25"/>
      <c r="AB1438" s="25"/>
      <c r="AC1438" s="25"/>
      <c r="AD1438" s="25"/>
      <c r="AE1438" s="25"/>
      <c r="AF1438" s="25"/>
      <c r="AG1438" s="25"/>
      <c r="AH1438" s="25"/>
      <c r="AI1438" s="25"/>
      <c r="AJ1438" s="25"/>
      <c r="AK1438" s="25"/>
      <c r="AL1438" s="25"/>
      <c r="AM1438" s="25"/>
      <c r="AN1438" s="25"/>
      <c r="AO1438" s="25"/>
      <c r="AP1438" s="25"/>
      <c r="AQ1438" s="25"/>
      <c r="AR1438" s="25"/>
      <c r="AS1438" s="25"/>
      <c r="AT1438" s="25"/>
      <c r="AU1438" s="25"/>
      <c r="AV1438" s="25"/>
      <c r="AW1438" s="25"/>
      <c r="AX1438" s="25"/>
    </row>
    <row r="1439" ht="15.75" customHeight="1">
      <c r="A1439" s="25"/>
      <c r="B1439" s="25"/>
      <c r="C1439" s="27"/>
      <c r="D1439" s="28"/>
      <c r="E1439" s="28"/>
      <c r="F1439" s="25"/>
      <c r="G1439" s="25"/>
      <c r="H1439" s="25"/>
      <c r="I1439" s="25"/>
      <c r="J1439" s="25"/>
      <c r="K1439" s="25"/>
      <c r="L1439" s="25"/>
      <c r="M1439" s="25"/>
      <c r="N1439" s="25"/>
      <c r="O1439" s="25"/>
      <c r="P1439" s="25"/>
      <c r="Q1439" s="25"/>
      <c r="R1439" s="25"/>
      <c r="S1439" s="25"/>
      <c r="T1439" s="25"/>
      <c r="U1439" s="25"/>
      <c r="V1439" s="25"/>
      <c r="W1439" s="25"/>
      <c r="X1439" s="25"/>
      <c r="Y1439" s="25"/>
      <c r="Z1439" s="25"/>
      <c r="AA1439" s="25"/>
      <c r="AB1439" s="25"/>
      <c r="AC1439" s="25"/>
      <c r="AD1439" s="25"/>
      <c r="AE1439" s="25"/>
      <c r="AF1439" s="25"/>
      <c r="AG1439" s="25"/>
      <c r="AH1439" s="25"/>
      <c r="AI1439" s="25"/>
      <c r="AJ1439" s="25"/>
      <c r="AK1439" s="25"/>
      <c r="AL1439" s="25"/>
      <c r="AM1439" s="25"/>
      <c r="AN1439" s="25"/>
      <c r="AO1439" s="25"/>
      <c r="AP1439" s="25"/>
      <c r="AQ1439" s="25"/>
      <c r="AR1439" s="25"/>
      <c r="AS1439" s="25"/>
      <c r="AT1439" s="25"/>
      <c r="AU1439" s="25"/>
      <c r="AV1439" s="25"/>
      <c r="AW1439" s="25"/>
      <c r="AX1439" s="25"/>
    </row>
    <row r="1440" ht="15.75" customHeight="1">
      <c r="A1440" s="25"/>
      <c r="B1440" s="25"/>
      <c r="C1440" s="27"/>
      <c r="D1440" s="28"/>
      <c r="E1440" s="28"/>
      <c r="F1440" s="25"/>
      <c r="G1440" s="25"/>
      <c r="H1440" s="25"/>
      <c r="I1440" s="25"/>
      <c r="J1440" s="25"/>
      <c r="K1440" s="25"/>
      <c r="L1440" s="25"/>
      <c r="M1440" s="25"/>
      <c r="N1440" s="25"/>
      <c r="O1440" s="25"/>
      <c r="P1440" s="25"/>
      <c r="Q1440" s="25"/>
      <c r="R1440" s="25"/>
      <c r="S1440" s="25"/>
      <c r="T1440" s="25"/>
      <c r="U1440" s="25"/>
      <c r="V1440" s="25"/>
      <c r="W1440" s="25"/>
      <c r="X1440" s="25"/>
      <c r="Y1440" s="25"/>
      <c r="Z1440" s="25"/>
      <c r="AA1440" s="25"/>
      <c r="AB1440" s="25"/>
      <c r="AC1440" s="25"/>
      <c r="AD1440" s="25"/>
      <c r="AE1440" s="25"/>
      <c r="AF1440" s="25"/>
      <c r="AG1440" s="25"/>
      <c r="AH1440" s="25"/>
      <c r="AI1440" s="25"/>
      <c r="AJ1440" s="25"/>
      <c r="AK1440" s="25"/>
      <c r="AL1440" s="25"/>
      <c r="AM1440" s="25"/>
      <c r="AN1440" s="25"/>
      <c r="AO1440" s="25"/>
      <c r="AP1440" s="25"/>
      <c r="AQ1440" s="25"/>
      <c r="AR1440" s="25"/>
      <c r="AS1440" s="25"/>
      <c r="AT1440" s="25"/>
      <c r="AU1440" s="25"/>
      <c r="AV1440" s="25"/>
      <c r="AW1440" s="25"/>
      <c r="AX1440" s="25"/>
    </row>
    <row r="1441" ht="15.75" customHeight="1">
      <c r="A1441" s="25"/>
      <c r="B1441" s="25"/>
      <c r="C1441" s="27"/>
      <c r="D1441" s="28"/>
      <c r="E1441" s="28"/>
      <c r="F1441" s="25"/>
      <c r="G1441" s="25"/>
      <c r="H1441" s="25"/>
      <c r="I1441" s="25"/>
      <c r="J1441" s="25"/>
      <c r="K1441" s="25"/>
      <c r="L1441" s="25"/>
      <c r="M1441" s="25"/>
      <c r="N1441" s="25"/>
      <c r="O1441" s="25"/>
      <c r="P1441" s="25"/>
      <c r="Q1441" s="25"/>
      <c r="R1441" s="25"/>
      <c r="S1441" s="25"/>
      <c r="T1441" s="25"/>
      <c r="U1441" s="25"/>
      <c r="V1441" s="25"/>
      <c r="W1441" s="25"/>
      <c r="X1441" s="25"/>
      <c r="Y1441" s="25"/>
      <c r="Z1441" s="25"/>
      <c r="AA1441" s="25"/>
      <c r="AB1441" s="25"/>
      <c r="AC1441" s="25"/>
      <c r="AD1441" s="25"/>
      <c r="AE1441" s="25"/>
      <c r="AF1441" s="25"/>
      <c r="AG1441" s="25"/>
      <c r="AH1441" s="25"/>
      <c r="AI1441" s="25"/>
      <c r="AJ1441" s="25"/>
      <c r="AK1441" s="25"/>
      <c r="AL1441" s="25"/>
      <c r="AM1441" s="25"/>
      <c r="AN1441" s="25"/>
      <c r="AO1441" s="25"/>
      <c r="AP1441" s="25"/>
      <c r="AQ1441" s="25"/>
      <c r="AR1441" s="25"/>
      <c r="AS1441" s="25"/>
      <c r="AT1441" s="25"/>
      <c r="AU1441" s="25"/>
      <c r="AV1441" s="25"/>
      <c r="AW1441" s="25"/>
      <c r="AX1441" s="25"/>
    </row>
    <row r="1442" ht="15.75" customHeight="1">
      <c r="A1442" s="25"/>
      <c r="B1442" s="25"/>
      <c r="C1442" s="27"/>
      <c r="D1442" s="28"/>
      <c r="E1442" s="28"/>
      <c r="F1442" s="25"/>
      <c r="G1442" s="25"/>
      <c r="H1442" s="25"/>
      <c r="I1442" s="25"/>
      <c r="J1442" s="25"/>
      <c r="K1442" s="25"/>
      <c r="L1442" s="25"/>
      <c r="M1442" s="25"/>
      <c r="N1442" s="25"/>
      <c r="O1442" s="25"/>
      <c r="P1442" s="25"/>
      <c r="Q1442" s="25"/>
      <c r="R1442" s="25"/>
      <c r="S1442" s="25"/>
      <c r="T1442" s="25"/>
      <c r="U1442" s="25"/>
      <c r="V1442" s="25"/>
      <c r="W1442" s="25"/>
      <c r="X1442" s="25"/>
      <c r="Y1442" s="25"/>
      <c r="Z1442" s="25"/>
      <c r="AA1442" s="25"/>
      <c r="AB1442" s="25"/>
      <c r="AC1442" s="25"/>
      <c r="AD1442" s="25"/>
      <c r="AE1442" s="25"/>
      <c r="AF1442" s="25"/>
      <c r="AG1442" s="25"/>
      <c r="AH1442" s="25"/>
      <c r="AI1442" s="25"/>
      <c r="AJ1442" s="25"/>
      <c r="AK1442" s="25"/>
      <c r="AL1442" s="25"/>
      <c r="AM1442" s="25"/>
      <c r="AN1442" s="25"/>
      <c r="AO1442" s="25"/>
      <c r="AP1442" s="25"/>
      <c r="AQ1442" s="25"/>
      <c r="AR1442" s="25"/>
      <c r="AS1442" s="25"/>
      <c r="AT1442" s="25"/>
      <c r="AU1442" s="25"/>
      <c r="AV1442" s="25"/>
      <c r="AW1442" s="25"/>
      <c r="AX1442" s="25"/>
    </row>
    <row r="1443" ht="15.75" customHeight="1">
      <c r="A1443" s="25"/>
      <c r="B1443" s="25"/>
      <c r="C1443" s="27"/>
      <c r="D1443" s="28"/>
      <c r="E1443" s="28"/>
      <c r="F1443" s="25"/>
      <c r="G1443" s="25"/>
      <c r="H1443" s="25"/>
      <c r="I1443" s="25"/>
      <c r="J1443" s="25"/>
      <c r="K1443" s="25"/>
      <c r="L1443" s="25"/>
      <c r="M1443" s="25"/>
      <c r="N1443" s="25"/>
      <c r="O1443" s="25"/>
      <c r="P1443" s="25"/>
      <c r="Q1443" s="25"/>
      <c r="R1443" s="25"/>
      <c r="S1443" s="25"/>
      <c r="T1443" s="25"/>
      <c r="U1443" s="25"/>
      <c r="V1443" s="25"/>
      <c r="W1443" s="25"/>
      <c r="X1443" s="25"/>
      <c r="Y1443" s="25"/>
      <c r="Z1443" s="25"/>
      <c r="AA1443" s="25"/>
      <c r="AB1443" s="25"/>
      <c r="AC1443" s="25"/>
      <c r="AD1443" s="25"/>
      <c r="AE1443" s="25"/>
      <c r="AF1443" s="25"/>
      <c r="AG1443" s="25"/>
      <c r="AH1443" s="25"/>
      <c r="AI1443" s="25"/>
      <c r="AJ1443" s="25"/>
      <c r="AK1443" s="25"/>
      <c r="AL1443" s="25"/>
      <c r="AM1443" s="25"/>
      <c r="AN1443" s="25"/>
      <c r="AO1443" s="25"/>
      <c r="AP1443" s="25"/>
      <c r="AQ1443" s="25"/>
      <c r="AR1443" s="25"/>
      <c r="AS1443" s="25"/>
      <c r="AT1443" s="25"/>
      <c r="AU1443" s="25"/>
      <c r="AV1443" s="25"/>
      <c r="AW1443" s="25"/>
      <c r="AX1443" s="25"/>
    </row>
    <row r="1444" ht="15.75" customHeight="1">
      <c r="A1444" s="25"/>
      <c r="B1444" s="25"/>
      <c r="C1444" s="27"/>
      <c r="D1444" s="28"/>
      <c r="E1444" s="28"/>
      <c r="F1444" s="25"/>
      <c r="G1444" s="25"/>
      <c r="H1444" s="25"/>
      <c r="I1444" s="25"/>
      <c r="J1444" s="25"/>
      <c r="K1444" s="25"/>
      <c r="L1444" s="25"/>
      <c r="M1444" s="25"/>
      <c r="N1444" s="25"/>
      <c r="O1444" s="25"/>
      <c r="P1444" s="25"/>
      <c r="Q1444" s="25"/>
      <c r="R1444" s="25"/>
      <c r="S1444" s="25"/>
      <c r="T1444" s="25"/>
      <c r="U1444" s="25"/>
      <c r="V1444" s="25"/>
      <c r="W1444" s="25"/>
      <c r="X1444" s="25"/>
      <c r="Y1444" s="25"/>
      <c r="Z1444" s="25"/>
      <c r="AA1444" s="25"/>
      <c r="AB1444" s="25"/>
      <c r="AC1444" s="25"/>
      <c r="AD1444" s="25"/>
      <c r="AE1444" s="25"/>
      <c r="AF1444" s="25"/>
      <c r="AG1444" s="25"/>
      <c r="AH1444" s="25"/>
      <c r="AI1444" s="25"/>
      <c r="AJ1444" s="25"/>
      <c r="AK1444" s="25"/>
      <c r="AL1444" s="25"/>
      <c r="AM1444" s="25"/>
      <c r="AN1444" s="25"/>
      <c r="AO1444" s="25"/>
      <c r="AP1444" s="25"/>
      <c r="AQ1444" s="25"/>
      <c r="AR1444" s="25"/>
      <c r="AS1444" s="25"/>
      <c r="AT1444" s="25"/>
      <c r="AU1444" s="25"/>
      <c r="AV1444" s="25"/>
      <c r="AW1444" s="25"/>
      <c r="AX1444" s="25"/>
    </row>
    <row r="1445" ht="15.75" customHeight="1">
      <c r="A1445" s="25"/>
      <c r="B1445" s="25"/>
      <c r="C1445" s="27"/>
      <c r="D1445" s="28"/>
      <c r="E1445" s="28"/>
      <c r="F1445" s="25"/>
      <c r="G1445" s="25"/>
      <c r="H1445" s="25"/>
      <c r="I1445" s="25"/>
      <c r="J1445" s="25"/>
      <c r="K1445" s="25"/>
      <c r="L1445" s="25"/>
      <c r="M1445" s="25"/>
      <c r="N1445" s="25"/>
      <c r="O1445" s="25"/>
      <c r="P1445" s="25"/>
      <c r="Q1445" s="25"/>
      <c r="R1445" s="25"/>
      <c r="S1445" s="25"/>
      <c r="T1445" s="25"/>
      <c r="U1445" s="25"/>
      <c r="V1445" s="25"/>
      <c r="W1445" s="25"/>
      <c r="X1445" s="25"/>
      <c r="Y1445" s="25"/>
      <c r="Z1445" s="25"/>
      <c r="AA1445" s="25"/>
      <c r="AB1445" s="25"/>
      <c r="AC1445" s="25"/>
      <c r="AD1445" s="25"/>
      <c r="AE1445" s="25"/>
      <c r="AF1445" s="25"/>
      <c r="AG1445" s="25"/>
      <c r="AH1445" s="25"/>
      <c r="AI1445" s="25"/>
      <c r="AJ1445" s="25"/>
      <c r="AK1445" s="25"/>
      <c r="AL1445" s="25"/>
      <c r="AM1445" s="25"/>
      <c r="AN1445" s="25"/>
      <c r="AO1445" s="25"/>
      <c r="AP1445" s="25"/>
      <c r="AQ1445" s="25"/>
      <c r="AR1445" s="25"/>
      <c r="AS1445" s="25"/>
      <c r="AT1445" s="25"/>
      <c r="AU1445" s="25"/>
      <c r="AV1445" s="25"/>
      <c r="AW1445" s="25"/>
      <c r="AX1445" s="25"/>
    </row>
    <row r="1446" ht="15.75" customHeight="1">
      <c r="A1446" s="25"/>
      <c r="B1446" s="25"/>
      <c r="C1446" s="27"/>
      <c r="D1446" s="28"/>
      <c r="E1446" s="28"/>
      <c r="F1446" s="25"/>
      <c r="G1446" s="25"/>
      <c r="H1446" s="25"/>
      <c r="I1446" s="25"/>
      <c r="J1446" s="25"/>
      <c r="K1446" s="25"/>
      <c r="L1446" s="25"/>
      <c r="M1446" s="25"/>
      <c r="N1446" s="25"/>
      <c r="O1446" s="25"/>
      <c r="P1446" s="25"/>
      <c r="Q1446" s="25"/>
      <c r="R1446" s="25"/>
      <c r="S1446" s="25"/>
      <c r="T1446" s="25"/>
      <c r="U1446" s="25"/>
      <c r="V1446" s="25"/>
      <c r="W1446" s="25"/>
      <c r="X1446" s="25"/>
      <c r="Y1446" s="25"/>
      <c r="Z1446" s="25"/>
      <c r="AA1446" s="25"/>
      <c r="AB1446" s="25"/>
      <c r="AC1446" s="25"/>
      <c r="AD1446" s="25"/>
      <c r="AE1446" s="25"/>
      <c r="AF1446" s="25"/>
      <c r="AG1446" s="25"/>
      <c r="AH1446" s="25"/>
      <c r="AI1446" s="25"/>
      <c r="AJ1446" s="25"/>
      <c r="AK1446" s="25"/>
      <c r="AL1446" s="25"/>
      <c r="AM1446" s="25"/>
      <c r="AN1446" s="25"/>
      <c r="AO1446" s="25"/>
      <c r="AP1446" s="25"/>
      <c r="AQ1446" s="25"/>
      <c r="AR1446" s="25"/>
      <c r="AS1446" s="25"/>
      <c r="AT1446" s="25"/>
      <c r="AU1446" s="25"/>
      <c r="AV1446" s="25"/>
      <c r="AW1446" s="25"/>
      <c r="AX1446" s="25"/>
    </row>
    <row r="1447" ht="15.75" customHeight="1">
      <c r="A1447" s="25"/>
      <c r="B1447" s="25"/>
      <c r="C1447" s="27"/>
      <c r="D1447" s="28"/>
      <c r="E1447" s="28"/>
      <c r="F1447" s="25"/>
      <c r="G1447" s="25"/>
      <c r="H1447" s="25"/>
      <c r="I1447" s="25"/>
      <c r="J1447" s="25"/>
      <c r="K1447" s="25"/>
      <c r="L1447" s="25"/>
      <c r="M1447" s="25"/>
      <c r="N1447" s="25"/>
      <c r="O1447" s="25"/>
      <c r="P1447" s="25"/>
      <c r="Q1447" s="25"/>
      <c r="R1447" s="25"/>
      <c r="S1447" s="25"/>
      <c r="T1447" s="25"/>
      <c r="U1447" s="25"/>
      <c r="V1447" s="25"/>
      <c r="W1447" s="25"/>
      <c r="X1447" s="25"/>
      <c r="Y1447" s="25"/>
      <c r="Z1447" s="25"/>
      <c r="AA1447" s="25"/>
      <c r="AB1447" s="25"/>
      <c r="AC1447" s="25"/>
      <c r="AD1447" s="25"/>
      <c r="AE1447" s="25"/>
      <c r="AF1447" s="25"/>
      <c r="AG1447" s="25"/>
      <c r="AH1447" s="25"/>
      <c r="AI1447" s="25"/>
      <c r="AJ1447" s="25"/>
      <c r="AK1447" s="25"/>
      <c r="AL1447" s="25"/>
      <c r="AM1447" s="25"/>
      <c r="AN1447" s="25"/>
      <c r="AO1447" s="25"/>
      <c r="AP1447" s="25"/>
      <c r="AQ1447" s="25"/>
      <c r="AR1447" s="25"/>
      <c r="AS1447" s="25"/>
      <c r="AT1447" s="25"/>
      <c r="AU1447" s="25"/>
      <c r="AV1447" s="25"/>
      <c r="AW1447" s="25"/>
      <c r="AX1447" s="25"/>
    </row>
    <row r="1448" ht="15.75" customHeight="1">
      <c r="A1448" s="25"/>
      <c r="B1448" s="25"/>
      <c r="C1448" s="27"/>
      <c r="D1448" s="28"/>
      <c r="E1448" s="28"/>
      <c r="F1448" s="25"/>
      <c r="G1448" s="25"/>
      <c r="H1448" s="25"/>
      <c r="I1448" s="25"/>
      <c r="J1448" s="25"/>
      <c r="K1448" s="25"/>
      <c r="L1448" s="25"/>
      <c r="M1448" s="25"/>
      <c r="N1448" s="25"/>
      <c r="O1448" s="25"/>
      <c r="P1448" s="25"/>
      <c r="Q1448" s="25"/>
      <c r="R1448" s="25"/>
      <c r="S1448" s="25"/>
      <c r="T1448" s="25"/>
      <c r="U1448" s="25"/>
      <c r="V1448" s="25"/>
      <c r="W1448" s="25"/>
      <c r="X1448" s="25"/>
      <c r="Y1448" s="25"/>
      <c r="Z1448" s="25"/>
      <c r="AA1448" s="25"/>
      <c r="AB1448" s="25"/>
      <c r="AC1448" s="25"/>
      <c r="AD1448" s="25"/>
      <c r="AE1448" s="25"/>
      <c r="AF1448" s="25"/>
      <c r="AG1448" s="25"/>
      <c r="AH1448" s="25"/>
      <c r="AI1448" s="25"/>
      <c r="AJ1448" s="25"/>
      <c r="AK1448" s="25"/>
      <c r="AL1448" s="25"/>
      <c r="AM1448" s="25"/>
      <c r="AN1448" s="25"/>
      <c r="AO1448" s="25"/>
      <c r="AP1448" s="25"/>
      <c r="AQ1448" s="25"/>
      <c r="AR1448" s="25"/>
      <c r="AS1448" s="25"/>
      <c r="AT1448" s="25"/>
      <c r="AU1448" s="25"/>
      <c r="AV1448" s="25"/>
      <c r="AW1448" s="25"/>
      <c r="AX1448" s="25"/>
    </row>
    <row r="1449" ht="15.75" customHeight="1">
      <c r="A1449" s="25"/>
      <c r="B1449" s="25"/>
      <c r="C1449" s="27"/>
      <c r="D1449" s="28"/>
      <c r="E1449" s="28"/>
      <c r="F1449" s="25"/>
      <c r="G1449" s="25"/>
      <c r="H1449" s="25"/>
      <c r="I1449" s="25"/>
      <c r="J1449" s="25"/>
      <c r="K1449" s="25"/>
      <c r="L1449" s="25"/>
      <c r="M1449" s="25"/>
      <c r="N1449" s="25"/>
      <c r="O1449" s="25"/>
      <c r="P1449" s="25"/>
      <c r="Q1449" s="25"/>
      <c r="R1449" s="25"/>
      <c r="S1449" s="25"/>
      <c r="T1449" s="25"/>
      <c r="U1449" s="25"/>
      <c r="V1449" s="25"/>
      <c r="W1449" s="25"/>
      <c r="X1449" s="25"/>
      <c r="Y1449" s="25"/>
      <c r="Z1449" s="25"/>
      <c r="AA1449" s="25"/>
      <c r="AB1449" s="25"/>
      <c r="AC1449" s="25"/>
      <c r="AD1449" s="25"/>
      <c r="AE1449" s="25"/>
      <c r="AF1449" s="25"/>
      <c r="AG1449" s="25"/>
      <c r="AH1449" s="25"/>
      <c r="AI1449" s="25"/>
      <c r="AJ1449" s="25"/>
      <c r="AK1449" s="25"/>
      <c r="AL1449" s="25"/>
      <c r="AM1449" s="25"/>
      <c r="AN1449" s="25"/>
      <c r="AO1449" s="25"/>
      <c r="AP1449" s="25"/>
      <c r="AQ1449" s="25"/>
      <c r="AR1449" s="25"/>
      <c r="AS1449" s="25"/>
      <c r="AT1449" s="25"/>
      <c r="AU1449" s="25"/>
      <c r="AV1449" s="25"/>
      <c r="AW1449" s="25"/>
      <c r="AX1449" s="25"/>
    </row>
    <row r="1450" ht="15.75" customHeight="1">
      <c r="A1450" s="25"/>
      <c r="B1450" s="25"/>
      <c r="C1450" s="27"/>
      <c r="D1450" s="28"/>
      <c r="E1450" s="28"/>
      <c r="F1450" s="25"/>
      <c r="G1450" s="25"/>
      <c r="H1450" s="25"/>
      <c r="I1450" s="25"/>
      <c r="J1450" s="25"/>
      <c r="K1450" s="25"/>
      <c r="L1450" s="25"/>
      <c r="M1450" s="25"/>
      <c r="N1450" s="25"/>
      <c r="O1450" s="25"/>
      <c r="P1450" s="25"/>
      <c r="Q1450" s="25"/>
      <c r="R1450" s="25"/>
      <c r="S1450" s="25"/>
      <c r="T1450" s="25"/>
      <c r="U1450" s="25"/>
      <c r="V1450" s="25"/>
      <c r="W1450" s="25"/>
      <c r="X1450" s="25"/>
      <c r="Y1450" s="25"/>
      <c r="Z1450" s="25"/>
      <c r="AA1450" s="25"/>
      <c r="AB1450" s="25"/>
      <c r="AC1450" s="25"/>
      <c r="AD1450" s="25"/>
      <c r="AE1450" s="25"/>
      <c r="AF1450" s="25"/>
      <c r="AG1450" s="25"/>
      <c r="AH1450" s="25"/>
      <c r="AI1450" s="25"/>
      <c r="AJ1450" s="25"/>
      <c r="AK1450" s="25"/>
      <c r="AL1450" s="25"/>
      <c r="AM1450" s="25"/>
      <c r="AN1450" s="25"/>
      <c r="AO1450" s="25"/>
      <c r="AP1450" s="25"/>
      <c r="AQ1450" s="25"/>
      <c r="AR1450" s="25"/>
      <c r="AS1450" s="25"/>
      <c r="AT1450" s="25"/>
      <c r="AU1450" s="25"/>
      <c r="AV1450" s="25"/>
      <c r="AW1450" s="25"/>
      <c r="AX1450" s="25"/>
    </row>
    <row r="1451" ht="15.75" customHeight="1">
      <c r="A1451" s="25"/>
      <c r="B1451" s="25"/>
      <c r="C1451" s="27"/>
      <c r="D1451" s="28"/>
      <c r="E1451" s="28"/>
      <c r="F1451" s="25"/>
      <c r="G1451" s="25"/>
      <c r="H1451" s="25"/>
      <c r="I1451" s="25"/>
      <c r="J1451" s="25"/>
      <c r="K1451" s="25"/>
      <c r="L1451" s="25"/>
      <c r="M1451" s="25"/>
      <c r="N1451" s="25"/>
      <c r="O1451" s="25"/>
      <c r="P1451" s="25"/>
      <c r="Q1451" s="25"/>
      <c r="R1451" s="25"/>
      <c r="S1451" s="25"/>
      <c r="T1451" s="25"/>
      <c r="U1451" s="25"/>
      <c r="V1451" s="25"/>
      <c r="W1451" s="25"/>
      <c r="X1451" s="25"/>
      <c r="Y1451" s="25"/>
      <c r="Z1451" s="25"/>
      <c r="AA1451" s="25"/>
      <c r="AB1451" s="25"/>
      <c r="AC1451" s="25"/>
      <c r="AD1451" s="25"/>
      <c r="AE1451" s="25"/>
      <c r="AF1451" s="25"/>
      <c r="AG1451" s="25"/>
      <c r="AH1451" s="25"/>
      <c r="AI1451" s="25"/>
      <c r="AJ1451" s="25"/>
      <c r="AK1451" s="25"/>
      <c r="AL1451" s="25"/>
      <c r="AM1451" s="25"/>
      <c r="AN1451" s="25"/>
      <c r="AO1451" s="25"/>
      <c r="AP1451" s="25"/>
      <c r="AQ1451" s="25"/>
      <c r="AR1451" s="25"/>
      <c r="AS1451" s="25"/>
      <c r="AT1451" s="25"/>
      <c r="AU1451" s="25"/>
      <c r="AV1451" s="25"/>
      <c r="AW1451" s="25"/>
      <c r="AX1451" s="25"/>
    </row>
    <row r="1452" ht="15.75" customHeight="1">
      <c r="A1452" s="25"/>
      <c r="B1452" s="25"/>
      <c r="C1452" s="27"/>
      <c r="D1452" s="28"/>
      <c r="E1452" s="28"/>
      <c r="F1452" s="25"/>
      <c r="G1452" s="25"/>
      <c r="H1452" s="25"/>
      <c r="I1452" s="25"/>
      <c r="J1452" s="25"/>
      <c r="K1452" s="25"/>
      <c r="L1452" s="25"/>
      <c r="M1452" s="25"/>
      <c r="N1452" s="25"/>
      <c r="O1452" s="25"/>
      <c r="P1452" s="25"/>
      <c r="Q1452" s="25"/>
      <c r="R1452" s="25"/>
      <c r="S1452" s="25"/>
      <c r="T1452" s="25"/>
      <c r="U1452" s="25"/>
      <c r="V1452" s="25"/>
      <c r="W1452" s="25"/>
      <c r="X1452" s="25"/>
      <c r="Y1452" s="25"/>
      <c r="Z1452" s="25"/>
      <c r="AA1452" s="25"/>
      <c r="AB1452" s="25"/>
      <c r="AC1452" s="25"/>
      <c r="AD1452" s="25"/>
      <c r="AE1452" s="25"/>
      <c r="AF1452" s="25"/>
      <c r="AG1452" s="25"/>
      <c r="AH1452" s="25"/>
      <c r="AI1452" s="25"/>
      <c r="AJ1452" s="25"/>
      <c r="AK1452" s="25"/>
      <c r="AL1452" s="25"/>
      <c r="AM1452" s="25"/>
      <c r="AN1452" s="25"/>
      <c r="AO1452" s="25"/>
      <c r="AP1452" s="25"/>
      <c r="AQ1452" s="25"/>
      <c r="AR1452" s="25"/>
      <c r="AS1452" s="25"/>
      <c r="AT1452" s="25"/>
      <c r="AU1452" s="25"/>
      <c r="AV1452" s="25"/>
      <c r="AW1452" s="25"/>
      <c r="AX1452" s="25"/>
    </row>
    <row r="1453" ht="15.75" customHeight="1">
      <c r="A1453" s="25"/>
      <c r="B1453" s="25"/>
      <c r="C1453" s="27"/>
      <c r="D1453" s="28"/>
      <c r="E1453" s="28"/>
      <c r="F1453" s="25"/>
      <c r="G1453" s="25"/>
      <c r="H1453" s="25"/>
      <c r="I1453" s="25"/>
      <c r="J1453" s="25"/>
      <c r="K1453" s="25"/>
      <c r="L1453" s="25"/>
      <c r="M1453" s="25"/>
      <c r="N1453" s="25"/>
      <c r="O1453" s="25"/>
      <c r="P1453" s="25"/>
      <c r="Q1453" s="25"/>
      <c r="R1453" s="25"/>
      <c r="S1453" s="25"/>
      <c r="T1453" s="25"/>
      <c r="U1453" s="25"/>
      <c r="V1453" s="25"/>
      <c r="W1453" s="25"/>
      <c r="X1453" s="25"/>
      <c r="Y1453" s="25"/>
      <c r="Z1453" s="25"/>
      <c r="AA1453" s="25"/>
      <c r="AB1453" s="25"/>
      <c r="AC1453" s="25"/>
      <c r="AD1453" s="25"/>
      <c r="AE1453" s="25"/>
      <c r="AF1453" s="25"/>
      <c r="AG1453" s="25"/>
      <c r="AH1453" s="25"/>
      <c r="AI1453" s="25"/>
      <c r="AJ1453" s="25"/>
      <c r="AK1453" s="25"/>
      <c r="AL1453" s="25"/>
      <c r="AM1453" s="25"/>
      <c r="AN1453" s="25"/>
      <c r="AO1453" s="25"/>
      <c r="AP1453" s="25"/>
      <c r="AQ1453" s="25"/>
      <c r="AR1453" s="25"/>
      <c r="AS1453" s="25"/>
      <c r="AT1453" s="25"/>
      <c r="AU1453" s="25"/>
      <c r="AV1453" s="25"/>
      <c r="AW1453" s="25"/>
      <c r="AX1453" s="25"/>
    </row>
    <row r="1454" ht="15.75" customHeight="1">
      <c r="A1454" s="25"/>
      <c r="B1454" s="25"/>
      <c r="C1454" s="27"/>
      <c r="D1454" s="28"/>
      <c r="E1454" s="28"/>
      <c r="F1454" s="25"/>
      <c r="G1454" s="25"/>
      <c r="H1454" s="25"/>
      <c r="I1454" s="25"/>
      <c r="J1454" s="25"/>
      <c r="K1454" s="25"/>
      <c r="L1454" s="25"/>
      <c r="M1454" s="25"/>
      <c r="N1454" s="25"/>
      <c r="O1454" s="25"/>
      <c r="P1454" s="25"/>
      <c r="Q1454" s="25"/>
      <c r="R1454" s="25"/>
      <c r="S1454" s="25"/>
      <c r="T1454" s="25"/>
      <c r="U1454" s="25"/>
      <c r="V1454" s="25"/>
      <c r="W1454" s="25"/>
      <c r="X1454" s="25"/>
      <c r="Y1454" s="25"/>
      <c r="Z1454" s="25"/>
      <c r="AA1454" s="25"/>
      <c r="AB1454" s="25"/>
      <c r="AC1454" s="25"/>
      <c r="AD1454" s="25"/>
      <c r="AE1454" s="25"/>
      <c r="AF1454" s="25"/>
      <c r="AG1454" s="25"/>
      <c r="AH1454" s="25"/>
      <c r="AI1454" s="25"/>
      <c r="AJ1454" s="25"/>
      <c r="AK1454" s="25"/>
      <c r="AL1454" s="25"/>
      <c r="AM1454" s="25"/>
      <c r="AN1454" s="25"/>
      <c r="AO1454" s="25"/>
      <c r="AP1454" s="25"/>
      <c r="AQ1454" s="25"/>
      <c r="AR1454" s="25"/>
      <c r="AS1454" s="25"/>
      <c r="AT1454" s="25"/>
      <c r="AU1454" s="25"/>
      <c r="AV1454" s="25"/>
      <c r="AW1454" s="25"/>
      <c r="AX1454" s="25"/>
    </row>
    <row r="1455" ht="15.75" customHeight="1">
      <c r="A1455" s="25"/>
      <c r="B1455" s="25"/>
      <c r="C1455" s="27"/>
      <c r="D1455" s="28"/>
      <c r="E1455" s="28"/>
      <c r="F1455" s="25"/>
      <c r="G1455" s="25"/>
      <c r="H1455" s="25"/>
      <c r="I1455" s="25"/>
      <c r="J1455" s="25"/>
      <c r="K1455" s="25"/>
      <c r="L1455" s="25"/>
      <c r="M1455" s="25"/>
      <c r="N1455" s="25"/>
      <c r="O1455" s="25"/>
      <c r="P1455" s="25"/>
      <c r="Q1455" s="25"/>
      <c r="R1455" s="25"/>
      <c r="S1455" s="25"/>
      <c r="T1455" s="25"/>
      <c r="U1455" s="25"/>
      <c r="V1455" s="25"/>
      <c r="W1455" s="25"/>
      <c r="X1455" s="25"/>
      <c r="Y1455" s="25"/>
      <c r="Z1455" s="25"/>
      <c r="AA1455" s="25"/>
      <c r="AB1455" s="25"/>
      <c r="AC1455" s="25"/>
      <c r="AD1455" s="25"/>
      <c r="AE1455" s="25"/>
      <c r="AF1455" s="25"/>
      <c r="AG1455" s="25"/>
      <c r="AH1455" s="25"/>
      <c r="AI1455" s="25"/>
      <c r="AJ1455" s="25"/>
      <c r="AK1455" s="25"/>
      <c r="AL1455" s="25"/>
      <c r="AM1455" s="25"/>
      <c r="AN1455" s="25"/>
      <c r="AO1455" s="25"/>
      <c r="AP1455" s="25"/>
      <c r="AQ1455" s="25"/>
      <c r="AR1455" s="25"/>
      <c r="AS1455" s="25"/>
      <c r="AT1455" s="25"/>
      <c r="AU1455" s="25"/>
      <c r="AV1455" s="25"/>
      <c r="AW1455" s="25"/>
      <c r="AX1455" s="25"/>
    </row>
    <row r="1456" ht="15.75" customHeight="1">
      <c r="A1456" s="25"/>
      <c r="B1456" s="25"/>
      <c r="C1456" s="27"/>
      <c r="D1456" s="28"/>
      <c r="E1456" s="28"/>
      <c r="F1456" s="25"/>
      <c r="G1456" s="25"/>
      <c r="H1456" s="25"/>
      <c r="I1456" s="25"/>
      <c r="J1456" s="25"/>
      <c r="K1456" s="25"/>
      <c r="L1456" s="25"/>
      <c r="M1456" s="25"/>
      <c r="N1456" s="25"/>
      <c r="O1456" s="25"/>
      <c r="P1456" s="25"/>
      <c r="Q1456" s="25"/>
      <c r="R1456" s="25"/>
      <c r="S1456" s="25"/>
      <c r="T1456" s="25"/>
      <c r="U1456" s="25"/>
      <c r="V1456" s="25"/>
      <c r="W1456" s="25"/>
      <c r="X1456" s="25"/>
      <c r="Y1456" s="25"/>
      <c r="Z1456" s="25"/>
      <c r="AA1456" s="25"/>
      <c r="AB1456" s="25"/>
      <c r="AC1456" s="25"/>
      <c r="AD1456" s="25"/>
      <c r="AE1456" s="25"/>
      <c r="AF1456" s="25"/>
      <c r="AG1456" s="25"/>
      <c r="AH1456" s="25"/>
      <c r="AI1456" s="25"/>
      <c r="AJ1456" s="25"/>
      <c r="AK1456" s="25"/>
      <c r="AL1456" s="25"/>
      <c r="AM1456" s="25"/>
      <c r="AN1456" s="25"/>
      <c r="AO1456" s="25"/>
      <c r="AP1456" s="25"/>
      <c r="AQ1456" s="25"/>
      <c r="AR1456" s="25"/>
      <c r="AS1456" s="25"/>
      <c r="AT1456" s="25"/>
      <c r="AU1456" s="25"/>
      <c r="AV1456" s="25"/>
      <c r="AW1456" s="25"/>
      <c r="AX1456" s="25"/>
    </row>
    <row r="1457" ht="15.75" customHeight="1">
      <c r="A1457" s="25"/>
      <c r="B1457" s="25"/>
      <c r="C1457" s="27"/>
      <c r="D1457" s="28"/>
      <c r="E1457" s="28"/>
      <c r="F1457" s="25"/>
      <c r="G1457" s="25"/>
      <c r="H1457" s="25"/>
      <c r="I1457" s="25"/>
      <c r="J1457" s="25"/>
      <c r="K1457" s="25"/>
      <c r="L1457" s="25"/>
      <c r="M1457" s="25"/>
      <c r="N1457" s="25"/>
      <c r="O1457" s="25"/>
      <c r="P1457" s="25"/>
      <c r="Q1457" s="25"/>
      <c r="R1457" s="25"/>
      <c r="S1457" s="25"/>
      <c r="T1457" s="25"/>
      <c r="U1457" s="25"/>
      <c r="V1457" s="25"/>
      <c r="W1457" s="25"/>
      <c r="X1457" s="25"/>
      <c r="Y1457" s="25"/>
      <c r="Z1457" s="25"/>
      <c r="AA1457" s="25"/>
      <c r="AB1457" s="25"/>
      <c r="AC1457" s="25"/>
      <c r="AD1457" s="25"/>
      <c r="AE1457" s="25"/>
      <c r="AF1457" s="25"/>
      <c r="AG1457" s="25"/>
      <c r="AH1457" s="25"/>
      <c r="AI1457" s="25"/>
      <c r="AJ1457" s="25"/>
      <c r="AK1457" s="25"/>
      <c r="AL1457" s="25"/>
      <c r="AM1457" s="25"/>
      <c r="AN1457" s="25"/>
      <c r="AO1457" s="25"/>
      <c r="AP1457" s="25"/>
      <c r="AQ1457" s="25"/>
      <c r="AR1457" s="25"/>
      <c r="AS1457" s="25"/>
      <c r="AT1457" s="25"/>
      <c r="AU1457" s="25"/>
      <c r="AV1457" s="25"/>
      <c r="AW1457" s="25"/>
      <c r="AX1457" s="25"/>
    </row>
    <row r="1458" ht="15.75" customHeight="1">
      <c r="A1458" s="25"/>
      <c r="B1458" s="25"/>
      <c r="C1458" s="27"/>
      <c r="D1458" s="28"/>
      <c r="E1458" s="28"/>
      <c r="F1458" s="25"/>
      <c r="G1458" s="25"/>
      <c r="H1458" s="25"/>
      <c r="I1458" s="25"/>
      <c r="J1458" s="25"/>
      <c r="K1458" s="25"/>
      <c r="L1458" s="25"/>
      <c r="M1458" s="25"/>
      <c r="N1458" s="25"/>
      <c r="O1458" s="25"/>
      <c r="P1458" s="25"/>
      <c r="Q1458" s="25"/>
      <c r="R1458" s="25"/>
      <c r="S1458" s="25"/>
      <c r="T1458" s="25"/>
      <c r="U1458" s="25"/>
      <c r="V1458" s="25"/>
      <c r="W1458" s="25"/>
      <c r="X1458" s="25"/>
      <c r="Y1458" s="25"/>
      <c r="Z1458" s="25"/>
      <c r="AA1458" s="25"/>
      <c r="AB1458" s="25"/>
      <c r="AC1458" s="25"/>
      <c r="AD1458" s="25"/>
      <c r="AE1458" s="25"/>
      <c r="AF1458" s="25"/>
      <c r="AG1458" s="25"/>
      <c r="AH1458" s="25"/>
      <c r="AI1458" s="25"/>
      <c r="AJ1458" s="25"/>
      <c r="AK1458" s="25"/>
      <c r="AL1458" s="25"/>
      <c r="AM1458" s="25"/>
      <c r="AN1458" s="25"/>
      <c r="AO1458" s="25"/>
      <c r="AP1458" s="25"/>
      <c r="AQ1458" s="25"/>
      <c r="AR1458" s="25"/>
      <c r="AS1458" s="25"/>
      <c r="AT1458" s="25"/>
      <c r="AU1458" s="25"/>
      <c r="AV1458" s="25"/>
      <c r="AW1458" s="25"/>
      <c r="AX1458" s="25"/>
    </row>
    <row r="1459" ht="15.75" customHeight="1">
      <c r="A1459" s="25"/>
      <c r="B1459" s="25"/>
      <c r="C1459" s="27"/>
      <c r="D1459" s="28"/>
      <c r="E1459" s="28"/>
      <c r="F1459" s="25"/>
      <c r="G1459" s="25"/>
      <c r="H1459" s="25"/>
      <c r="I1459" s="25"/>
      <c r="J1459" s="25"/>
      <c r="K1459" s="25"/>
      <c r="L1459" s="25"/>
      <c r="M1459" s="25"/>
      <c r="N1459" s="25"/>
      <c r="O1459" s="25"/>
      <c r="P1459" s="25"/>
      <c r="Q1459" s="25"/>
      <c r="R1459" s="25"/>
      <c r="S1459" s="25"/>
      <c r="T1459" s="25"/>
      <c r="U1459" s="25"/>
      <c r="V1459" s="25"/>
      <c r="W1459" s="25"/>
      <c r="X1459" s="25"/>
      <c r="Y1459" s="25"/>
      <c r="Z1459" s="25"/>
      <c r="AA1459" s="25"/>
      <c r="AB1459" s="25"/>
      <c r="AC1459" s="25"/>
      <c r="AD1459" s="25"/>
      <c r="AE1459" s="25"/>
      <c r="AF1459" s="25"/>
      <c r="AG1459" s="25"/>
      <c r="AH1459" s="25"/>
      <c r="AI1459" s="25"/>
      <c r="AJ1459" s="25"/>
      <c r="AK1459" s="25"/>
      <c r="AL1459" s="25"/>
      <c r="AM1459" s="25"/>
      <c r="AN1459" s="25"/>
      <c r="AO1459" s="25"/>
      <c r="AP1459" s="25"/>
      <c r="AQ1459" s="25"/>
      <c r="AR1459" s="25"/>
      <c r="AS1459" s="25"/>
      <c r="AT1459" s="25"/>
      <c r="AU1459" s="25"/>
      <c r="AV1459" s="25"/>
      <c r="AW1459" s="25"/>
      <c r="AX1459" s="25"/>
    </row>
    <row r="1460" ht="15.75" customHeight="1">
      <c r="A1460" s="25"/>
      <c r="B1460" s="25"/>
      <c r="C1460" s="27"/>
      <c r="D1460" s="28"/>
      <c r="E1460" s="28"/>
      <c r="F1460" s="25"/>
      <c r="G1460" s="25"/>
      <c r="H1460" s="25"/>
      <c r="I1460" s="25"/>
      <c r="J1460" s="25"/>
      <c r="K1460" s="25"/>
      <c r="L1460" s="25"/>
      <c r="M1460" s="25"/>
      <c r="N1460" s="25"/>
      <c r="O1460" s="25"/>
      <c r="P1460" s="25"/>
      <c r="Q1460" s="25"/>
      <c r="R1460" s="25"/>
      <c r="S1460" s="25"/>
      <c r="T1460" s="25"/>
      <c r="U1460" s="25"/>
      <c r="V1460" s="25"/>
      <c r="W1460" s="25"/>
      <c r="X1460" s="25"/>
      <c r="Y1460" s="25"/>
      <c r="Z1460" s="25"/>
      <c r="AA1460" s="25"/>
      <c r="AB1460" s="25"/>
      <c r="AC1460" s="25"/>
      <c r="AD1460" s="25"/>
      <c r="AE1460" s="25"/>
      <c r="AF1460" s="25"/>
      <c r="AG1460" s="25"/>
      <c r="AH1460" s="25"/>
      <c r="AI1460" s="25"/>
      <c r="AJ1460" s="25"/>
      <c r="AK1460" s="25"/>
      <c r="AL1460" s="25"/>
      <c r="AM1460" s="25"/>
      <c r="AN1460" s="25"/>
      <c r="AO1460" s="25"/>
      <c r="AP1460" s="25"/>
      <c r="AQ1460" s="25"/>
      <c r="AR1460" s="25"/>
      <c r="AS1460" s="25"/>
      <c r="AT1460" s="25"/>
      <c r="AU1460" s="25"/>
      <c r="AV1460" s="25"/>
      <c r="AW1460" s="25"/>
      <c r="AX1460" s="25"/>
    </row>
    <row r="1461" ht="15.75" customHeight="1">
      <c r="A1461" s="25"/>
      <c r="B1461" s="25"/>
      <c r="C1461" s="27"/>
      <c r="D1461" s="28"/>
      <c r="E1461" s="28"/>
      <c r="F1461" s="25"/>
      <c r="G1461" s="25"/>
      <c r="H1461" s="25"/>
      <c r="I1461" s="25"/>
      <c r="J1461" s="25"/>
      <c r="K1461" s="25"/>
      <c r="L1461" s="25"/>
      <c r="M1461" s="25"/>
      <c r="N1461" s="25"/>
      <c r="O1461" s="25"/>
      <c r="P1461" s="25"/>
      <c r="Q1461" s="25"/>
      <c r="R1461" s="25"/>
      <c r="S1461" s="25"/>
      <c r="T1461" s="25"/>
      <c r="U1461" s="25"/>
      <c r="V1461" s="25"/>
      <c r="W1461" s="25"/>
      <c r="X1461" s="25"/>
      <c r="Y1461" s="25"/>
      <c r="Z1461" s="25"/>
      <c r="AA1461" s="25"/>
      <c r="AB1461" s="25"/>
      <c r="AC1461" s="25"/>
      <c r="AD1461" s="25"/>
      <c r="AE1461" s="25"/>
      <c r="AF1461" s="25"/>
      <c r="AG1461" s="25"/>
      <c r="AH1461" s="25"/>
      <c r="AI1461" s="25"/>
      <c r="AJ1461" s="25"/>
      <c r="AK1461" s="25"/>
      <c r="AL1461" s="25"/>
      <c r="AM1461" s="25"/>
      <c r="AN1461" s="25"/>
      <c r="AO1461" s="25"/>
      <c r="AP1461" s="25"/>
      <c r="AQ1461" s="25"/>
      <c r="AR1461" s="25"/>
      <c r="AS1461" s="25"/>
      <c r="AT1461" s="25"/>
      <c r="AU1461" s="25"/>
      <c r="AV1461" s="25"/>
      <c r="AW1461" s="25"/>
      <c r="AX1461" s="25"/>
    </row>
    <row r="1462" ht="15.75" customHeight="1">
      <c r="A1462" s="25"/>
      <c r="B1462" s="25"/>
      <c r="C1462" s="27"/>
      <c r="D1462" s="28"/>
      <c r="E1462" s="28"/>
      <c r="F1462" s="25"/>
      <c r="G1462" s="25"/>
      <c r="H1462" s="25"/>
      <c r="I1462" s="25"/>
      <c r="J1462" s="25"/>
      <c r="K1462" s="25"/>
      <c r="L1462" s="25"/>
      <c r="M1462" s="25"/>
      <c r="N1462" s="25"/>
      <c r="O1462" s="25"/>
      <c r="P1462" s="25"/>
      <c r="Q1462" s="25"/>
      <c r="R1462" s="25"/>
      <c r="S1462" s="25"/>
      <c r="T1462" s="25"/>
      <c r="U1462" s="25"/>
      <c r="V1462" s="25"/>
      <c r="W1462" s="25"/>
      <c r="X1462" s="25"/>
      <c r="Y1462" s="25"/>
      <c r="Z1462" s="25"/>
      <c r="AA1462" s="25"/>
      <c r="AB1462" s="25"/>
      <c r="AC1462" s="25"/>
      <c r="AD1462" s="25"/>
      <c r="AE1462" s="25"/>
      <c r="AF1462" s="25"/>
      <c r="AG1462" s="25"/>
      <c r="AH1462" s="25"/>
      <c r="AI1462" s="25"/>
      <c r="AJ1462" s="25"/>
      <c r="AK1462" s="25"/>
      <c r="AL1462" s="25"/>
      <c r="AM1462" s="25"/>
      <c r="AN1462" s="25"/>
      <c r="AO1462" s="25"/>
      <c r="AP1462" s="25"/>
      <c r="AQ1462" s="25"/>
      <c r="AR1462" s="25"/>
      <c r="AS1462" s="25"/>
      <c r="AT1462" s="25"/>
      <c r="AU1462" s="25"/>
      <c r="AV1462" s="25"/>
      <c r="AW1462" s="25"/>
      <c r="AX1462" s="25"/>
    </row>
    <row r="1463" ht="15.75" customHeight="1">
      <c r="A1463" s="25"/>
      <c r="B1463" s="25"/>
      <c r="C1463" s="27"/>
      <c r="D1463" s="28"/>
      <c r="E1463" s="28"/>
      <c r="F1463" s="25"/>
      <c r="G1463" s="25"/>
      <c r="H1463" s="25"/>
      <c r="I1463" s="25"/>
      <c r="J1463" s="25"/>
      <c r="K1463" s="25"/>
      <c r="L1463" s="25"/>
      <c r="M1463" s="25"/>
      <c r="N1463" s="25"/>
      <c r="O1463" s="25"/>
      <c r="P1463" s="25"/>
      <c r="Q1463" s="25"/>
      <c r="R1463" s="25"/>
      <c r="S1463" s="25"/>
      <c r="T1463" s="25"/>
      <c r="U1463" s="25"/>
      <c r="V1463" s="25"/>
      <c r="W1463" s="25"/>
      <c r="X1463" s="25"/>
      <c r="Y1463" s="25"/>
      <c r="Z1463" s="25"/>
      <c r="AA1463" s="25"/>
      <c r="AB1463" s="25"/>
      <c r="AC1463" s="25"/>
      <c r="AD1463" s="25"/>
      <c r="AE1463" s="25"/>
      <c r="AF1463" s="25"/>
      <c r="AG1463" s="25"/>
      <c r="AH1463" s="25"/>
      <c r="AI1463" s="25"/>
      <c r="AJ1463" s="25"/>
      <c r="AK1463" s="25"/>
      <c r="AL1463" s="25"/>
      <c r="AM1463" s="25"/>
      <c r="AN1463" s="25"/>
      <c r="AO1463" s="25"/>
      <c r="AP1463" s="25"/>
      <c r="AQ1463" s="25"/>
      <c r="AR1463" s="25"/>
      <c r="AS1463" s="25"/>
      <c r="AT1463" s="25"/>
      <c r="AU1463" s="25"/>
      <c r="AV1463" s="25"/>
      <c r="AW1463" s="25"/>
      <c r="AX1463" s="25"/>
    </row>
    <row r="1464" ht="15.75" customHeight="1">
      <c r="A1464" s="25"/>
      <c r="B1464" s="25"/>
      <c r="C1464" s="27"/>
      <c r="D1464" s="28"/>
      <c r="E1464" s="28"/>
      <c r="F1464" s="25"/>
      <c r="G1464" s="25"/>
      <c r="H1464" s="25"/>
      <c r="I1464" s="25"/>
      <c r="J1464" s="25"/>
      <c r="K1464" s="25"/>
      <c r="L1464" s="25"/>
      <c r="M1464" s="25"/>
      <c r="N1464" s="25"/>
      <c r="O1464" s="25"/>
      <c r="P1464" s="25"/>
      <c r="Q1464" s="25"/>
      <c r="R1464" s="25"/>
      <c r="S1464" s="25"/>
      <c r="T1464" s="25"/>
      <c r="U1464" s="25"/>
      <c r="V1464" s="25"/>
      <c r="W1464" s="25"/>
      <c r="X1464" s="25"/>
      <c r="Y1464" s="25"/>
      <c r="Z1464" s="25"/>
      <c r="AA1464" s="25"/>
      <c r="AB1464" s="25"/>
      <c r="AC1464" s="25"/>
      <c r="AD1464" s="25"/>
      <c r="AE1464" s="25"/>
      <c r="AF1464" s="25"/>
      <c r="AG1464" s="25"/>
      <c r="AH1464" s="25"/>
      <c r="AI1464" s="25"/>
      <c r="AJ1464" s="25"/>
      <c r="AK1464" s="25"/>
      <c r="AL1464" s="25"/>
      <c r="AM1464" s="25"/>
      <c r="AN1464" s="25"/>
      <c r="AO1464" s="25"/>
      <c r="AP1464" s="25"/>
      <c r="AQ1464" s="25"/>
      <c r="AR1464" s="25"/>
      <c r="AS1464" s="25"/>
      <c r="AT1464" s="25"/>
      <c r="AU1464" s="25"/>
      <c r="AV1464" s="25"/>
      <c r="AW1464" s="25"/>
      <c r="AX1464" s="25"/>
    </row>
    <row r="1465" ht="15.75" customHeight="1">
      <c r="A1465" s="25"/>
      <c r="B1465" s="25"/>
      <c r="C1465" s="27"/>
      <c r="D1465" s="28"/>
      <c r="E1465" s="28"/>
      <c r="F1465" s="25"/>
      <c r="G1465" s="25"/>
      <c r="H1465" s="25"/>
      <c r="I1465" s="25"/>
      <c r="J1465" s="25"/>
      <c r="K1465" s="25"/>
      <c r="L1465" s="25"/>
      <c r="M1465" s="25"/>
      <c r="N1465" s="25"/>
      <c r="O1465" s="25"/>
      <c r="P1465" s="25"/>
      <c r="Q1465" s="25"/>
      <c r="R1465" s="25"/>
      <c r="S1465" s="25"/>
      <c r="T1465" s="25"/>
      <c r="U1465" s="25"/>
      <c r="V1465" s="25"/>
      <c r="W1465" s="25"/>
      <c r="X1465" s="25"/>
      <c r="Y1465" s="25"/>
      <c r="Z1465" s="25"/>
      <c r="AA1465" s="25"/>
      <c r="AB1465" s="25"/>
      <c r="AC1465" s="25"/>
      <c r="AD1465" s="25"/>
      <c r="AE1465" s="25"/>
      <c r="AF1465" s="25"/>
      <c r="AG1465" s="25"/>
      <c r="AH1465" s="25"/>
      <c r="AI1465" s="25"/>
      <c r="AJ1465" s="25"/>
      <c r="AK1465" s="25"/>
      <c r="AL1465" s="25"/>
      <c r="AM1465" s="25"/>
      <c r="AN1465" s="25"/>
      <c r="AO1465" s="25"/>
      <c r="AP1465" s="25"/>
      <c r="AQ1465" s="25"/>
      <c r="AR1465" s="25"/>
      <c r="AS1465" s="25"/>
      <c r="AT1465" s="25"/>
      <c r="AU1465" s="25"/>
      <c r="AV1465" s="25"/>
      <c r="AW1465" s="25"/>
      <c r="AX1465" s="25"/>
    </row>
    <row r="1466" ht="15.75" customHeight="1">
      <c r="A1466" s="25"/>
      <c r="B1466" s="25"/>
      <c r="C1466" s="27"/>
      <c r="D1466" s="28"/>
      <c r="E1466" s="28"/>
      <c r="F1466" s="25"/>
      <c r="G1466" s="25"/>
      <c r="H1466" s="25"/>
      <c r="I1466" s="25"/>
      <c r="J1466" s="25"/>
      <c r="K1466" s="25"/>
      <c r="L1466" s="25"/>
      <c r="M1466" s="25"/>
      <c r="N1466" s="25"/>
      <c r="O1466" s="25"/>
      <c r="P1466" s="25"/>
      <c r="Q1466" s="25"/>
      <c r="R1466" s="25"/>
      <c r="S1466" s="25"/>
      <c r="T1466" s="25"/>
      <c r="U1466" s="25"/>
      <c r="V1466" s="25"/>
      <c r="W1466" s="25"/>
      <c r="X1466" s="25"/>
      <c r="Y1466" s="25"/>
      <c r="Z1466" s="25"/>
      <c r="AA1466" s="25"/>
      <c r="AB1466" s="25"/>
      <c r="AC1466" s="25"/>
      <c r="AD1466" s="25"/>
      <c r="AE1466" s="25"/>
      <c r="AF1466" s="25"/>
      <c r="AG1466" s="25"/>
      <c r="AH1466" s="25"/>
      <c r="AI1466" s="25"/>
      <c r="AJ1466" s="25"/>
      <c r="AK1466" s="25"/>
      <c r="AL1466" s="25"/>
      <c r="AM1466" s="25"/>
      <c r="AN1466" s="25"/>
      <c r="AO1466" s="25"/>
      <c r="AP1466" s="25"/>
      <c r="AQ1466" s="25"/>
      <c r="AR1466" s="25"/>
      <c r="AS1466" s="25"/>
      <c r="AT1466" s="25"/>
      <c r="AU1466" s="25"/>
      <c r="AV1466" s="25"/>
      <c r="AW1466" s="25"/>
      <c r="AX1466" s="25"/>
    </row>
    <row r="1467" ht="15.75" customHeight="1">
      <c r="A1467" s="25"/>
      <c r="B1467" s="25"/>
      <c r="C1467" s="27"/>
      <c r="D1467" s="28"/>
      <c r="E1467" s="28"/>
      <c r="F1467" s="25"/>
      <c r="G1467" s="25"/>
      <c r="H1467" s="25"/>
      <c r="I1467" s="25"/>
      <c r="J1467" s="25"/>
      <c r="K1467" s="25"/>
      <c r="L1467" s="25"/>
      <c r="M1467" s="25"/>
      <c r="N1467" s="25"/>
      <c r="O1467" s="25"/>
      <c r="P1467" s="25"/>
      <c r="Q1467" s="25"/>
      <c r="R1467" s="25"/>
      <c r="S1467" s="25"/>
      <c r="T1467" s="25"/>
      <c r="U1467" s="25"/>
      <c r="V1467" s="25"/>
      <c r="W1467" s="25"/>
      <c r="X1467" s="25"/>
      <c r="Y1467" s="25"/>
      <c r="Z1467" s="25"/>
      <c r="AA1467" s="25"/>
      <c r="AB1467" s="25"/>
      <c r="AC1467" s="25"/>
      <c r="AD1467" s="25"/>
      <c r="AE1467" s="25"/>
      <c r="AF1467" s="25"/>
      <c r="AG1467" s="25"/>
      <c r="AH1467" s="25"/>
      <c r="AI1467" s="25"/>
      <c r="AJ1467" s="25"/>
      <c r="AK1467" s="25"/>
      <c r="AL1467" s="25"/>
      <c r="AM1467" s="25"/>
      <c r="AN1467" s="25"/>
      <c r="AO1467" s="25"/>
      <c r="AP1467" s="25"/>
      <c r="AQ1467" s="25"/>
      <c r="AR1467" s="25"/>
      <c r="AS1467" s="25"/>
      <c r="AT1467" s="25"/>
      <c r="AU1467" s="25"/>
      <c r="AV1467" s="25"/>
      <c r="AW1467" s="25"/>
      <c r="AX1467" s="25"/>
    </row>
    <row r="1468" ht="15.75" customHeight="1">
      <c r="A1468" s="25"/>
      <c r="B1468" s="25"/>
      <c r="C1468" s="27"/>
      <c r="D1468" s="28"/>
      <c r="E1468" s="28"/>
      <c r="F1468" s="25"/>
      <c r="G1468" s="25"/>
      <c r="H1468" s="25"/>
      <c r="I1468" s="25"/>
      <c r="J1468" s="25"/>
      <c r="K1468" s="25"/>
      <c r="L1468" s="25"/>
      <c r="M1468" s="25"/>
      <c r="N1468" s="25"/>
      <c r="O1468" s="25"/>
      <c r="P1468" s="25"/>
      <c r="Q1468" s="25"/>
      <c r="R1468" s="25"/>
      <c r="S1468" s="25"/>
      <c r="T1468" s="25"/>
      <c r="U1468" s="25"/>
      <c r="V1468" s="25"/>
      <c r="W1468" s="25"/>
      <c r="X1468" s="25"/>
      <c r="Y1468" s="25"/>
      <c r="Z1468" s="25"/>
      <c r="AA1468" s="25"/>
      <c r="AB1468" s="25"/>
      <c r="AC1468" s="25"/>
      <c r="AD1468" s="25"/>
      <c r="AE1468" s="25"/>
      <c r="AF1468" s="25"/>
      <c r="AG1468" s="25"/>
      <c r="AH1468" s="25"/>
      <c r="AI1468" s="25"/>
      <c r="AJ1468" s="25"/>
      <c r="AK1468" s="25"/>
      <c r="AL1468" s="25"/>
      <c r="AM1468" s="25"/>
      <c r="AN1468" s="25"/>
      <c r="AO1468" s="25"/>
      <c r="AP1468" s="25"/>
      <c r="AQ1468" s="25"/>
      <c r="AR1468" s="25"/>
      <c r="AS1468" s="25"/>
      <c r="AT1468" s="25"/>
      <c r="AU1468" s="25"/>
      <c r="AV1468" s="25"/>
      <c r="AW1468" s="25"/>
      <c r="AX1468" s="25"/>
    </row>
    <row r="1469" ht="15.75" customHeight="1">
      <c r="A1469" s="25"/>
      <c r="B1469" s="25"/>
      <c r="C1469" s="27"/>
      <c r="D1469" s="28"/>
      <c r="E1469" s="28"/>
      <c r="F1469" s="25"/>
      <c r="G1469" s="25"/>
      <c r="H1469" s="25"/>
      <c r="I1469" s="25"/>
      <c r="J1469" s="25"/>
      <c r="K1469" s="25"/>
      <c r="L1469" s="25"/>
      <c r="M1469" s="25"/>
      <c r="N1469" s="25"/>
      <c r="O1469" s="25"/>
      <c r="P1469" s="25"/>
      <c r="Q1469" s="25"/>
      <c r="R1469" s="25"/>
      <c r="S1469" s="25"/>
      <c r="T1469" s="25"/>
      <c r="U1469" s="25"/>
      <c r="V1469" s="25"/>
      <c r="W1469" s="25"/>
      <c r="X1469" s="25"/>
      <c r="Y1469" s="25"/>
      <c r="Z1469" s="25"/>
      <c r="AA1469" s="25"/>
      <c r="AB1469" s="25"/>
      <c r="AC1469" s="25"/>
      <c r="AD1469" s="25"/>
      <c r="AE1469" s="25"/>
      <c r="AF1469" s="25"/>
      <c r="AG1469" s="25"/>
      <c r="AH1469" s="25"/>
      <c r="AI1469" s="25"/>
      <c r="AJ1469" s="25"/>
      <c r="AK1469" s="25"/>
      <c r="AL1469" s="25"/>
      <c r="AM1469" s="25"/>
      <c r="AN1469" s="25"/>
      <c r="AO1469" s="25"/>
      <c r="AP1469" s="25"/>
      <c r="AQ1469" s="25"/>
      <c r="AR1469" s="25"/>
      <c r="AS1469" s="25"/>
      <c r="AT1469" s="25"/>
      <c r="AU1469" s="25"/>
      <c r="AV1469" s="25"/>
      <c r="AW1469" s="25"/>
      <c r="AX1469" s="25"/>
    </row>
    <row r="1470" ht="15.75" customHeight="1">
      <c r="A1470" s="25"/>
      <c r="B1470" s="25"/>
      <c r="C1470" s="27"/>
      <c r="D1470" s="28"/>
      <c r="E1470" s="28"/>
      <c r="F1470" s="25"/>
      <c r="G1470" s="25"/>
      <c r="H1470" s="25"/>
      <c r="I1470" s="25"/>
      <c r="J1470" s="25"/>
      <c r="K1470" s="25"/>
      <c r="L1470" s="25"/>
      <c r="M1470" s="25"/>
      <c r="N1470" s="25"/>
      <c r="O1470" s="25"/>
      <c r="P1470" s="25"/>
      <c r="Q1470" s="25"/>
      <c r="R1470" s="25"/>
      <c r="S1470" s="25"/>
      <c r="T1470" s="25"/>
      <c r="U1470" s="25"/>
      <c r="V1470" s="25"/>
      <c r="W1470" s="25"/>
      <c r="X1470" s="25"/>
      <c r="Y1470" s="25"/>
      <c r="Z1470" s="25"/>
      <c r="AA1470" s="25"/>
      <c r="AB1470" s="25"/>
      <c r="AC1470" s="25"/>
      <c r="AD1470" s="25"/>
      <c r="AE1470" s="25"/>
      <c r="AF1470" s="25"/>
      <c r="AG1470" s="25"/>
      <c r="AH1470" s="25"/>
      <c r="AI1470" s="25"/>
      <c r="AJ1470" s="25"/>
      <c r="AK1470" s="25"/>
      <c r="AL1470" s="25"/>
      <c r="AM1470" s="25"/>
      <c r="AN1470" s="25"/>
      <c r="AO1470" s="25"/>
      <c r="AP1470" s="25"/>
      <c r="AQ1470" s="25"/>
      <c r="AR1470" s="25"/>
      <c r="AS1470" s="25"/>
      <c r="AT1470" s="25"/>
      <c r="AU1470" s="25"/>
      <c r="AV1470" s="25"/>
      <c r="AW1470" s="25"/>
      <c r="AX1470" s="25"/>
    </row>
    <row r="1471" ht="15.75" customHeight="1">
      <c r="A1471" s="25"/>
      <c r="B1471" s="25"/>
      <c r="C1471" s="27"/>
      <c r="D1471" s="28"/>
      <c r="E1471" s="28"/>
      <c r="F1471" s="25"/>
      <c r="G1471" s="25"/>
      <c r="H1471" s="25"/>
      <c r="I1471" s="25"/>
      <c r="J1471" s="25"/>
      <c r="K1471" s="25"/>
      <c r="L1471" s="25"/>
      <c r="M1471" s="25"/>
      <c r="N1471" s="25"/>
      <c r="O1471" s="25"/>
      <c r="P1471" s="25"/>
      <c r="Q1471" s="25"/>
      <c r="R1471" s="25"/>
      <c r="S1471" s="25"/>
      <c r="T1471" s="25"/>
      <c r="U1471" s="25"/>
      <c r="V1471" s="25"/>
      <c r="W1471" s="25"/>
      <c r="X1471" s="25"/>
      <c r="Y1471" s="25"/>
      <c r="Z1471" s="25"/>
      <c r="AA1471" s="25"/>
      <c r="AB1471" s="25"/>
      <c r="AC1471" s="25"/>
      <c r="AD1471" s="25"/>
      <c r="AE1471" s="25"/>
      <c r="AF1471" s="25"/>
      <c r="AG1471" s="25"/>
      <c r="AH1471" s="25"/>
      <c r="AI1471" s="25"/>
      <c r="AJ1471" s="25"/>
      <c r="AK1471" s="25"/>
      <c r="AL1471" s="25"/>
      <c r="AM1471" s="25"/>
      <c r="AN1471" s="25"/>
      <c r="AO1471" s="25"/>
      <c r="AP1471" s="25"/>
      <c r="AQ1471" s="25"/>
      <c r="AR1471" s="25"/>
      <c r="AS1471" s="25"/>
      <c r="AT1471" s="25"/>
      <c r="AU1471" s="25"/>
      <c r="AV1471" s="25"/>
      <c r="AW1471" s="25"/>
      <c r="AX1471" s="25"/>
    </row>
    <row r="1472" ht="15.75" customHeight="1">
      <c r="A1472" s="25"/>
      <c r="B1472" s="25"/>
      <c r="C1472" s="27"/>
      <c r="D1472" s="28"/>
      <c r="E1472" s="28"/>
      <c r="F1472" s="25"/>
      <c r="G1472" s="25"/>
      <c r="H1472" s="25"/>
      <c r="I1472" s="25"/>
      <c r="J1472" s="25"/>
      <c r="K1472" s="25"/>
      <c r="L1472" s="25"/>
      <c r="M1472" s="25"/>
      <c r="N1472" s="25"/>
      <c r="O1472" s="25"/>
      <c r="P1472" s="25"/>
      <c r="Q1472" s="25"/>
      <c r="R1472" s="25"/>
      <c r="S1472" s="25"/>
      <c r="T1472" s="25"/>
      <c r="U1472" s="25"/>
      <c r="V1472" s="25"/>
      <c r="W1472" s="25"/>
      <c r="X1472" s="25"/>
      <c r="Y1472" s="25"/>
      <c r="Z1472" s="25"/>
      <c r="AA1472" s="25"/>
      <c r="AB1472" s="25"/>
      <c r="AC1472" s="25"/>
      <c r="AD1472" s="25"/>
      <c r="AE1472" s="25"/>
      <c r="AF1472" s="25"/>
      <c r="AG1472" s="25"/>
      <c r="AH1472" s="25"/>
      <c r="AI1472" s="25"/>
      <c r="AJ1472" s="25"/>
      <c r="AK1472" s="25"/>
      <c r="AL1472" s="25"/>
      <c r="AM1472" s="25"/>
      <c r="AN1472" s="25"/>
      <c r="AO1472" s="25"/>
      <c r="AP1472" s="25"/>
      <c r="AQ1472" s="25"/>
      <c r="AR1472" s="25"/>
      <c r="AS1472" s="25"/>
      <c r="AT1472" s="25"/>
      <c r="AU1472" s="25"/>
      <c r="AV1472" s="25"/>
      <c r="AW1472" s="25"/>
      <c r="AX1472" s="25"/>
    </row>
    <row r="1473" ht="15.75" customHeight="1">
      <c r="A1473" s="25"/>
      <c r="B1473" s="25"/>
      <c r="C1473" s="27"/>
      <c r="D1473" s="28"/>
      <c r="E1473" s="28"/>
      <c r="F1473" s="25"/>
      <c r="G1473" s="25"/>
      <c r="H1473" s="25"/>
      <c r="I1473" s="25"/>
      <c r="J1473" s="25"/>
      <c r="K1473" s="25"/>
      <c r="L1473" s="25"/>
      <c r="M1473" s="25"/>
      <c r="N1473" s="25"/>
      <c r="O1473" s="25"/>
      <c r="P1473" s="25"/>
      <c r="Q1473" s="25"/>
      <c r="R1473" s="25"/>
      <c r="S1473" s="25"/>
      <c r="T1473" s="25"/>
      <c r="U1473" s="25"/>
      <c r="V1473" s="25"/>
      <c r="W1473" s="25"/>
      <c r="X1473" s="25"/>
      <c r="Y1473" s="25"/>
      <c r="Z1473" s="25"/>
      <c r="AA1473" s="25"/>
      <c r="AB1473" s="25"/>
      <c r="AC1473" s="25"/>
      <c r="AD1473" s="25"/>
      <c r="AE1473" s="25"/>
      <c r="AF1473" s="25"/>
      <c r="AG1473" s="25"/>
      <c r="AH1473" s="25"/>
      <c r="AI1473" s="25"/>
      <c r="AJ1473" s="25"/>
      <c r="AK1473" s="25"/>
      <c r="AL1473" s="25"/>
      <c r="AM1473" s="25"/>
      <c r="AN1473" s="25"/>
      <c r="AO1473" s="25"/>
      <c r="AP1473" s="25"/>
      <c r="AQ1473" s="25"/>
      <c r="AR1473" s="25"/>
      <c r="AS1473" s="25"/>
      <c r="AT1473" s="25"/>
      <c r="AU1473" s="25"/>
      <c r="AV1473" s="25"/>
      <c r="AW1473" s="25"/>
      <c r="AX1473" s="25"/>
    </row>
    <row r="1474" ht="15.75" customHeight="1">
      <c r="A1474" s="25"/>
      <c r="B1474" s="25"/>
      <c r="C1474" s="27"/>
      <c r="D1474" s="28"/>
      <c r="E1474" s="28"/>
      <c r="F1474" s="25"/>
      <c r="G1474" s="25"/>
      <c r="H1474" s="25"/>
      <c r="I1474" s="25"/>
      <c r="J1474" s="25"/>
      <c r="K1474" s="25"/>
      <c r="L1474" s="25"/>
      <c r="M1474" s="25"/>
      <c r="N1474" s="25"/>
      <c r="O1474" s="25"/>
      <c r="P1474" s="25"/>
      <c r="Q1474" s="25"/>
      <c r="R1474" s="25"/>
      <c r="S1474" s="25"/>
      <c r="T1474" s="25"/>
      <c r="U1474" s="25"/>
      <c r="V1474" s="25"/>
      <c r="W1474" s="25"/>
      <c r="X1474" s="25"/>
      <c r="Y1474" s="25"/>
      <c r="Z1474" s="25"/>
      <c r="AA1474" s="25"/>
      <c r="AB1474" s="25"/>
      <c r="AC1474" s="25"/>
      <c r="AD1474" s="25"/>
      <c r="AE1474" s="25"/>
      <c r="AF1474" s="25"/>
      <c r="AG1474" s="25"/>
      <c r="AH1474" s="25"/>
      <c r="AI1474" s="25"/>
      <c r="AJ1474" s="25"/>
      <c r="AK1474" s="25"/>
      <c r="AL1474" s="25"/>
      <c r="AM1474" s="25"/>
      <c r="AN1474" s="25"/>
      <c r="AO1474" s="25"/>
      <c r="AP1474" s="25"/>
      <c r="AQ1474" s="25"/>
      <c r="AR1474" s="25"/>
      <c r="AS1474" s="25"/>
      <c r="AT1474" s="25"/>
      <c r="AU1474" s="25"/>
      <c r="AV1474" s="25"/>
      <c r="AW1474" s="25"/>
      <c r="AX1474" s="25"/>
    </row>
    <row r="1475" ht="15.75" customHeight="1">
      <c r="A1475" s="25"/>
      <c r="B1475" s="25"/>
      <c r="C1475" s="27"/>
      <c r="D1475" s="28"/>
      <c r="E1475" s="28"/>
      <c r="F1475" s="25"/>
      <c r="G1475" s="25"/>
      <c r="H1475" s="25"/>
      <c r="I1475" s="25"/>
      <c r="J1475" s="25"/>
      <c r="K1475" s="25"/>
      <c r="L1475" s="25"/>
      <c r="M1475" s="25"/>
      <c r="N1475" s="25"/>
      <c r="O1475" s="25"/>
      <c r="P1475" s="25"/>
      <c r="Q1475" s="25"/>
      <c r="R1475" s="25"/>
      <c r="S1475" s="25"/>
      <c r="T1475" s="25"/>
      <c r="U1475" s="25"/>
      <c r="V1475" s="25"/>
      <c r="W1475" s="25"/>
      <c r="X1475" s="25"/>
      <c r="Y1475" s="25"/>
      <c r="Z1475" s="25"/>
      <c r="AA1475" s="25"/>
      <c r="AB1475" s="25"/>
      <c r="AC1475" s="25"/>
      <c r="AD1475" s="25"/>
      <c r="AE1475" s="25"/>
      <c r="AF1475" s="25"/>
      <c r="AG1475" s="25"/>
      <c r="AH1475" s="25"/>
      <c r="AI1475" s="25"/>
      <c r="AJ1475" s="25"/>
      <c r="AK1475" s="25"/>
      <c r="AL1475" s="25"/>
      <c r="AM1475" s="25"/>
      <c r="AN1475" s="25"/>
      <c r="AO1475" s="25"/>
      <c r="AP1475" s="25"/>
      <c r="AQ1475" s="25"/>
      <c r="AR1475" s="25"/>
      <c r="AS1475" s="25"/>
      <c r="AT1475" s="25"/>
      <c r="AU1475" s="25"/>
      <c r="AV1475" s="25"/>
      <c r="AW1475" s="25"/>
      <c r="AX1475" s="25"/>
    </row>
    <row r="1476" ht="15.75" customHeight="1">
      <c r="A1476" s="25"/>
      <c r="B1476" s="25"/>
      <c r="C1476" s="27"/>
      <c r="D1476" s="28"/>
      <c r="E1476" s="28"/>
      <c r="F1476" s="25"/>
      <c r="G1476" s="25"/>
      <c r="H1476" s="25"/>
      <c r="I1476" s="25"/>
      <c r="J1476" s="25"/>
      <c r="K1476" s="25"/>
      <c r="L1476" s="25"/>
      <c r="M1476" s="25"/>
      <c r="N1476" s="25"/>
      <c r="O1476" s="25"/>
      <c r="P1476" s="25"/>
      <c r="Q1476" s="25"/>
      <c r="R1476" s="25"/>
      <c r="S1476" s="25"/>
      <c r="T1476" s="25"/>
      <c r="U1476" s="25"/>
      <c r="V1476" s="25"/>
      <c r="W1476" s="25"/>
      <c r="X1476" s="25"/>
      <c r="Y1476" s="25"/>
      <c r="Z1476" s="25"/>
      <c r="AA1476" s="25"/>
      <c r="AB1476" s="25"/>
      <c r="AC1476" s="25"/>
      <c r="AD1476" s="25"/>
      <c r="AE1476" s="25"/>
      <c r="AF1476" s="25"/>
      <c r="AG1476" s="25"/>
      <c r="AH1476" s="25"/>
      <c r="AI1476" s="25"/>
      <c r="AJ1476" s="25"/>
      <c r="AK1476" s="25"/>
      <c r="AL1476" s="25"/>
      <c r="AM1476" s="25"/>
      <c r="AN1476" s="25"/>
      <c r="AO1476" s="25"/>
      <c r="AP1476" s="25"/>
      <c r="AQ1476" s="25"/>
      <c r="AR1476" s="25"/>
      <c r="AS1476" s="25"/>
      <c r="AT1476" s="25"/>
      <c r="AU1476" s="25"/>
      <c r="AV1476" s="25"/>
      <c r="AW1476" s="25"/>
      <c r="AX1476" s="25"/>
    </row>
    <row r="1477" ht="15.75" customHeight="1">
      <c r="A1477" s="25"/>
      <c r="B1477" s="25"/>
      <c r="C1477" s="27"/>
      <c r="D1477" s="28"/>
      <c r="E1477" s="28"/>
      <c r="F1477" s="25"/>
      <c r="G1477" s="25"/>
      <c r="H1477" s="25"/>
      <c r="I1477" s="25"/>
      <c r="J1477" s="25"/>
      <c r="K1477" s="25"/>
      <c r="L1477" s="25"/>
      <c r="M1477" s="25"/>
      <c r="N1477" s="25"/>
      <c r="O1477" s="25"/>
      <c r="P1477" s="25"/>
      <c r="Q1477" s="25"/>
      <c r="R1477" s="25"/>
      <c r="S1477" s="25"/>
      <c r="T1477" s="25"/>
      <c r="U1477" s="25"/>
      <c r="V1477" s="25"/>
      <c r="W1477" s="25"/>
      <c r="X1477" s="25"/>
      <c r="Y1477" s="25"/>
      <c r="Z1477" s="25"/>
      <c r="AA1477" s="25"/>
      <c r="AB1477" s="25"/>
      <c r="AC1477" s="25"/>
      <c r="AD1477" s="25"/>
      <c r="AE1477" s="25"/>
      <c r="AF1477" s="25"/>
      <c r="AG1477" s="25"/>
      <c r="AH1477" s="25"/>
      <c r="AI1477" s="25"/>
      <c r="AJ1477" s="25"/>
      <c r="AK1477" s="25"/>
      <c r="AL1477" s="25"/>
      <c r="AM1477" s="25"/>
      <c r="AN1477" s="25"/>
      <c r="AO1477" s="25"/>
      <c r="AP1477" s="25"/>
      <c r="AQ1477" s="25"/>
      <c r="AR1477" s="25"/>
      <c r="AS1477" s="25"/>
      <c r="AT1477" s="25"/>
      <c r="AU1477" s="25"/>
      <c r="AV1477" s="25"/>
      <c r="AW1477" s="25"/>
      <c r="AX1477" s="25"/>
    </row>
    <row r="1478" ht="15.75" customHeight="1">
      <c r="A1478" s="25"/>
      <c r="B1478" s="25"/>
      <c r="C1478" s="27"/>
      <c r="D1478" s="28"/>
      <c r="E1478" s="28"/>
      <c r="F1478" s="25"/>
      <c r="G1478" s="25"/>
      <c r="H1478" s="25"/>
      <c r="I1478" s="25"/>
      <c r="J1478" s="25"/>
      <c r="K1478" s="25"/>
      <c r="L1478" s="25"/>
      <c r="M1478" s="25"/>
      <c r="N1478" s="25"/>
      <c r="O1478" s="25"/>
      <c r="P1478" s="25"/>
      <c r="Q1478" s="25"/>
      <c r="R1478" s="25"/>
      <c r="S1478" s="25"/>
      <c r="T1478" s="25"/>
      <c r="U1478" s="25"/>
      <c r="V1478" s="25"/>
      <c r="W1478" s="25"/>
      <c r="X1478" s="25"/>
      <c r="Y1478" s="25"/>
      <c r="Z1478" s="25"/>
      <c r="AA1478" s="25"/>
      <c r="AB1478" s="25"/>
      <c r="AC1478" s="25"/>
      <c r="AD1478" s="25"/>
      <c r="AE1478" s="25"/>
      <c r="AF1478" s="25"/>
      <c r="AG1478" s="25"/>
      <c r="AH1478" s="25"/>
      <c r="AI1478" s="25"/>
      <c r="AJ1478" s="25"/>
      <c r="AK1478" s="25"/>
      <c r="AL1478" s="25"/>
      <c r="AM1478" s="25"/>
      <c r="AN1478" s="25"/>
      <c r="AO1478" s="25"/>
      <c r="AP1478" s="25"/>
      <c r="AQ1478" s="25"/>
      <c r="AR1478" s="25"/>
      <c r="AS1478" s="25"/>
      <c r="AT1478" s="25"/>
      <c r="AU1478" s="25"/>
      <c r="AV1478" s="25"/>
      <c r="AW1478" s="25"/>
      <c r="AX1478" s="25"/>
    </row>
    <row r="1479" ht="15.75" customHeight="1">
      <c r="A1479" s="25"/>
      <c r="B1479" s="25"/>
      <c r="C1479" s="27"/>
      <c r="D1479" s="28"/>
      <c r="E1479" s="28"/>
      <c r="F1479" s="25"/>
      <c r="G1479" s="25"/>
      <c r="H1479" s="25"/>
      <c r="I1479" s="25"/>
      <c r="J1479" s="25"/>
      <c r="K1479" s="25"/>
      <c r="L1479" s="25"/>
      <c r="M1479" s="25"/>
      <c r="N1479" s="25"/>
      <c r="O1479" s="25"/>
      <c r="P1479" s="25"/>
      <c r="Q1479" s="25"/>
      <c r="R1479" s="25"/>
      <c r="S1479" s="25"/>
      <c r="T1479" s="25"/>
      <c r="U1479" s="25"/>
      <c r="V1479" s="25"/>
      <c r="W1479" s="25"/>
      <c r="X1479" s="25"/>
      <c r="Y1479" s="25"/>
      <c r="Z1479" s="25"/>
      <c r="AA1479" s="25"/>
      <c r="AB1479" s="25"/>
      <c r="AC1479" s="25"/>
      <c r="AD1479" s="25"/>
      <c r="AE1479" s="25"/>
      <c r="AF1479" s="25"/>
      <c r="AG1479" s="25"/>
      <c r="AH1479" s="25"/>
      <c r="AI1479" s="25"/>
      <c r="AJ1479" s="25"/>
      <c r="AK1479" s="25"/>
      <c r="AL1479" s="25"/>
      <c r="AM1479" s="25"/>
      <c r="AN1479" s="25"/>
      <c r="AO1479" s="25"/>
      <c r="AP1479" s="25"/>
      <c r="AQ1479" s="25"/>
      <c r="AR1479" s="25"/>
      <c r="AS1479" s="25"/>
      <c r="AT1479" s="25"/>
      <c r="AU1479" s="25"/>
      <c r="AV1479" s="25"/>
      <c r="AW1479" s="25"/>
      <c r="AX1479" s="25"/>
    </row>
    <row r="1480" ht="15.75" customHeight="1">
      <c r="A1480" s="25"/>
      <c r="B1480" s="25"/>
      <c r="C1480" s="27"/>
      <c r="D1480" s="28"/>
      <c r="E1480" s="28"/>
      <c r="F1480" s="25"/>
      <c r="G1480" s="25"/>
      <c r="H1480" s="25"/>
      <c r="I1480" s="25"/>
      <c r="J1480" s="25"/>
      <c r="K1480" s="25"/>
      <c r="L1480" s="25"/>
      <c r="M1480" s="25"/>
      <c r="N1480" s="25"/>
      <c r="O1480" s="25"/>
      <c r="P1480" s="25"/>
      <c r="Q1480" s="25"/>
      <c r="R1480" s="25"/>
      <c r="S1480" s="25"/>
      <c r="T1480" s="25"/>
      <c r="U1480" s="25"/>
      <c r="V1480" s="25"/>
      <c r="W1480" s="25"/>
      <c r="X1480" s="25"/>
      <c r="Y1480" s="25"/>
      <c r="Z1480" s="25"/>
      <c r="AA1480" s="25"/>
      <c r="AB1480" s="25"/>
      <c r="AC1480" s="25"/>
      <c r="AD1480" s="25"/>
      <c r="AE1480" s="25"/>
      <c r="AF1480" s="25"/>
      <c r="AG1480" s="25"/>
      <c r="AH1480" s="25"/>
      <c r="AI1480" s="25"/>
      <c r="AJ1480" s="25"/>
      <c r="AK1480" s="25"/>
      <c r="AL1480" s="25"/>
      <c r="AM1480" s="25"/>
      <c r="AN1480" s="25"/>
      <c r="AO1480" s="25"/>
      <c r="AP1480" s="25"/>
      <c r="AQ1480" s="25"/>
      <c r="AR1480" s="25"/>
      <c r="AS1480" s="25"/>
      <c r="AT1480" s="25"/>
      <c r="AU1480" s="25"/>
      <c r="AV1480" s="25"/>
      <c r="AW1480" s="25"/>
      <c r="AX1480" s="25"/>
    </row>
    <row r="1481" ht="15.75" customHeight="1">
      <c r="A1481" s="25"/>
      <c r="B1481" s="25"/>
      <c r="C1481" s="27"/>
      <c r="D1481" s="28"/>
      <c r="E1481" s="28"/>
      <c r="F1481" s="25"/>
      <c r="G1481" s="25"/>
      <c r="H1481" s="25"/>
      <c r="I1481" s="25"/>
      <c r="J1481" s="25"/>
      <c r="K1481" s="25"/>
      <c r="L1481" s="25"/>
      <c r="M1481" s="25"/>
      <c r="N1481" s="25"/>
      <c r="O1481" s="25"/>
      <c r="P1481" s="25"/>
      <c r="Q1481" s="25"/>
      <c r="R1481" s="25"/>
      <c r="S1481" s="25"/>
      <c r="T1481" s="25"/>
      <c r="U1481" s="25"/>
      <c r="V1481" s="25"/>
      <c r="W1481" s="25"/>
      <c r="X1481" s="25"/>
      <c r="Y1481" s="25"/>
      <c r="Z1481" s="25"/>
      <c r="AA1481" s="25"/>
      <c r="AB1481" s="25"/>
      <c r="AC1481" s="25"/>
      <c r="AD1481" s="25"/>
      <c r="AE1481" s="25"/>
      <c r="AF1481" s="25"/>
      <c r="AG1481" s="25"/>
      <c r="AH1481" s="25"/>
      <c r="AI1481" s="25"/>
      <c r="AJ1481" s="25"/>
      <c r="AK1481" s="25"/>
      <c r="AL1481" s="25"/>
      <c r="AM1481" s="25"/>
      <c r="AN1481" s="25"/>
      <c r="AO1481" s="25"/>
      <c r="AP1481" s="25"/>
      <c r="AQ1481" s="25"/>
      <c r="AR1481" s="25"/>
      <c r="AS1481" s="25"/>
      <c r="AT1481" s="25"/>
      <c r="AU1481" s="25"/>
      <c r="AV1481" s="25"/>
      <c r="AW1481" s="25"/>
      <c r="AX1481" s="25"/>
    </row>
    <row r="1482" ht="15.75" customHeight="1">
      <c r="A1482" s="25"/>
      <c r="B1482" s="25"/>
      <c r="C1482" s="27"/>
      <c r="D1482" s="28"/>
      <c r="E1482" s="28"/>
      <c r="F1482" s="25"/>
      <c r="G1482" s="25"/>
      <c r="H1482" s="25"/>
      <c r="I1482" s="25"/>
      <c r="J1482" s="25"/>
      <c r="K1482" s="25"/>
      <c r="L1482" s="25"/>
      <c r="M1482" s="25"/>
      <c r="N1482" s="25"/>
      <c r="O1482" s="25"/>
      <c r="P1482" s="25"/>
      <c r="Q1482" s="25"/>
      <c r="R1482" s="25"/>
      <c r="S1482" s="25"/>
      <c r="T1482" s="25"/>
      <c r="U1482" s="25"/>
      <c r="V1482" s="25"/>
      <c r="W1482" s="25"/>
      <c r="X1482" s="25"/>
      <c r="Y1482" s="25"/>
      <c r="Z1482" s="25"/>
      <c r="AA1482" s="25"/>
      <c r="AB1482" s="25"/>
      <c r="AC1482" s="25"/>
      <c r="AD1482" s="25"/>
      <c r="AE1482" s="25"/>
      <c r="AF1482" s="25"/>
      <c r="AG1482" s="25"/>
      <c r="AH1482" s="25"/>
      <c r="AI1482" s="25"/>
      <c r="AJ1482" s="25"/>
      <c r="AK1482" s="25"/>
      <c r="AL1482" s="25"/>
      <c r="AM1482" s="25"/>
      <c r="AN1482" s="25"/>
      <c r="AO1482" s="25"/>
      <c r="AP1482" s="25"/>
      <c r="AQ1482" s="25"/>
      <c r="AR1482" s="25"/>
      <c r="AS1482" s="25"/>
      <c r="AT1482" s="25"/>
      <c r="AU1482" s="25"/>
      <c r="AV1482" s="25"/>
      <c r="AW1482" s="25"/>
      <c r="AX1482" s="25"/>
    </row>
    <row r="1483" ht="15.75" customHeight="1">
      <c r="A1483" s="25"/>
      <c r="B1483" s="25"/>
      <c r="C1483" s="27"/>
      <c r="D1483" s="28"/>
      <c r="E1483" s="28"/>
      <c r="F1483" s="25"/>
      <c r="G1483" s="25"/>
      <c r="H1483" s="25"/>
      <c r="I1483" s="25"/>
      <c r="J1483" s="25"/>
      <c r="K1483" s="25"/>
      <c r="L1483" s="25"/>
      <c r="M1483" s="25"/>
      <c r="N1483" s="25"/>
      <c r="O1483" s="25"/>
      <c r="P1483" s="25"/>
      <c r="Q1483" s="25"/>
      <c r="R1483" s="25"/>
      <c r="S1483" s="25"/>
      <c r="T1483" s="25"/>
      <c r="U1483" s="25"/>
      <c r="V1483" s="25"/>
      <c r="W1483" s="25"/>
      <c r="X1483" s="25"/>
      <c r="Y1483" s="25"/>
      <c r="Z1483" s="25"/>
      <c r="AA1483" s="25"/>
      <c r="AB1483" s="25"/>
      <c r="AC1483" s="25"/>
      <c r="AD1483" s="25"/>
      <c r="AE1483" s="25"/>
      <c r="AF1483" s="25"/>
      <c r="AG1483" s="25"/>
      <c r="AH1483" s="25"/>
      <c r="AI1483" s="25"/>
      <c r="AJ1483" s="25"/>
      <c r="AK1483" s="25"/>
      <c r="AL1483" s="25"/>
      <c r="AM1483" s="25"/>
      <c r="AN1483" s="25"/>
      <c r="AO1483" s="25"/>
      <c r="AP1483" s="25"/>
      <c r="AQ1483" s="25"/>
      <c r="AR1483" s="25"/>
      <c r="AS1483" s="25"/>
      <c r="AT1483" s="25"/>
      <c r="AU1483" s="25"/>
      <c r="AV1483" s="25"/>
      <c r="AW1483" s="25"/>
      <c r="AX1483" s="25"/>
    </row>
    <row r="1484" ht="15.75" customHeight="1">
      <c r="A1484" s="25"/>
      <c r="B1484" s="25"/>
      <c r="C1484" s="27"/>
      <c r="D1484" s="28"/>
      <c r="E1484" s="28"/>
      <c r="F1484" s="25"/>
      <c r="G1484" s="25"/>
      <c r="H1484" s="25"/>
      <c r="I1484" s="25"/>
      <c r="J1484" s="25"/>
      <c r="K1484" s="25"/>
      <c r="L1484" s="25"/>
      <c r="M1484" s="25"/>
      <c r="N1484" s="25"/>
      <c r="O1484" s="25"/>
      <c r="P1484" s="25"/>
      <c r="Q1484" s="25"/>
      <c r="R1484" s="25"/>
      <c r="S1484" s="25"/>
      <c r="T1484" s="25"/>
      <c r="U1484" s="25"/>
      <c r="V1484" s="25"/>
      <c r="W1484" s="25"/>
      <c r="X1484" s="25"/>
      <c r="Y1484" s="25"/>
      <c r="Z1484" s="25"/>
      <c r="AA1484" s="25"/>
      <c r="AB1484" s="25"/>
      <c r="AC1484" s="25"/>
      <c r="AD1484" s="25"/>
      <c r="AE1484" s="25"/>
      <c r="AF1484" s="25"/>
      <c r="AG1484" s="25"/>
      <c r="AH1484" s="25"/>
      <c r="AI1484" s="25"/>
      <c r="AJ1484" s="25"/>
      <c r="AK1484" s="25"/>
      <c r="AL1484" s="25"/>
      <c r="AM1484" s="25"/>
      <c r="AN1484" s="25"/>
      <c r="AO1484" s="25"/>
      <c r="AP1484" s="25"/>
      <c r="AQ1484" s="25"/>
      <c r="AR1484" s="25"/>
      <c r="AS1484" s="25"/>
      <c r="AT1484" s="25"/>
      <c r="AU1484" s="25"/>
      <c r="AV1484" s="25"/>
      <c r="AW1484" s="25"/>
      <c r="AX1484" s="25"/>
    </row>
    <row r="1485" ht="15.75" customHeight="1">
      <c r="A1485" s="25"/>
      <c r="B1485" s="25"/>
      <c r="C1485" s="27"/>
      <c r="D1485" s="28"/>
      <c r="E1485" s="28"/>
      <c r="F1485" s="25"/>
      <c r="G1485" s="25"/>
      <c r="H1485" s="25"/>
      <c r="I1485" s="25"/>
      <c r="J1485" s="25"/>
      <c r="K1485" s="25"/>
      <c r="L1485" s="25"/>
      <c r="M1485" s="25"/>
      <c r="N1485" s="25"/>
      <c r="O1485" s="25"/>
      <c r="P1485" s="25"/>
      <c r="Q1485" s="25"/>
      <c r="R1485" s="25"/>
      <c r="S1485" s="25"/>
      <c r="T1485" s="25"/>
      <c r="U1485" s="25"/>
      <c r="V1485" s="25"/>
      <c r="W1485" s="25"/>
      <c r="X1485" s="25"/>
      <c r="Y1485" s="25"/>
      <c r="Z1485" s="25"/>
      <c r="AA1485" s="25"/>
      <c r="AB1485" s="25"/>
      <c r="AC1485" s="25"/>
      <c r="AD1485" s="25"/>
      <c r="AE1485" s="25"/>
      <c r="AF1485" s="25"/>
      <c r="AG1485" s="25"/>
      <c r="AH1485" s="25"/>
      <c r="AI1485" s="25"/>
      <c r="AJ1485" s="25"/>
      <c r="AK1485" s="25"/>
      <c r="AL1485" s="25"/>
      <c r="AM1485" s="25"/>
      <c r="AN1485" s="25"/>
      <c r="AO1485" s="25"/>
      <c r="AP1485" s="25"/>
      <c r="AQ1485" s="25"/>
      <c r="AR1485" s="25"/>
      <c r="AS1485" s="25"/>
      <c r="AT1485" s="25"/>
      <c r="AU1485" s="25"/>
      <c r="AV1485" s="25"/>
      <c r="AW1485" s="25"/>
      <c r="AX1485" s="25"/>
    </row>
    <row r="1486" ht="15.75" customHeight="1">
      <c r="A1486" s="25"/>
      <c r="B1486" s="25"/>
      <c r="C1486" s="27"/>
      <c r="D1486" s="28"/>
      <c r="E1486" s="28"/>
      <c r="F1486" s="25"/>
      <c r="G1486" s="25"/>
      <c r="H1486" s="25"/>
      <c r="I1486" s="25"/>
      <c r="J1486" s="25"/>
      <c r="K1486" s="25"/>
      <c r="L1486" s="25"/>
      <c r="M1486" s="25"/>
      <c r="N1486" s="25"/>
      <c r="O1486" s="25"/>
      <c r="P1486" s="25"/>
      <c r="Q1486" s="25"/>
      <c r="R1486" s="25"/>
      <c r="S1486" s="25"/>
      <c r="T1486" s="25"/>
      <c r="U1486" s="25"/>
      <c r="V1486" s="25"/>
      <c r="W1486" s="25"/>
      <c r="X1486" s="25"/>
      <c r="Y1486" s="25"/>
      <c r="Z1486" s="25"/>
      <c r="AA1486" s="25"/>
      <c r="AB1486" s="25"/>
      <c r="AC1486" s="25"/>
      <c r="AD1486" s="25"/>
      <c r="AE1486" s="25"/>
      <c r="AF1486" s="25"/>
      <c r="AG1486" s="25"/>
      <c r="AH1486" s="25"/>
      <c r="AI1486" s="25"/>
      <c r="AJ1486" s="25"/>
      <c r="AK1486" s="25"/>
      <c r="AL1486" s="25"/>
      <c r="AM1486" s="25"/>
      <c r="AN1486" s="25"/>
      <c r="AO1486" s="25"/>
      <c r="AP1486" s="25"/>
      <c r="AQ1486" s="25"/>
      <c r="AR1486" s="25"/>
      <c r="AS1486" s="25"/>
      <c r="AT1486" s="25"/>
      <c r="AU1486" s="25"/>
      <c r="AV1486" s="25"/>
      <c r="AW1486" s="25"/>
      <c r="AX1486" s="25"/>
    </row>
    <row r="1487" ht="15.75" customHeight="1">
      <c r="A1487" s="25"/>
      <c r="B1487" s="25"/>
      <c r="C1487" s="27"/>
      <c r="D1487" s="28"/>
      <c r="E1487" s="28"/>
      <c r="F1487" s="25"/>
      <c r="G1487" s="25"/>
      <c r="H1487" s="25"/>
      <c r="I1487" s="25"/>
      <c r="J1487" s="25"/>
      <c r="K1487" s="25"/>
      <c r="L1487" s="25"/>
      <c r="M1487" s="25"/>
      <c r="N1487" s="25"/>
      <c r="O1487" s="25"/>
      <c r="P1487" s="25"/>
      <c r="Q1487" s="25"/>
      <c r="R1487" s="25"/>
      <c r="S1487" s="25"/>
      <c r="T1487" s="25"/>
      <c r="U1487" s="25"/>
      <c r="V1487" s="25"/>
      <c r="W1487" s="25"/>
      <c r="X1487" s="25"/>
      <c r="Y1487" s="25"/>
      <c r="Z1487" s="25"/>
      <c r="AA1487" s="25"/>
      <c r="AB1487" s="25"/>
      <c r="AC1487" s="25"/>
      <c r="AD1487" s="25"/>
      <c r="AE1487" s="25"/>
      <c r="AF1487" s="25"/>
      <c r="AG1487" s="25"/>
      <c r="AH1487" s="25"/>
      <c r="AI1487" s="25"/>
      <c r="AJ1487" s="25"/>
      <c r="AK1487" s="25"/>
      <c r="AL1487" s="25"/>
      <c r="AM1487" s="25"/>
      <c r="AN1487" s="25"/>
      <c r="AO1487" s="25"/>
      <c r="AP1487" s="25"/>
      <c r="AQ1487" s="25"/>
      <c r="AR1487" s="25"/>
      <c r="AS1487" s="25"/>
      <c r="AT1487" s="25"/>
      <c r="AU1487" s="25"/>
      <c r="AV1487" s="25"/>
      <c r="AW1487" s="25"/>
      <c r="AX1487" s="25"/>
    </row>
    <row r="1488" ht="15.75" customHeight="1">
      <c r="A1488" s="25"/>
      <c r="B1488" s="25"/>
      <c r="C1488" s="27"/>
      <c r="D1488" s="28"/>
      <c r="E1488" s="28"/>
      <c r="F1488" s="25"/>
      <c r="G1488" s="25"/>
      <c r="H1488" s="25"/>
      <c r="I1488" s="25"/>
      <c r="J1488" s="25"/>
      <c r="K1488" s="25"/>
      <c r="L1488" s="25"/>
      <c r="M1488" s="25"/>
      <c r="N1488" s="25"/>
      <c r="O1488" s="25"/>
      <c r="P1488" s="25"/>
      <c r="Q1488" s="25"/>
      <c r="R1488" s="25"/>
      <c r="S1488" s="25"/>
      <c r="T1488" s="25"/>
      <c r="U1488" s="25"/>
      <c r="V1488" s="25"/>
      <c r="W1488" s="25"/>
      <c r="X1488" s="25"/>
      <c r="Y1488" s="25"/>
      <c r="Z1488" s="25"/>
      <c r="AA1488" s="25"/>
      <c r="AB1488" s="25"/>
      <c r="AC1488" s="25"/>
      <c r="AD1488" s="25"/>
      <c r="AE1488" s="25"/>
      <c r="AF1488" s="25"/>
      <c r="AG1488" s="25"/>
      <c r="AH1488" s="25"/>
      <c r="AI1488" s="25"/>
      <c r="AJ1488" s="25"/>
      <c r="AK1488" s="25"/>
      <c r="AL1488" s="25"/>
      <c r="AM1488" s="25"/>
      <c r="AN1488" s="25"/>
      <c r="AO1488" s="25"/>
      <c r="AP1488" s="25"/>
      <c r="AQ1488" s="25"/>
      <c r="AR1488" s="25"/>
      <c r="AS1488" s="25"/>
      <c r="AT1488" s="25"/>
      <c r="AU1488" s="25"/>
      <c r="AV1488" s="25"/>
      <c r="AW1488" s="25"/>
      <c r="AX1488" s="25"/>
    </row>
    <row r="1489" ht="15.75" customHeight="1">
      <c r="A1489" s="25"/>
      <c r="B1489" s="25"/>
      <c r="C1489" s="27"/>
      <c r="D1489" s="28"/>
      <c r="E1489" s="28"/>
      <c r="F1489" s="25"/>
      <c r="G1489" s="25"/>
      <c r="H1489" s="25"/>
      <c r="I1489" s="25"/>
      <c r="J1489" s="25"/>
      <c r="K1489" s="25"/>
      <c r="L1489" s="25"/>
      <c r="M1489" s="25"/>
      <c r="N1489" s="25"/>
      <c r="O1489" s="25"/>
      <c r="P1489" s="25"/>
      <c r="Q1489" s="25"/>
      <c r="R1489" s="25"/>
      <c r="S1489" s="25"/>
      <c r="T1489" s="25"/>
      <c r="U1489" s="25"/>
      <c r="V1489" s="25"/>
      <c r="W1489" s="25"/>
      <c r="X1489" s="25"/>
      <c r="Y1489" s="25"/>
      <c r="Z1489" s="25"/>
      <c r="AA1489" s="25"/>
      <c r="AB1489" s="25"/>
      <c r="AC1489" s="25"/>
      <c r="AD1489" s="25"/>
      <c r="AE1489" s="25"/>
      <c r="AF1489" s="25"/>
      <c r="AG1489" s="25"/>
      <c r="AH1489" s="25"/>
      <c r="AI1489" s="25"/>
      <c r="AJ1489" s="25"/>
      <c r="AK1489" s="25"/>
      <c r="AL1489" s="25"/>
      <c r="AM1489" s="25"/>
      <c r="AN1489" s="25"/>
      <c r="AO1489" s="25"/>
      <c r="AP1489" s="25"/>
      <c r="AQ1489" s="25"/>
      <c r="AR1489" s="25"/>
      <c r="AS1489" s="25"/>
      <c r="AT1489" s="25"/>
      <c r="AU1489" s="25"/>
      <c r="AV1489" s="25"/>
      <c r="AW1489" s="25"/>
      <c r="AX1489" s="25"/>
    </row>
    <row r="1490" ht="15.75" customHeight="1">
      <c r="A1490" s="25"/>
      <c r="B1490" s="25"/>
      <c r="C1490" s="27"/>
      <c r="D1490" s="28"/>
      <c r="E1490" s="28"/>
      <c r="F1490" s="25"/>
      <c r="G1490" s="25"/>
      <c r="H1490" s="25"/>
      <c r="I1490" s="25"/>
      <c r="J1490" s="25"/>
      <c r="K1490" s="25"/>
      <c r="L1490" s="25"/>
      <c r="M1490" s="25"/>
      <c r="N1490" s="25"/>
      <c r="O1490" s="25"/>
      <c r="P1490" s="25"/>
      <c r="Q1490" s="25"/>
      <c r="R1490" s="25"/>
      <c r="S1490" s="25"/>
      <c r="T1490" s="25"/>
      <c r="U1490" s="25"/>
      <c r="V1490" s="25"/>
      <c r="W1490" s="25"/>
      <c r="X1490" s="25"/>
      <c r="Y1490" s="25"/>
      <c r="Z1490" s="25"/>
      <c r="AA1490" s="25"/>
      <c r="AB1490" s="25"/>
      <c r="AC1490" s="25"/>
      <c r="AD1490" s="25"/>
      <c r="AE1490" s="25"/>
      <c r="AF1490" s="25"/>
      <c r="AG1490" s="25"/>
      <c r="AH1490" s="25"/>
      <c r="AI1490" s="25"/>
      <c r="AJ1490" s="25"/>
      <c r="AK1490" s="25"/>
      <c r="AL1490" s="25"/>
      <c r="AM1490" s="25"/>
      <c r="AN1490" s="25"/>
      <c r="AO1490" s="25"/>
      <c r="AP1490" s="25"/>
      <c r="AQ1490" s="25"/>
      <c r="AR1490" s="25"/>
      <c r="AS1490" s="25"/>
      <c r="AT1490" s="25"/>
      <c r="AU1490" s="25"/>
      <c r="AV1490" s="25"/>
      <c r="AW1490" s="25"/>
      <c r="AX1490" s="25"/>
    </row>
    <row r="1491" ht="15.75" customHeight="1">
      <c r="A1491" s="25"/>
      <c r="B1491" s="25"/>
      <c r="C1491" s="27"/>
      <c r="D1491" s="28"/>
      <c r="E1491" s="28"/>
      <c r="F1491" s="25"/>
      <c r="G1491" s="25"/>
      <c r="H1491" s="25"/>
      <c r="I1491" s="25"/>
      <c r="J1491" s="25"/>
      <c r="K1491" s="25"/>
      <c r="L1491" s="25"/>
      <c r="M1491" s="25"/>
      <c r="N1491" s="25"/>
      <c r="O1491" s="25"/>
      <c r="P1491" s="25"/>
      <c r="Q1491" s="25"/>
      <c r="R1491" s="25"/>
      <c r="S1491" s="25"/>
      <c r="T1491" s="25"/>
      <c r="U1491" s="25"/>
      <c r="V1491" s="25"/>
      <c r="W1491" s="25"/>
      <c r="X1491" s="25"/>
      <c r="Y1491" s="25"/>
      <c r="Z1491" s="25"/>
      <c r="AA1491" s="25"/>
      <c r="AB1491" s="25"/>
      <c r="AC1491" s="25"/>
      <c r="AD1491" s="25"/>
      <c r="AE1491" s="25"/>
      <c r="AF1491" s="25"/>
      <c r="AG1491" s="25"/>
      <c r="AH1491" s="25"/>
      <c r="AI1491" s="25"/>
      <c r="AJ1491" s="25"/>
      <c r="AK1491" s="25"/>
      <c r="AL1491" s="25"/>
      <c r="AM1491" s="25"/>
      <c r="AN1491" s="25"/>
      <c r="AO1491" s="25"/>
      <c r="AP1491" s="25"/>
      <c r="AQ1491" s="25"/>
      <c r="AR1491" s="25"/>
      <c r="AS1491" s="25"/>
      <c r="AT1491" s="25"/>
      <c r="AU1491" s="25"/>
      <c r="AV1491" s="25"/>
      <c r="AW1491" s="25"/>
      <c r="AX1491" s="25"/>
    </row>
    <row r="1492" ht="15.75" customHeight="1">
      <c r="A1492" s="25"/>
      <c r="B1492" s="25"/>
      <c r="C1492" s="27"/>
      <c r="D1492" s="28"/>
      <c r="E1492" s="28"/>
      <c r="F1492" s="25"/>
      <c r="G1492" s="25"/>
      <c r="H1492" s="25"/>
      <c r="I1492" s="25"/>
      <c r="J1492" s="25"/>
      <c r="K1492" s="25"/>
      <c r="L1492" s="25"/>
      <c r="M1492" s="25"/>
      <c r="N1492" s="25"/>
      <c r="O1492" s="25"/>
      <c r="P1492" s="25"/>
      <c r="Q1492" s="25"/>
      <c r="R1492" s="25"/>
      <c r="S1492" s="25"/>
      <c r="T1492" s="25"/>
      <c r="U1492" s="25"/>
      <c r="V1492" s="25"/>
      <c r="W1492" s="25"/>
      <c r="X1492" s="25"/>
      <c r="Y1492" s="25"/>
      <c r="Z1492" s="25"/>
      <c r="AA1492" s="25"/>
      <c r="AB1492" s="25"/>
      <c r="AC1492" s="25"/>
      <c r="AD1492" s="25"/>
      <c r="AE1492" s="25"/>
      <c r="AF1492" s="25"/>
      <c r="AG1492" s="25"/>
      <c r="AH1492" s="25"/>
      <c r="AI1492" s="25"/>
      <c r="AJ1492" s="25"/>
      <c r="AK1492" s="25"/>
      <c r="AL1492" s="25"/>
      <c r="AM1492" s="25"/>
      <c r="AN1492" s="25"/>
      <c r="AO1492" s="25"/>
      <c r="AP1492" s="25"/>
      <c r="AQ1492" s="25"/>
      <c r="AR1492" s="25"/>
      <c r="AS1492" s="25"/>
      <c r="AT1492" s="25"/>
      <c r="AU1492" s="25"/>
      <c r="AV1492" s="25"/>
      <c r="AW1492" s="25"/>
      <c r="AX1492" s="25"/>
    </row>
    <row r="1493" ht="15.75" customHeight="1">
      <c r="A1493" s="25"/>
      <c r="B1493" s="25"/>
      <c r="C1493" s="27"/>
      <c r="D1493" s="28"/>
      <c r="E1493" s="28"/>
      <c r="F1493" s="25"/>
      <c r="G1493" s="25"/>
      <c r="H1493" s="25"/>
      <c r="I1493" s="25"/>
      <c r="J1493" s="25"/>
      <c r="K1493" s="25"/>
      <c r="L1493" s="25"/>
      <c r="M1493" s="25"/>
      <c r="N1493" s="25"/>
      <c r="O1493" s="25"/>
      <c r="P1493" s="25"/>
      <c r="Q1493" s="25"/>
      <c r="R1493" s="25"/>
      <c r="S1493" s="25"/>
      <c r="T1493" s="25"/>
      <c r="U1493" s="25"/>
      <c r="V1493" s="25"/>
      <c r="W1493" s="25"/>
      <c r="X1493" s="25"/>
      <c r="Y1493" s="25"/>
      <c r="Z1493" s="25"/>
      <c r="AA1493" s="25"/>
      <c r="AB1493" s="25"/>
      <c r="AC1493" s="25"/>
      <c r="AD1493" s="25"/>
      <c r="AE1493" s="25"/>
      <c r="AF1493" s="25"/>
      <c r="AG1493" s="25"/>
      <c r="AH1493" s="25"/>
      <c r="AI1493" s="25"/>
      <c r="AJ1493" s="25"/>
      <c r="AK1493" s="25"/>
      <c r="AL1493" s="25"/>
      <c r="AM1493" s="25"/>
      <c r="AN1493" s="25"/>
      <c r="AO1493" s="25"/>
      <c r="AP1493" s="25"/>
      <c r="AQ1493" s="25"/>
      <c r="AR1493" s="25"/>
      <c r="AS1493" s="25"/>
      <c r="AT1493" s="25"/>
      <c r="AU1493" s="25"/>
      <c r="AV1493" s="25"/>
      <c r="AW1493" s="25"/>
      <c r="AX1493" s="25"/>
    </row>
    <row r="1494" ht="15.75" customHeight="1">
      <c r="A1494" s="25"/>
      <c r="B1494" s="25"/>
      <c r="C1494" s="27"/>
      <c r="D1494" s="28"/>
      <c r="E1494" s="28"/>
      <c r="F1494" s="25"/>
      <c r="G1494" s="25"/>
      <c r="H1494" s="25"/>
      <c r="I1494" s="25"/>
      <c r="J1494" s="25"/>
      <c r="K1494" s="25"/>
      <c r="L1494" s="25"/>
      <c r="M1494" s="25"/>
      <c r="N1494" s="25"/>
      <c r="O1494" s="25"/>
      <c r="P1494" s="25"/>
      <c r="Q1494" s="25"/>
      <c r="R1494" s="25"/>
      <c r="S1494" s="25"/>
      <c r="T1494" s="25"/>
      <c r="U1494" s="25"/>
      <c r="V1494" s="25"/>
      <c r="W1494" s="25"/>
      <c r="X1494" s="25"/>
      <c r="Y1494" s="25"/>
      <c r="Z1494" s="25"/>
      <c r="AA1494" s="25"/>
      <c r="AB1494" s="25"/>
      <c r="AC1494" s="25"/>
      <c r="AD1494" s="25"/>
      <c r="AE1494" s="25"/>
      <c r="AF1494" s="25"/>
      <c r="AG1494" s="25"/>
      <c r="AH1494" s="25"/>
      <c r="AI1494" s="25"/>
      <c r="AJ1494" s="25"/>
      <c r="AK1494" s="25"/>
      <c r="AL1494" s="25"/>
      <c r="AM1494" s="25"/>
      <c r="AN1494" s="25"/>
      <c r="AO1494" s="25"/>
      <c r="AP1494" s="25"/>
      <c r="AQ1494" s="25"/>
      <c r="AR1494" s="25"/>
      <c r="AS1494" s="25"/>
      <c r="AT1494" s="25"/>
      <c r="AU1494" s="25"/>
      <c r="AV1494" s="25"/>
      <c r="AW1494" s="25"/>
      <c r="AX1494" s="25"/>
    </row>
    <row r="1495" ht="15.75" customHeight="1">
      <c r="A1495" s="25"/>
      <c r="B1495" s="25"/>
      <c r="C1495" s="27"/>
      <c r="D1495" s="28"/>
      <c r="E1495" s="28"/>
      <c r="F1495" s="25"/>
      <c r="G1495" s="25"/>
      <c r="H1495" s="25"/>
      <c r="I1495" s="25"/>
      <c r="J1495" s="25"/>
      <c r="K1495" s="25"/>
      <c r="L1495" s="25"/>
      <c r="M1495" s="25"/>
      <c r="N1495" s="25"/>
      <c r="O1495" s="25"/>
      <c r="P1495" s="25"/>
      <c r="Q1495" s="25"/>
      <c r="R1495" s="25"/>
      <c r="S1495" s="25"/>
      <c r="T1495" s="25"/>
      <c r="U1495" s="25"/>
      <c r="V1495" s="25"/>
      <c r="W1495" s="25"/>
      <c r="X1495" s="25"/>
      <c r="Y1495" s="25"/>
      <c r="Z1495" s="25"/>
      <c r="AA1495" s="25"/>
      <c r="AB1495" s="25"/>
      <c r="AC1495" s="25"/>
      <c r="AD1495" s="25"/>
      <c r="AE1495" s="25"/>
      <c r="AF1495" s="25"/>
      <c r="AG1495" s="25"/>
      <c r="AH1495" s="25"/>
      <c r="AI1495" s="25"/>
      <c r="AJ1495" s="25"/>
      <c r="AK1495" s="25"/>
      <c r="AL1495" s="25"/>
      <c r="AM1495" s="25"/>
      <c r="AN1495" s="25"/>
      <c r="AO1495" s="25"/>
      <c r="AP1495" s="25"/>
      <c r="AQ1495" s="25"/>
      <c r="AR1495" s="25"/>
      <c r="AS1495" s="25"/>
      <c r="AT1495" s="25"/>
      <c r="AU1495" s="25"/>
      <c r="AV1495" s="25"/>
      <c r="AW1495" s="25"/>
      <c r="AX1495" s="25"/>
    </row>
    <row r="1496" ht="15.75" customHeight="1">
      <c r="A1496" s="25"/>
      <c r="B1496" s="25"/>
      <c r="C1496" s="27"/>
      <c r="D1496" s="28"/>
      <c r="E1496" s="28"/>
      <c r="F1496" s="25"/>
      <c r="G1496" s="25"/>
      <c r="H1496" s="25"/>
      <c r="I1496" s="25"/>
      <c r="J1496" s="25"/>
      <c r="K1496" s="25"/>
      <c r="L1496" s="25"/>
      <c r="M1496" s="25"/>
      <c r="N1496" s="25"/>
      <c r="O1496" s="25"/>
      <c r="P1496" s="25"/>
      <c r="Q1496" s="25"/>
      <c r="R1496" s="25"/>
      <c r="S1496" s="25"/>
      <c r="T1496" s="25"/>
      <c r="U1496" s="25"/>
      <c r="V1496" s="25"/>
      <c r="W1496" s="25"/>
      <c r="X1496" s="25"/>
      <c r="Y1496" s="25"/>
      <c r="Z1496" s="25"/>
      <c r="AA1496" s="25"/>
      <c r="AB1496" s="25"/>
      <c r="AC1496" s="25"/>
      <c r="AD1496" s="25"/>
      <c r="AE1496" s="25"/>
      <c r="AF1496" s="25"/>
      <c r="AG1496" s="25"/>
      <c r="AH1496" s="25"/>
      <c r="AI1496" s="25"/>
      <c r="AJ1496" s="25"/>
      <c r="AK1496" s="25"/>
      <c r="AL1496" s="25"/>
      <c r="AM1496" s="25"/>
      <c r="AN1496" s="25"/>
      <c r="AO1496" s="25"/>
      <c r="AP1496" s="25"/>
      <c r="AQ1496" s="25"/>
      <c r="AR1496" s="25"/>
      <c r="AS1496" s="25"/>
      <c r="AT1496" s="25"/>
      <c r="AU1496" s="25"/>
      <c r="AV1496" s="25"/>
      <c r="AW1496" s="25"/>
      <c r="AX1496" s="25"/>
    </row>
    <row r="1497" ht="15.75" customHeight="1">
      <c r="A1497" s="25"/>
      <c r="B1497" s="25"/>
      <c r="C1497" s="27"/>
      <c r="D1497" s="28"/>
      <c r="E1497" s="28"/>
      <c r="F1497" s="25"/>
      <c r="G1497" s="25"/>
      <c r="H1497" s="25"/>
      <c r="I1497" s="25"/>
      <c r="J1497" s="25"/>
      <c r="K1497" s="25"/>
      <c r="L1497" s="25"/>
      <c r="M1497" s="25"/>
      <c r="N1497" s="25"/>
      <c r="O1497" s="25"/>
      <c r="P1497" s="25"/>
      <c r="Q1497" s="25"/>
      <c r="R1497" s="25"/>
      <c r="S1497" s="25"/>
      <c r="T1497" s="25"/>
      <c r="U1497" s="25"/>
      <c r="V1497" s="25"/>
      <c r="W1497" s="25"/>
      <c r="X1497" s="25"/>
      <c r="Y1497" s="25"/>
      <c r="Z1497" s="25"/>
      <c r="AA1497" s="25"/>
      <c r="AB1497" s="25"/>
      <c r="AC1497" s="25"/>
      <c r="AD1497" s="25"/>
      <c r="AE1497" s="25"/>
      <c r="AF1497" s="25"/>
      <c r="AG1497" s="25"/>
      <c r="AH1497" s="25"/>
      <c r="AI1497" s="25"/>
      <c r="AJ1497" s="25"/>
      <c r="AK1497" s="25"/>
      <c r="AL1497" s="25"/>
      <c r="AM1497" s="25"/>
      <c r="AN1497" s="25"/>
      <c r="AO1497" s="25"/>
      <c r="AP1497" s="25"/>
      <c r="AQ1497" s="25"/>
      <c r="AR1497" s="25"/>
      <c r="AS1497" s="25"/>
      <c r="AT1497" s="25"/>
      <c r="AU1497" s="25"/>
      <c r="AV1497" s="25"/>
      <c r="AW1497" s="25"/>
      <c r="AX1497" s="25"/>
    </row>
    <row r="1498" ht="15.75" customHeight="1">
      <c r="A1498" s="25"/>
      <c r="B1498" s="25"/>
      <c r="C1498" s="27"/>
      <c r="D1498" s="28"/>
      <c r="E1498" s="28"/>
      <c r="F1498" s="25"/>
      <c r="G1498" s="25"/>
      <c r="H1498" s="25"/>
      <c r="I1498" s="25"/>
      <c r="J1498" s="25"/>
      <c r="K1498" s="25"/>
      <c r="L1498" s="25"/>
      <c r="M1498" s="25"/>
      <c r="N1498" s="25"/>
      <c r="O1498" s="25"/>
      <c r="P1498" s="25"/>
      <c r="Q1498" s="25"/>
      <c r="R1498" s="25"/>
      <c r="S1498" s="25"/>
      <c r="T1498" s="25"/>
      <c r="U1498" s="25"/>
      <c r="V1498" s="25"/>
      <c r="W1498" s="25"/>
      <c r="X1498" s="25"/>
      <c r="Y1498" s="25"/>
      <c r="Z1498" s="25"/>
      <c r="AA1498" s="25"/>
      <c r="AB1498" s="25"/>
      <c r="AC1498" s="25"/>
      <c r="AD1498" s="25"/>
      <c r="AE1498" s="25"/>
      <c r="AF1498" s="25"/>
      <c r="AG1498" s="25"/>
      <c r="AH1498" s="25"/>
      <c r="AI1498" s="25"/>
      <c r="AJ1498" s="25"/>
      <c r="AK1498" s="25"/>
      <c r="AL1498" s="25"/>
      <c r="AM1498" s="25"/>
      <c r="AN1498" s="25"/>
      <c r="AO1498" s="25"/>
      <c r="AP1498" s="25"/>
      <c r="AQ1498" s="25"/>
      <c r="AR1498" s="25"/>
      <c r="AS1498" s="25"/>
      <c r="AT1498" s="25"/>
      <c r="AU1498" s="25"/>
      <c r="AV1498" s="25"/>
      <c r="AW1498" s="25"/>
      <c r="AX1498" s="25"/>
    </row>
    <row r="1499" ht="15.75" customHeight="1">
      <c r="A1499" s="25"/>
      <c r="B1499" s="25"/>
      <c r="C1499" s="27"/>
      <c r="D1499" s="28"/>
      <c r="E1499" s="28"/>
      <c r="F1499" s="25"/>
      <c r="G1499" s="25"/>
      <c r="H1499" s="25"/>
      <c r="I1499" s="25"/>
      <c r="J1499" s="25"/>
      <c r="K1499" s="25"/>
      <c r="L1499" s="25"/>
      <c r="M1499" s="25"/>
      <c r="N1499" s="25"/>
      <c r="O1499" s="25"/>
      <c r="P1499" s="25"/>
      <c r="Q1499" s="25"/>
      <c r="R1499" s="25"/>
      <c r="S1499" s="25"/>
      <c r="T1499" s="25"/>
      <c r="U1499" s="25"/>
      <c r="V1499" s="25"/>
      <c r="W1499" s="25"/>
      <c r="X1499" s="25"/>
      <c r="Y1499" s="25"/>
      <c r="Z1499" s="25"/>
      <c r="AA1499" s="25"/>
      <c r="AB1499" s="25"/>
      <c r="AC1499" s="25"/>
      <c r="AD1499" s="25"/>
      <c r="AE1499" s="25"/>
      <c r="AF1499" s="25"/>
      <c r="AG1499" s="25"/>
      <c r="AH1499" s="25"/>
      <c r="AI1499" s="25"/>
      <c r="AJ1499" s="25"/>
      <c r="AK1499" s="25"/>
      <c r="AL1499" s="25"/>
      <c r="AM1499" s="25"/>
      <c r="AN1499" s="25"/>
      <c r="AO1499" s="25"/>
      <c r="AP1499" s="25"/>
      <c r="AQ1499" s="25"/>
      <c r="AR1499" s="25"/>
      <c r="AS1499" s="25"/>
      <c r="AT1499" s="25"/>
      <c r="AU1499" s="25"/>
      <c r="AV1499" s="25"/>
      <c r="AW1499" s="25"/>
      <c r="AX1499" s="25"/>
    </row>
    <row r="1500" ht="15.75" customHeight="1">
      <c r="A1500" s="25"/>
      <c r="B1500" s="25"/>
      <c r="C1500" s="27"/>
      <c r="D1500" s="28"/>
      <c r="E1500" s="28"/>
      <c r="F1500" s="25"/>
      <c r="G1500" s="25"/>
      <c r="H1500" s="25"/>
      <c r="I1500" s="25"/>
      <c r="J1500" s="25"/>
      <c r="K1500" s="25"/>
      <c r="L1500" s="25"/>
      <c r="M1500" s="25"/>
      <c r="N1500" s="25"/>
      <c r="O1500" s="25"/>
      <c r="P1500" s="25"/>
      <c r="Q1500" s="25"/>
      <c r="R1500" s="25"/>
      <c r="S1500" s="25"/>
      <c r="T1500" s="25"/>
      <c r="U1500" s="25"/>
      <c r="V1500" s="25"/>
      <c r="W1500" s="25"/>
      <c r="X1500" s="25"/>
      <c r="Y1500" s="25"/>
      <c r="Z1500" s="25"/>
      <c r="AA1500" s="25"/>
      <c r="AB1500" s="25"/>
      <c r="AC1500" s="25"/>
      <c r="AD1500" s="25"/>
      <c r="AE1500" s="25"/>
      <c r="AF1500" s="25"/>
      <c r="AG1500" s="25"/>
      <c r="AH1500" s="25"/>
      <c r="AI1500" s="25"/>
      <c r="AJ1500" s="25"/>
      <c r="AK1500" s="25"/>
      <c r="AL1500" s="25"/>
      <c r="AM1500" s="25"/>
      <c r="AN1500" s="25"/>
      <c r="AO1500" s="25"/>
      <c r="AP1500" s="25"/>
      <c r="AQ1500" s="25"/>
      <c r="AR1500" s="25"/>
      <c r="AS1500" s="25"/>
      <c r="AT1500" s="25"/>
      <c r="AU1500" s="25"/>
      <c r="AV1500" s="25"/>
      <c r="AW1500" s="25"/>
      <c r="AX1500" s="25"/>
    </row>
    <row r="1501" ht="15.75" customHeight="1">
      <c r="A1501" s="25"/>
      <c r="B1501" s="25"/>
      <c r="C1501" s="27"/>
      <c r="D1501" s="28"/>
      <c r="E1501" s="28"/>
      <c r="F1501" s="25"/>
      <c r="G1501" s="25"/>
      <c r="H1501" s="25"/>
      <c r="I1501" s="25"/>
      <c r="J1501" s="25"/>
      <c r="K1501" s="25"/>
      <c r="L1501" s="25"/>
      <c r="M1501" s="25"/>
      <c r="N1501" s="25"/>
      <c r="O1501" s="25"/>
      <c r="P1501" s="25"/>
      <c r="Q1501" s="25"/>
      <c r="R1501" s="25"/>
      <c r="S1501" s="25"/>
      <c r="T1501" s="25"/>
      <c r="U1501" s="25"/>
      <c r="V1501" s="25"/>
      <c r="W1501" s="25"/>
      <c r="X1501" s="25"/>
      <c r="Y1501" s="25"/>
      <c r="Z1501" s="25"/>
      <c r="AA1501" s="25"/>
      <c r="AB1501" s="25"/>
      <c r="AC1501" s="25"/>
      <c r="AD1501" s="25"/>
      <c r="AE1501" s="25"/>
      <c r="AF1501" s="25"/>
      <c r="AG1501" s="25"/>
      <c r="AH1501" s="25"/>
      <c r="AI1501" s="25"/>
      <c r="AJ1501" s="25"/>
      <c r="AK1501" s="25"/>
      <c r="AL1501" s="25"/>
      <c r="AM1501" s="25"/>
      <c r="AN1501" s="25"/>
      <c r="AO1501" s="25"/>
      <c r="AP1501" s="25"/>
      <c r="AQ1501" s="25"/>
      <c r="AR1501" s="25"/>
      <c r="AS1501" s="25"/>
      <c r="AT1501" s="25"/>
      <c r="AU1501" s="25"/>
      <c r="AV1501" s="25"/>
      <c r="AW1501" s="25"/>
      <c r="AX1501" s="25"/>
    </row>
    <row r="1502" ht="15.75" customHeight="1">
      <c r="A1502" s="25"/>
      <c r="B1502" s="25"/>
      <c r="C1502" s="27"/>
      <c r="D1502" s="28"/>
      <c r="E1502" s="28"/>
      <c r="F1502" s="25"/>
      <c r="G1502" s="25"/>
      <c r="H1502" s="25"/>
      <c r="I1502" s="25"/>
      <c r="J1502" s="25"/>
      <c r="K1502" s="25"/>
      <c r="L1502" s="25"/>
      <c r="M1502" s="25"/>
      <c r="N1502" s="25"/>
      <c r="O1502" s="25"/>
      <c r="P1502" s="25"/>
      <c r="Q1502" s="25"/>
      <c r="R1502" s="25"/>
      <c r="S1502" s="25"/>
      <c r="T1502" s="25"/>
      <c r="U1502" s="25"/>
      <c r="V1502" s="25"/>
      <c r="W1502" s="25"/>
      <c r="X1502" s="25"/>
      <c r="Y1502" s="25"/>
      <c r="Z1502" s="25"/>
      <c r="AA1502" s="25"/>
      <c r="AB1502" s="25"/>
      <c r="AC1502" s="25"/>
      <c r="AD1502" s="25"/>
      <c r="AE1502" s="25"/>
      <c r="AF1502" s="25"/>
      <c r="AG1502" s="25"/>
      <c r="AH1502" s="25"/>
      <c r="AI1502" s="25"/>
      <c r="AJ1502" s="25"/>
      <c r="AK1502" s="25"/>
      <c r="AL1502" s="25"/>
      <c r="AM1502" s="25"/>
      <c r="AN1502" s="25"/>
      <c r="AO1502" s="25"/>
      <c r="AP1502" s="25"/>
      <c r="AQ1502" s="25"/>
      <c r="AR1502" s="25"/>
      <c r="AS1502" s="25"/>
      <c r="AT1502" s="25"/>
      <c r="AU1502" s="25"/>
      <c r="AV1502" s="25"/>
      <c r="AW1502" s="25"/>
      <c r="AX1502" s="25"/>
    </row>
    <row r="1503" ht="15.75" customHeight="1">
      <c r="A1503" s="25"/>
      <c r="B1503" s="25"/>
      <c r="C1503" s="27"/>
      <c r="D1503" s="28"/>
      <c r="E1503" s="28"/>
      <c r="F1503" s="25"/>
      <c r="G1503" s="25"/>
      <c r="H1503" s="25"/>
      <c r="I1503" s="25"/>
      <c r="J1503" s="25"/>
      <c r="K1503" s="25"/>
      <c r="L1503" s="25"/>
      <c r="M1503" s="25"/>
      <c r="N1503" s="25"/>
      <c r="O1503" s="25"/>
      <c r="P1503" s="25"/>
      <c r="Q1503" s="25"/>
      <c r="R1503" s="25"/>
      <c r="S1503" s="25"/>
      <c r="T1503" s="25"/>
      <c r="U1503" s="25"/>
      <c r="V1503" s="25"/>
      <c r="W1503" s="25"/>
      <c r="X1503" s="25"/>
      <c r="Y1503" s="25"/>
      <c r="Z1503" s="25"/>
      <c r="AA1503" s="25"/>
      <c r="AB1503" s="25"/>
      <c r="AC1503" s="25"/>
      <c r="AD1503" s="25"/>
      <c r="AE1503" s="25"/>
      <c r="AF1503" s="25"/>
      <c r="AG1503" s="25"/>
      <c r="AH1503" s="25"/>
      <c r="AI1503" s="25"/>
      <c r="AJ1503" s="25"/>
      <c r="AK1503" s="25"/>
      <c r="AL1503" s="25"/>
      <c r="AM1503" s="25"/>
      <c r="AN1503" s="25"/>
      <c r="AO1503" s="25"/>
      <c r="AP1503" s="25"/>
      <c r="AQ1503" s="25"/>
      <c r="AR1503" s="25"/>
      <c r="AS1503" s="25"/>
      <c r="AT1503" s="25"/>
      <c r="AU1503" s="25"/>
      <c r="AV1503" s="25"/>
      <c r="AW1503" s="25"/>
      <c r="AX1503" s="25"/>
    </row>
    <row r="1504" ht="15.75" customHeight="1">
      <c r="A1504" s="25"/>
      <c r="B1504" s="25"/>
      <c r="C1504" s="27"/>
      <c r="D1504" s="28"/>
      <c r="E1504" s="28"/>
      <c r="F1504" s="25"/>
      <c r="G1504" s="25"/>
      <c r="H1504" s="25"/>
      <c r="I1504" s="25"/>
      <c r="J1504" s="25"/>
      <c r="K1504" s="25"/>
      <c r="L1504" s="25"/>
      <c r="M1504" s="25"/>
      <c r="N1504" s="25"/>
      <c r="O1504" s="25"/>
      <c r="P1504" s="25"/>
      <c r="Q1504" s="25"/>
      <c r="R1504" s="25"/>
      <c r="S1504" s="25"/>
      <c r="T1504" s="25"/>
      <c r="U1504" s="25"/>
      <c r="V1504" s="25"/>
      <c r="W1504" s="25"/>
      <c r="X1504" s="25"/>
      <c r="Y1504" s="25"/>
      <c r="Z1504" s="25"/>
      <c r="AA1504" s="25"/>
      <c r="AB1504" s="25"/>
      <c r="AC1504" s="25"/>
      <c r="AD1504" s="25"/>
      <c r="AE1504" s="25"/>
      <c r="AF1504" s="25"/>
      <c r="AG1504" s="25"/>
      <c r="AH1504" s="25"/>
      <c r="AI1504" s="25"/>
      <c r="AJ1504" s="25"/>
      <c r="AK1504" s="25"/>
      <c r="AL1504" s="25"/>
      <c r="AM1504" s="25"/>
      <c r="AN1504" s="25"/>
      <c r="AO1504" s="25"/>
      <c r="AP1504" s="25"/>
      <c r="AQ1504" s="25"/>
      <c r="AR1504" s="25"/>
      <c r="AS1504" s="25"/>
      <c r="AT1504" s="25"/>
      <c r="AU1504" s="25"/>
      <c r="AV1504" s="25"/>
      <c r="AW1504" s="25"/>
      <c r="AX1504" s="25"/>
    </row>
    <row r="1505" ht="15.75" customHeight="1">
      <c r="A1505" s="25"/>
      <c r="B1505" s="25"/>
      <c r="C1505" s="27"/>
      <c r="D1505" s="28"/>
      <c r="E1505" s="28"/>
      <c r="F1505" s="25"/>
      <c r="G1505" s="25"/>
      <c r="H1505" s="25"/>
      <c r="I1505" s="25"/>
      <c r="J1505" s="25"/>
      <c r="K1505" s="25"/>
      <c r="L1505" s="25"/>
      <c r="M1505" s="25"/>
      <c r="N1505" s="25"/>
      <c r="O1505" s="25"/>
      <c r="P1505" s="25"/>
      <c r="Q1505" s="25"/>
      <c r="R1505" s="25"/>
      <c r="S1505" s="25"/>
      <c r="T1505" s="25"/>
      <c r="U1505" s="25"/>
      <c r="V1505" s="25"/>
      <c r="W1505" s="25"/>
      <c r="X1505" s="25"/>
      <c r="Y1505" s="25"/>
      <c r="Z1505" s="25"/>
      <c r="AA1505" s="25"/>
      <c r="AB1505" s="25"/>
      <c r="AC1505" s="25"/>
      <c r="AD1505" s="25"/>
      <c r="AE1505" s="25"/>
      <c r="AF1505" s="25"/>
      <c r="AG1505" s="25"/>
      <c r="AH1505" s="25"/>
      <c r="AI1505" s="25"/>
      <c r="AJ1505" s="25"/>
      <c r="AK1505" s="25"/>
      <c r="AL1505" s="25"/>
      <c r="AM1505" s="25"/>
      <c r="AN1505" s="25"/>
      <c r="AO1505" s="25"/>
      <c r="AP1505" s="25"/>
      <c r="AQ1505" s="25"/>
      <c r="AR1505" s="25"/>
      <c r="AS1505" s="25"/>
      <c r="AT1505" s="25"/>
      <c r="AU1505" s="25"/>
      <c r="AV1505" s="25"/>
      <c r="AW1505" s="25"/>
      <c r="AX1505" s="25"/>
    </row>
    <row r="1506" ht="15.75" customHeight="1">
      <c r="A1506" s="25"/>
      <c r="B1506" s="25"/>
      <c r="C1506" s="27"/>
      <c r="D1506" s="28"/>
      <c r="E1506" s="28"/>
      <c r="F1506" s="25"/>
      <c r="G1506" s="25"/>
      <c r="H1506" s="25"/>
      <c r="I1506" s="25"/>
      <c r="J1506" s="25"/>
      <c r="K1506" s="25"/>
      <c r="L1506" s="25"/>
      <c r="M1506" s="25"/>
      <c r="N1506" s="25"/>
      <c r="O1506" s="25"/>
      <c r="P1506" s="25"/>
      <c r="Q1506" s="25"/>
      <c r="R1506" s="25"/>
      <c r="S1506" s="25"/>
      <c r="T1506" s="25"/>
      <c r="U1506" s="25"/>
      <c r="V1506" s="25"/>
      <c r="W1506" s="25"/>
      <c r="X1506" s="25"/>
      <c r="Y1506" s="25"/>
      <c r="Z1506" s="25"/>
      <c r="AA1506" s="25"/>
      <c r="AB1506" s="25"/>
      <c r="AC1506" s="25"/>
      <c r="AD1506" s="25"/>
      <c r="AE1506" s="25"/>
      <c r="AF1506" s="25"/>
      <c r="AG1506" s="25"/>
      <c r="AH1506" s="25"/>
      <c r="AI1506" s="25"/>
      <c r="AJ1506" s="25"/>
      <c r="AK1506" s="25"/>
      <c r="AL1506" s="25"/>
      <c r="AM1506" s="25"/>
      <c r="AN1506" s="25"/>
      <c r="AO1506" s="25"/>
      <c r="AP1506" s="25"/>
      <c r="AQ1506" s="25"/>
      <c r="AR1506" s="25"/>
      <c r="AS1506" s="25"/>
      <c r="AT1506" s="25"/>
      <c r="AU1506" s="25"/>
      <c r="AV1506" s="25"/>
      <c r="AW1506" s="25"/>
      <c r="AX1506" s="25"/>
    </row>
    <row r="1507" ht="15.75" customHeight="1">
      <c r="A1507" s="25"/>
      <c r="B1507" s="25"/>
      <c r="C1507" s="27"/>
      <c r="D1507" s="28"/>
      <c r="E1507" s="28"/>
      <c r="F1507" s="25"/>
      <c r="G1507" s="25"/>
      <c r="H1507" s="25"/>
      <c r="I1507" s="25"/>
      <c r="J1507" s="25"/>
      <c r="K1507" s="25"/>
      <c r="L1507" s="25"/>
      <c r="M1507" s="25"/>
      <c r="N1507" s="25"/>
      <c r="O1507" s="25"/>
      <c r="P1507" s="25"/>
      <c r="Q1507" s="25"/>
      <c r="R1507" s="25"/>
      <c r="S1507" s="25"/>
      <c r="T1507" s="25"/>
      <c r="U1507" s="25"/>
      <c r="V1507" s="25"/>
      <c r="W1507" s="25"/>
      <c r="X1507" s="25"/>
      <c r="Y1507" s="25"/>
      <c r="Z1507" s="25"/>
      <c r="AA1507" s="25"/>
      <c r="AB1507" s="25"/>
      <c r="AC1507" s="25"/>
      <c r="AD1507" s="25"/>
      <c r="AE1507" s="25"/>
      <c r="AF1507" s="25"/>
      <c r="AG1507" s="25"/>
      <c r="AH1507" s="25"/>
      <c r="AI1507" s="25"/>
      <c r="AJ1507" s="25"/>
      <c r="AK1507" s="25"/>
      <c r="AL1507" s="25"/>
      <c r="AM1507" s="25"/>
      <c r="AN1507" s="25"/>
      <c r="AO1507" s="25"/>
      <c r="AP1507" s="25"/>
      <c r="AQ1507" s="25"/>
      <c r="AR1507" s="25"/>
      <c r="AS1507" s="25"/>
      <c r="AT1507" s="25"/>
      <c r="AU1507" s="25"/>
      <c r="AV1507" s="25"/>
      <c r="AW1507" s="25"/>
      <c r="AX1507" s="25"/>
    </row>
    <row r="1508" ht="15.75" customHeight="1">
      <c r="A1508" s="25"/>
      <c r="B1508" s="25"/>
      <c r="C1508" s="27"/>
      <c r="D1508" s="28"/>
      <c r="E1508" s="28"/>
      <c r="F1508" s="25"/>
      <c r="G1508" s="25"/>
      <c r="H1508" s="25"/>
      <c r="I1508" s="25"/>
      <c r="J1508" s="25"/>
      <c r="K1508" s="25"/>
      <c r="L1508" s="25"/>
      <c r="M1508" s="25"/>
      <c r="N1508" s="25"/>
      <c r="O1508" s="25"/>
      <c r="P1508" s="25"/>
      <c r="Q1508" s="25"/>
      <c r="R1508" s="25"/>
      <c r="S1508" s="25"/>
      <c r="T1508" s="25"/>
      <c r="U1508" s="25"/>
      <c r="V1508" s="25"/>
      <c r="W1508" s="25"/>
      <c r="X1508" s="25"/>
      <c r="Y1508" s="25"/>
      <c r="Z1508" s="25"/>
      <c r="AA1508" s="25"/>
      <c r="AB1508" s="25"/>
      <c r="AC1508" s="25"/>
      <c r="AD1508" s="25"/>
      <c r="AE1508" s="25"/>
      <c r="AF1508" s="25"/>
      <c r="AG1508" s="25"/>
      <c r="AH1508" s="25"/>
      <c r="AI1508" s="25"/>
      <c r="AJ1508" s="25"/>
      <c r="AK1508" s="25"/>
      <c r="AL1508" s="25"/>
      <c r="AM1508" s="25"/>
      <c r="AN1508" s="25"/>
      <c r="AO1508" s="25"/>
      <c r="AP1508" s="25"/>
      <c r="AQ1508" s="25"/>
      <c r="AR1508" s="25"/>
      <c r="AS1508" s="25"/>
      <c r="AT1508" s="25"/>
      <c r="AU1508" s="25"/>
      <c r="AV1508" s="25"/>
      <c r="AW1508" s="25"/>
      <c r="AX1508" s="25"/>
    </row>
    <row r="1509" ht="15.75" customHeight="1">
      <c r="A1509" s="25"/>
      <c r="B1509" s="25"/>
      <c r="C1509" s="27"/>
      <c r="D1509" s="28"/>
      <c r="E1509" s="28"/>
      <c r="F1509" s="25"/>
      <c r="G1509" s="25"/>
      <c r="H1509" s="25"/>
      <c r="I1509" s="25"/>
      <c r="J1509" s="25"/>
      <c r="K1509" s="25"/>
      <c r="L1509" s="25"/>
      <c r="M1509" s="25"/>
      <c r="N1509" s="25"/>
      <c r="O1509" s="25"/>
      <c r="P1509" s="25"/>
      <c r="Q1509" s="25"/>
      <c r="R1509" s="25"/>
      <c r="S1509" s="25"/>
      <c r="T1509" s="25"/>
      <c r="U1509" s="25"/>
      <c r="V1509" s="25"/>
      <c r="W1509" s="25"/>
      <c r="X1509" s="25"/>
      <c r="Y1509" s="25"/>
      <c r="Z1509" s="25"/>
      <c r="AA1509" s="25"/>
      <c r="AB1509" s="25"/>
      <c r="AC1509" s="25"/>
      <c r="AD1509" s="25"/>
      <c r="AE1509" s="25"/>
      <c r="AF1509" s="25"/>
      <c r="AG1509" s="25"/>
      <c r="AH1509" s="25"/>
      <c r="AI1509" s="25"/>
      <c r="AJ1509" s="25"/>
      <c r="AK1509" s="25"/>
      <c r="AL1509" s="25"/>
      <c r="AM1509" s="25"/>
      <c r="AN1509" s="25"/>
      <c r="AO1509" s="25"/>
      <c r="AP1509" s="25"/>
      <c r="AQ1509" s="25"/>
      <c r="AR1509" s="25"/>
      <c r="AS1509" s="25"/>
      <c r="AT1509" s="25"/>
      <c r="AU1509" s="25"/>
      <c r="AV1509" s="25"/>
      <c r="AW1509" s="25"/>
      <c r="AX1509" s="25"/>
    </row>
    <row r="1510" ht="15.75" customHeight="1">
      <c r="A1510" s="25"/>
      <c r="B1510" s="25"/>
      <c r="C1510" s="27"/>
      <c r="D1510" s="28"/>
      <c r="E1510" s="28"/>
      <c r="F1510" s="25"/>
      <c r="G1510" s="25"/>
      <c r="H1510" s="25"/>
      <c r="I1510" s="25"/>
      <c r="J1510" s="25"/>
      <c r="K1510" s="25"/>
      <c r="L1510" s="25"/>
      <c r="M1510" s="25"/>
      <c r="N1510" s="25"/>
      <c r="O1510" s="25"/>
      <c r="P1510" s="25"/>
      <c r="Q1510" s="25"/>
      <c r="R1510" s="25"/>
      <c r="S1510" s="25"/>
      <c r="T1510" s="25"/>
      <c r="U1510" s="25"/>
      <c r="V1510" s="25"/>
      <c r="W1510" s="25"/>
      <c r="X1510" s="25"/>
      <c r="Y1510" s="25"/>
      <c r="Z1510" s="25"/>
      <c r="AA1510" s="25"/>
      <c r="AB1510" s="25"/>
      <c r="AC1510" s="25"/>
      <c r="AD1510" s="25"/>
      <c r="AE1510" s="25"/>
      <c r="AF1510" s="25"/>
      <c r="AG1510" s="25"/>
      <c r="AH1510" s="25"/>
      <c r="AI1510" s="25"/>
      <c r="AJ1510" s="25"/>
      <c r="AK1510" s="25"/>
      <c r="AL1510" s="25"/>
      <c r="AM1510" s="25"/>
      <c r="AN1510" s="25"/>
      <c r="AO1510" s="25"/>
      <c r="AP1510" s="25"/>
      <c r="AQ1510" s="25"/>
      <c r="AR1510" s="25"/>
      <c r="AS1510" s="25"/>
      <c r="AT1510" s="25"/>
      <c r="AU1510" s="25"/>
      <c r="AV1510" s="25"/>
      <c r="AW1510" s="25"/>
      <c r="AX1510" s="25"/>
    </row>
    <row r="1511" ht="15.75" customHeight="1">
      <c r="A1511" s="25"/>
      <c r="B1511" s="25"/>
      <c r="C1511" s="27"/>
      <c r="D1511" s="28"/>
      <c r="E1511" s="28"/>
      <c r="F1511" s="25"/>
      <c r="G1511" s="25"/>
      <c r="H1511" s="25"/>
      <c r="I1511" s="25"/>
      <c r="J1511" s="25"/>
      <c r="K1511" s="25"/>
      <c r="L1511" s="25"/>
      <c r="M1511" s="25"/>
      <c r="N1511" s="25"/>
      <c r="O1511" s="25"/>
      <c r="P1511" s="25"/>
      <c r="Q1511" s="25"/>
      <c r="R1511" s="25"/>
      <c r="S1511" s="25"/>
      <c r="T1511" s="25"/>
      <c r="U1511" s="25"/>
      <c r="V1511" s="25"/>
      <c r="W1511" s="25"/>
      <c r="X1511" s="25"/>
      <c r="Y1511" s="25"/>
      <c r="Z1511" s="25"/>
      <c r="AA1511" s="25"/>
      <c r="AB1511" s="25"/>
      <c r="AC1511" s="25"/>
      <c r="AD1511" s="25"/>
      <c r="AE1511" s="25"/>
      <c r="AF1511" s="25"/>
      <c r="AG1511" s="25"/>
      <c r="AH1511" s="25"/>
      <c r="AI1511" s="25"/>
      <c r="AJ1511" s="25"/>
      <c r="AK1511" s="25"/>
      <c r="AL1511" s="25"/>
      <c r="AM1511" s="25"/>
      <c r="AN1511" s="25"/>
      <c r="AO1511" s="25"/>
      <c r="AP1511" s="25"/>
      <c r="AQ1511" s="25"/>
      <c r="AR1511" s="25"/>
      <c r="AS1511" s="25"/>
      <c r="AT1511" s="25"/>
      <c r="AU1511" s="25"/>
      <c r="AV1511" s="25"/>
      <c r="AW1511" s="25"/>
      <c r="AX1511" s="25"/>
    </row>
    <row r="1512" ht="15.75" customHeight="1">
      <c r="A1512" s="25"/>
      <c r="B1512" s="25"/>
      <c r="C1512" s="27"/>
      <c r="D1512" s="28"/>
      <c r="E1512" s="28"/>
      <c r="F1512" s="25"/>
      <c r="G1512" s="25"/>
      <c r="H1512" s="25"/>
      <c r="I1512" s="25"/>
      <c r="J1512" s="25"/>
      <c r="K1512" s="25"/>
      <c r="L1512" s="25"/>
      <c r="M1512" s="25"/>
      <c r="N1512" s="25"/>
      <c r="O1512" s="25"/>
      <c r="P1512" s="25"/>
      <c r="Q1512" s="25"/>
      <c r="R1512" s="25"/>
      <c r="S1512" s="25"/>
      <c r="T1512" s="25"/>
      <c r="U1512" s="25"/>
      <c r="V1512" s="25"/>
      <c r="W1512" s="25"/>
      <c r="X1512" s="25"/>
      <c r="Y1512" s="25"/>
      <c r="Z1512" s="25"/>
      <c r="AA1512" s="25"/>
      <c r="AB1512" s="25"/>
      <c r="AC1512" s="25"/>
      <c r="AD1512" s="25"/>
      <c r="AE1512" s="25"/>
      <c r="AF1512" s="25"/>
      <c r="AG1512" s="25"/>
      <c r="AH1512" s="25"/>
      <c r="AI1512" s="25"/>
      <c r="AJ1512" s="25"/>
      <c r="AK1512" s="25"/>
      <c r="AL1512" s="25"/>
      <c r="AM1512" s="25"/>
      <c r="AN1512" s="25"/>
      <c r="AO1512" s="25"/>
      <c r="AP1512" s="25"/>
      <c r="AQ1512" s="25"/>
      <c r="AR1512" s="25"/>
      <c r="AS1512" s="25"/>
      <c r="AT1512" s="25"/>
      <c r="AU1512" s="25"/>
      <c r="AV1512" s="25"/>
      <c r="AW1512" s="25"/>
      <c r="AX1512" s="25"/>
    </row>
    <row r="1513" ht="15.75" customHeight="1">
      <c r="A1513" s="25"/>
      <c r="B1513" s="25"/>
      <c r="C1513" s="27"/>
      <c r="D1513" s="28"/>
      <c r="E1513" s="28"/>
      <c r="F1513" s="25"/>
      <c r="G1513" s="25"/>
      <c r="H1513" s="25"/>
      <c r="I1513" s="25"/>
      <c r="J1513" s="25"/>
      <c r="K1513" s="25"/>
      <c r="L1513" s="25"/>
      <c r="M1513" s="25"/>
      <c r="N1513" s="25"/>
      <c r="O1513" s="25"/>
      <c r="P1513" s="25"/>
      <c r="Q1513" s="25"/>
      <c r="R1513" s="25"/>
      <c r="S1513" s="25"/>
      <c r="T1513" s="25"/>
      <c r="U1513" s="25"/>
      <c r="V1513" s="25"/>
      <c r="W1513" s="25"/>
      <c r="X1513" s="25"/>
      <c r="Y1513" s="25"/>
      <c r="Z1513" s="25"/>
      <c r="AA1513" s="25"/>
      <c r="AB1513" s="25"/>
      <c r="AC1513" s="25"/>
      <c r="AD1513" s="25"/>
      <c r="AE1513" s="25"/>
      <c r="AF1513" s="25"/>
      <c r="AG1513" s="25"/>
      <c r="AH1513" s="25"/>
      <c r="AI1513" s="25"/>
      <c r="AJ1513" s="25"/>
      <c r="AK1513" s="25"/>
      <c r="AL1513" s="25"/>
      <c r="AM1513" s="25"/>
      <c r="AN1513" s="25"/>
      <c r="AO1513" s="25"/>
      <c r="AP1513" s="25"/>
      <c r="AQ1513" s="25"/>
      <c r="AR1513" s="25"/>
      <c r="AS1513" s="25"/>
      <c r="AT1513" s="25"/>
      <c r="AU1513" s="25"/>
      <c r="AV1513" s="25"/>
      <c r="AW1513" s="25"/>
      <c r="AX1513" s="25"/>
    </row>
    <row r="1514" ht="15.75" customHeight="1">
      <c r="A1514" s="25"/>
      <c r="B1514" s="25"/>
      <c r="C1514" s="27"/>
      <c r="D1514" s="28"/>
      <c r="E1514" s="28"/>
      <c r="F1514" s="25"/>
      <c r="G1514" s="25"/>
      <c r="H1514" s="25"/>
      <c r="I1514" s="25"/>
      <c r="J1514" s="25"/>
      <c r="K1514" s="25"/>
      <c r="L1514" s="25"/>
      <c r="M1514" s="25"/>
      <c r="N1514" s="25"/>
      <c r="O1514" s="25"/>
      <c r="P1514" s="25"/>
      <c r="Q1514" s="25"/>
      <c r="R1514" s="25"/>
      <c r="S1514" s="25"/>
      <c r="T1514" s="25"/>
      <c r="U1514" s="25"/>
      <c r="V1514" s="25"/>
      <c r="W1514" s="25"/>
      <c r="X1514" s="25"/>
      <c r="Y1514" s="25"/>
      <c r="Z1514" s="25"/>
      <c r="AA1514" s="25"/>
      <c r="AB1514" s="25"/>
      <c r="AC1514" s="25"/>
      <c r="AD1514" s="25"/>
      <c r="AE1514" s="25"/>
      <c r="AF1514" s="25"/>
      <c r="AG1514" s="25"/>
      <c r="AH1514" s="25"/>
      <c r="AI1514" s="25"/>
      <c r="AJ1514" s="25"/>
      <c r="AK1514" s="25"/>
      <c r="AL1514" s="25"/>
      <c r="AM1514" s="25"/>
      <c r="AN1514" s="25"/>
      <c r="AO1514" s="25"/>
      <c r="AP1514" s="25"/>
      <c r="AQ1514" s="25"/>
      <c r="AR1514" s="25"/>
      <c r="AS1514" s="25"/>
      <c r="AT1514" s="25"/>
      <c r="AU1514" s="25"/>
      <c r="AV1514" s="25"/>
      <c r="AW1514" s="25"/>
      <c r="AX1514" s="25"/>
    </row>
    <row r="1515" ht="15.75" customHeight="1">
      <c r="A1515" s="25"/>
      <c r="B1515" s="25"/>
      <c r="C1515" s="27"/>
      <c r="D1515" s="28"/>
      <c r="E1515" s="28"/>
      <c r="F1515" s="25"/>
      <c r="G1515" s="25"/>
      <c r="H1515" s="25"/>
      <c r="I1515" s="25"/>
      <c r="J1515" s="25"/>
      <c r="K1515" s="25"/>
      <c r="L1515" s="25"/>
      <c r="M1515" s="25"/>
      <c r="N1515" s="25"/>
      <c r="O1515" s="25"/>
      <c r="P1515" s="25"/>
      <c r="Q1515" s="25"/>
      <c r="R1515" s="25"/>
      <c r="S1515" s="25"/>
      <c r="T1515" s="25"/>
      <c r="U1515" s="25"/>
      <c r="V1515" s="25"/>
      <c r="W1515" s="25"/>
      <c r="X1515" s="25"/>
      <c r="Y1515" s="25"/>
      <c r="Z1515" s="25"/>
      <c r="AA1515" s="25"/>
      <c r="AB1515" s="25"/>
      <c r="AC1515" s="25"/>
      <c r="AD1515" s="25"/>
      <c r="AE1515" s="25"/>
      <c r="AF1515" s="25"/>
      <c r="AG1515" s="25"/>
      <c r="AH1515" s="25"/>
      <c r="AI1515" s="25"/>
      <c r="AJ1515" s="25"/>
      <c r="AK1515" s="25"/>
      <c r="AL1515" s="25"/>
      <c r="AM1515" s="25"/>
      <c r="AN1515" s="25"/>
      <c r="AO1515" s="25"/>
      <c r="AP1515" s="25"/>
      <c r="AQ1515" s="25"/>
      <c r="AR1515" s="25"/>
      <c r="AS1515" s="25"/>
      <c r="AT1515" s="25"/>
      <c r="AU1515" s="25"/>
      <c r="AV1515" s="25"/>
      <c r="AW1515" s="25"/>
      <c r="AX1515" s="25"/>
    </row>
    <row r="1516" ht="15.75" customHeight="1">
      <c r="A1516" s="25"/>
      <c r="B1516" s="25"/>
      <c r="C1516" s="27"/>
      <c r="D1516" s="28"/>
      <c r="E1516" s="28"/>
      <c r="F1516" s="25"/>
      <c r="G1516" s="25"/>
      <c r="H1516" s="25"/>
      <c r="I1516" s="25"/>
      <c r="J1516" s="25"/>
      <c r="K1516" s="25"/>
      <c r="L1516" s="25"/>
      <c r="M1516" s="25"/>
      <c r="N1516" s="25"/>
      <c r="O1516" s="25"/>
      <c r="P1516" s="25"/>
      <c r="Q1516" s="25"/>
      <c r="R1516" s="25"/>
      <c r="S1516" s="25"/>
      <c r="T1516" s="25"/>
      <c r="U1516" s="25"/>
      <c r="V1516" s="25"/>
      <c r="W1516" s="25"/>
      <c r="X1516" s="25"/>
      <c r="Y1516" s="25"/>
      <c r="Z1516" s="25"/>
      <c r="AA1516" s="25"/>
      <c r="AB1516" s="25"/>
      <c r="AC1516" s="25"/>
      <c r="AD1516" s="25"/>
      <c r="AE1516" s="25"/>
      <c r="AF1516" s="25"/>
      <c r="AG1516" s="25"/>
      <c r="AH1516" s="25"/>
      <c r="AI1516" s="25"/>
      <c r="AJ1516" s="25"/>
      <c r="AK1516" s="25"/>
      <c r="AL1516" s="25"/>
      <c r="AM1516" s="25"/>
      <c r="AN1516" s="25"/>
      <c r="AO1516" s="25"/>
      <c r="AP1516" s="25"/>
      <c r="AQ1516" s="25"/>
      <c r="AR1516" s="25"/>
      <c r="AS1516" s="25"/>
      <c r="AT1516" s="25"/>
      <c r="AU1516" s="25"/>
      <c r="AV1516" s="25"/>
      <c r="AW1516" s="25"/>
      <c r="AX1516" s="25"/>
    </row>
    <row r="1517" ht="15.75" customHeight="1">
      <c r="A1517" s="25"/>
      <c r="B1517" s="25"/>
      <c r="C1517" s="27"/>
      <c r="D1517" s="28"/>
      <c r="E1517" s="28"/>
      <c r="F1517" s="25"/>
      <c r="G1517" s="25"/>
      <c r="H1517" s="25"/>
      <c r="I1517" s="25"/>
      <c r="J1517" s="25"/>
      <c r="K1517" s="25"/>
      <c r="L1517" s="25"/>
      <c r="M1517" s="25"/>
      <c r="N1517" s="25"/>
      <c r="O1517" s="25"/>
      <c r="P1517" s="25"/>
      <c r="Q1517" s="25"/>
      <c r="R1517" s="25"/>
      <c r="S1517" s="25"/>
      <c r="T1517" s="25"/>
      <c r="U1517" s="25"/>
      <c r="V1517" s="25"/>
      <c r="W1517" s="25"/>
      <c r="X1517" s="25"/>
      <c r="Y1517" s="25"/>
      <c r="Z1517" s="25"/>
      <c r="AA1517" s="25"/>
      <c r="AB1517" s="25"/>
      <c r="AC1517" s="25"/>
      <c r="AD1517" s="25"/>
      <c r="AE1517" s="25"/>
      <c r="AF1517" s="25"/>
      <c r="AG1517" s="25"/>
      <c r="AH1517" s="25"/>
      <c r="AI1517" s="25"/>
      <c r="AJ1517" s="25"/>
      <c r="AK1517" s="25"/>
      <c r="AL1517" s="25"/>
      <c r="AM1517" s="25"/>
      <c r="AN1517" s="25"/>
      <c r="AO1517" s="25"/>
      <c r="AP1517" s="25"/>
      <c r="AQ1517" s="25"/>
      <c r="AR1517" s="25"/>
      <c r="AS1517" s="25"/>
      <c r="AT1517" s="25"/>
      <c r="AU1517" s="25"/>
      <c r="AV1517" s="25"/>
      <c r="AW1517" s="25"/>
      <c r="AX1517" s="25"/>
    </row>
    <row r="1518" ht="15.75" customHeight="1">
      <c r="A1518" s="25"/>
      <c r="B1518" s="25"/>
      <c r="C1518" s="27"/>
      <c r="D1518" s="28"/>
      <c r="E1518" s="28"/>
      <c r="F1518" s="25"/>
      <c r="G1518" s="25"/>
      <c r="H1518" s="25"/>
      <c r="I1518" s="25"/>
      <c r="J1518" s="25"/>
      <c r="K1518" s="25"/>
      <c r="L1518" s="25"/>
      <c r="M1518" s="25"/>
      <c r="N1518" s="25"/>
      <c r="O1518" s="25"/>
      <c r="P1518" s="25"/>
      <c r="Q1518" s="25"/>
      <c r="R1518" s="25"/>
      <c r="S1518" s="25"/>
      <c r="T1518" s="25"/>
      <c r="U1518" s="25"/>
      <c r="V1518" s="25"/>
      <c r="W1518" s="25"/>
      <c r="X1518" s="25"/>
      <c r="Y1518" s="25"/>
      <c r="Z1518" s="25"/>
      <c r="AA1518" s="25"/>
      <c r="AB1518" s="25"/>
      <c r="AC1518" s="25"/>
      <c r="AD1518" s="25"/>
      <c r="AE1518" s="25"/>
      <c r="AF1518" s="25"/>
      <c r="AG1518" s="25"/>
      <c r="AH1518" s="25"/>
      <c r="AI1518" s="25"/>
      <c r="AJ1518" s="25"/>
      <c r="AK1518" s="25"/>
      <c r="AL1518" s="25"/>
      <c r="AM1518" s="25"/>
      <c r="AN1518" s="25"/>
      <c r="AO1518" s="25"/>
      <c r="AP1518" s="25"/>
      <c r="AQ1518" s="25"/>
      <c r="AR1518" s="25"/>
      <c r="AS1518" s="25"/>
      <c r="AT1518" s="25"/>
      <c r="AU1518" s="25"/>
      <c r="AV1518" s="25"/>
      <c r="AW1518" s="25"/>
      <c r="AX1518" s="25"/>
    </row>
    <row r="1519" ht="15.75" customHeight="1">
      <c r="A1519" s="25"/>
      <c r="B1519" s="25"/>
      <c r="C1519" s="27"/>
      <c r="D1519" s="28"/>
      <c r="E1519" s="28"/>
      <c r="F1519" s="25"/>
      <c r="G1519" s="25"/>
      <c r="H1519" s="25"/>
      <c r="I1519" s="25"/>
      <c r="J1519" s="25"/>
      <c r="K1519" s="25"/>
      <c r="L1519" s="25"/>
      <c r="M1519" s="25"/>
      <c r="N1519" s="25"/>
      <c r="O1519" s="25"/>
      <c r="P1519" s="25"/>
      <c r="Q1519" s="25"/>
      <c r="R1519" s="25"/>
      <c r="S1519" s="25"/>
      <c r="T1519" s="25"/>
      <c r="U1519" s="25"/>
      <c r="V1519" s="25"/>
      <c r="W1519" s="25"/>
      <c r="X1519" s="25"/>
      <c r="Y1519" s="25"/>
      <c r="Z1519" s="25"/>
      <c r="AA1519" s="25"/>
      <c r="AB1519" s="25"/>
      <c r="AC1519" s="25"/>
      <c r="AD1519" s="25"/>
      <c r="AE1519" s="25"/>
      <c r="AF1519" s="25"/>
      <c r="AG1519" s="25"/>
      <c r="AH1519" s="25"/>
      <c r="AI1519" s="25"/>
      <c r="AJ1519" s="25"/>
      <c r="AK1519" s="25"/>
      <c r="AL1519" s="25"/>
      <c r="AM1519" s="25"/>
      <c r="AN1519" s="25"/>
      <c r="AO1519" s="25"/>
      <c r="AP1519" s="25"/>
      <c r="AQ1519" s="25"/>
      <c r="AR1519" s="25"/>
      <c r="AS1519" s="25"/>
      <c r="AT1519" s="25"/>
      <c r="AU1519" s="25"/>
      <c r="AV1519" s="25"/>
      <c r="AW1519" s="25"/>
      <c r="AX1519" s="25"/>
    </row>
    <row r="1520" ht="15.75" customHeight="1">
      <c r="A1520" s="25"/>
      <c r="B1520" s="25"/>
      <c r="C1520" s="27"/>
      <c r="D1520" s="28"/>
      <c r="E1520" s="28"/>
      <c r="F1520" s="25"/>
      <c r="G1520" s="25"/>
      <c r="H1520" s="25"/>
      <c r="I1520" s="25"/>
      <c r="J1520" s="25"/>
      <c r="K1520" s="25"/>
      <c r="L1520" s="25"/>
      <c r="M1520" s="25"/>
      <c r="N1520" s="25"/>
      <c r="O1520" s="25"/>
      <c r="P1520" s="25"/>
      <c r="Q1520" s="25"/>
      <c r="R1520" s="25"/>
      <c r="S1520" s="25"/>
      <c r="T1520" s="25"/>
      <c r="U1520" s="25"/>
      <c r="V1520" s="25"/>
      <c r="W1520" s="25"/>
      <c r="X1520" s="25"/>
      <c r="Y1520" s="25"/>
      <c r="Z1520" s="25"/>
      <c r="AA1520" s="25"/>
      <c r="AB1520" s="25"/>
      <c r="AC1520" s="25"/>
      <c r="AD1520" s="25"/>
      <c r="AE1520" s="25"/>
      <c r="AF1520" s="25"/>
      <c r="AG1520" s="25"/>
      <c r="AH1520" s="25"/>
      <c r="AI1520" s="25"/>
      <c r="AJ1520" s="25"/>
      <c r="AK1520" s="25"/>
      <c r="AL1520" s="25"/>
      <c r="AM1520" s="25"/>
      <c r="AN1520" s="25"/>
      <c r="AO1520" s="25"/>
      <c r="AP1520" s="25"/>
      <c r="AQ1520" s="25"/>
      <c r="AR1520" s="25"/>
      <c r="AS1520" s="25"/>
      <c r="AT1520" s="25"/>
      <c r="AU1520" s="25"/>
      <c r="AV1520" s="25"/>
      <c r="AW1520" s="25"/>
      <c r="AX1520" s="25"/>
    </row>
    <row r="1521" ht="15.75" customHeight="1">
      <c r="A1521" s="25"/>
      <c r="B1521" s="25"/>
      <c r="C1521" s="27"/>
      <c r="D1521" s="28"/>
      <c r="E1521" s="28"/>
      <c r="F1521" s="25"/>
      <c r="G1521" s="25"/>
      <c r="H1521" s="25"/>
      <c r="I1521" s="25"/>
      <c r="J1521" s="25"/>
      <c r="K1521" s="25"/>
      <c r="L1521" s="25"/>
      <c r="M1521" s="25"/>
      <c r="N1521" s="25"/>
      <c r="O1521" s="25"/>
      <c r="P1521" s="25"/>
      <c r="Q1521" s="25"/>
      <c r="R1521" s="25"/>
      <c r="S1521" s="25"/>
      <c r="T1521" s="25"/>
      <c r="U1521" s="25"/>
      <c r="V1521" s="25"/>
      <c r="W1521" s="25"/>
      <c r="X1521" s="25"/>
      <c r="Y1521" s="25"/>
      <c r="Z1521" s="25"/>
      <c r="AA1521" s="25"/>
      <c r="AB1521" s="25"/>
      <c r="AC1521" s="25"/>
      <c r="AD1521" s="25"/>
      <c r="AE1521" s="25"/>
      <c r="AF1521" s="25"/>
      <c r="AG1521" s="25"/>
      <c r="AH1521" s="25"/>
      <c r="AI1521" s="25"/>
      <c r="AJ1521" s="25"/>
      <c r="AK1521" s="25"/>
      <c r="AL1521" s="25"/>
      <c r="AM1521" s="25"/>
      <c r="AN1521" s="25"/>
      <c r="AO1521" s="25"/>
      <c r="AP1521" s="25"/>
      <c r="AQ1521" s="25"/>
      <c r="AR1521" s="25"/>
      <c r="AS1521" s="25"/>
      <c r="AT1521" s="25"/>
      <c r="AU1521" s="25"/>
      <c r="AV1521" s="25"/>
      <c r="AW1521" s="25"/>
      <c r="AX1521" s="25"/>
    </row>
    <row r="1522" ht="15.75" customHeight="1">
      <c r="A1522" s="25"/>
      <c r="B1522" s="25"/>
      <c r="C1522" s="27"/>
      <c r="D1522" s="28"/>
      <c r="E1522" s="28"/>
      <c r="F1522" s="25"/>
      <c r="G1522" s="25"/>
      <c r="H1522" s="25"/>
      <c r="I1522" s="25"/>
      <c r="J1522" s="25"/>
      <c r="K1522" s="25"/>
      <c r="L1522" s="25"/>
      <c r="M1522" s="25"/>
      <c r="N1522" s="25"/>
      <c r="O1522" s="25"/>
      <c r="P1522" s="25"/>
      <c r="Q1522" s="25"/>
      <c r="R1522" s="25"/>
      <c r="S1522" s="25"/>
      <c r="T1522" s="25"/>
      <c r="U1522" s="25"/>
      <c r="V1522" s="25"/>
      <c r="W1522" s="25"/>
      <c r="X1522" s="25"/>
      <c r="Y1522" s="25"/>
      <c r="Z1522" s="25"/>
      <c r="AA1522" s="25"/>
      <c r="AB1522" s="25"/>
      <c r="AC1522" s="25"/>
      <c r="AD1522" s="25"/>
      <c r="AE1522" s="25"/>
      <c r="AF1522" s="25"/>
      <c r="AG1522" s="25"/>
      <c r="AH1522" s="25"/>
      <c r="AI1522" s="25"/>
      <c r="AJ1522" s="25"/>
      <c r="AK1522" s="25"/>
      <c r="AL1522" s="25"/>
      <c r="AM1522" s="25"/>
      <c r="AN1522" s="25"/>
      <c r="AO1522" s="25"/>
      <c r="AP1522" s="25"/>
      <c r="AQ1522" s="25"/>
      <c r="AR1522" s="25"/>
      <c r="AS1522" s="25"/>
      <c r="AT1522" s="25"/>
      <c r="AU1522" s="25"/>
      <c r="AV1522" s="25"/>
      <c r="AW1522" s="25"/>
      <c r="AX1522" s="25"/>
    </row>
    <row r="1523" ht="15.75" customHeight="1">
      <c r="A1523" s="25"/>
      <c r="B1523" s="25"/>
      <c r="C1523" s="27"/>
      <c r="D1523" s="28"/>
      <c r="E1523" s="28"/>
      <c r="F1523" s="25"/>
      <c r="G1523" s="25"/>
      <c r="H1523" s="25"/>
      <c r="I1523" s="25"/>
      <c r="J1523" s="25"/>
      <c r="K1523" s="25"/>
      <c r="L1523" s="25"/>
      <c r="M1523" s="25"/>
      <c r="N1523" s="25"/>
      <c r="O1523" s="25"/>
      <c r="P1523" s="25"/>
      <c r="Q1523" s="25"/>
      <c r="R1523" s="25"/>
      <c r="S1523" s="25"/>
      <c r="T1523" s="25"/>
      <c r="U1523" s="25"/>
      <c r="V1523" s="25"/>
      <c r="W1523" s="25"/>
      <c r="X1523" s="25"/>
      <c r="Y1523" s="25"/>
      <c r="Z1523" s="25"/>
      <c r="AA1523" s="25"/>
      <c r="AB1523" s="25"/>
      <c r="AC1523" s="25"/>
      <c r="AD1523" s="25"/>
      <c r="AE1523" s="25"/>
      <c r="AF1523" s="25"/>
      <c r="AG1523" s="25"/>
      <c r="AH1523" s="25"/>
      <c r="AI1523" s="25"/>
      <c r="AJ1523" s="25"/>
      <c r="AK1523" s="25"/>
      <c r="AL1523" s="25"/>
      <c r="AM1523" s="25"/>
      <c r="AN1523" s="25"/>
      <c r="AO1523" s="25"/>
      <c r="AP1523" s="25"/>
      <c r="AQ1523" s="25"/>
      <c r="AR1523" s="25"/>
      <c r="AS1523" s="25"/>
      <c r="AT1523" s="25"/>
      <c r="AU1523" s="25"/>
      <c r="AV1523" s="25"/>
      <c r="AW1523" s="25"/>
      <c r="AX1523" s="25"/>
    </row>
    <row r="1524" ht="15.75" customHeight="1">
      <c r="A1524" s="25"/>
      <c r="B1524" s="25"/>
      <c r="C1524" s="27"/>
      <c r="D1524" s="28"/>
      <c r="E1524" s="28"/>
      <c r="F1524" s="25"/>
      <c r="G1524" s="25"/>
      <c r="H1524" s="25"/>
      <c r="I1524" s="25"/>
      <c r="J1524" s="25"/>
      <c r="K1524" s="25"/>
      <c r="L1524" s="25"/>
      <c r="M1524" s="25"/>
      <c r="N1524" s="25"/>
      <c r="O1524" s="25"/>
      <c r="P1524" s="25"/>
      <c r="Q1524" s="25"/>
      <c r="R1524" s="25"/>
      <c r="S1524" s="25"/>
      <c r="T1524" s="25"/>
      <c r="U1524" s="25"/>
      <c r="V1524" s="25"/>
      <c r="W1524" s="25"/>
      <c r="X1524" s="25"/>
      <c r="Y1524" s="25"/>
      <c r="Z1524" s="25"/>
      <c r="AA1524" s="25"/>
      <c r="AB1524" s="25"/>
      <c r="AC1524" s="25"/>
      <c r="AD1524" s="25"/>
      <c r="AE1524" s="25"/>
      <c r="AF1524" s="25"/>
      <c r="AG1524" s="25"/>
      <c r="AH1524" s="25"/>
      <c r="AI1524" s="25"/>
      <c r="AJ1524" s="25"/>
      <c r="AK1524" s="25"/>
      <c r="AL1524" s="25"/>
      <c r="AM1524" s="25"/>
      <c r="AN1524" s="25"/>
      <c r="AO1524" s="25"/>
      <c r="AP1524" s="25"/>
      <c r="AQ1524" s="25"/>
      <c r="AR1524" s="25"/>
      <c r="AS1524" s="25"/>
      <c r="AT1524" s="25"/>
      <c r="AU1524" s="25"/>
      <c r="AV1524" s="25"/>
      <c r="AW1524" s="25"/>
      <c r="AX1524" s="25"/>
    </row>
    <row r="1525" ht="15.75" customHeight="1">
      <c r="A1525" s="25"/>
      <c r="B1525" s="25"/>
      <c r="C1525" s="27"/>
      <c r="D1525" s="28"/>
      <c r="E1525" s="28"/>
      <c r="F1525" s="25"/>
      <c r="G1525" s="25"/>
      <c r="H1525" s="25"/>
      <c r="I1525" s="25"/>
      <c r="J1525" s="25"/>
      <c r="K1525" s="25"/>
      <c r="L1525" s="25"/>
      <c r="M1525" s="25"/>
      <c r="N1525" s="25"/>
      <c r="O1525" s="25"/>
      <c r="P1525" s="25"/>
      <c r="Q1525" s="25"/>
      <c r="R1525" s="25"/>
      <c r="S1525" s="25"/>
      <c r="T1525" s="25"/>
      <c r="U1525" s="25"/>
      <c r="V1525" s="25"/>
      <c r="W1525" s="25"/>
      <c r="X1525" s="25"/>
      <c r="Y1525" s="25"/>
      <c r="Z1525" s="25"/>
      <c r="AA1525" s="25"/>
      <c r="AB1525" s="25"/>
      <c r="AC1525" s="25"/>
      <c r="AD1525" s="25"/>
      <c r="AE1525" s="25"/>
      <c r="AF1525" s="25"/>
      <c r="AG1525" s="25"/>
      <c r="AH1525" s="25"/>
      <c r="AI1525" s="25"/>
      <c r="AJ1525" s="25"/>
      <c r="AK1525" s="25"/>
      <c r="AL1525" s="25"/>
      <c r="AM1525" s="25"/>
      <c r="AN1525" s="25"/>
      <c r="AO1525" s="25"/>
      <c r="AP1525" s="25"/>
      <c r="AQ1525" s="25"/>
      <c r="AR1525" s="25"/>
      <c r="AS1525" s="25"/>
      <c r="AT1525" s="25"/>
      <c r="AU1525" s="25"/>
      <c r="AV1525" s="25"/>
      <c r="AW1525" s="25"/>
      <c r="AX1525" s="25"/>
    </row>
    <row r="1526" ht="15.75" customHeight="1">
      <c r="A1526" s="25"/>
      <c r="B1526" s="25"/>
      <c r="C1526" s="27"/>
      <c r="D1526" s="28"/>
      <c r="E1526" s="28"/>
      <c r="F1526" s="25"/>
      <c r="G1526" s="25"/>
      <c r="H1526" s="25"/>
      <c r="I1526" s="25"/>
      <c r="J1526" s="25"/>
      <c r="K1526" s="25"/>
      <c r="L1526" s="25"/>
      <c r="M1526" s="25"/>
      <c r="N1526" s="25"/>
      <c r="O1526" s="25"/>
      <c r="P1526" s="25"/>
      <c r="Q1526" s="25"/>
      <c r="R1526" s="25"/>
      <c r="S1526" s="25"/>
      <c r="T1526" s="25"/>
      <c r="U1526" s="25"/>
      <c r="V1526" s="25"/>
      <c r="W1526" s="25"/>
      <c r="X1526" s="25"/>
      <c r="Y1526" s="25"/>
      <c r="Z1526" s="25"/>
      <c r="AA1526" s="25"/>
      <c r="AB1526" s="25"/>
      <c r="AC1526" s="25"/>
      <c r="AD1526" s="25"/>
      <c r="AE1526" s="25"/>
      <c r="AF1526" s="25"/>
      <c r="AG1526" s="25"/>
      <c r="AH1526" s="25"/>
      <c r="AI1526" s="25"/>
      <c r="AJ1526" s="25"/>
      <c r="AK1526" s="25"/>
      <c r="AL1526" s="25"/>
      <c r="AM1526" s="25"/>
      <c r="AN1526" s="25"/>
      <c r="AO1526" s="25"/>
      <c r="AP1526" s="25"/>
      <c r="AQ1526" s="25"/>
      <c r="AR1526" s="25"/>
      <c r="AS1526" s="25"/>
      <c r="AT1526" s="25"/>
      <c r="AU1526" s="25"/>
      <c r="AV1526" s="25"/>
      <c r="AW1526" s="25"/>
      <c r="AX1526" s="25"/>
    </row>
    <row r="1527" ht="15.75" customHeight="1">
      <c r="A1527" s="25"/>
      <c r="B1527" s="25"/>
      <c r="C1527" s="27"/>
      <c r="D1527" s="28"/>
      <c r="E1527" s="28"/>
      <c r="F1527" s="25"/>
      <c r="G1527" s="25"/>
      <c r="H1527" s="25"/>
      <c r="I1527" s="25"/>
      <c r="J1527" s="25"/>
      <c r="K1527" s="25"/>
      <c r="L1527" s="25"/>
      <c r="M1527" s="25"/>
      <c r="N1527" s="25"/>
      <c r="O1527" s="25"/>
      <c r="P1527" s="25"/>
      <c r="Q1527" s="25"/>
      <c r="R1527" s="25"/>
      <c r="S1527" s="25"/>
      <c r="T1527" s="25"/>
      <c r="U1527" s="25"/>
      <c r="V1527" s="25"/>
      <c r="W1527" s="25"/>
      <c r="X1527" s="25"/>
      <c r="Y1527" s="25"/>
      <c r="Z1527" s="25"/>
      <c r="AA1527" s="25"/>
      <c r="AB1527" s="25"/>
      <c r="AC1527" s="25"/>
      <c r="AD1527" s="25"/>
      <c r="AE1527" s="25"/>
      <c r="AF1527" s="25"/>
      <c r="AG1527" s="25"/>
      <c r="AH1527" s="25"/>
      <c r="AI1527" s="25"/>
      <c r="AJ1527" s="25"/>
      <c r="AK1527" s="25"/>
      <c r="AL1527" s="25"/>
      <c r="AM1527" s="25"/>
      <c r="AN1527" s="25"/>
      <c r="AO1527" s="25"/>
      <c r="AP1527" s="25"/>
      <c r="AQ1527" s="25"/>
      <c r="AR1527" s="25"/>
      <c r="AS1527" s="25"/>
      <c r="AT1527" s="25"/>
      <c r="AU1527" s="25"/>
      <c r="AV1527" s="25"/>
      <c r="AW1527" s="25"/>
      <c r="AX1527" s="25"/>
    </row>
    <row r="1528" ht="15.75" customHeight="1">
      <c r="A1528" s="25"/>
      <c r="B1528" s="25"/>
      <c r="C1528" s="27"/>
      <c r="D1528" s="28"/>
      <c r="E1528" s="28"/>
      <c r="F1528" s="25"/>
      <c r="G1528" s="25"/>
      <c r="H1528" s="25"/>
      <c r="I1528" s="25"/>
      <c r="J1528" s="25"/>
      <c r="K1528" s="25"/>
      <c r="L1528" s="25"/>
      <c r="M1528" s="25"/>
      <c r="N1528" s="25"/>
      <c r="O1528" s="25"/>
      <c r="P1528" s="25"/>
      <c r="Q1528" s="25"/>
      <c r="R1528" s="25"/>
      <c r="S1528" s="25"/>
      <c r="T1528" s="25"/>
      <c r="U1528" s="25"/>
      <c r="V1528" s="25"/>
      <c r="W1528" s="25"/>
      <c r="X1528" s="25"/>
      <c r="Y1528" s="25"/>
      <c r="Z1528" s="25"/>
      <c r="AA1528" s="25"/>
      <c r="AB1528" s="25"/>
      <c r="AC1528" s="25"/>
      <c r="AD1528" s="25"/>
      <c r="AE1528" s="25"/>
      <c r="AF1528" s="25"/>
      <c r="AG1528" s="25"/>
      <c r="AH1528" s="25"/>
      <c r="AI1528" s="25"/>
      <c r="AJ1528" s="25"/>
      <c r="AK1528" s="25"/>
      <c r="AL1528" s="25"/>
      <c r="AM1528" s="25"/>
      <c r="AN1528" s="25"/>
      <c r="AO1528" s="25"/>
      <c r="AP1528" s="25"/>
      <c r="AQ1528" s="25"/>
      <c r="AR1528" s="25"/>
      <c r="AS1528" s="25"/>
      <c r="AT1528" s="25"/>
      <c r="AU1528" s="25"/>
      <c r="AV1528" s="25"/>
      <c r="AW1528" s="25"/>
      <c r="AX1528" s="25"/>
    </row>
    <row r="1529" ht="15.75" customHeight="1">
      <c r="A1529" s="25"/>
      <c r="B1529" s="25"/>
      <c r="C1529" s="27"/>
      <c r="D1529" s="28"/>
      <c r="E1529" s="28"/>
      <c r="F1529" s="25"/>
      <c r="G1529" s="25"/>
      <c r="H1529" s="25"/>
      <c r="I1529" s="25"/>
      <c r="J1529" s="25"/>
      <c r="K1529" s="25"/>
      <c r="L1529" s="25"/>
      <c r="M1529" s="25"/>
      <c r="N1529" s="25"/>
      <c r="O1529" s="25"/>
      <c r="P1529" s="25"/>
      <c r="Q1529" s="25"/>
      <c r="R1529" s="25"/>
      <c r="S1529" s="25"/>
      <c r="T1529" s="25"/>
      <c r="U1529" s="25"/>
      <c r="V1529" s="25"/>
      <c r="W1529" s="25"/>
      <c r="X1529" s="25"/>
      <c r="Y1529" s="25"/>
      <c r="Z1529" s="25"/>
      <c r="AA1529" s="25"/>
      <c r="AB1529" s="25"/>
      <c r="AC1529" s="25"/>
      <c r="AD1529" s="25"/>
      <c r="AE1529" s="25"/>
      <c r="AF1529" s="25"/>
      <c r="AG1529" s="25"/>
      <c r="AH1529" s="25"/>
      <c r="AI1529" s="25"/>
      <c r="AJ1529" s="25"/>
      <c r="AK1529" s="25"/>
      <c r="AL1529" s="25"/>
      <c r="AM1529" s="25"/>
      <c r="AN1529" s="25"/>
      <c r="AO1529" s="25"/>
      <c r="AP1529" s="25"/>
      <c r="AQ1529" s="25"/>
      <c r="AR1529" s="25"/>
      <c r="AS1529" s="25"/>
      <c r="AT1529" s="25"/>
      <c r="AU1529" s="25"/>
      <c r="AV1529" s="25"/>
      <c r="AW1529" s="25"/>
      <c r="AX1529" s="25"/>
    </row>
    <row r="1530" ht="15.75" customHeight="1">
      <c r="A1530" s="25"/>
      <c r="B1530" s="25"/>
      <c r="C1530" s="27"/>
      <c r="D1530" s="28"/>
      <c r="E1530" s="28"/>
      <c r="F1530" s="25"/>
      <c r="G1530" s="25"/>
      <c r="H1530" s="25"/>
      <c r="I1530" s="25"/>
      <c r="J1530" s="25"/>
      <c r="K1530" s="25"/>
      <c r="L1530" s="25"/>
      <c r="M1530" s="25"/>
      <c r="N1530" s="25"/>
      <c r="O1530" s="25"/>
      <c r="P1530" s="25"/>
      <c r="Q1530" s="25"/>
      <c r="R1530" s="25"/>
      <c r="S1530" s="25"/>
      <c r="T1530" s="25"/>
      <c r="U1530" s="25"/>
      <c r="V1530" s="25"/>
      <c r="W1530" s="25"/>
      <c r="X1530" s="25"/>
      <c r="Y1530" s="25"/>
      <c r="Z1530" s="25"/>
      <c r="AA1530" s="25"/>
      <c r="AB1530" s="25"/>
      <c r="AC1530" s="25"/>
      <c r="AD1530" s="25"/>
      <c r="AE1530" s="25"/>
      <c r="AF1530" s="25"/>
      <c r="AG1530" s="25"/>
      <c r="AH1530" s="25"/>
      <c r="AI1530" s="25"/>
      <c r="AJ1530" s="25"/>
      <c r="AK1530" s="25"/>
      <c r="AL1530" s="25"/>
      <c r="AM1530" s="25"/>
      <c r="AN1530" s="25"/>
      <c r="AO1530" s="25"/>
      <c r="AP1530" s="25"/>
      <c r="AQ1530" s="25"/>
      <c r="AR1530" s="25"/>
      <c r="AS1530" s="25"/>
      <c r="AT1530" s="25"/>
      <c r="AU1530" s="25"/>
      <c r="AV1530" s="25"/>
      <c r="AW1530" s="25"/>
      <c r="AX1530" s="25"/>
    </row>
    <row r="1531" ht="15.75" customHeight="1">
      <c r="A1531" s="25"/>
      <c r="B1531" s="25"/>
      <c r="C1531" s="27"/>
      <c r="D1531" s="28"/>
      <c r="E1531" s="28"/>
      <c r="F1531" s="25"/>
      <c r="G1531" s="25"/>
      <c r="H1531" s="25"/>
      <c r="I1531" s="25"/>
      <c r="J1531" s="25"/>
      <c r="K1531" s="25"/>
      <c r="L1531" s="25"/>
      <c r="M1531" s="25"/>
      <c r="N1531" s="25"/>
      <c r="O1531" s="25"/>
      <c r="P1531" s="25"/>
      <c r="Q1531" s="25"/>
      <c r="R1531" s="25"/>
      <c r="S1531" s="25"/>
      <c r="T1531" s="25"/>
      <c r="U1531" s="25"/>
      <c r="V1531" s="25"/>
      <c r="W1531" s="25"/>
      <c r="X1531" s="25"/>
      <c r="Y1531" s="25"/>
      <c r="Z1531" s="25"/>
      <c r="AA1531" s="25"/>
      <c r="AB1531" s="25"/>
      <c r="AC1531" s="25"/>
      <c r="AD1531" s="25"/>
      <c r="AE1531" s="25"/>
      <c r="AF1531" s="25"/>
      <c r="AG1531" s="25"/>
      <c r="AH1531" s="25"/>
      <c r="AI1531" s="25"/>
      <c r="AJ1531" s="25"/>
      <c r="AK1531" s="25"/>
      <c r="AL1531" s="25"/>
      <c r="AM1531" s="25"/>
      <c r="AN1531" s="25"/>
      <c r="AO1531" s="25"/>
      <c r="AP1531" s="25"/>
      <c r="AQ1531" s="25"/>
      <c r="AR1531" s="25"/>
      <c r="AS1531" s="25"/>
      <c r="AT1531" s="25"/>
      <c r="AU1531" s="25"/>
      <c r="AV1531" s="25"/>
      <c r="AW1531" s="25"/>
      <c r="AX1531" s="25"/>
    </row>
    <row r="1532" ht="15.75" customHeight="1">
      <c r="A1532" s="25"/>
      <c r="B1532" s="25"/>
      <c r="C1532" s="27"/>
      <c r="D1532" s="28"/>
      <c r="E1532" s="28"/>
      <c r="F1532" s="25"/>
      <c r="G1532" s="25"/>
      <c r="H1532" s="25"/>
      <c r="I1532" s="25"/>
      <c r="J1532" s="25"/>
      <c r="K1532" s="25"/>
      <c r="L1532" s="25"/>
      <c r="M1532" s="25"/>
      <c r="N1532" s="25"/>
      <c r="O1532" s="25"/>
      <c r="P1532" s="25"/>
      <c r="Q1532" s="25"/>
      <c r="R1532" s="25"/>
      <c r="S1532" s="25"/>
      <c r="T1532" s="25"/>
      <c r="U1532" s="25"/>
      <c r="V1532" s="25"/>
      <c r="W1532" s="25"/>
      <c r="X1532" s="25"/>
      <c r="Y1532" s="25"/>
      <c r="Z1532" s="25"/>
      <c r="AA1532" s="25"/>
      <c r="AB1532" s="25"/>
      <c r="AC1532" s="25"/>
      <c r="AD1532" s="25"/>
      <c r="AE1532" s="25"/>
      <c r="AF1532" s="25"/>
      <c r="AG1532" s="25"/>
      <c r="AH1532" s="25"/>
      <c r="AI1532" s="25"/>
      <c r="AJ1532" s="25"/>
      <c r="AK1532" s="25"/>
      <c r="AL1532" s="25"/>
      <c r="AM1532" s="25"/>
      <c r="AN1532" s="25"/>
      <c r="AO1532" s="25"/>
      <c r="AP1532" s="25"/>
      <c r="AQ1532" s="25"/>
      <c r="AR1532" s="25"/>
      <c r="AS1532" s="25"/>
      <c r="AT1532" s="25"/>
      <c r="AU1532" s="25"/>
      <c r="AV1532" s="25"/>
      <c r="AW1532" s="25"/>
      <c r="AX1532" s="25"/>
    </row>
    <row r="1533" ht="15.75" customHeight="1">
      <c r="A1533" s="25"/>
      <c r="B1533" s="25"/>
      <c r="C1533" s="27"/>
      <c r="D1533" s="28"/>
      <c r="E1533" s="28"/>
      <c r="F1533" s="25"/>
      <c r="G1533" s="25"/>
      <c r="H1533" s="25"/>
      <c r="I1533" s="25"/>
      <c r="J1533" s="25"/>
      <c r="K1533" s="25"/>
      <c r="L1533" s="25"/>
      <c r="M1533" s="25"/>
      <c r="N1533" s="25"/>
      <c r="O1533" s="25"/>
      <c r="P1533" s="25"/>
      <c r="Q1533" s="25"/>
      <c r="R1533" s="25"/>
      <c r="S1533" s="25"/>
      <c r="T1533" s="25"/>
      <c r="U1533" s="25"/>
      <c r="V1533" s="25"/>
      <c r="W1533" s="25"/>
      <c r="X1533" s="25"/>
      <c r="Y1533" s="25"/>
      <c r="Z1533" s="25"/>
      <c r="AA1533" s="25"/>
      <c r="AB1533" s="25"/>
      <c r="AC1533" s="25"/>
      <c r="AD1533" s="25"/>
      <c r="AE1533" s="25"/>
      <c r="AF1533" s="25"/>
      <c r="AG1533" s="25"/>
      <c r="AH1533" s="25"/>
      <c r="AI1533" s="25"/>
      <c r="AJ1533" s="25"/>
      <c r="AK1533" s="25"/>
      <c r="AL1533" s="25"/>
      <c r="AM1533" s="25"/>
      <c r="AN1533" s="25"/>
      <c r="AO1533" s="25"/>
      <c r="AP1533" s="25"/>
      <c r="AQ1533" s="25"/>
      <c r="AR1533" s="25"/>
      <c r="AS1533" s="25"/>
      <c r="AT1533" s="25"/>
      <c r="AU1533" s="25"/>
      <c r="AV1533" s="25"/>
      <c r="AW1533" s="25"/>
      <c r="AX1533" s="25"/>
    </row>
    <row r="1534" ht="15.75" customHeight="1">
      <c r="A1534" s="25"/>
      <c r="B1534" s="25"/>
      <c r="C1534" s="27"/>
      <c r="D1534" s="28"/>
      <c r="E1534" s="28"/>
      <c r="F1534" s="25"/>
      <c r="G1534" s="25"/>
      <c r="H1534" s="25"/>
      <c r="I1534" s="25"/>
      <c r="J1534" s="25"/>
      <c r="K1534" s="25"/>
      <c r="L1534" s="25"/>
      <c r="M1534" s="25"/>
      <c r="N1534" s="25"/>
      <c r="O1534" s="25"/>
      <c r="P1534" s="25"/>
      <c r="Q1534" s="25"/>
      <c r="R1534" s="25"/>
      <c r="S1534" s="25"/>
      <c r="T1534" s="25"/>
      <c r="U1534" s="25"/>
      <c r="V1534" s="25"/>
      <c r="W1534" s="25"/>
      <c r="X1534" s="25"/>
      <c r="Y1534" s="25"/>
      <c r="Z1534" s="25"/>
      <c r="AA1534" s="25"/>
      <c r="AB1534" s="25"/>
      <c r="AC1534" s="25"/>
      <c r="AD1534" s="25"/>
      <c r="AE1534" s="25"/>
      <c r="AF1534" s="25"/>
      <c r="AG1534" s="25"/>
      <c r="AH1534" s="25"/>
      <c r="AI1534" s="25"/>
      <c r="AJ1534" s="25"/>
      <c r="AK1534" s="25"/>
      <c r="AL1534" s="25"/>
      <c r="AM1534" s="25"/>
      <c r="AN1534" s="25"/>
      <c r="AO1534" s="25"/>
      <c r="AP1534" s="25"/>
      <c r="AQ1534" s="25"/>
      <c r="AR1534" s="25"/>
      <c r="AS1534" s="25"/>
      <c r="AT1534" s="25"/>
      <c r="AU1534" s="25"/>
      <c r="AV1534" s="25"/>
      <c r="AW1534" s="25"/>
      <c r="AX1534" s="25"/>
    </row>
    <row r="1535" ht="15.75" customHeight="1">
      <c r="A1535" s="25"/>
      <c r="B1535" s="25"/>
      <c r="C1535" s="27"/>
      <c r="D1535" s="28"/>
      <c r="E1535" s="28"/>
      <c r="F1535" s="25"/>
      <c r="G1535" s="25"/>
      <c r="H1535" s="25"/>
      <c r="I1535" s="25"/>
      <c r="J1535" s="25"/>
      <c r="K1535" s="25"/>
      <c r="L1535" s="25"/>
      <c r="M1535" s="25"/>
      <c r="N1535" s="25"/>
      <c r="O1535" s="25"/>
      <c r="P1535" s="25"/>
      <c r="Q1535" s="25"/>
      <c r="R1535" s="25"/>
      <c r="S1535" s="25"/>
      <c r="T1535" s="25"/>
      <c r="U1535" s="25"/>
      <c r="V1535" s="25"/>
      <c r="W1535" s="25"/>
      <c r="X1535" s="25"/>
      <c r="Y1535" s="25"/>
      <c r="Z1535" s="25"/>
      <c r="AA1535" s="25"/>
      <c r="AB1535" s="25"/>
      <c r="AC1535" s="25"/>
      <c r="AD1535" s="25"/>
      <c r="AE1535" s="25"/>
      <c r="AF1535" s="25"/>
      <c r="AG1535" s="25"/>
      <c r="AH1535" s="25"/>
      <c r="AI1535" s="25"/>
      <c r="AJ1535" s="25"/>
      <c r="AK1535" s="25"/>
      <c r="AL1535" s="25"/>
      <c r="AM1535" s="25"/>
      <c r="AN1535" s="25"/>
      <c r="AO1535" s="25"/>
      <c r="AP1535" s="25"/>
      <c r="AQ1535" s="25"/>
      <c r="AR1535" s="25"/>
      <c r="AS1535" s="25"/>
      <c r="AT1535" s="25"/>
      <c r="AU1535" s="25"/>
      <c r="AV1535" s="25"/>
      <c r="AW1535" s="25"/>
      <c r="AX1535" s="25"/>
    </row>
    <row r="1536" ht="15.75" customHeight="1">
      <c r="A1536" s="25"/>
      <c r="B1536" s="25"/>
      <c r="C1536" s="27"/>
      <c r="D1536" s="28"/>
      <c r="E1536" s="28"/>
      <c r="F1536" s="25"/>
      <c r="G1536" s="25"/>
      <c r="H1536" s="25"/>
      <c r="I1536" s="25"/>
      <c r="J1536" s="25"/>
      <c r="K1536" s="25"/>
      <c r="L1536" s="25"/>
      <c r="M1536" s="25"/>
      <c r="N1536" s="25"/>
      <c r="O1536" s="25"/>
      <c r="P1536" s="25"/>
      <c r="Q1536" s="25"/>
      <c r="R1536" s="25"/>
      <c r="S1536" s="25"/>
      <c r="T1536" s="25"/>
      <c r="U1536" s="25"/>
      <c r="V1536" s="25"/>
      <c r="W1536" s="25"/>
      <c r="X1536" s="25"/>
      <c r="Y1536" s="25"/>
      <c r="Z1536" s="25"/>
      <c r="AA1536" s="25"/>
      <c r="AB1536" s="25"/>
      <c r="AC1536" s="25"/>
      <c r="AD1536" s="25"/>
      <c r="AE1536" s="25"/>
      <c r="AF1536" s="25"/>
      <c r="AG1536" s="25"/>
      <c r="AH1536" s="25"/>
      <c r="AI1536" s="25"/>
      <c r="AJ1536" s="25"/>
      <c r="AK1536" s="25"/>
      <c r="AL1536" s="25"/>
      <c r="AM1536" s="25"/>
      <c r="AN1536" s="25"/>
      <c r="AO1536" s="25"/>
      <c r="AP1536" s="25"/>
      <c r="AQ1536" s="25"/>
      <c r="AR1536" s="25"/>
      <c r="AS1536" s="25"/>
      <c r="AT1536" s="25"/>
      <c r="AU1536" s="25"/>
      <c r="AV1536" s="25"/>
      <c r="AW1536" s="25"/>
      <c r="AX1536" s="25"/>
    </row>
    <row r="1537" ht="15.75" customHeight="1">
      <c r="A1537" s="25"/>
      <c r="B1537" s="25"/>
      <c r="C1537" s="27"/>
      <c r="D1537" s="28"/>
      <c r="E1537" s="28"/>
      <c r="F1537" s="25"/>
      <c r="G1537" s="25"/>
      <c r="H1537" s="25"/>
      <c r="I1537" s="25"/>
      <c r="J1537" s="25"/>
      <c r="K1537" s="25"/>
      <c r="L1537" s="25"/>
      <c r="M1537" s="25"/>
      <c r="N1537" s="25"/>
      <c r="O1537" s="25"/>
      <c r="P1537" s="25"/>
      <c r="Q1537" s="25"/>
      <c r="R1537" s="25"/>
      <c r="S1537" s="25"/>
      <c r="T1537" s="25"/>
      <c r="U1537" s="25"/>
      <c r="V1537" s="25"/>
      <c r="W1537" s="25"/>
      <c r="X1537" s="25"/>
      <c r="Y1537" s="25"/>
      <c r="Z1537" s="25"/>
      <c r="AA1537" s="25"/>
      <c r="AB1537" s="25"/>
      <c r="AC1537" s="25"/>
      <c r="AD1537" s="25"/>
      <c r="AE1537" s="25"/>
      <c r="AF1537" s="25"/>
      <c r="AG1537" s="25"/>
      <c r="AH1537" s="25"/>
      <c r="AI1537" s="25"/>
      <c r="AJ1537" s="25"/>
      <c r="AK1537" s="25"/>
      <c r="AL1537" s="25"/>
      <c r="AM1537" s="25"/>
      <c r="AN1537" s="25"/>
      <c r="AO1537" s="25"/>
      <c r="AP1537" s="25"/>
      <c r="AQ1537" s="25"/>
      <c r="AR1537" s="25"/>
      <c r="AS1537" s="25"/>
      <c r="AT1537" s="25"/>
      <c r="AU1537" s="25"/>
      <c r="AV1537" s="25"/>
      <c r="AW1537" s="25"/>
      <c r="AX1537" s="25"/>
    </row>
    <row r="1538" ht="15.75" customHeight="1">
      <c r="A1538" s="25"/>
      <c r="B1538" s="25"/>
      <c r="C1538" s="27"/>
      <c r="D1538" s="28"/>
      <c r="E1538" s="28"/>
      <c r="F1538" s="25"/>
      <c r="G1538" s="25"/>
      <c r="H1538" s="25"/>
      <c r="I1538" s="25"/>
      <c r="J1538" s="25"/>
      <c r="K1538" s="25"/>
      <c r="L1538" s="25"/>
      <c r="M1538" s="25"/>
      <c r="N1538" s="25"/>
      <c r="O1538" s="25"/>
      <c r="P1538" s="25"/>
      <c r="Q1538" s="25"/>
      <c r="R1538" s="25"/>
      <c r="S1538" s="25"/>
      <c r="T1538" s="25"/>
      <c r="U1538" s="25"/>
      <c r="V1538" s="25"/>
      <c r="W1538" s="25"/>
      <c r="X1538" s="25"/>
      <c r="Y1538" s="25"/>
      <c r="Z1538" s="25"/>
      <c r="AA1538" s="25"/>
      <c r="AB1538" s="25"/>
      <c r="AC1538" s="25"/>
      <c r="AD1538" s="25"/>
      <c r="AE1538" s="25"/>
      <c r="AF1538" s="25"/>
      <c r="AG1538" s="25"/>
      <c r="AH1538" s="25"/>
      <c r="AI1538" s="25"/>
      <c r="AJ1538" s="25"/>
      <c r="AK1538" s="25"/>
      <c r="AL1538" s="25"/>
      <c r="AM1538" s="25"/>
      <c r="AN1538" s="25"/>
      <c r="AO1538" s="25"/>
      <c r="AP1538" s="25"/>
      <c r="AQ1538" s="25"/>
      <c r="AR1538" s="25"/>
      <c r="AS1538" s="25"/>
      <c r="AT1538" s="25"/>
      <c r="AU1538" s="25"/>
      <c r="AV1538" s="25"/>
      <c r="AW1538" s="25"/>
      <c r="AX1538" s="25"/>
    </row>
    <row r="1539" ht="15.75" customHeight="1">
      <c r="A1539" s="25"/>
      <c r="B1539" s="25"/>
      <c r="C1539" s="27"/>
      <c r="D1539" s="28"/>
      <c r="E1539" s="28"/>
      <c r="F1539" s="25"/>
      <c r="G1539" s="25"/>
      <c r="H1539" s="25"/>
      <c r="I1539" s="25"/>
      <c r="J1539" s="25"/>
      <c r="K1539" s="25"/>
      <c r="L1539" s="25"/>
      <c r="M1539" s="25"/>
      <c r="N1539" s="25"/>
      <c r="O1539" s="25"/>
      <c r="P1539" s="25"/>
      <c r="Q1539" s="25"/>
      <c r="R1539" s="25"/>
      <c r="S1539" s="25"/>
      <c r="T1539" s="25"/>
      <c r="U1539" s="25"/>
      <c r="V1539" s="25"/>
      <c r="W1539" s="25"/>
      <c r="X1539" s="25"/>
      <c r="Y1539" s="25"/>
      <c r="Z1539" s="25"/>
      <c r="AA1539" s="25"/>
      <c r="AB1539" s="25"/>
      <c r="AC1539" s="25"/>
      <c r="AD1539" s="25"/>
      <c r="AE1539" s="25"/>
      <c r="AF1539" s="25"/>
      <c r="AG1539" s="25"/>
      <c r="AH1539" s="25"/>
      <c r="AI1539" s="25"/>
      <c r="AJ1539" s="25"/>
      <c r="AK1539" s="25"/>
      <c r="AL1539" s="25"/>
      <c r="AM1539" s="25"/>
      <c r="AN1539" s="25"/>
      <c r="AO1539" s="25"/>
      <c r="AP1539" s="25"/>
      <c r="AQ1539" s="25"/>
      <c r="AR1539" s="25"/>
      <c r="AS1539" s="25"/>
      <c r="AT1539" s="25"/>
      <c r="AU1539" s="25"/>
      <c r="AV1539" s="25"/>
      <c r="AW1539" s="25"/>
      <c r="AX1539" s="25"/>
    </row>
    <row r="1540" ht="15.75" customHeight="1">
      <c r="A1540" s="25"/>
      <c r="B1540" s="25"/>
      <c r="C1540" s="27"/>
      <c r="D1540" s="28"/>
      <c r="E1540" s="28"/>
      <c r="F1540" s="25"/>
      <c r="G1540" s="25"/>
      <c r="H1540" s="25"/>
      <c r="I1540" s="25"/>
      <c r="J1540" s="25"/>
      <c r="K1540" s="25"/>
      <c r="L1540" s="25"/>
      <c r="M1540" s="25"/>
      <c r="N1540" s="25"/>
      <c r="O1540" s="25"/>
      <c r="P1540" s="25"/>
      <c r="Q1540" s="25"/>
      <c r="R1540" s="25"/>
      <c r="S1540" s="25"/>
      <c r="T1540" s="25"/>
      <c r="U1540" s="25"/>
      <c r="V1540" s="25"/>
      <c r="W1540" s="25"/>
      <c r="X1540" s="25"/>
      <c r="Y1540" s="25"/>
      <c r="Z1540" s="25"/>
      <c r="AA1540" s="25"/>
      <c r="AB1540" s="25"/>
      <c r="AC1540" s="25"/>
      <c r="AD1540" s="25"/>
      <c r="AE1540" s="25"/>
      <c r="AF1540" s="25"/>
      <c r="AG1540" s="25"/>
      <c r="AH1540" s="25"/>
      <c r="AI1540" s="25"/>
      <c r="AJ1540" s="25"/>
      <c r="AK1540" s="25"/>
      <c r="AL1540" s="25"/>
      <c r="AM1540" s="25"/>
      <c r="AN1540" s="25"/>
      <c r="AO1540" s="25"/>
      <c r="AP1540" s="25"/>
      <c r="AQ1540" s="25"/>
      <c r="AR1540" s="25"/>
      <c r="AS1540" s="25"/>
      <c r="AT1540" s="25"/>
      <c r="AU1540" s="25"/>
      <c r="AV1540" s="25"/>
      <c r="AW1540" s="25"/>
      <c r="AX1540" s="25"/>
    </row>
    <row r="1541" ht="15.75" customHeight="1">
      <c r="A1541" s="25"/>
      <c r="B1541" s="25"/>
      <c r="C1541" s="27"/>
      <c r="D1541" s="28"/>
      <c r="E1541" s="28"/>
      <c r="F1541" s="25"/>
      <c r="G1541" s="25"/>
      <c r="H1541" s="25"/>
      <c r="I1541" s="25"/>
      <c r="J1541" s="25"/>
      <c r="K1541" s="25"/>
      <c r="L1541" s="25"/>
      <c r="M1541" s="25"/>
      <c r="N1541" s="25"/>
      <c r="O1541" s="25"/>
      <c r="P1541" s="25"/>
      <c r="Q1541" s="25"/>
      <c r="R1541" s="25"/>
      <c r="S1541" s="25"/>
      <c r="T1541" s="25"/>
      <c r="U1541" s="25"/>
      <c r="V1541" s="25"/>
      <c r="W1541" s="25"/>
      <c r="X1541" s="25"/>
      <c r="Y1541" s="25"/>
      <c r="Z1541" s="25"/>
      <c r="AA1541" s="25"/>
      <c r="AB1541" s="25"/>
      <c r="AC1541" s="25"/>
      <c r="AD1541" s="25"/>
      <c r="AE1541" s="25"/>
      <c r="AF1541" s="25"/>
      <c r="AG1541" s="25"/>
      <c r="AH1541" s="25"/>
      <c r="AI1541" s="25"/>
      <c r="AJ1541" s="25"/>
      <c r="AK1541" s="25"/>
      <c r="AL1541" s="25"/>
      <c r="AM1541" s="25"/>
      <c r="AN1541" s="25"/>
      <c r="AO1541" s="25"/>
      <c r="AP1541" s="25"/>
      <c r="AQ1541" s="25"/>
      <c r="AR1541" s="25"/>
      <c r="AS1541" s="25"/>
      <c r="AT1541" s="25"/>
      <c r="AU1541" s="25"/>
      <c r="AV1541" s="25"/>
      <c r="AW1541" s="25"/>
      <c r="AX1541" s="25"/>
    </row>
    <row r="1542" ht="15.75" customHeight="1">
      <c r="A1542" s="25"/>
      <c r="B1542" s="25"/>
      <c r="C1542" s="27"/>
      <c r="D1542" s="28"/>
      <c r="E1542" s="28"/>
      <c r="F1542" s="25"/>
      <c r="G1542" s="25"/>
      <c r="H1542" s="25"/>
      <c r="I1542" s="25"/>
      <c r="J1542" s="25"/>
      <c r="K1542" s="25"/>
      <c r="L1542" s="25"/>
      <c r="M1542" s="25"/>
      <c r="N1542" s="25"/>
      <c r="O1542" s="25"/>
      <c r="P1542" s="25"/>
      <c r="Q1542" s="25"/>
      <c r="R1542" s="25"/>
      <c r="S1542" s="25"/>
      <c r="T1542" s="25"/>
      <c r="U1542" s="25"/>
      <c r="V1542" s="25"/>
      <c r="W1542" s="25"/>
      <c r="X1542" s="25"/>
      <c r="Y1542" s="25"/>
      <c r="Z1542" s="25"/>
      <c r="AA1542" s="25"/>
      <c r="AB1542" s="25"/>
      <c r="AC1542" s="25"/>
      <c r="AD1542" s="25"/>
      <c r="AE1542" s="25"/>
      <c r="AF1542" s="25"/>
      <c r="AG1542" s="25"/>
      <c r="AH1542" s="25"/>
      <c r="AI1542" s="25"/>
      <c r="AJ1542" s="25"/>
      <c r="AK1542" s="25"/>
      <c r="AL1542" s="25"/>
      <c r="AM1542" s="25"/>
      <c r="AN1542" s="25"/>
      <c r="AO1542" s="25"/>
      <c r="AP1542" s="25"/>
      <c r="AQ1542" s="25"/>
      <c r="AR1542" s="25"/>
      <c r="AS1542" s="25"/>
      <c r="AT1542" s="25"/>
      <c r="AU1542" s="25"/>
      <c r="AV1542" s="25"/>
      <c r="AW1542" s="25"/>
      <c r="AX1542" s="25"/>
    </row>
    <row r="1543" ht="15.75" customHeight="1">
      <c r="A1543" s="25"/>
      <c r="B1543" s="25"/>
      <c r="C1543" s="27"/>
      <c r="D1543" s="28"/>
      <c r="E1543" s="28"/>
      <c r="F1543" s="25"/>
      <c r="G1543" s="25"/>
      <c r="H1543" s="25"/>
      <c r="I1543" s="25"/>
      <c r="J1543" s="25"/>
      <c r="K1543" s="25"/>
      <c r="L1543" s="25"/>
      <c r="M1543" s="25"/>
      <c r="N1543" s="25"/>
      <c r="O1543" s="25"/>
      <c r="P1543" s="25"/>
      <c r="Q1543" s="25"/>
      <c r="R1543" s="25"/>
      <c r="S1543" s="25"/>
      <c r="T1543" s="25"/>
      <c r="U1543" s="25"/>
      <c r="V1543" s="25"/>
      <c r="W1543" s="25"/>
      <c r="X1543" s="25"/>
      <c r="Y1543" s="25"/>
      <c r="Z1543" s="25"/>
      <c r="AA1543" s="25"/>
      <c r="AB1543" s="25"/>
      <c r="AC1543" s="25"/>
      <c r="AD1543" s="25"/>
      <c r="AE1543" s="25"/>
      <c r="AF1543" s="25"/>
      <c r="AG1543" s="25"/>
      <c r="AH1543" s="25"/>
      <c r="AI1543" s="25"/>
      <c r="AJ1543" s="25"/>
      <c r="AK1543" s="25"/>
      <c r="AL1543" s="25"/>
      <c r="AM1543" s="25"/>
      <c r="AN1543" s="25"/>
      <c r="AO1543" s="25"/>
      <c r="AP1543" s="25"/>
      <c r="AQ1543" s="25"/>
      <c r="AR1543" s="25"/>
      <c r="AS1543" s="25"/>
      <c r="AT1543" s="25"/>
      <c r="AU1543" s="25"/>
      <c r="AV1543" s="25"/>
      <c r="AW1543" s="25"/>
      <c r="AX1543" s="25"/>
    </row>
    <row r="1544" ht="15.75" customHeight="1">
      <c r="A1544" s="25"/>
      <c r="B1544" s="25"/>
      <c r="C1544" s="27"/>
      <c r="D1544" s="28"/>
      <c r="E1544" s="28"/>
      <c r="F1544" s="25"/>
      <c r="G1544" s="25"/>
      <c r="H1544" s="25"/>
      <c r="I1544" s="25"/>
      <c r="J1544" s="25"/>
      <c r="K1544" s="25"/>
      <c r="L1544" s="25"/>
      <c r="M1544" s="25"/>
      <c r="N1544" s="25"/>
      <c r="O1544" s="25"/>
      <c r="P1544" s="25"/>
      <c r="Q1544" s="25"/>
      <c r="R1544" s="25"/>
      <c r="S1544" s="25"/>
      <c r="T1544" s="25"/>
      <c r="U1544" s="25"/>
      <c r="V1544" s="25"/>
      <c r="W1544" s="25"/>
      <c r="X1544" s="25"/>
      <c r="Y1544" s="25"/>
      <c r="Z1544" s="25"/>
      <c r="AA1544" s="25"/>
      <c r="AB1544" s="25"/>
      <c r="AC1544" s="25"/>
      <c r="AD1544" s="25"/>
      <c r="AE1544" s="25"/>
      <c r="AF1544" s="25"/>
      <c r="AG1544" s="25"/>
      <c r="AH1544" s="25"/>
      <c r="AI1544" s="25"/>
      <c r="AJ1544" s="25"/>
      <c r="AK1544" s="25"/>
      <c r="AL1544" s="25"/>
      <c r="AM1544" s="25"/>
      <c r="AN1544" s="25"/>
      <c r="AO1544" s="25"/>
      <c r="AP1544" s="25"/>
      <c r="AQ1544" s="25"/>
      <c r="AR1544" s="25"/>
      <c r="AS1544" s="25"/>
      <c r="AT1544" s="25"/>
      <c r="AU1544" s="25"/>
      <c r="AV1544" s="25"/>
      <c r="AW1544" s="25"/>
      <c r="AX1544" s="25"/>
    </row>
    <row r="1545" ht="15.75" customHeight="1">
      <c r="A1545" s="25"/>
      <c r="B1545" s="25"/>
      <c r="C1545" s="27"/>
      <c r="D1545" s="28"/>
      <c r="E1545" s="28"/>
      <c r="F1545" s="25"/>
      <c r="G1545" s="25"/>
      <c r="H1545" s="25"/>
      <c r="I1545" s="25"/>
      <c r="J1545" s="25"/>
      <c r="K1545" s="25"/>
      <c r="L1545" s="25"/>
      <c r="M1545" s="25"/>
      <c r="N1545" s="25"/>
      <c r="O1545" s="25"/>
      <c r="P1545" s="25"/>
      <c r="Q1545" s="25"/>
      <c r="R1545" s="25"/>
      <c r="S1545" s="25"/>
      <c r="T1545" s="25"/>
      <c r="U1545" s="25"/>
      <c r="V1545" s="25"/>
      <c r="W1545" s="25"/>
      <c r="X1545" s="25"/>
      <c r="Y1545" s="25"/>
      <c r="Z1545" s="25"/>
      <c r="AA1545" s="25"/>
      <c r="AB1545" s="25"/>
      <c r="AC1545" s="25"/>
      <c r="AD1545" s="25"/>
      <c r="AE1545" s="25"/>
      <c r="AF1545" s="25"/>
      <c r="AG1545" s="25"/>
      <c r="AH1545" s="25"/>
      <c r="AI1545" s="25"/>
      <c r="AJ1545" s="25"/>
      <c r="AK1545" s="25"/>
      <c r="AL1545" s="25"/>
      <c r="AM1545" s="25"/>
      <c r="AN1545" s="25"/>
      <c r="AO1545" s="25"/>
      <c r="AP1545" s="25"/>
      <c r="AQ1545" s="25"/>
      <c r="AR1545" s="25"/>
      <c r="AS1545" s="25"/>
      <c r="AT1545" s="25"/>
      <c r="AU1545" s="25"/>
      <c r="AV1545" s="25"/>
      <c r="AW1545" s="25"/>
      <c r="AX1545" s="25"/>
    </row>
    <row r="1546" ht="15.75" customHeight="1">
      <c r="A1546" s="25"/>
      <c r="B1546" s="25"/>
      <c r="C1546" s="27"/>
      <c r="D1546" s="28"/>
      <c r="E1546" s="28"/>
      <c r="F1546" s="25"/>
      <c r="G1546" s="25"/>
      <c r="H1546" s="25"/>
      <c r="I1546" s="25"/>
      <c r="J1546" s="25"/>
      <c r="K1546" s="25"/>
      <c r="L1546" s="25"/>
      <c r="M1546" s="25"/>
      <c r="N1546" s="25"/>
      <c r="O1546" s="25"/>
      <c r="P1546" s="25"/>
      <c r="Q1546" s="25"/>
      <c r="R1546" s="25"/>
      <c r="S1546" s="25"/>
      <c r="T1546" s="25"/>
      <c r="U1546" s="25"/>
      <c r="V1546" s="25"/>
      <c r="W1546" s="25"/>
      <c r="X1546" s="25"/>
      <c r="Y1546" s="25"/>
      <c r="Z1546" s="25"/>
      <c r="AA1546" s="25"/>
      <c r="AB1546" s="25"/>
      <c r="AC1546" s="25"/>
      <c r="AD1546" s="25"/>
      <c r="AE1546" s="25"/>
      <c r="AF1546" s="25"/>
      <c r="AG1546" s="25"/>
      <c r="AH1546" s="25"/>
      <c r="AI1546" s="25"/>
      <c r="AJ1546" s="25"/>
      <c r="AK1546" s="25"/>
      <c r="AL1546" s="25"/>
      <c r="AM1546" s="25"/>
      <c r="AN1546" s="25"/>
      <c r="AO1546" s="25"/>
      <c r="AP1546" s="25"/>
      <c r="AQ1546" s="25"/>
      <c r="AR1546" s="25"/>
      <c r="AS1546" s="25"/>
      <c r="AT1546" s="25"/>
      <c r="AU1546" s="25"/>
      <c r="AV1546" s="25"/>
      <c r="AW1546" s="25"/>
      <c r="AX1546" s="25"/>
    </row>
    <row r="1547" ht="15.75" customHeight="1">
      <c r="A1547" s="25"/>
      <c r="B1547" s="25"/>
      <c r="C1547" s="27"/>
      <c r="D1547" s="28"/>
      <c r="E1547" s="28"/>
      <c r="F1547" s="25"/>
      <c r="G1547" s="25"/>
      <c r="H1547" s="25"/>
      <c r="I1547" s="25"/>
      <c r="J1547" s="25"/>
      <c r="K1547" s="25"/>
      <c r="L1547" s="25"/>
      <c r="M1547" s="25"/>
      <c r="N1547" s="25"/>
      <c r="O1547" s="25"/>
      <c r="P1547" s="25"/>
      <c r="Q1547" s="25"/>
      <c r="R1547" s="25"/>
      <c r="S1547" s="25"/>
      <c r="T1547" s="25"/>
      <c r="U1547" s="25"/>
      <c r="V1547" s="25"/>
      <c r="W1547" s="25"/>
      <c r="X1547" s="25"/>
      <c r="Y1547" s="25"/>
      <c r="Z1547" s="25"/>
      <c r="AA1547" s="25"/>
      <c r="AB1547" s="25"/>
      <c r="AC1547" s="25"/>
      <c r="AD1547" s="25"/>
      <c r="AE1547" s="25"/>
      <c r="AF1547" s="25"/>
      <c r="AG1547" s="25"/>
      <c r="AH1547" s="25"/>
      <c r="AI1547" s="25"/>
      <c r="AJ1547" s="25"/>
      <c r="AK1547" s="25"/>
      <c r="AL1547" s="25"/>
      <c r="AM1547" s="25"/>
      <c r="AN1547" s="25"/>
      <c r="AO1547" s="25"/>
      <c r="AP1547" s="25"/>
      <c r="AQ1547" s="25"/>
      <c r="AR1547" s="25"/>
      <c r="AS1547" s="25"/>
      <c r="AT1547" s="25"/>
      <c r="AU1547" s="25"/>
      <c r="AV1547" s="25"/>
      <c r="AW1547" s="25"/>
      <c r="AX1547" s="25"/>
    </row>
    <row r="1548" ht="15.75" customHeight="1">
      <c r="A1548" s="25"/>
      <c r="B1548" s="25"/>
      <c r="C1548" s="27"/>
      <c r="D1548" s="28"/>
      <c r="E1548" s="28"/>
      <c r="F1548" s="25"/>
      <c r="G1548" s="25"/>
      <c r="H1548" s="25"/>
      <c r="I1548" s="25"/>
      <c r="J1548" s="25"/>
      <c r="K1548" s="25"/>
      <c r="L1548" s="25"/>
      <c r="M1548" s="25"/>
      <c r="N1548" s="25"/>
      <c r="O1548" s="25"/>
      <c r="P1548" s="25"/>
      <c r="Q1548" s="25"/>
      <c r="R1548" s="25"/>
      <c r="S1548" s="25"/>
      <c r="T1548" s="25"/>
      <c r="U1548" s="25"/>
      <c r="V1548" s="25"/>
      <c r="W1548" s="25"/>
      <c r="X1548" s="25"/>
      <c r="Y1548" s="25"/>
      <c r="Z1548" s="25"/>
      <c r="AA1548" s="25"/>
      <c r="AB1548" s="25"/>
      <c r="AC1548" s="25"/>
      <c r="AD1548" s="25"/>
      <c r="AE1548" s="25"/>
      <c r="AF1548" s="25"/>
      <c r="AG1548" s="25"/>
      <c r="AH1548" s="25"/>
      <c r="AI1548" s="25"/>
      <c r="AJ1548" s="25"/>
      <c r="AK1548" s="25"/>
      <c r="AL1548" s="25"/>
      <c r="AM1548" s="25"/>
      <c r="AN1548" s="25"/>
      <c r="AO1548" s="25"/>
      <c r="AP1548" s="25"/>
      <c r="AQ1548" s="25"/>
      <c r="AR1548" s="25"/>
      <c r="AS1548" s="25"/>
      <c r="AT1548" s="25"/>
      <c r="AU1548" s="25"/>
      <c r="AV1548" s="25"/>
      <c r="AW1548" s="25"/>
      <c r="AX1548" s="25"/>
    </row>
    <row r="1549" ht="15.75" customHeight="1">
      <c r="A1549" s="25"/>
      <c r="B1549" s="25"/>
      <c r="C1549" s="27"/>
      <c r="D1549" s="28"/>
      <c r="E1549" s="28"/>
      <c r="F1549" s="25"/>
      <c r="G1549" s="25"/>
      <c r="H1549" s="25"/>
      <c r="I1549" s="25"/>
      <c r="J1549" s="25"/>
      <c r="K1549" s="25"/>
      <c r="L1549" s="25"/>
      <c r="M1549" s="25"/>
      <c r="N1549" s="25"/>
      <c r="O1549" s="25"/>
      <c r="P1549" s="25"/>
      <c r="Q1549" s="25"/>
      <c r="R1549" s="25"/>
      <c r="S1549" s="25"/>
      <c r="T1549" s="25"/>
      <c r="U1549" s="25"/>
      <c r="V1549" s="25"/>
      <c r="W1549" s="25"/>
      <c r="X1549" s="25"/>
      <c r="Y1549" s="25"/>
      <c r="Z1549" s="25"/>
      <c r="AA1549" s="25"/>
      <c r="AB1549" s="25"/>
      <c r="AC1549" s="25"/>
      <c r="AD1549" s="25"/>
      <c r="AE1549" s="25"/>
      <c r="AF1549" s="25"/>
      <c r="AG1549" s="25"/>
      <c r="AH1549" s="25"/>
      <c r="AI1549" s="25"/>
      <c r="AJ1549" s="25"/>
      <c r="AK1549" s="25"/>
      <c r="AL1549" s="25"/>
      <c r="AM1549" s="25"/>
      <c r="AN1549" s="25"/>
      <c r="AO1549" s="25"/>
      <c r="AP1549" s="25"/>
      <c r="AQ1549" s="25"/>
      <c r="AR1549" s="25"/>
      <c r="AS1549" s="25"/>
      <c r="AT1549" s="25"/>
      <c r="AU1549" s="25"/>
      <c r="AV1549" s="25"/>
      <c r="AW1549" s="25"/>
      <c r="AX1549" s="25"/>
    </row>
    <row r="1550" ht="15.75" customHeight="1">
      <c r="A1550" s="25"/>
      <c r="B1550" s="25"/>
      <c r="C1550" s="27"/>
      <c r="D1550" s="28"/>
      <c r="E1550" s="28"/>
      <c r="F1550" s="25"/>
      <c r="G1550" s="25"/>
      <c r="H1550" s="25"/>
      <c r="I1550" s="25"/>
      <c r="J1550" s="25"/>
      <c r="K1550" s="25"/>
      <c r="L1550" s="25"/>
      <c r="M1550" s="25"/>
      <c r="N1550" s="25"/>
      <c r="O1550" s="25"/>
      <c r="P1550" s="25"/>
      <c r="Q1550" s="25"/>
      <c r="R1550" s="25"/>
      <c r="S1550" s="25"/>
      <c r="T1550" s="25"/>
      <c r="U1550" s="25"/>
      <c r="V1550" s="25"/>
      <c r="W1550" s="25"/>
      <c r="X1550" s="25"/>
      <c r="Y1550" s="25"/>
      <c r="Z1550" s="25"/>
      <c r="AA1550" s="25"/>
      <c r="AB1550" s="25"/>
      <c r="AC1550" s="25"/>
      <c r="AD1550" s="25"/>
      <c r="AE1550" s="25"/>
      <c r="AF1550" s="25"/>
      <c r="AG1550" s="25"/>
      <c r="AH1550" s="25"/>
      <c r="AI1550" s="25"/>
      <c r="AJ1550" s="25"/>
      <c r="AK1550" s="25"/>
      <c r="AL1550" s="25"/>
      <c r="AM1550" s="25"/>
      <c r="AN1550" s="25"/>
      <c r="AO1550" s="25"/>
      <c r="AP1550" s="25"/>
      <c r="AQ1550" s="25"/>
      <c r="AR1550" s="25"/>
      <c r="AS1550" s="25"/>
      <c r="AT1550" s="25"/>
      <c r="AU1550" s="25"/>
      <c r="AV1550" s="25"/>
      <c r="AW1550" s="25"/>
      <c r="AX1550" s="25"/>
    </row>
    <row r="1551" ht="15.75" customHeight="1">
      <c r="A1551" s="25"/>
      <c r="B1551" s="25"/>
      <c r="C1551" s="27"/>
      <c r="D1551" s="28"/>
      <c r="E1551" s="28"/>
      <c r="F1551" s="25"/>
      <c r="G1551" s="25"/>
      <c r="H1551" s="25"/>
      <c r="I1551" s="25"/>
      <c r="J1551" s="25"/>
      <c r="K1551" s="25"/>
      <c r="L1551" s="25"/>
      <c r="M1551" s="25"/>
      <c r="N1551" s="25"/>
      <c r="O1551" s="25"/>
      <c r="P1551" s="25"/>
      <c r="Q1551" s="25"/>
      <c r="R1551" s="25"/>
      <c r="S1551" s="25"/>
      <c r="T1551" s="25"/>
      <c r="U1551" s="25"/>
      <c r="V1551" s="25"/>
      <c r="W1551" s="25"/>
      <c r="X1551" s="25"/>
      <c r="Y1551" s="25"/>
      <c r="Z1551" s="25"/>
      <c r="AA1551" s="25"/>
      <c r="AB1551" s="25"/>
      <c r="AC1551" s="25"/>
      <c r="AD1551" s="25"/>
      <c r="AE1551" s="25"/>
      <c r="AF1551" s="25"/>
      <c r="AG1551" s="25"/>
      <c r="AH1551" s="25"/>
      <c r="AI1551" s="25"/>
      <c r="AJ1551" s="25"/>
      <c r="AK1551" s="25"/>
      <c r="AL1551" s="25"/>
      <c r="AM1551" s="25"/>
      <c r="AN1551" s="25"/>
      <c r="AO1551" s="25"/>
      <c r="AP1551" s="25"/>
      <c r="AQ1551" s="25"/>
      <c r="AR1551" s="25"/>
      <c r="AS1551" s="25"/>
      <c r="AT1551" s="25"/>
      <c r="AU1551" s="25"/>
      <c r="AV1551" s="25"/>
      <c r="AW1551" s="25"/>
      <c r="AX1551" s="25"/>
    </row>
    <row r="1552" ht="15.75" customHeight="1">
      <c r="A1552" s="25"/>
      <c r="B1552" s="25"/>
      <c r="C1552" s="27"/>
      <c r="D1552" s="28"/>
      <c r="E1552" s="28"/>
      <c r="F1552" s="25"/>
      <c r="G1552" s="25"/>
      <c r="H1552" s="25"/>
      <c r="I1552" s="25"/>
      <c r="J1552" s="25"/>
      <c r="K1552" s="25"/>
      <c r="L1552" s="25"/>
      <c r="M1552" s="25"/>
      <c r="N1552" s="25"/>
      <c r="O1552" s="25"/>
      <c r="P1552" s="25"/>
      <c r="Q1552" s="25"/>
      <c r="R1552" s="25"/>
      <c r="S1552" s="25"/>
      <c r="T1552" s="25"/>
      <c r="U1552" s="25"/>
      <c r="V1552" s="25"/>
      <c r="W1552" s="25"/>
      <c r="X1552" s="25"/>
      <c r="Y1552" s="25"/>
      <c r="Z1552" s="25"/>
      <c r="AA1552" s="25"/>
      <c r="AB1552" s="25"/>
      <c r="AC1552" s="25"/>
      <c r="AD1552" s="25"/>
      <c r="AE1552" s="25"/>
      <c r="AF1552" s="25"/>
      <c r="AG1552" s="25"/>
      <c r="AH1552" s="25"/>
      <c r="AI1552" s="25"/>
      <c r="AJ1552" s="25"/>
      <c r="AK1552" s="25"/>
      <c r="AL1552" s="25"/>
      <c r="AM1552" s="25"/>
      <c r="AN1552" s="25"/>
      <c r="AO1552" s="25"/>
      <c r="AP1552" s="25"/>
      <c r="AQ1552" s="25"/>
      <c r="AR1552" s="25"/>
      <c r="AS1552" s="25"/>
      <c r="AT1552" s="25"/>
      <c r="AU1552" s="25"/>
      <c r="AV1552" s="25"/>
      <c r="AW1552" s="25"/>
      <c r="AX1552" s="25"/>
    </row>
    <row r="1553" ht="15.75" customHeight="1">
      <c r="A1553" s="25"/>
      <c r="B1553" s="25"/>
      <c r="C1553" s="27"/>
      <c r="D1553" s="28"/>
      <c r="E1553" s="28"/>
      <c r="F1553" s="25"/>
      <c r="G1553" s="25"/>
      <c r="H1553" s="25"/>
      <c r="I1553" s="25"/>
      <c r="J1553" s="25"/>
      <c r="K1553" s="25"/>
      <c r="L1553" s="25"/>
      <c r="M1553" s="25"/>
      <c r="N1553" s="25"/>
      <c r="O1553" s="25"/>
      <c r="P1553" s="25"/>
      <c r="Q1553" s="25"/>
      <c r="R1553" s="25"/>
      <c r="S1553" s="25"/>
      <c r="T1553" s="25"/>
      <c r="U1553" s="25"/>
      <c r="V1553" s="25"/>
      <c r="W1553" s="25"/>
      <c r="X1553" s="25"/>
      <c r="Y1553" s="25"/>
      <c r="Z1553" s="25"/>
      <c r="AA1553" s="25"/>
      <c r="AB1553" s="25"/>
      <c r="AC1553" s="25"/>
      <c r="AD1553" s="25"/>
      <c r="AE1553" s="25"/>
      <c r="AF1553" s="25"/>
      <c r="AG1553" s="25"/>
      <c r="AH1553" s="25"/>
      <c r="AI1553" s="25"/>
      <c r="AJ1553" s="25"/>
      <c r="AK1553" s="25"/>
      <c r="AL1553" s="25"/>
      <c r="AM1553" s="25"/>
      <c r="AN1553" s="25"/>
      <c r="AO1553" s="25"/>
      <c r="AP1553" s="25"/>
      <c r="AQ1553" s="25"/>
      <c r="AR1553" s="25"/>
      <c r="AS1553" s="25"/>
      <c r="AT1553" s="25"/>
      <c r="AU1553" s="25"/>
      <c r="AV1553" s="25"/>
      <c r="AW1553" s="25"/>
      <c r="AX1553" s="25"/>
    </row>
    <row r="1554" ht="15.75" customHeight="1">
      <c r="A1554" s="25"/>
      <c r="B1554" s="25"/>
      <c r="C1554" s="27"/>
      <c r="D1554" s="28"/>
      <c r="E1554" s="28"/>
      <c r="F1554" s="25"/>
      <c r="G1554" s="25"/>
      <c r="H1554" s="25"/>
      <c r="I1554" s="25"/>
      <c r="J1554" s="25"/>
      <c r="K1554" s="25"/>
      <c r="L1554" s="25"/>
      <c r="M1554" s="25"/>
      <c r="N1554" s="25"/>
      <c r="O1554" s="25"/>
      <c r="P1554" s="25"/>
      <c r="Q1554" s="25"/>
      <c r="R1554" s="25"/>
      <c r="S1554" s="25"/>
      <c r="T1554" s="25"/>
      <c r="U1554" s="25"/>
      <c r="V1554" s="25"/>
      <c r="W1554" s="25"/>
      <c r="X1554" s="25"/>
      <c r="Y1554" s="25"/>
      <c r="Z1554" s="25"/>
      <c r="AA1554" s="25"/>
      <c r="AB1554" s="25"/>
      <c r="AC1554" s="25"/>
      <c r="AD1554" s="25"/>
      <c r="AE1554" s="25"/>
      <c r="AF1554" s="25"/>
      <c r="AG1554" s="25"/>
      <c r="AH1554" s="25"/>
      <c r="AI1554" s="25"/>
      <c r="AJ1554" s="25"/>
      <c r="AK1554" s="25"/>
      <c r="AL1554" s="25"/>
      <c r="AM1554" s="25"/>
      <c r="AN1554" s="25"/>
      <c r="AO1554" s="25"/>
      <c r="AP1554" s="25"/>
      <c r="AQ1554" s="25"/>
      <c r="AR1554" s="25"/>
      <c r="AS1554" s="25"/>
      <c r="AT1554" s="25"/>
      <c r="AU1554" s="25"/>
      <c r="AV1554" s="25"/>
      <c r="AW1554" s="25"/>
      <c r="AX1554" s="25"/>
    </row>
    <row r="1555" ht="15.75" customHeight="1">
      <c r="A1555" s="25"/>
      <c r="B1555" s="25"/>
      <c r="C1555" s="27"/>
      <c r="D1555" s="28"/>
      <c r="E1555" s="28"/>
      <c r="F1555" s="25"/>
      <c r="G1555" s="25"/>
      <c r="H1555" s="25"/>
      <c r="I1555" s="25"/>
      <c r="J1555" s="25"/>
      <c r="K1555" s="25"/>
      <c r="L1555" s="25"/>
      <c r="M1555" s="25"/>
      <c r="N1555" s="25"/>
      <c r="O1555" s="25"/>
      <c r="P1555" s="25"/>
      <c r="Q1555" s="25"/>
      <c r="R1555" s="25"/>
      <c r="S1555" s="25"/>
      <c r="T1555" s="25"/>
      <c r="U1555" s="25"/>
      <c r="V1555" s="25"/>
      <c r="W1555" s="25"/>
      <c r="X1555" s="25"/>
      <c r="Y1555" s="25"/>
      <c r="Z1555" s="25"/>
      <c r="AA1555" s="25"/>
      <c r="AB1555" s="25"/>
      <c r="AC1555" s="25"/>
      <c r="AD1555" s="25"/>
      <c r="AE1555" s="25"/>
      <c r="AF1555" s="25"/>
      <c r="AG1555" s="25"/>
      <c r="AH1555" s="25"/>
      <c r="AI1555" s="25"/>
      <c r="AJ1555" s="25"/>
      <c r="AK1555" s="25"/>
      <c r="AL1555" s="25"/>
      <c r="AM1555" s="25"/>
      <c r="AN1555" s="25"/>
      <c r="AO1555" s="25"/>
      <c r="AP1555" s="25"/>
      <c r="AQ1555" s="25"/>
      <c r="AR1555" s="25"/>
      <c r="AS1555" s="25"/>
      <c r="AT1555" s="25"/>
      <c r="AU1555" s="25"/>
      <c r="AV1555" s="25"/>
      <c r="AW1555" s="25"/>
      <c r="AX1555" s="25"/>
    </row>
    <row r="1556" ht="15.75" customHeight="1">
      <c r="A1556" s="25"/>
      <c r="B1556" s="25"/>
      <c r="C1556" s="27"/>
      <c r="D1556" s="28"/>
      <c r="E1556" s="28"/>
      <c r="F1556" s="25"/>
      <c r="G1556" s="25"/>
      <c r="H1556" s="25"/>
      <c r="I1556" s="25"/>
      <c r="J1556" s="25"/>
      <c r="K1556" s="25"/>
      <c r="L1556" s="25"/>
      <c r="M1556" s="25"/>
      <c r="N1556" s="25"/>
      <c r="O1556" s="25"/>
      <c r="P1556" s="25"/>
      <c r="Q1556" s="25"/>
      <c r="R1556" s="25"/>
      <c r="S1556" s="25"/>
      <c r="T1556" s="25"/>
      <c r="U1556" s="25"/>
      <c r="V1556" s="25"/>
      <c r="W1556" s="25"/>
      <c r="X1556" s="25"/>
      <c r="Y1556" s="25"/>
      <c r="Z1556" s="25"/>
      <c r="AA1556" s="25"/>
      <c r="AB1556" s="25"/>
      <c r="AC1556" s="25"/>
      <c r="AD1556" s="25"/>
      <c r="AE1556" s="25"/>
      <c r="AF1556" s="25"/>
      <c r="AG1556" s="25"/>
      <c r="AH1556" s="25"/>
      <c r="AI1556" s="25"/>
      <c r="AJ1556" s="25"/>
      <c r="AK1556" s="25"/>
      <c r="AL1556" s="25"/>
      <c r="AM1556" s="25"/>
      <c r="AN1556" s="25"/>
      <c r="AO1556" s="25"/>
      <c r="AP1556" s="25"/>
      <c r="AQ1556" s="25"/>
      <c r="AR1556" s="25"/>
      <c r="AS1556" s="25"/>
      <c r="AT1556" s="25"/>
      <c r="AU1556" s="25"/>
      <c r="AV1556" s="25"/>
      <c r="AW1556" s="25"/>
      <c r="AX1556" s="25"/>
    </row>
    <row r="1557" ht="15.75" customHeight="1">
      <c r="A1557" s="25"/>
      <c r="B1557" s="25"/>
      <c r="C1557" s="27"/>
      <c r="D1557" s="28"/>
      <c r="E1557" s="28"/>
      <c r="F1557" s="25"/>
      <c r="G1557" s="25"/>
      <c r="H1557" s="25"/>
      <c r="I1557" s="25"/>
      <c r="J1557" s="25"/>
      <c r="K1557" s="25"/>
      <c r="L1557" s="25"/>
      <c r="M1557" s="25"/>
      <c r="N1557" s="25"/>
      <c r="O1557" s="25"/>
      <c r="P1557" s="25"/>
      <c r="Q1557" s="25"/>
      <c r="R1557" s="25"/>
      <c r="S1557" s="25"/>
      <c r="T1557" s="25"/>
      <c r="U1557" s="25"/>
      <c r="V1557" s="25"/>
      <c r="W1557" s="25"/>
      <c r="X1557" s="25"/>
      <c r="Y1557" s="25"/>
      <c r="Z1557" s="25"/>
      <c r="AA1557" s="25"/>
      <c r="AB1557" s="25"/>
      <c r="AC1557" s="25"/>
      <c r="AD1557" s="25"/>
      <c r="AE1557" s="25"/>
      <c r="AF1557" s="25"/>
      <c r="AG1557" s="25"/>
      <c r="AH1557" s="25"/>
      <c r="AI1557" s="25"/>
      <c r="AJ1557" s="25"/>
      <c r="AK1557" s="25"/>
      <c r="AL1557" s="25"/>
      <c r="AM1557" s="25"/>
      <c r="AN1557" s="25"/>
      <c r="AO1557" s="25"/>
      <c r="AP1557" s="25"/>
      <c r="AQ1557" s="25"/>
      <c r="AR1557" s="25"/>
      <c r="AS1557" s="25"/>
      <c r="AT1557" s="25"/>
      <c r="AU1557" s="25"/>
      <c r="AV1557" s="25"/>
      <c r="AW1557" s="25"/>
      <c r="AX1557" s="25"/>
    </row>
    <row r="1558" ht="15.75" customHeight="1">
      <c r="A1558" s="25"/>
      <c r="B1558" s="25"/>
      <c r="C1558" s="27"/>
      <c r="D1558" s="28"/>
      <c r="E1558" s="28"/>
      <c r="F1558" s="25"/>
      <c r="G1558" s="25"/>
      <c r="H1558" s="25"/>
      <c r="I1558" s="25"/>
      <c r="J1558" s="25"/>
      <c r="K1558" s="25"/>
      <c r="L1558" s="25"/>
      <c r="M1558" s="25"/>
      <c r="N1558" s="25"/>
      <c r="O1558" s="25"/>
      <c r="P1558" s="25"/>
      <c r="Q1558" s="25"/>
      <c r="R1558" s="25"/>
      <c r="S1558" s="25"/>
      <c r="T1558" s="25"/>
      <c r="U1558" s="25"/>
      <c r="V1558" s="25"/>
      <c r="W1558" s="25"/>
      <c r="X1558" s="25"/>
      <c r="Y1558" s="25"/>
      <c r="Z1558" s="25"/>
      <c r="AA1558" s="25"/>
      <c r="AB1558" s="25"/>
      <c r="AC1558" s="25"/>
      <c r="AD1558" s="25"/>
      <c r="AE1558" s="25"/>
      <c r="AF1558" s="25"/>
      <c r="AG1558" s="25"/>
      <c r="AH1558" s="25"/>
      <c r="AI1558" s="25"/>
      <c r="AJ1558" s="25"/>
      <c r="AK1558" s="25"/>
      <c r="AL1558" s="25"/>
      <c r="AM1558" s="25"/>
      <c r="AN1558" s="25"/>
      <c r="AO1558" s="25"/>
      <c r="AP1558" s="25"/>
      <c r="AQ1558" s="25"/>
      <c r="AR1558" s="25"/>
      <c r="AS1558" s="25"/>
      <c r="AT1558" s="25"/>
      <c r="AU1558" s="25"/>
      <c r="AV1558" s="25"/>
      <c r="AW1558" s="25"/>
      <c r="AX1558" s="25"/>
    </row>
    <row r="1559" ht="15.75" customHeight="1">
      <c r="A1559" s="25"/>
      <c r="B1559" s="25"/>
      <c r="C1559" s="27"/>
      <c r="D1559" s="28"/>
      <c r="E1559" s="28"/>
      <c r="F1559" s="25"/>
      <c r="G1559" s="25"/>
      <c r="H1559" s="25"/>
      <c r="I1559" s="25"/>
      <c r="J1559" s="25"/>
      <c r="K1559" s="25"/>
      <c r="L1559" s="25"/>
      <c r="M1559" s="25"/>
      <c r="N1559" s="25"/>
      <c r="O1559" s="25"/>
      <c r="P1559" s="25"/>
      <c r="Q1559" s="25"/>
      <c r="R1559" s="25"/>
      <c r="S1559" s="25"/>
      <c r="T1559" s="25"/>
      <c r="U1559" s="25"/>
      <c r="V1559" s="25"/>
      <c r="W1559" s="25"/>
      <c r="X1559" s="25"/>
      <c r="Y1559" s="25"/>
      <c r="Z1559" s="25"/>
      <c r="AA1559" s="25"/>
      <c r="AB1559" s="25"/>
      <c r="AC1559" s="25"/>
      <c r="AD1559" s="25"/>
      <c r="AE1559" s="25"/>
      <c r="AF1559" s="25"/>
      <c r="AG1559" s="25"/>
      <c r="AH1559" s="25"/>
      <c r="AI1559" s="25"/>
      <c r="AJ1559" s="25"/>
      <c r="AK1559" s="25"/>
      <c r="AL1559" s="25"/>
      <c r="AM1559" s="25"/>
      <c r="AN1559" s="25"/>
      <c r="AO1559" s="25"/>
      <c r="AP1559" s="25"/>
      <c r="AQ1559" s="25"/>
      <c r="AR1559" s="25"/>
      <c r="AS1559" s="25"/>
      <c r="AT1559" s="25"/>
      <c r="AU1559" s="25"/>
      <c r="AV1559" s="25"/>
      <c r="AW1559" s="25"/>
      <c r="AX1559" s="25"/>
    </row>
    <row r="1560" ht="15.75" customHeight="1">
      <c r="A1560" s="25"/>
      <c r="B1560" s="25"/>
      <c r="C1560" s="27"/>
      <c r="D1560" s="28"/>
      <c r="E1560" s="28"/>
      <c r="F1560" s="25"/>
      <c r="G1560" s="25"/>
      <c r="H1560" s="25"/>
      <c r="I1560" s="25"/>
      <c r="J1560" s="25"/>
      <c r="K1560" s="25"/>
      <c r="L1560" s="25"/>
      <c r="M1560" s="25"/>
      <c r="N1560" s="25"/>
      <c r="O1560" s="25"/>
      <c r="P1560" s="25"/>
      <c r="Q1560" s="25"/>
      <c r="R1560" s="25"/>
      <c r="S1560" s="25"/>
      <c r="T1560" s="25"/>
      <c r="U1560" s="25"/>
      <c r="V1560" s="25"/>
      <c r="W1560" s="25"/>
      <c r="X1560" s="25"/>
      <c r="Y1560" s="25"/>
      <c r="Z1560" s="25"/>
      <c r="AA1560" s="25"/>
      <c r="AB1560" s="25"/>
      <c r="AC1560" s="25"/>
      <c r="AD1560" s="25"/>
      <c r="AE1560" s="25"/>
      <c r="AF1560" s="25"/>
      <c r="AG1560" s="25"/>
      <c r="AH1560" s="25"/>
      <c r="AI1560" s="25"/>
      <c r="AJ1560" s="25"/>
      <c r="AK1560" s="25"/>
      <c r="AL1560" s="25"/>
      <c r="AM1560" s="25"/>
      <c r="AN1560" s="25"/>
      <c r="AO1560" s="25"/>
      <c r="AP1560" s="25"/>
      <c r="AQ1560" s="25"/>
      <c r="AR1560" s="25"/>
      <c r="AS1560" s="25"/>
      <c r="AT1560" s="25"/>
      <c r="AU1560" s="25"/>
      <c r="AV1560" s="25"/>
      <c r="AW1560" s="25"/>
      <c r="AX1560" s="25"/>
    </row>
    <row r="1561" ht="15.75" customHeight="1">
      <c r="A1561" s="25"/>
      <c r="B1561" s="25"/>
      <c r="C1561" s="27"/>
      <c r="D1561" s="28"/>
      <c r="E1561" s="28"/>
      <c r="F1561" s="25"/>
      <c r="G1561" s="25"/>
      <c r="H1561" s="25"/>
      <c r="I1561" s="25"/>
      <c r="J1561" s="25"/>
      <c r="K1561" s="25"/>
      <c r="L1561" s="25"/>
      <c r="M1561" s="25"/>
      <c r="N1561" s="25"/>
      <c r="O1561" s="25"/>
      <c r="P1561" s="25"/>
      <c r="Q1561" s="25"/>
      <c r="R1561" s="25"/>
      <c r="S1561" s="25"/>
      <c r="T1561" s="25"/>
      <c r="U1561" s="25"/>
      <c r="V1561" s="25"/>
      <c r="W1561" s="25"/>
      <c r="X1561" s="25"/>
      <c r="Y1561" s="25"/>
      <c r="Z1561" s="25"/>
      <c r="AA1561" s="25"/>
      <c r="AB1561" s="25"/>
      <c r="AC1561" s="25"/>
      <c r="AD1561" s="25"/>
      <c r="AE1561" s="25"/>
      <c r="AF1561" s="25"/>
      <c r="AG1561" s="25"/>
      <c r="AH1561" s="25"/>
      <c r="AI1561" s="25"/>
      <c r="AJ1561" s="25"/>
      <c r="AK1561" s="25"/>
      <c r="AL1561" s="25"/>
      <c r="AM1561" s="25"/>
      <c r="AN1561" s="25"/>
      <c r="AO1561" s="25"/>
      <c r="AP1561" s="25"/>
      <c r="AQ1561" s="25"/>
      <c r="AR1561" s="25"/>
      <c r="AS1561" s="25"/>
      <c r="AT1561" s="25"/>
      <c r="AU1561" s="25"/>
      <c r="AV1561" s="25"/>
      <c r="AW1561" s="25"/>
      <c r="AX1561" s="25"/>
    </row>
    <row r="1562" ht="15.75" customHeight="1">
      <c r="A1562" s="25"/>
      <c r="B1562" s="25"/>
      <c r="C1562" s="27"/>
      <c r="D1562" s="28"/>
      <c r="E1562" s="28"/>
      <c r="F1562" s="25"/>
      <c r="G1562" s="25"/>
      <c r="H1562" s="25"/>
      <c r="I1562" s="25"/>
      <c r="J1562" s="25"/>
      <c r="K1562" s="25"/>
      <c r="L1562" s="25"/>
      <c r="M1562" s="25"/>
      <c r="N1562" s="25"/>
      <c r="O1562" s="25"/>
      <c r="P1562" s="25"/>
      <c r="Q1562" s="25"/>
      <c r="R1562" s="25"/>
      <c r="S1562" s="25"/>
      <c r="T1562" s="25"/>
      <c r="U1562" s="25"/>
      <c r="V1562" s="25"/>
      <c r="W1562" s="25"/>
      <c r="X1562" s="25"/>
      <c r="Y1562" s="25"/>
      <c r="Z1562" s="25"/>
      <c r="AA1562" s="25"/>
      <c r="AB1562" s="25"/>
      <c r="AC1562" s="25"/>
      <c r="AD1562" s="25"/>
      <c r="AE1562" s="25"/>
      <c r="AF1562" s="25"/>
      <c r="AG1562" s="25"/>
      <c r="AH1562" s="25"/>
      <c r="AI1562" s="25"/>
      <c r="AJ1562" s="25"/>
      <c r="AK1562" s="25"/>
      <c r="AL1562" s="25"/>
      <c r="AM1562" s="25"/>
      <c r="AN1562" s="25"/>
      <c r="AO1562" s="25"/>
      <c r="AP1562" s="25"/>
      <c r="AQ1562" s="25"/>
      <c r="AR1562" s="25"/>
      <c r="AS1562" s="25"/>
      <c r="AT1562" s="25"/>
      <c r="AU1562" s="25"/>
      <c r="AV1562" s="25"/>
      <c r="AW1562" s="25"/>
      <c r="AX1562" s="25"/>
    </row>
    <row r="1563" ht="15.75" customHeight="1">
      <c r="A1563" s="25"/>
      <c r="B1563" s="25"/>
      <c r="C1563" s="27"/>
      <c r="D1563" s="28"/>
      <c r="E1563" s="28"/>
      <c r="F1563" s="25"/>
      <c r="G1563" s="25"/>
      <c r="H1563" s="25"/>
      <c r="I1563" s="25"/>
      <c r="J1563" s="25"/>
      <c r="K1563" s="25"/>
      <c r="L1563" s="25"/>
      <c r="M1563" s="25"/>
      <c r="N1563" s="25"/>
      <c r="O1563" s="25"/>
      <c r="P1563" s="25"/>
      <c r="Q1563" s="25"/>
      <c r="R1563" s="25"/>
      <c r="S1563" s="25"/>
      <c r="T1563" s="25"/>
      <c r="U1563" s="25"/>
      <c r="V1563" s="25"/>
      <c r="W1563" s="25"/>
      <c r="X1563" s="25"/>
      <c r="Y1563" s="25"/>
      <c r="Z1563" s="25"/>
      <c r="AA1563" s="25"/>
      <c r="AB1563" s="25"/>
      <c r="AC1563" s="25"/>
      <c r="AD1563" s="25"/>
      <c r="AE1563" s="25"/>
      <c r="AF1563" s="25"/>
      <c r="AG1563" s="25"/>
      <c r="AH1563" s="25"/>
      <c r="AI1563" s="25"/>
      <c r="AJ1563" s="25"/>
      <c r="AK1563" s="25"/>
      <c r="AL1563" s="25"/>
      <c r="AM1563" s="25"/>
      <c r="AN1563" s="25"/>
      <c r="AO1563" s="25"/>
      <c r="AP1563" s="25"/>
      <c r="AQ1563" s="25"/>
      <c r="AR1563" s="25"/>
      <c r="AS1563" s="25"/>
      <c r="AT1563" s="25"/>
      <c r="AU1563" s="25"/>
      <c r="AV1563" s="25"/>
      <c r="AW1563" s="25"/>
      <c r="AX1563" s="25"/>
    </row>
    <row r="1564" ht="15.75" customHeight="1">
      <c r="A1564" s="25"/>
      <c r="B1564" s="25"/>
      <c r="C1564" s="27"/>
      <c r="D1564" s="28"/>
      <c r="E1564" s="28"/>
      <c r="F1564" s="25"/>
      <c r="G1564" s="25"/>
      <c r="H1564" s="25"/>
      <c r="I1564" s="25"/>
      <c r="J1564" s="25"/>
      <c r="K1564" s="25"/>
      <c r="L1564" s="25"/>
      <c r="M1564" s="25"/>
      <c r="N1564" s="25"/>
      <c r="O1564" s="25"/>
      <c r="P1564" s="25"/>
      <c r="Q1564" s="25"/>
      <c r="R1564" s="25"/>
      <c r="S1564" s="25"/>
      <c r="T1564" s="25"/>
      <c r="U1564" s="25"/>
      <c r="V1564" s="25"/>
      <c r="W1564" s="25"/>
      <c r="X1564" s="25"/>
      <c r="Y1564" s="25"/>
      <c r="Z1564" s="25"/>
      <c r="AA1564" s="25"/>
      <c r="AB1564" s="25"/>
      <c r="AC1564" s="25"/>
      <c r="AD1564" s="25"/>
      <c r="AE1564" s="25"/>
      <c r="AF1564" s="25"/>
      <c r="AG1564" s="25"/>
      <c r="AH1564" s="25"/>
      <c r="AI1564" s="25"/>
      <c r="AJ1564" s="25"/>
      <c r="AK1564" s="25"/>
      <c r="AL1564" s="25"/>
      <c r="AM1564" s="25"/>
      <c r="AN1564" s="25"/>
      <c r="AO1564" s="25"/>
      <c r="AP1564" s="25"/>
      <c r="AQ1564" s="25"/>
      <c r="AR1564" s="25"/>
      <c r="AS1564" s="25"/>
      <c r="AT1564" s="25"/>
      <c r="AU1564" s="25"/>
      <c r="AV1564" s="25"/>
      <c r="AW1564" s="25"/>
      <c r="AX1564" s="25"/>
    </row>
    <row r="1565" ht="15.75" customHeight="1">
      <c r="A1565" s="25"/>
      <c r="B1565" s="25"/>
      <c r="C1565" s="27"/>
      <c r="D1565" s="28"/>
      <c r="E1565" s="28"/>
      <c r="F1565" s="25"/>
      <c r="G1565" s="25"/>
      <c r="H1565" s="25"/>
      <c r="I1565" s="25"/>
      <c r="J1565" s="25"/>
      <c r="K1565" s="25"/>
      <c r="L1565" s="25"/>
      <c r="M1565" s="25"/>
      <c r="N1565" s="25"/>
      <c r="O1565" s="25"/>
      <c r="P1565" s="25"/>
      <c r="Q1565" s="25"/>
      <c r="R1565" s="25"/>
      <c r="S1565" s="25"/>
      <c r="T1565" s="25"/>
      <c r="U1565" s="25"/>
      <c r="V1565" s="25"/>
      <c r="W1565" s="25"/>
      <c r="X1565" s="25"/>
      <c r="Y1565" s="25"/>
      <c r="Z1565" s="25"/>
      <c r="AA1565" s="25"/>
      <c r="AB1565" s="25"/>
      <c r="AC1565" s="25"/>
      <c r="AD1565" s="25"/>
      <c r="AE1565" s="25"/>
      <c r="AF1565" s="25"/>
      <c r="AG1565" s="25"/>
      <c r="AH1565" s="25"/>
      <c r="AI1565" s="25"/>
      <c r="AJ1565" s="25"/>
      <c r="AK1565" s="25"/>
      <c r="AL1565" s="25"/>
      <c r="AM1565" s="25"/>
      <c r="AN1565" s="25"/>
      <c r="AO1565" s="25"/>
      <c r="AP1565" s="25"/>
      <c r="AQ1565" s="25"/>
      <c r="AR1565" s="25"/>
      <c r="AS1565" s="25"/>
      <c r="AT1565" s="25"/>
      <c r="AU1565" s="25"/>
      <c r="AV1565" s="25"/>
      <c r="AW1565" s="25"/>
      <c r="AX1565" s="25"/>
    </row>
    <row r="1566" ht="15.75" customHeight="1">
      <c r="A1566" s="25"/>
      <c r="B1566" s="25"/>
      <c r="C1566" s="27"/>
      <c r="D1566" s="28"/>
      <c r="E1566" s="28"/>
      <c r="F1566" s="25"/>
      <c r="G1566" s="25"/>
      <c r="H1566" s="25"/>
      <c r="I1566" s="25"/>
      <c r="J1566" s="25"/>
      <c r="K1566" s="25"/>
      <c r="L1566" s="25"/>
      <c r="M1566" s="25"/>
      <c r="N1566" s="25"/>
      <c r="O1566" s="25"/>
      <c r="P1566" s="25"/>
      <c r="Q1566" s="25"/>
      <c r="R1566" s="25"/>
      <c r="S1566" s="25"/>
      <c r="T1566" s="25"/>
      <c r="U1566" s="25"/>
      <c r="V1566" s="25"/>
      <c r="W1566" s="25"/>
      <c r="X1566" s="25"/>
      <c r="Y1566" s="25"/>
      <c r="Z1566" s="25"/>
      <c r="AA1566" s="25"/>
      <c r="AB1566" s="25"/>
      <c r="AC1566" s="25"/>
      <c r="AD1566" s="25"/>
      <c r="AE1566" s="25"/>
      <c r="AF1566" s="25"/>
      <c r="AG1566" s="25"/>
      <c r="AH1566" s="25"/>
      <c r="AI1566" s="25"/>
      <c r="AJ1566" s="25"/>
      <c r="AK1566" s="25"/>
      <c r="AL1566" s="25"/>
      <c r="AM1566" s="25"/>
      <c r="AN1566" s="25"/>
      <c r="AO1566" s="25"/>
      <c r="AP1566" s="25"/>
      <c r="AQ1566" s="25"/>
      <c r="AR1566" s="25"/>
      <c r="AS1566" s="25"/>
      <c r="AT1566" s="25"/>
      <c r="AU1566" s="25"/>
      <c r="AV1566" s="25"/>
      <c r="AW1566" s="25"/>
      <c r="AX1566" s="25"/>
    </row>
    <row r="1567" ht="15.75" customHeight="1">
      <c r="A1567" s="25"/>
      <c r="B1567" s="25"/>
      <c r="C1567" s="27"/>
      <c r="D1567" s="28"/>
      <c r="E1567" s="28"/>
      <c r="F1567" s="25"/>
      <c r="G1567" s="25"/>
      <c r="H1567" s="25"/>
      <c r="I1567" s="25"/>
      <c r="J1567" s="25"/>
      <c r="K1567" s="25"/>
      <c r="L1567" s="25"/>
      <c r="M1567" s="25"/>
      <c r="N1567" s="25"/>
      <c r="O1567" s="25"/>
      <c r="P1567" s="25"/>
      <c r="Q1567" s="25"/>
      <c r="R1567" s="25"/>
      <c r="S1567" s="25"/>
      <c r="T1567" s="25"/>
      <c r="U1567" s="25"/>
      <c r="V1567" s="25"/>
      <c r="W1567" s="25"/>
      <c r="X1567" s="25"/>
      <c r="Y1567" s="25"/>
      <c r="Z1567" s="25"/>
      <c r="AA1567" s="25"/>
      <c r="AB1567" s="25"/>
      <c r="AC1567" s="25"/>
      <c r="AD1567" s="25"/>
      <c r="AE1567" s="25"/>
      <c r="AF1567" s="25"/>
      <c r="AG1567" s="25"/>
      <c r="AH1567" s="25"/>
      <c r="AI1567" s="25"/>
      <c r="AJ1567" s="25"/>
      <c r="AK1567" s="25"/>
      <c r="AL1567" s="25"/>
      <c r="AM1567" s="25"/>
      <c r="AN1567" s="25"/>
      <c r="AO1567" s="25"/>
      <c r="AP1567" s="25"/>
      <c r="AQ1567" s="25"/>
      <c r="AR1567" s="25"/>
      <c r="AS1567" s="25"/>
      <c r="AT1567" s="25"/>
      <c r="AU1567" s="25"/>
      <c r="AV1567" s="25"/>
      <c r="AW1567" s="25"/>
      <c r="AX1567" s="25"/>
    </row>
    <row r="1568" ht="15.75" customHeight="1">
      <c r="A1568" s="25"/>
      <c r="B1568" s="25"/>
      <c r="C1568" s="27"/>
      <c r="D1568" s="28"/>
      <c r="E1568" s="28"/>
      <c r="F1568" s="25"/>
      <c r="G1568" s="25"/>
      <c r="H1568" s="25"/>
      <c r="I1568" s="25"/>
      <c r="J1568" s="25"/>
      <c r="K1568" s="25"/>
      <c r="L1568" s="25"/>
      <c r="M1568" s="25"/>
      <c r="N1568" s="25"/>
      <c r="O1568" s="25"/>
      <c r="P1568" s="25"/>
      <c r="Q1568" s="25"/>
      <c r="R1568" s="25"/>
      <c r="S1568" s="25"/>
      <c r="T1568" s="25"/>
      <c r="U1568" s="25"/>
      <c r="V1568" s="25"/>
      <c r="W1568" s="25"/>
      <c r="X1568" s="25"/>
      <c r="Y1568" s="25"/>
      <c r="Z1568" s="25"/>
      <c r="AA1568" s="25"/>
      <c r="AB1568" s="25"/>
      <c r="AC1568" s="25"/>
      <c r="AD1568" s="25"/>
      <c r="AE1568" s="25"/>
      <c r="AF1568" s="25"/>
      <c r="AG1568" s="25"/>
      <c r="AH1568" s="25"/>
      <c r="AI1568" s="25"/>
      <c r="AJ1568" s="25"/>
      <c r="AK1568" s="25"/>
      <c r="AL1568" s="25"/>
      <c r="AM1568" s="25"/>
      <c r="AN1568" s="25"/>
      <c r="AO1568" s="25"/>
      <c r="AP1568" s="25"/>
      <c r="AQ1568" s="25"/>
      <c r="AR1568" s="25"/>
      <c r="AS1568" s="25"/>
      <c r="AT1568" s="25"/>
      <c r="AU1568" s="25"/>
      <c r="AV1568" s="25"/>
      <c r="AW1568" s="25"/>
      <c r="AX1568" s="25"/>
    </row>
    <row r="1569" ht="15.75" customHeight="1">
      <c r="A1569" s="25"/>
      <c r="B1569" s="25"/>
      <c r="C1569" s="27"/>
      <c r="D1569" s="28"/>
      <c r="E1569" s="28"/>
      <c r="F1569" s="25"/>
      <c r="G1569" s="25"/>
      <c r="H1569" s="25"/>
      <c r="I1569" s="25"/>
      <c r="J1569" s="25"/>
      <c r="K1569" s="25"/>
      <c r="L1569" s="25"/>
      <c r="M1569" s="25"/>
      <c r="N1569" s="25"/>
      <c r="O1569" s="25"/>
      <c r="P1569" s="25"/>
      <c r="Q1569" s="25"/>
      <c r="R1569" s="25"/>
      <c r="S1569" s="25"/>
      <c r="T1569" s="25"/>
      <c r="U1569" s="25"/>
      <c r="V1569" s="25"/>
      <c r="W1569" s="25"/>
      <c r="X1569" s="25"/>
      <c r="Y1569" s="25"/>
      <c r="Z1569" s="25"/>
      <c r="AA1569" s="25"/>
      <c r="AB1569" s="25"/>
      <c r="AC1569" s="25"/>
      <c r="AD1569" s="25"/>
      <c r="AE1569" s="25"/>
      <c r="AF1569" s="25"/>
      <c r="AG1569" s="25"/>
      <c r="AH1569" s="25"/>
      <c r="AI1569" s="25"/>
      <c r="AJ1569" s="25"/>
      <c r="AK1569" s="25"/>
      <c r="AL1569" s="25"/>
      <c r="AM1569" s="25"/>
      <c r="AN1569" s="25"/>
      <c r="AO1569" s="25"/>
      <c r="AP1569" s="25"/>
      <c r="AQ1569" s="25"/>
      <c r="AR1569" s="25"/>
      <c r="AS1569" s="25"/>
      <c r="AT1569" s="25"/>
      <c r="AU1569" s="25"/>
      <c r="AV1569" s="25"/>
      <c r="AW1569" s="25"/>
      <c r="AX1569" s="25"/>
    </row>
    <row r="1570" ht="15.75" customHeight="1">
      <c r="A1570" s="25"/>
      <c r="B1570" s="25"/>
      <c r="C1570" s="27"/>
      <c r="D1570" s="28"/>
      <c r="E1570" s="28"/>
      <c r="F1570" s="25"/>
      <c r="G1570" s="25"/>
      <c r="H1570" s="25"/>
      <c r="I1570" s="25"/>
      <c r="J1570" s="25"/>
      <c r="K1570" s="25"/>
      <c r="L1570" s="25"/>
      <c r="M1570" s="25"/>
      <c r="N1570" s="25"/>
      <c r="O1570" s="25"/>
      <c r="P1570" s="25"/>
      <c r="Q1570" s="25"/>
      <c r="R1570" s="25"/>
      <c r="S1570" s="25"/>
      <c r="T1570" s="25"/>
      <c r="U1570" s="25"/>
      <c r="V1570" s="25"/>
      <c r="W1570" s="25"/>
      <c r="X1570" s="25"/>
      <c r="Y1570" s="25"/>
      <c r="Z1570" s="25"/>
      <c r="AA1570" s="25"/>
      <c r="AB1570" s="25"/>
      <c r="AC1570" s="25"/>
      <c r="AD1570" s="25"/>
      <c r="AE1570" s="25"/>
      <c r="AF1570" s="25"/>
      <c r="AG1570" s="25"/>
      <c r="AH1570" s="25"/>
      <c r="AI1570" s="25"/>
      <c r="AJ1570" s="25"/>
      <c r="AK1570" s="25"/>
      <c r="AL1570" s="25"/>
      <c r="AM1570" s="25"/>
      <c r="AN1570" s="25"/>
      <c r="AO1570" s="25"/>
      <c r="AP1570" s="25"/>
      <c r="AQ1570" s="25"/>
      <c r="AR1570" s="25"/>
      <c r="AS1570" s="25"/>
      <c r="AT1570" s="25"/>
      <c r="AU1570" s="25"/>
      <c r="AV1570" s="25"/>
      <c r="AW1570" s="25"/>
      <c r="AX1570" s="25"/>
    </row>
    <row r="1571" ht="15.75" customHeight="1">
      <c r="A1571" s="25"/>
      <c r="B1571" s="25"/>
      <c r="C1571" s="27"/>
      <c r="D1571" s="28"/>
      <c r="E1571" s="28"/>
      <c r="F1571" s="25"/>
      <c r="G1571" s="25"/>
      <c r="H1571" s="25"/>
      <c r="I1571" s="25"/>
      <c r="J1571" s="25"/>
      <c r="K1571" s="25"/>
      <c r="L1571" s="25"/>
      <c r="M1571" s="25"/>
      <c r="N1571" s="25"/>
      <c r="O1571" s="25"/>
      <c r="P1571" s="25"/>
      <c r="Q1571" s="25"/>
      <c r="R1571" s="25"/>
      <c r="S1571" s="25"/>
      <c r="T1571" s="25"/>
      <c r="U1571" s="25"/>
      <c r="V1571" s="25"/>
      <c r="W1571" s="25"/>
      <c r="X1571" s="25"/>
      <c r="Y1571" s="25"/>
      <c r="Z1571" s="25"/>
      <c r="AA1571" s="25"/>
      <c r="AB1571" s="25"/>
      <c r="AC1571" s="25"/>
      <c r="AD1571" s="25"/>
      <c r="AE1571" s="25"/>
      <c r="AF1571" s="25"/>
      <c r="AG1571" s="25"/>
      <c r="AH1571" s="25"/>
      <c r="AI1571" s="25"/>
      <c r="AJ1571" s="25"/>
      <c r="AK1571" s="25"/>
      <c r="AL1571" s="25"/>
      <c r="AM1571" s="25"/>
      <c r="AN1571" s="25"/>
      <c r="AO1571" s="25"/>
      <c r="AP1571" s="25"/>
      <c r="AQ1571" s="25"/>
      <c r="AR1571" s="25"/>
      <c r="AS1571" s="25"/>
      <c r="AT1571" s="25"/>
      <c r="AU1571" s="25"/>
      <c r="AV1571" s="25"/>
      <c r="AW1571" s="25"/>
      <c r="AX1571" s="25"/>
    </row>
    <row r="1572" ht="15.75" customHeight="1">
      <c r="A1572" s="25"/>
      <c r="B1572" s="25"/>
      <c r="C1572" s="27"/>
      <c r="D1572" s="28"/>
      <c r="E1572" s="28"/>
      <c r="F1572" s="25"/>
      <c r="G1572" s="25"/>
      <c r="H1572" s="25"/>
      <c r="I1572" s="25"/>
      <c r="J1572" s="25"/>
      <c r="K1572" s="25"/>
      <c r="L1572" s="25"/>
      <c r="M1572" s="25"/>
      <c r="N1572" s="25"/>
      <c r="O1572" s="25"/>
      <c r="P1572" s="25"/>
      <c r="Q1572" s="25"/>
      <c r="R1572" s="25"/>
      <c r="S1572" s="25"/>
      <c r="T1572" s="25"/>
      <c r="U1572" s="25"/>
      <c r="V1572" s="25"/>
      <c r="W1572" s="25"/>
      <c r="X1572" s="25"/>
      <c r="Y1572" s="25"/>
      <c r="Z1572" s="25"/>
      <c r="AA1572" s="25"/>
      <c r="AB1572" s="25"/>
      <c r="AC1572" s="25"/>
      <c r="AD1572" s="25"/>
      <c r="AE1572" s="25"/>
      <c r="AF1572" s="25"/>
      <c r="AG1572" s="25"/>
      <c r="AH1572" s="25"/>
      <c r="AI1572" s="25"/>
      <c r="AJ1572" s="25"/>
      <c r="AK1572" s="25"/>
      <c r="AL1572" s="25"/>
      <c r="AM1572" s="25"/>
      <c r="AN1572" s="25"/>
      <c r="AO1572" s="25"/>
      <c r="AP1572" s="25"/>
      <c r="AQ1572" s="25"/>
      <c r="AR1572" s="25"/>
      <c r="AS1572" s="25"/>
      <c r="AT1572" s="25"/>
      <c r="AU1572" s="25"/>
      <c r="AV1572" s="25"/>
      <c r="AW1572" s="25"/>
      <c r="AX1572" s="25"/>
    </row>
    <row r="1573" ht="15.75" customHeight="1">
      <c r="A1573" s="25"/>
      <c r="B1573" s="25"/>
      <c r="C1573" s="27"/>
      <c r="D1573" s="28"/>
      <c r="E1573" s="28"/>
      <c r="F1573" s="25"/>
      <c r="G1573" s="25"/>
      <c r="H1573" s="25"/>
      <c r="I1573" s="25"/>
      <c r="J1573" s="25"/>
      <c r="K1573" s="25"/>
      <c r="L1573" s="25"/>
      <c r="M1573" s="25"/>
      <c r="N1573" s="25"/>
      <c r="O1573" s="25"/>
      <c r="P1573" s="25"/>
      <c r="Q1573" s="25"/>
      <c r="R1573" s="25"/>
      <c r="S1573" s="25"/>
      <c r="T1573" s="25"/>
      <c r="U1573" s="25"/>
      <c r="V1573" s="25"/>
      <c r="W1573" s="25"/>
      <c r="X1573" s="25"/>
      <c r="Y1573" s="25"/>
      <c r="Z1573" s="25"/>
      <c r="AA1573" s="25"/>
      <c r="AB1573" s="25"/>
      <c r="AC1573" s="25"/>
      <c r="AD1573" s="25"/>
      <c r="AE1573" s="25"/>
      <c r="AF1573" s="25"/>
      <c r="AG1573" s="25"/>
      <c r="AH1573" s="25"/>
      <c r="AI1573" s="25"/>
      <c r="AJ1573" s="25"/>
      <c r="AK1573" s="25"/>
      <c r="AL1573" s="25"/>
      <c r="AM1573" s="25"/>
      <c r="AN1573" s="25"/>
      <c r="AO1573" s="25"/>
      <c r="AP1573" s="25"/>
      <c r="AQ1573" s="25"/>
      <c r="AR1573" s="25"/>
      <c r="AS1573" s="25"/>
      <c r="AT1573" s="25"/>
      <c r="AU1573" s="25"/>
      <c r="AV1573" s="25"/>
      <c r="AW1573" s="25"/>
      <c r="AX1573" s="25"/>
    </row>
    <row r="1574" ht="15.75" customHeight="1">
      <c r="A1574" s="25"/>
      <c r="B1574" s="25"/>
      <c r="C1574" s="27"/>
      <c r="D1574" s="28"/>
      <c r="E1574" s="28"/>
      <c r="F1574" s="25"/>
      <c r="G1574" s="25"/>
      <c r="H1574" s="25"/>
      <c r="I1574" s="25"/>
      <c r="J1574" s="25"/>
      <c r="K1574" s="25"/>
      <c r="L1574" s="25"/>
      <c r="M1574" s="25"/>
      <c r="N1574" s="25"/>
      <c r="O1574" s="25"/>
      <c r="P1574" s="25"/>
      <c r="Q1574" s="25"/>
      <c r="R1574" s="25"/>
      <c r="S1574" s="25"/>
      <c r="T1574" s="25"/>
      <c r="U1574" s="25"/>
      <c r="V1574" s="25"/>
      <c r="W1574" s="25"/>
      <c r="X1574" s="25"/>
      <c r="Y1574" s="25"/>
      <c r="Z1574" s="25"/>
      <c r="AA1574" s="25"/>
      <c r="AB1574" s="25"/>
      <c r="AC1574" s="25"/>
      <c r="AD1574" s="25"/>
      <c r="AE1574" s="25"/>
      <c r="AF1574" s="25"/>
      <c r="AG1574" s="25"/>
      <c r="AH1574" s="25"/>
      <c r="AI1574" s="25"/>
      <c r="AJ1574" s="25"/>
      <c r="AK1574" s="25"/>
      <c r="AL1574" s="25"/>
      <c r="AM1574" s="25"/>
      <c r="AN1574" s="25"/>
      <c r="AO1574" s="25"/>
      <c r="AP1574" s="25"/>
      <c r="AQ1574" s="25"/>
      <c r="AR1574" s="25"/>
      <c r="AS1574" s="25"/>
      <c r="AT1574" s="25"/>
      <c r="AU1574" s="25"/>
      <c r="AV1574" s="25"/>
      <c r="AW1574" s="25"/>
      <c r="AX1574" s="25"/>
    </row>
    <row r="1575" ht="15.75" customHeight="1">
      <c r="A1575" s="25"/>
      <c r="B1575" s="25"/>
      <c r="C1575" s="27"/>
      <c r="D1575" s="28"/>
      <c r="E1575" s="28"/>
      <c r="F1575" s="25"/>
      <c r="G1575" s="25"/>
      <c r="H1575" s="25"/>
      <c r="I1575" s="25"/>
      <c r="J1575" s="25"/>
      <c r="K1575" s="25"/>
      <c r="L1575" s="25"/>
      <c r="M1575" s="25"/>
      <c r="N1575" s="25"/>
      <c r="O1575" s="25"/>
      <c r="P1575" s="25"/>
      <c r="Q1575" s="25"/>
      <c r="R1575" s="25"/>
      <c r="S1575" s="25"/>
      <c r="T1575" s="25"/>
      <c r="U1575" s="25"/>
      <c r="V1575" s="25"/>
      <c r="W1575" s="25"/>
      <c r="X1575" s="25"/>
      <c r="Y1575" s="25"/>
      <c r="Z1575" s="25"/>
      <c r="AA1575" s="25"/>
      <c r="AB1575" s="25"/>
      <c r="AC1575" s="25"/>
      <c r="AD1575" s="25"/>
      <c r="AE1575" s="25"/>
      <c r="AF1575" s="25"/>
      <c r="AG1575" s="25"/>
      <c r="AH1575" s="25"/>
      <c r="AI1575" s="25"/>
      <c r="AJ1575" s="25"/>
      <c r="AK1575" s="25"/>
      <c r="AL1575" s="25"/>
      <c r="AM1575" s="25"/>
      <c r="AN1575" s="25"/>
      <c r="AO1575" s="25"/>
      <c r="AP1575" s="25"/>
      <c r="AQ1575" s="25"/>
      <c r="AR1575" s="25"/>
      <c r="AS1575" s="25"/>
      <c r="AT1575" s="25"/>
      <c r="AU1575" s="25"/>
      <c r="AV1575" s="25"/>
      <c r="AW1575" s="25"/>
      <c r="AX1575" s="25"/>
    </row>
    <row r="1576" ht="15.75" customHeight="1">
      <c r="A1576" s="25"/>
      <c r="B1576" s="25"/>
      <c r="C1576" s="27"/>
      <c r="D1576" s="28"/>
      <c r="E1576" s="28"/>
      <c r="F1576" s="25"/>
      <c r="G1576" s="25"/>
      <c r="H1576" s="25"/>
      <c r="I1576" s="25"/>
      <c r="J1576" s="25"/>
      <c r="K1576" s="25"/>
      <c r="L1576" s="25"/>
      <c r="M1576" s="25"/>
      <c r="N1576" s="25"/>
      <c r="O1576" s="25"/>
      <c r="P1576" s="25"/>
      <c r="Q1576" s="25"/>
      <c r="R1576" s="25"/>
      <c r="S1576" s="25"/>
      <c r="T1576" s="25"/>
      <c r="U1576" s="25"/>
      <c r="V1576" s="25"/>
      <c r="W1576" s="25"/>
      <c r="X1576" s="25"/>
      <c r="Y1576" s="25"/>
      <c r="Z1576" s="25"/>
      <c r="AA1576" s="25"/>
      <c r="AB1576" s="25"/>
      <c r="AC1576" s="25"/>
      <c r="AD1576" s="25"/>
      <c r="AE1576" s="25"/>
      <c r="AF1576" s="25"/>
      <c r="AG1576" s="25"/>
      <c r="AH1576" s="25"/>
      <c r="AI1576" s="25"/>
      <c r="AJ1576" s="25"/>
      <c r="AK1576" s="25"/>
      <c r="AL1576" s="25"/>
      <c r="AM1576" s="25"/>
      <c r="AN1576" s="25"/>
      <c r="AO1576" s="25"/>
      <c r="AP1576" s="25"/>
      <c r="AQ1576" s="25"/>
      <c r="AR1576" s="25"/>
      <c r="AS1576" s="25"/>
      <c r="AT1576" s="25"/>
      <c r="AU1576" s="25"/>
      <c r="AV1576" s="25"/>
      <c r="AW1576" s="25"/>
      <c r="AX1576" s="25"/>
    </row>
    <row r="1577" ht="15.75" customHeight="1">
      <c r="A1577" s="25"/>
      <c r="B1577" s="25"/>
      <c r="C1577" s="27"/>
      <c r="D1577" s="28"/>
      <c r="E1577" s="28"/>
      <c r="F1577" s="25"/>
      <c r="G1577" s="25"/>
      <c r="H1577" s="25"/>
      <c r="I1577" s="25"/>
      <c r="J1577" s="25"/>
      <c r="K1577" s="25"/>
      <c r="L1577" s="25"/>
      <c r="M1577" s="25"/>
      <c r="N1577" s="25"/>
      <c r="O1577" s="25"/>
      <c r="P1577" s="25"/>
      <c r="Q1577" s="25"/>
      <c r="R1577" s="25"/>
      <c r="S1577" s="25"/>
      <c r="T1577" s="25"/>
      <c r="U1577" s="25"/>
      <c r="V1577" s="25"/>
      <c r="W1577" s="25"/>
      <c r="X1577" s="25"/>
      <c r="Y1577" s="25"/>
      <c r="Z1577" s="25"/>
      <c r="AA1577" s="25"/>
      <c r="AB1577" s="25"/>
      <c r="AC1577" s="25"/>
      <c r="AD1577" s="25"/>
      <c r="AE1577" s="25"/>
      <c r="AF1577" s="25"/>
      <c r="AG1577" s="25"/>
      <c r="AH1577" s="25"/>
      <c r="AI1577" s="25"/>
      <c r="AJ1577" s="25"/>
      <c r="AK1577" s="25"/>
      <c r="AL1577" s="25"/>
      <c r="AM1577" s="25"/>
      <c r="AN1577" s="25"/>
      <c r="AO1577" s="25"/>
      <c r="AP1577" s="25"/>
      <c r="AQ1577" s="25"/>
      <c r="AR1577" s="25"/>
      <c r="AS1577" s="25"/>
      <c r="AT1577" s="25"/>
      <c r="AU1577" s="25"/>
      <c r="AV1577" s="25"/>
      <c r="AW1577" s="25"/>
      <c r="AX1577" s="25"/>
    </row>
    <row r="1578" ht="15.75" customHeight="1">
      <c r="A1578" s="25"/>
      <c r="B1578" s="25"/>
      <c r="C1578" s="27"/>
      <c r="D1578" s="28"/>
      <c r="E1578" s="28"/>
      <c r="F1578" s="25"/>
      <c r="G1578" s="25"/>
      <c r="H1578" s="25"/>
      <c r="I1578" s="25"/>
      <c r="J1578" s="25"/>
      <c r="K1578" s="25"/>
      <c r="L1578" s="25"/>
      <c r="M1578" s="25"/>
      <c r="N1578" s="25"/>
      <c r="O1578" s="25"/>
      <c r="P1578" s="25"/>
      <c r="Q1578" s="25"/>
      <c r="R1578" s="25"/>
      <c r="S1578" s="25"/>
      <c r="T1578" s="25"/>
      <c r="U1578" s="25"/>
      <c r="V1578" s="25"/>
      <c r="W1578" s="25"/>
      <c r="X1578" s="25"/>
      <c r="Y1578" s="25"/>
      <c r="Z1578" s="25"/>
      <c r="AA1578" s="25"/>
      <c r="AB1578" s="25"/>
      <c r="AC1578" s="25"/>
      <c r="AD1578" s="25"/>
      <c r="AE1578" s="25"/>
      <c r="AF1578" s="25"/>
      <c r="AG1578" s="25"/>
      <c r="AH1578" s="25"/>
      <c r="AI1578" s="25"/>
      <c r="AJ1578" s="25"/>
      <c r="AK1578" s="25"/>
      <c r="AL1578" s="25"/>
      <c r="AM1578" s="25"/>
      <c r="AN1578" s="25"/>
      <c r="AO1578" s="25"/>
      <c r="AP1578" s="25"/>
      <c r="AQ1578" s="25"/>
      <c r="AR1578" s="25"/>
      <c r="AS1578" s="25"/>
      <c r="AT1578" s="25"/>
      <c r="AU1578" s="25"/>
      <c r="AV1578" s="25"/>
      <c r="AW1578" s="25"/>
      <c r="AX1578" s="25"/>
    </row>
    <row r="1579" ht="15.75" customHeight="1">
      <c r="A1579" s="25"/>
      <c r="B1579" s="25"/>
      <c r="C1579" s="27"/>
      <c r="D1579" s="28"/>
      <c r="E1579" s="28"/>
      <c r="F1579" s="25"/>
      <c r="G1579" s="25"/>
      <c r="H1579" s="25"/>
      <c r="I1579" s="25"/>
      <c r="J1579" s="25"/>
      <c r="K1579" s="25"/>
      <c r="L1579" s="25"/>
      <c r="M1579" s="25"/>
      <c r="N1579" s="25"/>
      <c r="O1579" s="25"/>
      <c r="P1579" s="25"/>
      <c r="Q1579" s="25"/>
      <c r="R1579" s="25"/>
      <c r="S1579" s="25"/>
      <c r="T1579" s="25"/>
      <c r="U1579" s="25"/>
      <c r="V1579" s="25"/>
      <c r="W1579" s="25"/>
      <c r="X1579" s="25"/>
      <c r="Y1579" s="25"/>
      <c r="Z1579" s="25"/>
      <c r="AA1579" s="25"/>
      <c r="AB1579" s="25"/>
      <c r="AC1579" s="25"/>
      <c r="AD1579" s="25"/>
      <c r="AE1579" s="25"/>
      <c r="AF1579" s="25"/>
      <c r="AG1579" s="25"/>
      <c r="AH1579" s="25"/>
      <c r="AI1579" s="25"/>
      <c r="AJ1579" s="25"/>
      <c r="AK1579" s="25"/>
      <c r="AL1579" s="25"/>
      <c r="AM1579" s="25"/>
      <c r="AN1579" s="25"/>
      <c r="AO1579" s="25"/>
      <c r="AP1579" s="25"/>
      <c r="AQ1579" s="25"/>
      <c r="AR1579" s="25"/>
      <c r="AS1579" s="25"/>
      <c r="AT1579" s="25"/>
      <c r="AU1579" s="25"/>
      <c r="AV1579" s="25"/>
      <c r="AW1579" s="25"/>
      <c r="AX1579" s="25"/>
    </row>
    <row r="1580" ht="15.75" customHeight="1">
      <c r="A1580" s="25"/>
      <c r="B1580" s="25"/>
      <c r="C1580" s="27"/>
      <c r="D1580" s="28"/>
      <c r="E1580" s="28"/>
      <c r="F1580" s="25"/>
      <c r="G1580" s="25"/>
      <c r="H1580" s="25"/>
      <c r="I1580" s="25"/>
      <c r="J1580" s="25"/>
      <c r="K1580" s="25"/>
      <c r="L1580" s="25"/>
      <c r="M1580" s="25"/>
      <c r="N1580" s="25"/>
      <c r="O1580" s="25"/>
      <c r="P1580" s="25"/>
      <c r="Q1580" s="25"/>
      <c r="R1580" s="25"/>
      <c r="S1580" s="25"/>
      <c r="T1580" s="25"/>
      <c r="U1580" s="25"/>
      <c r="V1580" s="25"/>
      <c r="W1580" s="25"/>
      <c r="X1580" s="25"/>
      <c r="Y1580" s="25"/>
      <c r="Z1580" s="25"/>
      <c r="AA1580" s="25"/>
      <c r="AB1580" s="25"/>
      <c r="AC1580" s="25"/>
      <c r="AD1580" s="25"/>
      <c r="AE1580" s="25"/>
      <c r="AF1580" s="25"/>
      <c r="AG1580" s="25"/>
      <c r="AH1580" s="25"/>
      <c r="AI1580" s="25"/>
      <c r="AJ1580" s="25"/>
      <c r="AK1580" s="25"/>
      <c r="AL1580" s="25"/>
      <c r="AM1580" s="25"/>
      <c r="AN1580" s="25"/>
      <c r="AO1580" s="25"/>
      <c r="AP1580" s="25"/>
      <c r="AQ1580" s="25"/>
      <c r="AR1580" s="25"/>
      <c r="AS1580" s="25"/>
      <c r="AT1580" s="25"/>
      <c r="AU1580" s="25"/>
      <c r="AV1580" s="25"/>
      <c r="AW1580" s="25"/>
      <c r="AX1580" s="25"/>
    </row>
    <row r="1581" ht="15.75" customHeight="1">
      <c r="A1581" s="25"/>
      <c r="B1581" s="25"/>
      <c r="C1581" s="27"/>
      <c r="D1581" s="28"/>
      <c r="E1581" s="28"/>
      <c r="F1581" s="25"/>
      <c r="G1581" s="25"/>
      <c r="H1581" s="25"/>
      <c r="I1581" s="25"/>
      <c r="J1581" s="25"/>
      <c r="K1581" s="25"/>
      <c r="L1581" s="25"/>
      <c r="M1581" s="25"/>
      <c r="N1581" s="25"/>
      <c r="O1581" s="25"/>
      <c r="P1581" s="25"/>
      <c r="Q1581" s="25"/>
      <c r="R1581" s="25"/>
      <c r="S1581" s="25"/>
      <c r="T1581" s="25"/>
      <c r="U1581" s="25"/>
      <c r="V1581" s="25"/>
      <c r="W1581" s="25"/>
      <c r="X1581" s="25"/>
      <c r="Y1581" s="25"/>
      <c r="Z1581" s="25"/>
      <c r="AA1581" s="25"/>
      <c r="AB1581" s="25"/>
      <c r="AC1581" s="25"/>
      <c r="AD1581" s="25"/>
      <c r="AE1581" s="25"/>
      <c r="AF1581" s="25"/>
      <c r="AG1581" s="25"/>
      <c r="AH1581" s="25"/>
      <c r="AI1581" s="25"/>
      <c r="AJ1581" s="25"/>
      <c r="AK1581" s="25"/>
      <c r="AL1581" s="25"/>
      <c r="AM1581" s="25"/>
      <c r="AN1581" s="25"/>
      <c r="AO1581" s="25"/>
      <c r="AP1581" s="25"/>
      <c r="AQ1581" s="25"/>
      <c r="AR1581" s="25"/>
      <c r="AS1581" s="25"/>
      <c r="AT1581" s="25"/>
      <c r="AU1581" s="25"/>
      <c r="AV1581" s="25"/>
      <c r="AW1581" s="25"/>
      <c r="AX1581" s="25"/>
    </row>
    <row r="1582" ht="15.75" customHeight="1">
      <c r="A1582" s="25"/>
      <c r="B1582" s="25"/>
      <c r="C1582" s="27"/>
      <c r="D1582" s="28"/>
      <c r="E1582" s="28"/>
      <c r="F1582" s="25"/>
      <c r="G1582" s="25"/>
      <c r="H1582" s="25"/>
      <c r="I1582" s="25"/>
      <c r="J1582" s="25"/>
      <c r="K1582" s="25"/>
      <c r="L1582" s="25"/>
      <c r="M1582" s="25"/>
      <c r="N1582" s="25"/>
      <c r="O1582" s="25"/>
      <c r="P1582" s="25"/>
      <c r="Q1582" s="25"/>
      <c r="R1582" s="25"/>
      <c r="S1582" s="25"/>
      <c r="T1582" s="25"/>
      <c r="U1582" s="25"/>
      <c r="V1582" s="25"/>
      <c r="W1582" s="25"/>
      <c r="X1582" s="25"/>
      <c r="Y1582" s="25"/>
      <c r="Z1582" s="25"/>
      <c r="AA1582" s="25"/>
      <c r="AB1582" s="25"/>
      <c r="AC1582" s="25"/>
      <c r="AD1582" s="25"/>
      <c r="AE1582" s="25"/>
      <c r="AF1582" s="25"/>
      <c r="AG1582" s="25"/>
      <c r="AH1582" s="25"/>
      <c r="AI1582" s="25"/>
      <c r="AJ1582" s="25"/>
      <c r="AK1582" s="25"/>
      <c r="AL1582" s="25"/>
      <c r="AM1582" s="25"/>
      <c r="AN1582" s="25"/>
      <c r="AO1582" s="25"/>
      <c r="AP1582" s="25"/>
      <c r="AQ1582" s="25"/>
      <c r="AR1582" s="25"/>
      <c r="AS1582" s="25"/>
      <c r="AT1582" s="25"/>
      <c r="AU1582" s="25"/>
      <c r="AV1582" s="25"/>
      <c r="AW1582" s="25"/>
      <c r="AX1582" s="25"/>
    </row>
    <row r="1583" ht="15.75" customHeight="1">
      <c r="A1583" s="25"/>
      <c r="B1583" s="25"/>
      <c r="C1583" s="27"/>
      <c r="D1583" s="28"/>
      <c r="E1583" s="28"/>
      <c r="F1583" s="25"/>
      <c r="G1583" s="25"/>
      <c r="H1583" s="25"/>
      <c r="I1583" s="25"/>
      <c r="J1583" s="25"/>
      <c r="K1583" s="25"/>
      <c r="L1583" s="25"/>
      <c r="M1583" s="25"/>
      <c r="N1583" s="25"/>
      <c r="O1583" s="25"/>
      <c r="P1583" s="25"/>
      <c r="Q1583" s="25"/>
      <c r="R1583" s="25"/>
      <c r="S1583" s="25"/>
      <c r="T1583" s="25"/>
      <c r="U1583" s="25"/>
      <c r="V1583" s="25"/>
      <c r="W1583" s="25"/>
      <c r="X1583" s="25"/>
      <c r="Y1583" s="25"/>
      <c r="Z1583" s="25"/>
      <c r="AA1583" s="25"/>
      <c r="AB1583" s="25"/>
      <c r="AC1583" s="25"/>
      <c r="AD1583" s="25"/>
      <c r="AE1583" s="25"/>
      <c r="AF1583" s="25"/>
      <c r="AG1583" s="25"/>
      <c r="AH1583" s="25"/>
      <c r="AI1583" s="25"/>
      <c r="AJ1583" s="25"/>
      <c r="AK1583" s="25"/>
      <c r="AL1583" s="25"/>
      <c r="AM1583" s="25"/>
      <c r="AN1583" s="25"/>
      <c r="AO1583" s="25"/>
      <c r="AP1583" s="25"/>
      <c r="AQ1583" s="25"/>
      <c r="AR1583" s="25"/>
      <c r="AS1583" s="25"/>
      <c r="AT1583" s="25"/>
      <c r="AU1583" s="25"/>
      <c r="AV1583" s="25"/>
      <c r="AW1583" s="25"/>
      <c r="AX1583" s="25"/>
    </row>
    <row r="1584" ht="15.75" customHeight="1">
      <c r="A1584" s="25"/>
      <c r="B1584" s="25"/>
      <c r="C1584" s="27"/>
      <c r="D1584" s="28"/>
      <c r="E1584" s="28"/>
      <c r="F1584" s="25"/>
      <c r="G1584" s="25"/>
      <c r="H1584" s="25"/>
      <c r="I1584" s="25"/>
      <c r="J1584" s="25"/>
      <c r="K1584" s="25"/>
      <c r="L1584" s="25"/>
      <c r="M1584" s="25"/>
      <c r="N1584" s="25"/>
      <c r="O1584" s="25"/>
      <c r="P1584" s="25"/>
      <c r="Q1584" s="25"/>
      <c r="R1584" s="25"/>
      <c r="S1584" s="25"/>
      <c r="T1584" s="25"/>
      <c r="U1584" s="25"/>
      <c r="V1584" s="25"/>
      <c r="W1584" s="25"/>
      <c r="X1584" s="25"/>
      <c r="Y1584" s="25"/>
      <c r="Z1584" s="25"/>
      <c r="AA1584" s="25"/>
      <c r="AB1584" s="25"/>
      <c r="AC1584" s="25"/>
      <c r="AD1584" s="25"/>
      <c r="AE1584" s="25"/>
      <c r="AF1584" s="25"/>
      <c r="AG1584" s="25"/>
      <c r="AH1584" s="25"/>
      <c r="AI1584" s="25"/>
      <c r="AJ1584" s="25"/>
      <c r="AK1584" s="25"/>
      <c r="AL1584" s="25"/>
      <c r="AM1584" s="25"/>
      <c r="AN1584" s="25"/>
      <c r="AO1584" s="25"/>
      <c r="AP1584" s="25"/>
      <c r="AQ1584" s="25"/>
      <c r="AR1584" s="25"/>
      <c r="AS1584" s="25"/>
      <c r="AT1584" s="25"/>
      <c r="AU1584" s="25"/>
      <c r="AV1584" s="25"/>
      <c r="AW1584" s="25"/>
      <c r="AX1584" s="25"/>
    </row>
    <row r="1585" ht="15.75" customHeight="1">
      <c r="A1585" s="25"/>
      <c r="B1585" s="25"/>
      <c r="C1585" s="27"/>
      <c r="D1585" s="28"/>
      <c r="E1585" s="28"/>
      <c r="F1585" s="25"/>
      <c r="G1585" s="25"/>
      <c r="H1585" s="25"/>
      <c r="I1585" s="25"/>
      <c r="J1585" s="25"/>
      <c r="K1585" s="25"/>
      <c r="L1585" s="25"/>
      <c r="M1585" s="25"/>
      <c r="N1585" s="25"/>
      <c r="O1585" s="25"/>
      <c r="P1585" s="25"/>
      <c r="Q1585" s="25"/>
      <c r="R1585" s="25"/>
      <c r="S1585" s="25"/>
      <c r="T1585" s="25"/>
      <c r="U1585" s="25"/>
      <c r="V1585" s="25"/>
      <c r="W1585" s="25"/>
      <c r="X1585" s="25"/>
      <c r="Y1585" s="25"/>
      <c r="Z1585" s="25"/>
      <c r="AA1585" s="25"/>
      <c r="AB1585" s="25"/>
      <c r="AC1585" s="25"/>
      <c r="AD1585" s="25"/>
      <c r="AE1585" s="25"/>
      <c r="AF1585" s="25"/>
      <c r="AG1585" s="25"/>
      <c r="AH1585" s="25"/>
      <c r="AI1585" s="25"/>
      <c r="AJ1585" s="25"/>
      <c r="AK1585" s="25"/>
      <c r="AL1585" s="25"/>
      <c r="AM1585" s="25"/>
      <c r="AN1585" s="25"/>
      <c r="AO1585" s="25"/>
      <c r="AP1585" s="25"/>
      <c r="AQ1585" s="25"/>
      <c r="AR1585" s="25"/>
      <c r="AS1585" s="25"/>
      <c r="AT1585" s="25"/>
      <c r="AU1585" s="25"/>
      <c r="AV1585" s="25"/>
      <c r="AW1585" s="25"/>
      <c r="AX1585" s="25"/>
    </row>
    <row r="1586" ht="15.75" customHeight="1">
      <c r="A1586" s="25"/>
      <c r="B1586" s="25"/>
      <c r="C1586" s="27"/>
      <c r="D1586" s="28"/>
      <c r="E1586" s="28"/>
      <c r="F1586" s="25"/>
      <c r="G1586" s="25"/>
      <c r="H1586" s="25"/>
      <c r="I1586" s="25"/>
      <c r="J1586" s="25"/>
      <c r="K1586" s="25"/>
      <c r="L1586" s="25"/>
      <c r="M1586" s="25"/>
      <c r="N1586" s="25"/>
      <c r="O1586" s="25"/>
      <c r="P1586" s="25"/>
      <c r="Q1586" s="25"/>
      <c r="R1586" s="25"/>
      <c r="S1586" s="25"/>
      <c r="T1586" s="25"/>
      <c r="U1586" s="25"/>
      <c r="V1586" s="25"/>
      <c r="W1586" s="25"/>
      <c r="X1586" s="25"/>
      <c r="Y1586" s="25"/>
      <c r="Z1586" s="25"/>
      <c r="AA1586" s="25"/>
      <c r="AB1586" s="25"/>
      <c r="AC1586" s="25"/>
      <c r="AD1586" s="25"/>
      <c r="AE1586" s="25"/>
      <c r="AF1586" s="25"/>
      <c r="AG1586" s="25"/>
      <c r="AH1586" s="25"/>
      <c r="AI1586" s="25"/>
      <c r="AJ1586" s="25"/>
      <c r="AK1586" s="25"/>
      <c r="AL1586" s="25"/>
      <c r="AM1586" s="25"/>
      <c r="AN1586" s="25"/>
      <c r="AO1586" s="25"/>
      <c r="AP1586" s="25"/>
      <c r="AQ1586" s="25"/>
      <c r="AR1586" s="25"/>
      <c r="AS1586" s="25"/>
      <c r="AT1586" s="25"/>
      <c r="AU1586" s="25"/>
      <c r="AV1586" s="25"/>
      <c r="AW1586" s="25"/>
      <c r="AX1586" s="25"/>
    </row>
    <row r="1587" ht="15.75" customHeight="1">
      <c r="A1587" s="25"/>
      <c r="B1587" s="25"/>
      <c r="C1587" s="27"/>
      <c r="D1587" s="28"/>
      <c r="E1587" s="28"/>
      <c r="F1587" s="25"/>
      <c r="G1587" s="25"/>
      <c r="H1587" s="25"/>
      <c r="I1587" s="25"/>
      <c r="J1587" s="25"/>
      <c r="K1587" s="25"/>
      <c r="L1587" s="25"/>
      <c r="M1587" s="25"/>
      <c r="N1587" s="25"/>
      <c r="O1587" s="25"/>
      <c r="P1587" s="25"/>
      <c r="Q1587" s="25"/>
      <c r="R1587" s="25"/>
      <c r="S1587" s="25"/>
      <c r="T1587" s="25"/>
      <c r="U1587" s="25"/>
      <c r="V1587" s="25"/>
      <c r="W1587" s="25"/>
      <c r="X1587" s="25"/>
      <c r="Y1587" s="25"/>
      <c r="Z1587" s="25"/>
      <c r="AA1587" s="25"/>
      <c r="AB1587" s="25"/>
      <c r="AC1587" s="25"/>
      <c r="AD1587" s="25"/>
      <c r="AE1587" s="25"/>
      <c r="AF1587" s="25"/>
      <c r="AG1587" s="25"/>
      <c r="AH1587" s="25"/>
      <c r="AI1587" s="25"/>
      <c r="AJ1587" s="25"/>
      <c r="AK1587" s="25"/>
      <c r="AL1587" s="25"/>
      <c r="AM1587" s="25"/>
      <c r="AN1587" s="25"/>
      <c r="AO1587" s="25"/>
      <c r="AP1587" s="25"/>
      <c r="AQ1587" s="25"/>
      <c r="AR1587" s="25"/>
      <c r="AS1587" s="25"/>
      <c r="AT1587" s="25"/>
      <c r="AU1587" s="25"/>
      <c r="AV1587" s="25"/>
      <c r="AW1587" s="25"/>
      <c r="AX1587" s="25"/>
    </row>
    <row r="1588" ht="15.75" customHeight="1">
      <c r="A1588" s="25"/>
      <c r="B1588" s="25"/>
      <c r="C1588" s="27"/>
      <c r="D1588" s="28"/>
      <c r="E1588" s="28"/>
      <c r="F1588" s="25"/>
      <c r="G1588" s="25"/>
      <c r="H1588" s="25"/>
      <c r="I1588" s="25"/>
      <c r="J1588" s="25"/>
      <c r="K1588" s="25"/>
      <c r="L1588" s="25"/>
      <c r="M1588" s="25"/>
      <c r="N1588" s="25"/>
      <c r="O1588" s="25"/>
      <c r="P1588" s="25"/>
      <c r="Q1588" s="25"/>
      <c r="R1588" s="25"/>
      <c r="S1588" s="25"/>
      <c r="T1588" s="25"/>
      <c r="U1588" s="25"/>
      <c r="V1588" s="25"/>
      <c r="W1588" s="25"/>
      <c r="X1588" s="25"/>
      <c r="Y1588" s="25"/>
      <c r="Z1588" s="25"/>
      <c r="AA1588" s="25"/>
      <c r="AB1588" s="25"/>
      <c r="AC1588" s="25"/>
      <c r="AD1588" s="25"/>
      <c r="AE1588" s="25"/>
      <c r="AF1588" s="25"/>
      <c r="AG1588" s="25"/>
      <c r="AH1588" s="25"/>
      <c r="AI1588" s="25"/>
      <c r="AJ1588" s="25"/>
      <c r="AK1588" s="25"/>
      <c r="AL1588" s="25"/>
      <c r="AM1588" s="25"/>
      <c r="AN1588" s="25"/>
      <c r="AO1588" s="25"/>
      <c r="AP1588" s="25"/>
      <c r="AQ1588" s="25"/>
      <c r="AR1588" s="25"/>
      <c r="AS1588" s="25"/>
      <c r="AT1588" s="25"/>
      <c r="AU1588" s="25"/>
      <c r="AV1588" s="25"/>
      <c r="AW1588" s="25"/>
      <c r="AX1588" s="25"/>
    </row>
    <row r="1589" ht="15.75" customHeight="1">
      <c r="A1589" s="25"/>
      <c r="B1589" s="25"/>
      <c r="C1589" s="27"/>
      <c r="D1589" s="28"/>
      <c r="E1589" s="28"/>
      <c r="F1589" s="25"/>
      <c r="G1589" s="25"/>
      <c r="H1589" s="25"/>
      <c r="I1589" s="25"/>
      <c r="J1589" s="25"/>
      <c r="K1589" s="25"/>
      <c r="L1589" s="25"/>
      <c r="M1589" s="25"/>
      <c r="N1589" s="25"/>
      <c r="O1589" s="25"/>
      <c r="P1589" s="25"/>
      <c r="Q1589" s="25"/>
      <c r="R1589" s="25"/>
      <c r="S1589" s="25"/>
      <c r="T1589" s="25"/>
      <c r="U1589" s="25"/>
      <c r="V1589" s="25"/>
      <c r="W1589" s="25"/>
      <c r="X1589" s="25"/>
      <c r="Y1589" s="25"/>
      <c r="Z1589" s="25"/>
      <c r="AA1589" s="25"/>
      <c r="AB1589" s="25"/>
      <c r="AC1589" s="25"/>
      <c r="AD1589" s="25"/>
      <c r="AE1589" s="25"/>
      <c r="AF1589" s="25"/>
      <c r="AG1589" s="25"/>
      <c r="AH1589" s="25"/>
      <c r="AI1589" s="25"/>
      <c r="AJ1589" s="25"/>
      <c r="AK1589" s="25"/>
      <c r="AL1589" s="25"/>
      <c r="AM1589" s="25"/>
      <c r="AN1589" s="25"/>
      <c r="AO1589" s="25"/>
      <c r="AP1589" s="25"/>
      <c r="AQ1589" s="25"/>
      <c r="AR1589" s="25"/>
      <c r="AS1589" s="25"/>
      <c r="AT1589" s="25"/>
      <c r="AU1589" s="25"/>
      <c r="AV1589" s="25"/>
      <c r="AW1589" s="25"/>
      <c r="AX1589" s="25"/>
    </row>
    <row r="1590" ht="15.75" customHeight="1">
      <c r="A1590" s="25"/>
      <c r="B1590" s="25"/>
      <c r="C1590" s="27"/>
      <c r="D1590" s="28"/>
      <c r="E1590" s="28"/>
      <c r="F1590" s="25"/>
      <c r="G1590" s="25"/>
      <c r="H1590" s="25"/>
      <c r="I1590" s="25"/>
      <c r="J1590" s="25"/>
      <c r="K1590" s="25"/>
      <c r="L1590" s="25"/>
      <c r="M1590" s="25"/>
      <c r="N1590" s="25"/>
      <c r="O1590" s="25"/>
      <c r="P1590" s="25"/>
      <c r="Q1590" s="25"/>
      <c r="R1590" s="25"/>
      <c r="S1590" s="25"/>
      <c r="T1590" s="25"/>
      <c r="U1590" s="25"/>
      <c r="V1590" s="25"/>
      <c r="W1590" s="25"/>
      <c r="X1590" s="25"/>
      <c r="Y1590" s="25"/>
      <c r="Z1590" s="25"/>
      <c r="AA1590" s="25"/>
      <c r="AB1590" s="25"/>
      <c r="AC1590" s="25"/>
      <c r="AD1590" s="25"/>
      <c r="AE1590" s="25"/>
      <c r="AF1590" s="25"/>
      <c r="AG1590" s="25"/>
      <c r="AH1590" s="25"/>
      <c r="AI1590" s="25"/>
      <c r="AJ1590" s="25"/>
      <c r="AK1590" s="25"/>
      <c r="AL1590" s="25"/>
      <c r="AM1590" s="25"/>
      <c r="AN1590" s="25"/>
      <c r="AO1590" s="25"/>
      <c r="AP1590" s="25"/>
      <c r="AQ1590" s="25"/>
      <c r="AR1590" s="25"/>
      <c r="AS1590" s="25"/>
      <c r="AT1590" s="25"/>
      <c r="AU1590" s="25"/>
      <c r="AV1590" s="25"/>
      <c r="AW1590" s="25"/>
      <c r="AX1590" s="25"/>
    </row>
    <row r="1591" ht="15.75" customHeight="1">
      <c r="A1591" s="25"/>
      <c r="B1591" s="25"/>
      <c r="C1591" s="27"/>
      <c r="D1591" s="28"/>
      <c r="E1591" s="28"/>
      <c r="F1591" s="25"/>
      <c r="G1591" s="25"/>
      <c r="H1591" s="25"/>
      <c r="I1591" s="25"/>
      <c r="J1591" s="25"/>
      <c r="K1591" s="25"/>
      <c r="L1591" s="25"/>
      <c r="M1591" s="25"/>
      <c r="N1591" s="25"/>
      <c r="O1591" s="25"/>
      <c r="P1591" s="25"/>
      <c r="Q1591" s="25"/>
      <c r="R1591" s="25"/>
      <c r="S1591" s="25"/>
      <c r="T1591" s="25"/>
      <c r="U1591" s="25"/>
      <c r="V1591" s="25"/>
      <c r="W1591" s="25"/>
      <c r="X1591" s="25"/>
      <c r="Y1591" s="25"/>
      <c r="Z1591" s="25"/>
      <c r="AA1591" s="25"/>
      <c r="AB1591" s="25"/>
      <c r="AC1591" s="25"/>
      <c r="AD1591" s="25"/>
      <c r="AE1591" s="25"/>
      <c r="AF1591" s="25"/>
      <c r="AG1591" s="25"/>
      <c r="AH1591" s="25"/>
      <c r="AI1591" s="25"/>
      <c r="AJ1591" s="25"/>
      <c r="AK1591" s="25"/>
      <c r="AL1591" s="25"/>
      <c r="AM1591" s="25"/>
      <c r="AN1591" s="25"/>
      <c r="AO1591" s="25"/>
      <c r="AP1591" s="25"/>
      <c r="AQ1591" s="25"/>
      <c r="AR1591" s="25"/>
      <c r="AS1591" s="25"/>
      <c r="AT1591" s="25"/>
      <c r="AU1591" s="25"/>
      <c r="AV1591" s="25"/>
      <c r="AW1591" s="25"/>
      <c r="AX1591" s="25"/>
    </row>
    <row r="1592" ht="15.75" customHeight="1">
      <c r="A1592" s="25"/>
      <c r="B1592" s="25"/>
      <c r="C1592" s="27"/>
      <c r="D1592" s="28"/>
      <c r="E1592" s="28"/>
      <c r="F1592" s="25"/>
      <c r="G1592" s="25"/>
      <c r="H1592" s="25"/>
      <c r="I1592" s="25"/>
      <c r="J1592" s="25"/>
      <c r="K1592" s="25"/>
      <c r="L1592" s="25"/>
      <c r="M1592" s="25"/>
      <c r="N1592" s="25"/>
      <c r="O1592" s="25"/>
      <c r="P1592" s="25"/>
      <c r="Q1592" s="25"/>
      <c r="R1592" s="25"/>
      <c r="S1592" s="25"/>
      <c r="T1592" s="25"/>
      <c r="U1592" s="25"/>
      <c r="V1592" s="25"/>
      <c r="W1592" s="25"/>
      <c r="X1592" s="25"/>
      <c r="Y1592" s="25"/>
      <c r="Z1592" s="25"/>
      <c r="AA1592" s="25"/>
      <c r="AB1592" s="25"/>
      <c r="AC1592" s="25"/>
      <c r="AD1592" s="25"/>
      <c r="AE1592" s="25"/>
      <c r="AF1592" s="25"/>
      <c r="AG1592" s="25"/>
      <c r="AH1592" s="25"/>
      <c r="AI1592" s="25"/>
      <c r="AJ1592" s="25"/>
      <c r="AK1592" s="25"/>
      <c r="AL1592" s="25"/>
      <c r="AM1592" s="25"/>
      <c r="AN1592" s="25"/>
      <c r="AO1592" s="25"/>
      <c r="AP1592" s="25"/>
      <c r="AQ1592" s="25"/>
      <c r="AR1592" s="25"/>
      <c r="AS1592" s="25"/>
      <c r="AT1592" s="25"/>
      <c r="AU1592" s="25"/>
      <c r="AV1592" s="25"/>
      <c r="AW1592" s="25"/>
      <c r="AX1592" s="25"/>
    </row>
    <row r="1593" ht="15.75" customHeight="1">
      <c r="A1593" s="25"/>
      <c r="B1593" s="25"/>
      <c r="C1593" s="27"/>
      <c r="D1593" s="28"/>
      <c r="E1593" s="28"/>
      <c r="F1593" s="25"/>
      <c r="G1593" s="25"/>
      <c r="H1593" s="25"/>
      <c r="I1593" s="25"/>
      <c r="J1593" s="25"/>
      <c r="K1593" s="25"/>
      <c r="L1593" s="25"/>
      <c r="M1593" s="25"/>
      <c r="N1593" s="25"/>
      <c r="O1593" s="25"/>
      <c r="P1593" s="25"/>
      <c r="Q1593" s="25"/>
      <c r="R1593" s="25"/>
      <c r="S1593" s="25"/>
      <c r="T1593" s="25"/>
      <c r="U1593" s="25"/>
      <c r="V1593" s="25"/>
      <c r="W1593" s="25"/>
      <c r="X1593" s="25"/>
      <c r="Y1593" s="25"/>
      <c r="Z1593" s="25"/>
      <c r="AA1593" s="25"/>
      <c r="AB1593" s="25"/>
      <c r="AC1593" s="25"/>
      <c r="AD1593" s="25"/>
      <c r="AE1593" s="25"/>
      <c r="AF1593" s="25"/>
      <c r="AG1593" s="25"/>
      <c r="AH1593" s="25"/>
      <c r="AI1593" s="25"/>
      <c r="AJ1593" s="25"/>
      <c r="AK1593" s="25"/>
      <c r="AL1593" s="25"/>
      <c r="AM1593" s="25"/>
      <c r="AN1593" s="25"/>
      <c r="AO1593" s="25"/>
      <c r="AP1593" s="25"/>
      <c r="AQ1593" s="25"/>
      <c r="AR1593" s="25"/>
      <c r="AS1593" s="25"/>
      <c r="AT1593" s="25"/>
      <c r="AU1593" s="25"/>
      <c r="AV1593" s="25"/>
      <c r="AW1593" s="25"/>
      <c r="AX1593" s="25"/>
    </row>
    <row r="1594" ht="15.75" customHeight="1">
      <c r="A1594" s="25"/>
      <c r="B1594" s="25"/>
      <c r="C1594" s="27"/>
      <c r="D1594" s="28"/>
      <c r="E1594" s="28"/>
      <c r="F1594" s="25"/>
      <c r="G1594" s="25"/>
      <c r="H1594" s="25"/>
      <c r="I1594" s="25"/>
      <c r="J1594" s="25"/>
      <c r="K1594" s="25"/>
      <c r="L1594" s="25"/>
      <c r="M1594" s="25"/>
      <c r="N1594" s="25"/>
      <c r="O1594" s="25"/>
      <c r="P1594" s="25"/>
      <c r="Q1594" s="25"/>
      <c r="R1594" s="25"/>
      <c r="S1594" s="25"/>
      <c r="T1594" s="25"/>
      <c r="U1594" s="25"/>
      <c r="V1594" s="25"/>
      <c r="W1594" s="25"/>
      <c r="X1594" s="25"/>
      <c r="Y1594" s="25"/>
      <c r="Z1594" s="25"/>
      <c r="AA1594" s="25"/>
      <c r="AB1594" s="25"/>
      <c r="AC1594" s="25"/>
      <c r="AD1594" s="25"/>
      <c r="AE1594" s="25"/>
      <c r="AF1594" s="25"/>
      <c r="AG1594" s="25"/>
      <c r="AH1594" s="25"/>
      <c r="AI1594" s="25"/>
      <c r="AJ1594" s="25"/>
      <c r="AK1594" s="25"/>
      <c r="AL1594" s="25"/>
      <c r="AM1594" s="25"/>
      <c r="AN1594" s="25"/>
      <c r="AO1594" s="25"/>
      <c r="AP1594" s="25"/>
      <c r="AQ1594" s="25"/>
      <c r="AR1594" s="25"/>
      <c r="AS1594" s="25"/>
      <c r="AT1594" s="25"/>
      <c r="AU1594" s="25"/>
      <c r="AV1594" s="25"/>
      <c r="AW1594" s="25"/>
      <c r="AX1594" s="25"/>
    </row>
    <row r="1595" ht="15.75" customHeight="1">
      <c r="A1595" s="25"/>
      <c r="B1595" s="25"/>
      <c r="C1595" s="27"/>
      <c r="D1595" s="28"/>
      <c r="E1595" s="28"/>
      <c r="F1595" s="25"/>
      <c r="G1595" s="25"/>
      <c r="H1595" s="25"/>
      <c r="I1595" s="25"/>
      <c r="J1595" s="25"/>
      <c r="K1595" s="25"/>
      <c r="L1595" s="25"/>
      <c r="M1595" s="25"/>
      <c r="N1595" s="25"/>
      <c r="O1595" s="25"/>
      <c r="P1595" s="25"/>
      <c r="Q1595" s="25"/>
      <c r="R1595" s="25"/>
      <c r="S1595" s="25"/>
      <c r="T1595" s="25"/>
      <c r="U1595" s="25"/>
      <c r="V1595" s="25"/>
      <c r="W1595" s="25"/>
      <c r="X1595" s="25"/>
      <c r="Y1595" s="25"/>
      <c r="Z1595" s="25"/>
      <c r="AA1595" s="25"/>
      <c r="AB1595" s="25"/>
      <c r="AC1595" s="25"/>
      <c r="AD1595" s="25"/>
      <c r="AE1595" s="25"/>
      <c r="AF1595" s="25"/>
      <c r="AG1595" s="25"/>
      <c r="AH1595" s="25"/>
      <c r="AI1595" s="25"/>
      <c r="AJ1595" s="25"/>
      <c r="AK1595" s="25"/>
      <c r="AL1595" s="25"/>
      <c r="AM1595" s="25"/>
      <c r="AN1595" s="25"/>
      <c r="AO1595" s="25"/>
      <c r="AP1595" s="25"/>
      <c r="AQ1595" s="25"/>
      <c r="AR1595" s="25"/>
      <c r="AS1595" s="25"/>
      <c r="AT1595" s="25"/>
      <c r="AU1595" s="25"/>
      <c r="AV1595" s="25"/>
      <c r="AW1595" s="25"/>
      <c r="AX1595" s="25"/>
    </row>
    <row r="1596" ht="15.75" customHeight="1">
      <c r="A1596" s="25"/>
      <c r="B1596" s="25"/>
      <c r="C1596" s="27"/>
      <c r="D1596" s="28"/>
      <c r="E1596" s="28"/>
      <c r="F1596" s="25"/>
      <c r="G1596" s="25"/>
      <c r="H1596" s="25"/>
      <c r="I1596" s="25"/>
      <c r="J1596" s="25"/>
      <c r="K1596" s="25"/>
      <c r="L1596" s="25"/>
      <c r="M1596" s="25"/>
      <c r="N1596" s="25"/>
      <c r="O1596" s="25"/>
      <c r="P1596" s="25"/>
      <c r="Q1596" s="25"/>
      <c r="R1596" s="25"/>
      <c r="S1596" s="25"/>
      <c r="T1596" s="25"/>
      <c r="U1596" s="25"/>
      <c r="V1596" s="25"/>
      <c r="W1596" s="25"/>
      <c r="X1596" s="25"/>
      <c r="Y1596" s="25"/>
      <c r="Z1596" s="25"/>
      <c r="AA1596" s="25"/>
      <c r="AB1596" s="25"/>
      <c r="AC1596" s="25"/>
      <c r="AD1596" s="25"/>
      <c r="AE1596" s="25"/>
      <c r="AF1596" s="25"/>
      <c r="AG1596" s="25"/>
      <c r="AH1596" s="25"/>
      <c r="AI1596" s="25"/>
      <c r="AJ1596" s="25"/>
      <c r="AK1596" s="25"/>
      <c r="AL1596" s="25"/>
      <c r="AM1596" s="25"/>
      <c r="AN1596" s="25"/>
      <c r="AO1596" s="25"/>
      <c r="AP1596" s="25"/>
      <c r="AQ1596" s="25"/>
      <c r="AR1596" s="25"/>
      <c r="AS1596" s="25"/>
      <c r="AT1596" s="25"/>
      <c r="AU1596" s="25"/>
      <c r="AV1596" s="25"/>
      <c r="AW1596" s="25"/>
      <c r="AX1596" s="25"/>
    </row>
  </sheetData>
  <autoFilter ref="$A$1:$A$1596"/>
  <conditionalFormatting sqref="L801">
    <cfRule type="expression" dxfId="10" priority="1" stopIfTrue="1">
      <formula>OR($A799="calculate", $A799="calculate_here")</formula>
    </cfRule>
  </conditionalFormatting>
  <conditionalFormatting sqref="B1:C1596 J1:J236 M1:O1596 D5:E1117 F5:F728 G5:H1113 T22 S160:S161 K208 K237 J238:J1596 K245 T256 K419 F730:F1113 T809 I817 K817:L817 Q817:S817 P897:P902">
    <cfRule type="expression" dxfId="0" priority="2" stopIfTrue="1">
      <formula>$A1="begin group"</formula>
    </cfRule>
  </conditionalFormatting>
  <conditionalFormatting sqref="B1:C1596 M1:O1596 U1:U850 D5:E1117 F5:F728 G5:H1113 T22 S160:S161 K208 K245 T256 K419 F730:F1113 T809 I817:L817 Q817:S817 Y817 U852:U1596 P897:P902">
    <cfRule type="expression" dxfId="1" priority="3" stopIfTrue="1">
      <formula>$A1="begin repeat"</formula>
    </cfRule>
  </conditionalFormatting>
  <conditionalFormatting sqref="B1:E1596 F1:F728 J1:J236 G5:H1113 T22 S160:S161 K237 J238:J1596 T256 F730:F1596 T809 I817 K817:L817 N817">
    <cfRule type="expression" dxfId="31" priority="4" stopIfTrue="1">
      <formula>$A1="enumerator"</formula>
    </cfRule>
  </conditionalFormatting>
  <conditionalFormatting sqref="B1:E1596 F1:F728 J1:J236 G5:H1113 T22 S160:S161 K237 J238:J1596 T256 F730:F1596 T809 I817 K817:L817 N817">
    <cfRule type="expression" dxfId="2" priority="5" stopIfTrue="1">
      <formula>$A1="text"</formula>
    </cfRule>
  </conditionalFormatting>
  <conditionalFormatting sqref="B1:E1596 F1:F728 K1:K236 L1:L800 G5:H1113 T22 S160:S161 K238:K1596 T256 F730:F1596 L802:L1596 T809 I817:J817 O817:P817">
    <cfRule type="expression" dxfId="3" priority="6" stopIfTrue="1">
      <formula>$A1="integer"</formula>
    </cfRule>
  </conditionalFormatting>
  <conditionalFormatting sqref="B1:E1596 F1:F728 K1:K236 L1:L800 G5:H1113 T22 S160:S161 K238:K1596 T256 F730:F1596 L802:L1596 T809 I817:J817 O817:P817">
    <cfRule type="expression" dxfId="4" priority="7" stopIfTrue="1">
      <formula>$A1="decimal"</formula>
    </cfRule>
  </conditionalFormatting>
  <conditionalFormatting sqref="B1:C1596 J1:J236 D5:E1117 F5:F728 G5:H1113 T22 S160:S161 K237 J238:J1596 T256 F730:F1113 T809 I817 K817:L817 N817">
    <cfRule type="expression" dxfId="5" priority="8" stopIfTrue="1">
      <formula>OR(AND(LEFT($A1, 16)="select_multiple ", LEN($A1)&gt;16, NOT(ISNUMBER(SEARCH(" ", $A1, 17)))), AND(LEFT($A1, 11)="select_one ", LEN($A1)&gt;11, NOT(ISNUMBER(SEARCH(" ", $A1, 12)))))</formula>
    </cfRule>
  </conditionalFormatting>
  <conditionalFormatting sqref="B1:B1596 J1:J236 T22 S160:S161 K237 J238:J1596 T256 C729:E729 T809 F817 N817">
    <cfRule type="expression" dxfId="6" priority="9" stopIfTrue="1">
      <formula>OR($A1="audio audit", $A1="text audit", $A1="speed violations count", $A1="speed violations list", $A1="speed violations audit")</formula>
    </cfRule>
  </conditionalFormatting>
  <conditionalFormatting sqref="B1:C1596 D5:E1117 F5:F728 G5:H1113 T22 S160:S161 T256 F730:F1113 T809 I817:L817">
    <cfRule type="expression" dxfId="32" priority="10" stopIfTrue="1">
      <formula>$A1="file"</formula>
    </cfRule>
  </conditionalFormatting>
  <conditionalFormatting sqref="B1:C1596 D5:E1117 F5:F728 G5:H1113 T22 S160:S161 T256 F730:F1113 T809 I817:L817">
    <cfRule type="expression" dxfId="7" priority="11" stopIfTrue="1">
      <formula>$A1="note"</formula>
    </cfRule>
  </conditionalFormatting>
  <conditionalFormatting sqref="B1:C1596 D5:E1117 F5:F728 G5:H1113 T22 S160:S161 T256 F730:F1113 T809 I817:L817">
    <cfRule type="expression" dxfId="8" priority="12" stopIfTrue="1">
      <formula>$A1="barcode"</formula>
    </cfRule>
  </conditionalFormatting>
  <conditionalFormatting sqref="B1:C1596 D5:E1117 F5:F728 G5:H1113 T22 S160:S161 T256 F730:F1113 T809 I817:L817">
    <cfRule type="expression" dxfId="9" priority="13" stopIfTrue="1">
      <formula>OR($A1="geopoint", $A1="geoshape", $A1="geotrace")</formula>
    </cfRule>
  </conditionalFormatting>
  <conditionalFormatting sqref="B1:B1596 T1:T798 S160:S161 A322 A344 A349 A363 C729:E729 T800:T850 F817 X817 U851 T852:T900 T902:T1596">
    <cfRule type="expression" dxfId="10" priority="14" stopIfTrue="1">
      <formula>OR($A1="calculate", $A1="calculate_here")</formula>
    </cfRule>
  </conditionalFormatting>
  <conditionalFormatting sqref="B1:C1596 J1:J236 D5:E1117 F5:F728 G5:H1113 T22 S160:S161 K237 J238:J1596 T256 F730:F1113 T809 I817 K817:L817 N817">
    <cfRule type="expression" dxfId="11" priority="15" stopIfTrue="1">
      <formula>OR($A1="date", $A1="datetime", $A1="time")</formula>
    </cfRule>
  </conditionalFormatting>
  <conditionalFormatting sqref="B1:C1596 J1:J236 D5:E1117 F5:F728 G5:H1113 T22 S160:S161 K237 J238:J1596 T256 F730:F1113 T809 I817 K817:L817 N817">
    <cfRule type="expression" dxfId="12" priority="16" stopIfTrue="1">
      <formula>$A1="image"</formula>
    </cfRule>
  </conditionalFormatting>
  <conditionalFormatting sqref="B1:C1596 D5:E1117 F5:F728 G5:H1113 T22 S160:S161 T256 F730:F1113 T809 I817:L817">
    <cfRule type="expression" dxfId="13" priority="17" stopIfTrue="1">
      <formula>OR($A1="audio", $A1="video")</formula>
    </cfRule>
  </conditionalFormatting>
  <conditionalFormatting sqref="A1:E1596 F1:F728 G1:AC1596 F730:F1596 AD817:AG817">
    <cfRule type="expression" dxfId="33" priority="18" stopIfTrue="1">
      <formula>$A1="file"</formula>
    </cfRule>
  </conditionalFormatting>
  <conditionalFormatting sqref="A1:E1596 F1:F728 G1:AC1596 F730:F1596 AD817:AG817">
    <cfRule type="expression" dxfId="34" priority="19" stopIfTrue="1">
      <formula>$A1="enumerator"</formula>
    </cfRule>
  </conditionalFormatting>
  <conditionalFormatting sqref="A1:E1596 F1:F728 G1:AC1596 F730:F1596 AD817:AG817">
    <cfRule type="expression" dxfId="35" priority="20" stopIfTrue="1">
      <formula>OR(AND(LEFT($A1, 14)="sensor_stream ", LEN($A1)&gt;14, NOT(ISNUMBER(SEARCH(" ", $A1, 15)))), AND(LEFT($A1, 17)="sensor_statistic ", LEN($A1)&gt;17, NOT(ISNUMBER(SEARCH(" ", $A1, 18)))))</formula>
    </cfRule>
  </conditionalFormatting>
  <conditionalFormatting sqref="A1:E1596 F1:F728 G1:AC1596 F730:F1596 AD817:AG817">
    <cfRule type="expression" dxfId="14" priority="21" stopIfTrue="1">
      <formula>$A1="comments"</formula>
    </cfRule>
  </conditionalFormatting>
  <conditionalFormatting sqref="A1:E1596 F1:F728 G1:AC1596 F730:F1596 AD817:AG817">
    <cfRule type="expression" dxfId="15" priority="22" stopIfTrue="1">
      <formula>OR($A1="audio", $A1="video")</formula>
    </cfRule>
  </conditionalFormatting>
  <conditionalFormatting sqref="A1:E1596 F1:F728 G1:AC1596 F730:F1596 AD817:AG817">
    <cfRule type="expression" dxfId="16" priority="23" stopIfTrue="1">
      <formula>$A1="image"</formula>
    </cfRule>
  </conditionalFormatting>
  <conditionalFormatting sqref="A1:E1596 F1:F728 G1:AC1596 F730:F1596 AD817:AG817">
    <cfRule type="expression" dxfId="17" priority="24" stopIfTrue="1">
      <formula>OR($A1="date", $A1="datetime", $A1="time")</formula>
    </cfRule>
  </conditionalFormatting>
  <conditionalFormatting sqref="A1:E1596 F1:F728 G1:AC1596 F730:F1596 AD817:AG817">
    <cfRule type="expression" dxfId="18" priority="25" stopIfTrue="1">
      <formula>OR($A1="calculate", $A1="calculate_here")</formula>
    </cfRule>
  </conditionalFormatting>
  <conditionalFormatting sqref="A1:E1596 F1:F728 G1:AC1596 F730:F1596 AD817:AG817">
    <cfRule type="expression" dxfId="19" priority="26" stopIfTrue="1">
      <formula>$A1="note"</formula>
    </cfRule>
  </conditionalFormatting>
  <conditionalFormatting sqref="A1:E1596 F1:F728 G1:AC1596 F730:F1596 AD817:AG817">
    <cfRule type="expression" dxfId="20" priority="27" stopIfTrue="1">
      <formula>$A1="barcode"</formula>
    </cfRule>
  </conditionalFormatting>
  <conditionalFormatting sqref="A1:E1596 F1:F728 G1:AC1596 F730:F1596 AD817:AG817">
    <cfRule type="expression" dxfId="21" priority="28" stopIfTrue="1">
      <formula>OR($A1="geopoint", $A1="geoshape", $A1="geotrace")</formula>
    </cfRule>
  </conditionalFormatting>
  <conditionalFormatting sqref="A1:E1596 F1:F728 G1:AC1596 F730:F1596 AD817:AG817">
    <cfRule type="expression" dxfId="22" priority="29" stopIfTrue="1">
      <formula>OR($A1="audio audit", $A1="text audit", $A1="speed violations count", $A1="speed violations list", $A1="speed violations audit")</formula>
    </cfRule>
  </conditionalFormatting>
  <conditionalFormatting sqref="A1:E1596 F1:F728 G1:AC1596 F730:F1596 AD817:AG817">
    <cfRule type="expression" dxfId="23" priority="30" stopIfTrue="1">
      <formula>OR($A1="username", $A1="phonenumber", $A1="start", $A1="end", $A1="deviceid", $A1="subscriberid", $A1="simserial", $A1="caseid")</formula>
    </cfRule>
  </conditionalFormatting>
  <conditionalFormatting sqref="A1:E1596 F1:F728 G1:AC1596 F730:F1596 AD817:AG817">
    <cfRule type="expression" dxfId="24" priority="31" stopIfTrue="1">
      <formula>OR(AND(LEFT($A1, 16)="select_multiple ", LEN($A1)&gt;16, NOT(ISNUMBER(SEARCH(" ", $A1, 17)))), AND(LEFT($A1, 11)="select_one ", LEN($A1)&gt;11, NOT(ISNUMBER(SEARCH(" ", $A1, 12)))))</formula>
    </cfRule>
  </conditionalFormatting>
  <conditionalFormatting sqref="A1:E1596 F1:F728 G1:AC1596 F730:F1596 AD817:AG817">
    <cfRule type="expression" dxfId="25" priority="32" stopIfTrue="1">
      <formula>$A1="decimal"</formula>
    </cfRule>
  </conditionalFormatting>
  <conditionalFormatting sqref="A1:E1596 F1:F728 G1:AC1596 F730:F1596 AD817:AG817">
    <cfRule type="expression" dxfId="26" priority="33" stopIfTrue="1">
      <formula>$A1="integer"</formula>
    </cfRule>
  </conditionalFormatting>
  <conditionalFormatting sqref="A1:E1596 F1:F728 G1:AC1596 F730:F1596 AD817:AG817">
    <cfRule type="expression" dxfId="27" priority="34" stopIfTrue="1">
      <formula>$A1="text"</formula>
    </cfRule>
  </conditionalFormatting>
  <conditionalFormatting sqref="A1:E1596 F1:F728 G1:AC1596 F730:F1596 AD817:AG817">
    <cfRule type="expression" dxfId="28" priority="35" stopIfTrue="1">
      <formula>$A1="end repeat"</formula>
    </cfRule>
  </conditionalFormatting>
  <conditionalFormatting sqref="A1:E1596 F1:F728 G1:AC1596 F730:F1596 AD817:AG817">
    <cfRule type="expression" dxfId="28" priority="36" stopIfTrue="1">
      <formula>$A1="begin repeat"</formula>
    </cfRule>
  </conditionalFormatting>
  <conditionalFormatting sqref="A1:E1596 F1:F728 G1:AC1596 F730:F1596 AD817:AG817">
    <cfRule type="expression" dxfId="29" priority="37" stopIfTrue="1">
      <formula>$A1="end group"</formula>
    </cfRule>
  </conditionalFormatting>
  <conditionalFormatting sqref="A1:E1596 F1:F728 G1:AC1596 F730:F1596 AD817:AG817">
    <cfRule type="expression" dxfId="29" priority="38" stopIfTrue="1">
      <formula>$A1="begin group"</formula>
    </cfRule>
  </conditionalFormatting>
  <conditionalFormatting sqref="B1:B348 T22 S160:S161 T256 B350:B1596 C729:E729 T809 F817">
    <cfRule type="expression" dxfId="30" priority="39" stopIfTrue="1">
      <formula>$A1="comments"</formula>
    </cfRule>
  </conditionalFormatting>
  <conditionalFormatting sqref="B1:B1596 J1:J236 T22 S160:S161 K237 J238:J1596 T256 C729:E729 T809 F817 N817">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13" t="s">
        <v>4</v>
      </c>
      <c r="C1" s="15" t="s">
        <v>8</v>
      </c>
      <c r="D1" s="18" t="s">
        <v>10</v>
      </c>
      <c r="E1" s="18" t="s">
        <v>13</v>
      </c>
      <c r="F1" s="18" t="s">
        <v>26</v>
      </c>
      <c r="G1" s="13" t="s">
        <v>29</v>
      </c>
      <c r="H1" s="20" t="s">
        <v>32</v>
      </c>
      <c r="I1" s="21" t="s">
        <v>43</v>
      </c>
      <c r="J1" s="21" t="s">
        <v>44</v>
      </c>
      <c r="K1" s="23"/>
      <c r="L1" s="23"/>
      <c r="M1" s="23"/>
      <c r="N1" s="23"/>
      <c r="O1" s="23"/>
      <c r="P1" s="23"/>
      <c r="Q1" s="23"/>
      <c r="R1" s="23"/>
      <c r="S1" s="23"/>
      <c r="T1" s="23"/>
      <c r="U1" s="23"/>
      <c r="V1" s="23"/>
      <c r="W1" s="23"/>
      <c r="X1" s="23"/>
      <c r="Y1" s="23"/>
      <c r="Z1" s="23"/>
      <c r="AA1" s="23"/>
      <c r="AB1" s="23"/>
      <c r="AC1" s="23"/>
      <c r="AD1" s="23"/>
      <c r="AE1" s="23"/>
      <c r="AF1" s="23"/>
    </row>
    <row r="2" ht="15.75" customHeight="1">
      <c r="A2" s="29" t="s">
        <v>47</v>
      </c>
      <c r="B2" s="30">
        <v>1.0</v>
      </c>
      <c r="C2" s="32" t="s">
        <v>48</v>
      </c>
      <c r="D2" s="35" t="s">
        <v>51</v>
      </c>
      <c r="E2" s="35" t="s">
        <v>55</v>
      </c>
      <c r="F2" s="32"/>
      <c r="G2" s="32"/>
      <c r="H2" s="37"/>
      <c r="I2" s="37"/>
      <c r="J2" s="37"/>
      <c r="K2" s="37"/>
      <c r="L2" s="37"/>
      <c r="M2" s="37"/>
      <c r="N2" s="37"/>
      <c r="O2" s="37"/>
      <c r="P2" s="37"/>
      <c r="Q2" s="37"/>
      <c r="R2" s="37"/>
      <c r="S2" s="37"/>
      <c r="T2" s="37"/>
      <c r="U2" s="37"/>
      <c r="V2" s="37"/>
      <c r="W2" s="37"/>
      <c r="X2" s="37"/>
      <c r="Y2" s="37"/>
      <c r="Z2" s="37"/>
      <c r="AA2" s="37"/>
      <c r="AB2" s="37"/>
      <c r="AC2" s="37"/>
      <c r="AD2" s="37"/>
      <c r="AE2" s="37"/>
      <c r="AF2" s="37"/>
    </row>
    <row r="3" ht="15.75" customHeight="1">
      <c r="A3" s="40" t="s">
        <v>47</v>
      </c>
      <c r="B3" s="41">
        <v>0.0</v>
      </c>
      <c r="C3" s="42" t="s">
        <v>58</v>
      </c>
      <c r="D3" s="43" t="s">
        <v>59</v>
      </c>
      <c r="E3" s="43" t="s">
        <v>60</v>
      </c>
      <c r="F3" s="42"/>
      <c r="G3" s="42"/>
      <c r="H3" s="44"/>
      <c r="I3" s="44"/>
      <c r="J3" s="44"/>
      <c r="K3" s="44"/>
      <c r="L3" s="44"/>
      <c r="M3" s="44"/>
      <c r="N3" s="44"/>
      <c r="O3" s="44"/>
      <c r="P3" s="44"/>
      <c r="Q3" s="44"/>
      <c r="R3" s="44"/>
      <c r="S3" s="44"/>
      <c r="T3" s="44"/>
      <c r="U3" s="44"/>
      <c r="V3" s="44"/>
      <c r="W3" s="44"/>
      <c r="X3" s="44"/>
      <c r="Y3" s="44"/>
      <c r="Z3" s="44"/>
      <c r="AA3" s="44"/>
      <c r="AB3" s="44"/>
      <c r="AC3" s="44"/>
      <c r="AD3" s="44"/>
      <c r="AE3" s="44"/>
      <c r="AF3" s="44"/>
    </row>
    <row r="4" ht="15.75" customHeight="1">
      <c r="A4" s="40"/>
      <c r="B4" s="42"/>
      <c r="C4" s="42"/>
      <c r="D4" s="42"/>
      <c r="E4" s="42"/>
      <c r="F4" s="42"/>
      <c r="G4" s="42"/>
      <c r="H4" s="44"/>
      <c r="I4" s="44"/>
      <c r="J4" s="44"/>
      <c r="K4" s="44"/>
      <c r="L4" s="44"/>
      <c r="M4" s="44"/>
      <c r="N4" s="44"/>
      <c r="O4" s="44"/>
      <c r="P4" s="44"/>
      <c r="Q4" s="44"/>
      <c r="R4" s="44"/>
      <c r="S4" s="44"/>
      <c r="T4" s="44"/>
      <c r="U4" s="44"/>
      <c r="V4" s="44"/>
      <c r="W4" s="44"/>
      <c r="X4" s="44"/>
      <c r="Y4" s="44"/>
      <c r="Z4" s="44"/>
      <c r="AA4" s="44"/>
      <c r="AB4" s="44"/>
      <c r="AC4" s="44"/>
      <c r="AD4" s="44"/>
      <c r="AE4" s="44"/>
      <c r="AF4" s="44"/>
    </row>
    <row r="5" ht="15.75" customHeight="1">
      <c r="A5" s="48" t="s">
        <v>66</v>
      </c>
      <c r="B5" s="50">
        <v>3.0</v>
      </c>
      <c r="C5" s="51" t="s">
        <v>71</v>
      </c>
      <c r="D5" s="52" t="s">
        <v>73</v>
      </c>
      <c r="E5" s="52" t="s">
        <v>74</v>
      </c>
      <c r="F5" s="53"/>
      <c r="G5" s="54">
        <v>3.0</v>
      </c>
      <c r="H5" s="53"/>
      <c r="I5" s="53"/>
      <c r="J5" s="53"/>
      <c r="K5" s="53"/>
      <c r="L5" s="53"/>
      <c r="M5" s="53"/>
      <c r="N5" s="53"/>
      <c r="O5" s="53"/>
      <c r="P5" s="53"/>
      <c r="Q5" s="53"/>
      <c r="R5" s="53"/>
      <c r="S5" s="53"/>
      <c r="T5" s="53"/>
      <c r="U5" s="53"/>
      <c r="V5" s="53"/>
      <c r="W5" s="53"/>
      <c r="X5" s="53"/>
      <c r="Y5" s="53"/>
      <c r="Z5" s="53"/>
      <c r="AA5" s="53"/>
      <c r="AB5" s="53"/>
      <c r="AC5" s="53"/>
      <c r="AD5" s="53"/>
      <c r="AE5" s="53"/>
      <c r="AF5" s="53"/>
    </row>
    <row r="6" ht="15.75" customHeight="1">
      <c r="A6" s="29" t="s">
        <v>66</v>
      </c>
      <c r="B6" s="57">
        <v>5.0</v>
      </c>
      <c r="C6" s="58" t="s">
        <v>82</v>
      </c>
      <c r="D6" s="59" t="s">
        <v>84</v>
      </c>
      <c r="E6" s="59" t="s">
        <v>85</v>
      </c>
      <c r="F6" s="37"/>
      <c r="G6" s="60">
        <v>5.0</v>
      </c>
      <c r="H6" s="37"/>
      <c r="I6" s="37"/>
      <c r="J6" s="37"/>
      <c r="K6" s="37"/>
      <c r="L6" s="37"/>
      <c r="M6" s="37"/>
      <c r="N6" s="37"/>
      <c r="O6" s="37"/>
      <c r="P6" s="37"/>
      <c r="Q6" s="37"/>
      <c r="R6" s="37"/>
      <c r="S6" s="37"/>
      <c r="T6" s="37"/>
      <c r="U6" s="37"/>
      <c r="V6" s="37"/>
      <c r="W6" s="37"/>
      <c r="X6" s="37"/>
      <c r="Y6" s="37"/>
      <c r="Z6" s="37"/>
      <c r="AA6" s="37"/>
      <c r="AB6" s="37"/>
      <c r="AC6" s="37"/>
      <c r="AD6" s="37"/>
      <c r="AE6" s="37"/>
      <c r="AF6" s="37"/>
    </row>
    <row r="7" ht="15.75" customHeight="1">
      <c r="A7" s="40"/>
      <c r="B7" s="42"/>
      <c r="C7" s="42"/>
      <c r="D7" s="42"/>
      <c r="E7" s="42"/>
      <c r="F7" s="42"/>
      <c r="G7" s="42"/>
      <c r="H7" s="44"/>
      <c r="I7" s="44"/>
      <c r="J7" s="44"/>
      <c r="K7" s="44"/>
      <c r="L7" s="44"/>
      <c r="M7" s="44"/>
      <c r="N7" s="44"/>
      <c r="O7" s="44"/>
      <c r="P7" s="44"/>
      <c r="Q7" s="44"/>
      <c r="R7" s="44"/>
      <c r="S7" s="44"/>
      <c r="T7" s="44"/>
      <c r="U7" s="44"/>
      <c r="V7" s="44"/>
      <c r="W7" s="44"/>
      <c r="X7" s="44"/>
      <c r="Y7" s="44"/>
      <c r="Z7" s="44"/>
      <c r="AA7" s="44"/>
      <c r="AB7" s="44"/>
      <c r="AC7" s="44"/>
      <c r="AD7" s="44"/>
      <c r="AE7" s="44"/>
      <c r="AF7" s="44"/>
    </row>
    <row r="8" ht="15.75" customHeight="1">
      <c r="A8" s="29" t="s">
        <v>107</v>
      </c>
      <c r="B8" s="30">
        <v>1.0</v>
      </c>
      <c r="C8" s="65" t="s">
        <v>48</v>
      </c>
      <c r="D8" s="66" t="s">
        <v>51</v>
      </c>
      <c r="E8" s="66" t="s">
        <v>55</v>
      </c>
      <c r="F8" s="37"/>
      <c r="G8" s="37"/>
      <c r="H8" s="37"/>
      <c r="I8" s="37"/>
      <c r="J8" s="37"/>
      <c r="K8" s="37"/>
      <c r="L8" s="37"/>
      <c r="M8" s="37"/>
      <c r="N8" s="37"/>
      <c r="O8" s="37"/>
      <c r="P8" s="37"/>
      <c r="Q8" s="37"/>
      <c r="R8" s="37"/>
      <c r="S8" s="37"/>
      <c r="T8" s="37"/>
      <c r="U8" s="37"/>
      <c r="V8" s="37"/>
      <c r="W8" s="37"/>
      <c r="X8" s="37"/>
      <c r="Y8" s="37"/>
      <c r="Z8" s="37"/>
      <c r="AA8" s="37"/>
      <c r="AB8" s="37"/>
      <c r="AC8" s="37"/>
      <c r="AD8" s="37"/>
      <c r="AE8" s="37"/>
      <c r="AF8" s="37"/>
    </row>
    <row r="9" ht="15.75" customHeight="1">
      <c r="A9" s="29" t="s">
        <v>107</v>
      </c>
      <c r="B9" s="30">
        <v>0.0</v>
      </c>
      <c r="C9" s="65" t="s">
        <v>58</v>
      </c>
      <c r="D9" s="66" t="s">
        <v>59</v>
      </c>
      <c r="E9" s="66" t="s">
        <v>121</v>
      </c>
      <c r="F9" s="37"/>
      <c r="G9" s="37"/>
      <c r="H9" s="37"/>
      <c r="I9" s="37"/>
      <c r="J9" s="37"/>
      <c r="K9" s="37"/>
      <c r="L9" s="37"/>
      <c r="M9" s="37"/>
      <c r="N9" s="37"/>
      <c r="O9" s="37"/>
      <c r="P9" s="37"/>
      <c r="Q9" s="37"/>
      <c r="R9" s="37"/>
      <c r="S9" s="37"/>
      <c r="T9" s="37"/>
      <c r="U9" s="37"/>
      <c r="V9" s="37"/>
      <c r="W9" s="37"/>
      <c r="X9" s="37"/>
      <c r="Y9" s="37"/>
      <c r="Z9" s="37"/>
      <c r="AA9" s="37"/>
      <c r="AB9" s="37"/>
      <c r="AC9" s="37"/>
      <c r="AD9" s="37"/>
      <c r="AE9" s="37"/>
      <c r="AF9" s="37"/>
    </row>
    <row r="10" ht="15.75" customHeight="1">
      <c r="A10" s="40" t="s">
        <v>107</v>
      </c>
      <c r="B10" s="41">
        <v>-999.0</v>
      </c>
      <c r="C10" s="66" t="s">
        <v>124</v>
      </c>
      <c r="D10" s="66" t="s">
        <v>125</v>
      </c>
      <c r="E10" s="66" t="s">
        <v>126</v>
      </c>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row>
    <row r="11" ht="15.75" customHeight="1">
      <c r="A11" s="40"/>
      <c r="B11" s="42"/>
      <c r="C11" s="42"/>
      <c r="D11" s="42"/>
      <c r="E11" s="42"/>
      <c r="F11" s="42"/>
      <c r="G11" s="42"/>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row>
    <row r="12" ht="15.75" customHeight="1">
      <c r="A12" s="77" t="s">
        <v>130</v>
      </c>
      <c r="B12" s="43" t="s">
        <v>132</v>
      </c>
      <c r="C12" s="43" t="s">
        <v>134</v>
      </c>
      <c r="D12" s="43" t="s">
        <v>134</v>
      </c>
      <c r="E12" s="43" t="s">
        <v>134</v>
      </c>
      <c r="F12" s="43"/>
      <c r="G12" s="43"/>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row>
    <row r="13" ht="15.75" customHeight="1">
      <c r="A13" s="77" t="s">
        <v>130</v>
      </c>
      <c r="B13" s="79">
        <v>-777.0</v>
      </c>
      <c r="C13" s="82" t="s">
        <v>139</v>
      </c>
      <c r="D13" s="82" t="s">
        <v>146</v>
      </c>
      <c r="E13" s="43" t="s">
        <v>147</v>
      </c>
      <c r="F13" s="43"/>
      <c r="G13" s="43"/>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row>
    <row r="14" ht="15.75" customHeight="1">
      <c r="A14" s="77"/>
      <c r="B14" s="43"/>
      <c r="C14" s="43"/>
      <c r="D14" s="43"/>
      <c r="E14" s="43"/>
      <c r="F14" s="43"/>
      <c r="G14" s="43"/>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row>
    <row r="15" ht="15.75" customHeight="1">
      <c r="A15" s="77" t="s">
        <v>162</v>
      </c>
      <c r="B15" s="43" t="s">
        <v>163</v>
      </c>
      <c r="C15" s="43" t="s">
        <v>164</v>
      </c>
      <c r="D15" s="43" t="s">
        <v>164</v>
      </c>
      <c r="E15" s="43" t="s">
        <v>164</v>
      </c>
      <c r="F15" s="43"/>
      <c r="G15" s="43"/>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row>
    <row r="16" ht="15.75" customHeight="1">
      <c r="A16" s="40"/>
      <c r="B16" s="42"/>
      <c r="C16" s="42"/>
      <c r="D16" s="42"/>
      <c r="E16" s="42"/>
      <c r="F16" s="42"/>
      <c r="G16" s="42"/>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row>
    <row r="17" ht="15.75" customHeight="1">
      <c r="A17" s="77" t="s">
        <v>180</v>
      </c>
      <c r="B17" s="43" t="s">
        <v>181</v>
      </c>
      <c r="C17" s="43" t="s">
        <v>182</v>
      </c>
      <c r="D17" s="43" t="s">
        <v>182</v>
      </c>
      <c r="E17" s="92" t="s">
        <v>182</v>
      </c>
      <c r="F17" s="42"/>
      <c r="G17" s="42"/>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row>
    <row r="18" ht="15.75" customHeight="1">
      <c r="A18" s="40"/>
      <c r="B18" s="42"/>
      <c r="C18" s="42"/>
      <c r="D18" s="42"/>
      <c r="E18" s="42"/>
      <c r="F18" s="42"/>
      <c r="G18" s="42"/>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row>
    <row r="19" ht="15.75" customHeight="1">
      <c r="A19" s="77" t="s">
        <v>203</v>
      </c>
      <c r="B19" s="43" t="s">
        <v>204</v>
      </c>
      <c r="C19" s="43" t="s">
        <v>205</v>
      </c>
      <c r="D19" s="43" t="s">
        <v>205</v>
      </c>
      <c r="E19" s="43" t="s">
        <v>205</v>
      </c>
      <c r="F19" s="42"/>
      <c r="G19" s="42"/>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row>
    <row r="20" ht="15.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row>
    <row r="21" ht="15.75" customHeight="1">
      <c r="A21" s="109" t="s">
        <v>210</v>
      </c>
      <c r="B21" s="112">
        <v>1.0</v>
      </c>
      <c r="C21" s="35" t="s">
        <v>219</v>
      </c>
      <c r="D21" s="35" t="s">
        <v>220</v>
      </c>
      <c r="E21" s="114" t="s">
        <v>220</v>
      </c>
      <c r="F21" s="32"/>
      <c r="G21" s="30">
        <v>1.0</v>
      </c>
      <c r="H21" s="115">
        <v>2.0</v>
      </c>
      <c r="I21" s="37"/>
      <c r="J21" s="37"/>
      <c r="K21" s="37"/>
      <c r="L21" s="37"/>
      <c r="M21" s="37"/>
      <c r="N21" s="37"/>
      <c r="O21" s="37"/>
      <c r="P21" s="37"/>
      <c r="Q21" s="37"/>
      <c r="R21" s="37"/>
      <c r="S21" s="37"/>
      <c r="T21" s="37"/>
      <c r="U21" s="37"/>
      <c r="V21" s="37"/>
      <c r="W21" s="37"/>
      <c r="X21" s="37"/>
      <c r="Y21" s="37"/>
      <c r="Z21" s="37"/>
      <c r="AA21" s="37"/>
      <c r="AB21" s="37"/>
      <c r="AC21" s="37"/>
      <c r="AD21" s="37"/>
      <c r="AE21" s="37"/>
      <c r="AF21" s="37"/>
    </row>
    <row r="22" ht="15.75" customHeight="1">
      <c r="A22" s="109" t="s">
        <v>210</v>
      </c>
      <c r="B22" s="112">
        <v>2.0</v>
      </c>
      <c r="C22" s="35" t="s">
        <v>224</v>
      </c>
      <c r="D22" s="35" t="s">
        <v>225</v>
      </c>
      <c r="E22" s="114" t="s">
        <v>225</v>
      </c>
      <c r="F22" s="32"/>
      <c r="G22" s="32"/>
      <c r="H22" s="115">
        <v>2.0</v>
      </c>
      <c r="I22" s="115">
        <v>1.0</v>
      </c>
      <c r="J22" s="37"/>
      <c r="K22" s="37"/>
      <c r="L22" s="37"/>
      <c r="M22" s="37"/>
      <c r="N22" s="37"/>
      <c r="O22" s="37"/>
      <c r="P22" s="37"/>
      <c r="Q22" s="37"/>
      <c r="R22" s="37"/>
      <c r="S22" s="37"/>
      <c r="T22" s="37"/>
      <c r="U22" s="37"/>
      <c r="V22" s="37"/>
      <c r="W22" s="37"/>
      <c r="X22" s="37"/>
      <c r="Y22" s="37"/>
      <c r="Z22" s="37"/>
      <c r="AA22" s="37"/>
      <c r="AB22" s="37"/>
      <c r="AC22" s="37"/>
      <c r="AD22" s="37"/>
      <c r="AE22" s="37"/>
      <c r="AF22" s="37"/>
    </row>
    <row r="23" ht="15.75" customHeight="1">
      <c r="A23" s="109" t="s">
        <v>210</v>
      </c>
      <c r="B23" s="116">
        <v>3.0</v>
      </c>
      <c r="C23" s="117" t="s">
        <v>228</v>
      </c>
      <c r="D23" s="117" t="s">
        <v>228</v>
      </c>
      <c r="E23" s="117" t="s">
        <v>228</v>
      </c>
      <c r="F23" s="118"/>
      <c r="G23" s="118"/>
      <c r="H23" s="119">
        <v>2.0</v>
      </c>
      <c r="I23" s="37"/>
      <c r="J23" s="60">
        <v>1.0</v>
      </c>
      <c r="K23" s="37"/>
      <c r="L23" s="37"/>
      <c r="M23" s="37"/>
      <c r="N23" s="37"/>
      <c r="O23" s="37"/>
      <c r="P23" s="37"/>
      <c r="Q23" s="37"/>
      <c r="R23" s="37"/>
      <c r="S23" s="37"/>
      <c r="T23" s="37"/>
      <c r="U23" s="37"/>
      <c r="V23" s="37"/>
      <c r="W23" s="37"/>
      <c r="X23" s="37"/>
      <c r="Y23" s="37"/>
      <c r="Z23" s="37"/>
      <c r="AA23" s="37"/>
      <c r="AB23" s="37"/>
      <c r="AC23" s="37"/>
      <c r="AD23" s="37"/>
      <c r="AE23" s="37"/>
      <c r="AF23" s="37"/>
    </row>
    <row r="24" ht="15.75" customHeight="1">
      <c r="A24" s="77" t="s">
        <v>210</v>
      </c>
      <c r="B24" s="120">
        <v>0.0</v>
      </c>
      <c r="C24" s="43" t="s">
        <v>232</v>
      </c>
      <c r="D24" s="82" t="s">
        <v>233</v>
      </c>
      <c r="E24" s="43" t="s">
        <v>234</v>
      </c>
      <c r="F24" s="42"/>
      <c r="G24" s="42" t="s">
        <v>48</v>
      </c>
      <c r="H24" s="121">
        <v>2.0</v>
      </c>
      <c r="I24" s="44"/>
      <c r="J24" s="44"/>
      <c r="K24" s="44"/>
      <c r="L24" s="44"/>
      <c r="M24" s="44"/>
      <c r="N24" s="44"/>
      <c r="O24" s="44"/>
      <c r="P24" s="44"/>
      <c r="Q24" s="44"/>
      <c r="R24" s="44"/>
      <c r="S24" s="44"/>
      <c r="T24" s="44"/>
      <c r="U24" s="44"/>
      <c r="V24" s="44"/>
      <c r="W24" s="44"/>
      <c r="X24" s="44"/>
      <c r="Y24" s="44"/>
      <c r="Z24" s="44"/>
      <c r="AA24" s="44"/>
      <c r="AB24" s="44"/>
      <c r="AC24" s="44"/>
      <c r="AD24" s="44"/>
      <c r="AE24" s="44"/>
      <c r="AF24" s="44"/>
    </row>
    <row r="25" ht="15.75" customHeight="1">
      <c r="A25" s="122"/>
      <c r="B25" s="123"/>
      <c r="C25" s="122"/>
      <c r="D25" s="122"/>
      <c r="E25" s="122"/>
      <c r="F25" s="37"/>
      <c r="G25" s="37"/>
      <c r="H25" s="115"/>
      <c r="I25" s="37"/>
      <c r="J25" s="37"/>
      <c r="K25" s="37"/>
      <c r="L25" s="37"/>
      <c r="M25" s="37"/>
      <c r="N25" s="37"/>
      <c r="O25" s="37"/>
      <c r="P25" s="37"/>
      <c r="Q25" s="37"/>
      <c r="R25" s="37"/>
      <c r="S25" s="37"/>
      <c r="T25" s="37"/>
      <c r="U25" s="37"/>
      <c r="V25" s="37"/>
      <c r="W25" s="37"/>
      <c r="X25" s="37"/>
      <c r="Y25" s="37"/>
      <c r="Z25" s="37"/>
      <c r="AA25" s="37"/>
      <c r="AB25" s="37"/>
      <c r="AC25" s="37"/>
      <c r="AD25" s="37"/>
      <c r="AE25" s="37"/>
      <c r="AF25" s="37"/>
    </row>
    <row r="26" ht="15.75" customHeight="1">
      <c r="A26" s="60" t="s">
        <v>239</v>
      </c>
      <c r="B26" s="119">
        <v>1.0</v>
      </c>
      <c r="C26" s="124" t="s">
        <v>240</v>
      </c>
      <c r="D26" s="124" t="s">
        <v>241</v>
      </c>
      <c r="E26" s="125" t="s">
        <v>242</v>
      </c>
      <c r="F26" s="37"/>
      <c r="G26" s="37"/>
      <c r="H26" s="115"/>
      <c r="I26" s="37"/>
      <c r="J26" s="37"/>
      <c r="K26" s="37"/>
      <c r="L26" s="37"/>
      <c r="M26" s="37"/>
      <c r="N26" s="37"/>
      <c r="O26" s="37"/>
      <c r="P26" s="37"/>
      <c r="Q26" s="37"/>
      <c r="R26" s="37"/>
      <c r="S26" s="37"/>
      <c r="T26" s="37"/>
      <c r="U26" s="37"/>
      <c r="V26" s="37"/>
      <c r="W26" s="37"/>
      <c r="X26" s="37"/>
      <c r="Y26" s="37"/>
      <c r="Z26" s="37"/>
      <c r="AA26" s="37"/>
      <c r="AB26" s="37"/>
      <c r="AC26" s="37"/>
      <c r="AD26" s="37"/>
      <c r="AE26" s="37"/>
      <c r="AF26" s="37"/>
    </row>
    <row r="27" ht="15.75" customHeight="1">
      <c r="A27" s="60" t="s">
        <v>239</v>
      </c>
      <c r="B27" s="119">
        <v>2.0</v>
      </c>
      <c r="C27" s="124" t="s">
        <v>243</v>
      </c>
      <c r="D27" s="124" t="s">
        <v>244</v>
      </c>
      <c r="E27" s="126" t="s">
        <v>245</v>
      </c>
      <c r="F27" s="37"/>
      <c r="G27" s="60">
        <v>1.0</v>
      </c>
      <c r="H27" s="115"/>
      <c r="I27" s="37"/>
      <c r="J27" s="37"/>
      <c r="K27" s="37"/>
      <c r="L27" s="37"/>
      <c r="M27" s="37"/>
      <c r="N27" s="37"/>
      <c r="O27" s="37"/>
      <c r="P27" s="37"/>
      <c r="Q27" s="37"/>
      <c r="R27" s="37"/>
      <c r="S27" s="37"/>
      <c r="T27" s="37"/>
      <c r="U27" s="37"/>
      <c r="V27" s="37"/>
      <c r="W27" s="37"/>
      <c r="X27" s="37"/>
      <c r="Y27" s="37"/>
      <c r="Z27" s="37"/>
      <c r="AA27" s="37"/>
      <c r="AB27" s="37"/>
      <c r="AC27" s="37"/>
      <c r="AD27" s="37"/>
      <c r="AE27" s="37"/>
      <c r="AF27" s="37"/>
    </row>
    <row r="28" ht="15.75" customHeight="1">
      <c r="A28" s="60"/>
      <c r="B28" s="119"/>
      <c r="C28" s="60"/>
      <c r="D28" s="60"/>
      <c r="E28" s="60"/>
      <c r="F28" s="37"/>
      <c r="G28" s="37"/>
      <c r="H28" s="115"/>
      <c r="I28" s="37"/>
      <c r="J28" s="37"/>
      <c r="K28" s="37"/>
      <c r="L28" s="37"/>
      <c r="M28" s="37"/>
      <c r="N28" s="37"/>
      <c r="O28" s="37"/>
      <c r="P28" s="37"/>
      <c r="Q28" s="37"/>
      <c r="R28" s="37"/>
      <c r="S28" s="37"/>
      <c r="T28" s="37"/>
      <c r="U28" s="37"/>
      <c r="V28" s="37"/>
      <c r="W28" s="37"/>
      <c r="X28" s="37"/>
      <c r="Y28" s="37"/>
      <c r="Z28" s="37"/>
      <c r="AA28" s="37"/>
      <c r="AB28" s="37"/>
      <c r="AC28" s="37"/>
      <c r="AD28" s="37"/>
      <c r="AE28" s="37"/>
      <c r="AF28" s="37"/>
    </row>
    <row r="29" ht="15.75" customHeight="1">
      <c r="A29" s="60" t="s">
        <v>249</v>
      </c>
      <c r="B29" s="119" t="s">
        <v>250</v>
      </c>
      <c r="C29" s="60" t="s">
        <v>251</v>
      </c>
      <c r="D29" s="60" t="s">
        <v>251</v>
      </c>
      <c r="E29" s="60" t="s">
        <v>251</v>
      </c>
      <c r="F29" s="37"/>
      <c r="G29" s="37"/>
      <c r="H29" s="115"/>
      <c r="I29" s="37"/>
      <c r="J29" s="37"/>
      <c r="K29" s="37"/>
      <c r="L29" s="37"/>
      <c r="M29" s="37"/>
      <c r="N29" s="37"/>
      <c r="O29" s="37"/>
      <c r="P29" s="37"/>
      <c r="Q29" s="37"/>
      <c r="R29" s="37"/>
      <c r="S29" s="37"/>
      <c r="T29" s="37"/>
      <c r="U29" s="37"/>
      <c r="V29" s="37"/>
      <c r="W29" s="37"/>
      <c r="X29" s="37"/>
      <c r="Y29" s="37"/>
      <c r="Z29" s="37"/>
      <c r="AA29" s="37"/>
      <c r="AB29" s="37"/>
      <c r="AC29" s="37"/>
      <c r="AD29" s="37"/>
      <c r="AE29" s="37"/>
      <c r="AF29" s="37"/>
    </row>
    <row r="30" ht="15.75" customHeight="1">
      <c r="A30" s="60"/>
      <c r="B30" s="119"/>
      <c r="C30" s="60"/>
      <c r="D30" s="60"/>
      <c r="E30" s="60"/>
      <c r="F30" s="37"/>
      <c r="G30" s="37"/>
      <c r="H30" s="115"/>
      <c r="I30" s="37"/>
      <c r="J30" s="37"/>
      <c r="K30" s="37"/>
      <c r="L30" s="37"/>
      <c r="M30" s="37"/>
      <c r="N30" s="37"/>
      <c r="O30" s="37"/>
      <c r="P30" s="37"/>
      <c r="Q30" s="37"/>
      <c r="R30" s="37"/>
      <c r="S30" s="37"/>
      <c r="T30" s="37"/>
      <c r="U30" s="37"/>
      <c r="V30" s="37"/>
      <c r="W30" s="37"/>
      <c r="X30" s="37"/>
      <c r="Y30" s="37"/>
      <c r="Z30" s="37"/>
      <c r="AA30" s="37"/>
      <c r="AB30" s="37"/>
      <c r="AC30" s="37"/>
      <c r="AD30" s="37"/>
      <c r="AE30" s="37"/>
      <c r="AF30" s="37"/>
    </row>
    <row r="31" ht="15.75" customHeight="1">
      <c r="A31" s="132" t="s">
        <v>256</v>
      </c>
      <c r="B31" s="133">
        <v>1.0</v>
      </c>
      <c r="C31" s="134" t="s">
        <v>259</v>
      </c>
      <c r="D31" s="135" t="s">
        <v>260</v>
      </c>
      <c r="E31" s="135" t="s">
        <v>262</v>
      </c>
      <c r="F31" s="136"/>
      <c r="G31" s="136"/>
      <c r="H31" s="53"/>
      <c r="I31" s="53"/>
      <c r="J31" s="53"/>
      <c r="K31" s="53"/>
      <c r="L31" s="53"/>
      <c r="M31" s="53"/>
      <c r="N31" s="53"/>
      <c r="O31" s="53"/>
      <c r="P31" s="53"/>
      <c r="Q31" s="53"/>
      <c r="R31" s="53"/>
      <c r="S31" s="53"/>
      <c r="T31" s="53"/>
      <c r="U31" s="53"/>
      <c r="V31" s="53"/>
      <c r="W31" s="53"/>
      <c r="X31" s="53"/>
      <c r="Y31" s="53"/>
      <c r="Z31" s="53"/>
      <c r="AA31" s="53"/>
      <c r="AB31" s="53"/>
      <c r="AC31" s="53"/>
      <c r="AD31" s="53"/>
      <c r="AE31" s="37"/>
      <c r="AF31" s="37"/>
    </row>
    <row r="32" ht="15.75" customHeight="1">
      <c r="A32" s="77" t="s">
        <v>256</v>
      </c>
      <c r="B32" s="120">
        <v>0.0</v>
      </c>
      <c r="C32" s="138" t="s">
        <v>265</v>
      </c>
      <c r="D32" s="138" t="s">
        <v>267</v>
      </c>
      <c r="E32" s="138" t="s">
        <v>269</v>
      </c>
      <c r="F32" s="42"/>
      <c r="G32" s="42"/>
      <c r="H32" s="44"/>
      <c r="I32" s="44"/>
      <c r="J32" s="44"/>
      <c r="K32" s="44"/>
      <c r="L32" s="44"/>
      <c r="M32" s="44"/>
      <c r="N32" s="44"/>
      <c r="O32" s="44"/>
      <c r="P32" s="44"/>
      <c r="Q32" s="44"/>
      <c r="R32" s="44"/>
      <c r="S32" s="44"/>
      <c r="T32" s="44"/>
      <c r="U32" s="44"/>
      <c r="V32" s="44"/>
      <c r="W32" s="44"/>
      <c r="X32" s="44"/>
      <c r="Y32" s="44"/>
      <c r="Z32" s="44"/>
      <c r="AA32" s="44"/>
      <c r="AB32" s="44"/>
      <c r="AC32" s="44"/>
      <c r="AD32" s="44"/>
      <c r="AE32" s="37"/>
      <c r="AF32" s="37"/>
    </row>
    <row r="33" ht="15.75" customHeight="1">
      <c r="A33" s="60"/>
      <c r="B33" s="119"/>
      <c r="C33" s="60"/>
      <c r="D33" s="60"/>
      <c r="E33" s="60"/>
      <c r="F33" s="37"/>
      <c r="G33" s="37"/>
      <c r="H33" s="115"/>
      <c r="I33" s="37"/>
      <c r="J33" s="37"/>
      <c r="K33" s="37"/>
      <c r="L33" s="37"/>
      <c r="M33" s="37"/>
      <c r="N33" s="37"/>
      <c r="O33" s="37"/>
      <c r="P33" s="37"/>
      <c r="Q33" s="37"/>
      <c r="R33" s="37"/>
      <c r="S33" s="37"/>
      <c r="T33" s="37"/>
      <c r="U33" s="37"/>
      <c r="V33" s="37"/>
      <c r="W33" s="37"/>
      <c r="X33" s="37"/>
      <c r="Y33" s="37"/>
      <c r="Z33" s="37"/>
      <c r="AA33" s="37"/>
      <c r="AB33" s="37"/>
      <c r="AC33" s="37"/>
      <c r="AD33" s="37"/>
      <c r="AE33" s="37"/>
      <c r="AF33" s="37"/>
    </row>
    <row r="34" ht="15.75" customHeight="1">
      <c r="A34" s="132" t="s">
        <v>273</v>
      </c>
      <c r="B34" s="133">
        <v>1.0</v>
      </c>
      <c r="C34" s="140" t="s">
        <v>275</v>
      </c>
      <c r="D34" s="140" t="s">
        <v>276</v>
      </c>
      <c r="E34" s="140" t="s">
        <v>277</v>
      </c>
      <c r="F34" s="136"/>
      <c r="G34" s="136"/>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row>
    <row r="35" ht="15.75" customHeight="1">
      <c r="A35" s="109" t="s">
        <v>273</v>
      </c>
      <c r="B35" s="112">
        <v>2.0</v>
      </c>
      <c r="C35" s="35" t="s">
        <v>281</v>
      </c>
      <c r="D35" s="35" t="s">
        <v>282</v>
      </c>
      <c r="E35" s="35" t="s">
        <v>283</v>
      </c>
      <c r="F35" s="32"/>
      <c r="G35" s="32"/>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row>
    <row r="36" ht="15.75" customHeight="1">
      <c r="A36" s="109" t="s">
        <v>273</v>
      </c>
      <c r="B36" s="112">
        <v>3.0</v>
      </c>
      <c r="C36" s="35" t="s">
        <v>285</v>
      </c>
      <c r="D36" s="35" t="s">
        <v>286</v>
      </c>
      <c r="E36" s="35" t="s">
        <v>287</v>
      </c>
      <c r="F36" s="32"/>
      <c r="G36" s="32"/>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row>
    <row r="37" ht="15.75" customHeight="1">
      <c r="A37" s="109" t="s">
        <v>273</v>
      </c>
      <c r="B37" s="112">
        <v>4.0</v>
      </c>
      <c r="C37" s="35" t="s">
        <v>291</v>
      </c>
      <c r="D37" s="35" t="s">
        <v>292</v>
      </c>
      <c r="E37" s="35" t="s">
        <v>293</v>
      </c>
      <c r="F37" s="32"/>
      <c r="G37" s="32"/>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row>
    <row r="38" ht="15.75" customHeight="1">
      <c r="A38" s="109" t="s">
        <v>273</v>
      </c>
      <c r="B38" s="112">
        <v>5.0</v>
      </c>
      <c r="C38" s="35" t="s">
        <v>295</v>
      </c>
      <c r="D38" s="35" t="s">
        <v>296</v>
      </c>
      <c r="E38" s="35" t="s">
        <v>297</v>
      </c>
      <c r="F38" s="32"/>
      <c r="G38" s="32"/>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row>
    <row r="39" ht="15.75" customHeight="1">
      <c r="A39" s="109" t="s">
        <v>273</v>
      </c>
      <c r="B39" s="112">
        <v>6.0</v>
      </c>
      <c r="C39" s="35" t="s">
        <v>301</v>
      </c>
      <c r="D39" s="35" t="s">
        <v>302</v>
      </c>
      <c r="E39" s="114" t="s">
        <v>303</v>
      </c>
      <c r="F39" s="32"/>
      <c r="G39" s="32"/>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row>
    <row r="40" ht="15.75" customHeight="1">
      <c r="A40" s="109" t="s">
        <v>273</v>
      </c>
      <c r="B40" s="112">
        <v>7.0</v>
      </c>
      <c r="C40" s="35" t="s">
        <v>313</v>
      </c>
      <c r="D40" s="35" t="s">
        <v>313</v>
      </c>
      <c r="E40" s="35" t="s">
        <v>314</v>
      </c>
      <c r="F40" s="32"/>
      <c r="G40" s="32"/>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row>
    <row r="41" ht="15.75" customHeight="1">
      <c r="A41" s="109" t="s">
        <v>273</v>
      </c>
      <c r="B41" s="112">
        <v>8.0</v>
      </c>
      <c r="C41" s="35" t="s">
        <v>315</v>
      </c>
      <c r="D41" s="35" t="s">
        <v>316</v>
      </c>
      <c r="E41" s="35" t="s">
        <v>317</v>
      </c>
      <c r="F41" s="32"/>
      <c r="G41" s="32"/>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row>
    <row r="42" ht="15.75" customHeight="1">
      <c r="A42" s="109" t="s">
        <v>273</v>
      </c>
      <c r="B42" s="112">
        <v>9.0</v>
      </c>
      <c r="C42" s="35" t="s">
        <v>320</v>
      </c>
      <c r="D42" s="35" t="s">
        <v>321</v>
      </c>
      <c r="E42" s="114" t="s">
        <v>322</v>
      </c>
      <c r="F42" s="32"/>
      <c r="G42" s="32"/>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row>
    <row r="43" ht="15.75" customHeight="1">
      <c r="A43" s="109" t="s">
        <v>273</v>
      </c>
      <c r="B43" s="112">
        <v>10.0</v>
      </c>
      <c r="C43" s="35" t="s">
        <v>324</v>
      </c>
      <c r="D43" s="35" t="s">
        <v>325</v>
      </c>
      <c r="E43" s="35" t="s">
        <v>326</v>
      </c>
      <c r="F43" s="32"/>
      <c r="G43" s="32"/>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row>
    <row r="44" ht="15.75" customHeight="1">
      <c r="A44" s="109" t="s">
        <v>273</v>
      </c>
      <c r="B44" s="112">
        <v>11.0</v>
      </c>
      <c r="C44" s="35" t="s">
        <v>330</v>
      </c>
      <c r="D44" s="35" t="s">
        <v>331</v>
      </c>
      <c r="E44" s="35" t="s">
        <v>332</v>
      </c>
      <c r="F44" s="32"/>
      <c r="G44" s="32"/>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row>
    <row r="45" ht="15.75" customHeight="1">
      <c r="A45" s="109" t="s">
        <v>273</v>
      </c>
      <c r="B45" s="112">
        <v>13.0</v>
      </c>
      <c r="C45" s="35" t="s">
        <v>335</v>
      </c>
      <c r="D45" s="35" t="s">
        <v>336</v>
      </c>
      <c r="E45" s="35" t="s">
        <v>337</v>
      </c>
      <c r="F45" s="32"/>
      <c r="G45" s="32"/>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row>
    <row r="46" ht="15.75" customHeight="1">
      <c r="A46" s="109" t="s">
        <v>273</v>
      </c>
      <c r="B46" s="112">
        <v>14.0</v>
      </c>
      <c r="C46" s="35" t="s">
        <v>340</v>
      </c>
      <c r="D46" s="35" t="s">
        <v>341</v>
      </c>
      <c r="E46" s="35" t="s">
        <v>342</v>
      </c>
      <c r="F46" s="32"/>
      <c r="G46" s="32"/>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row>
    <row r="47" ht="15.75" customHeight="1">
      <c r="A47" s="77" t="s">
        <v>273</v>
      </c>
      <c r="B47" s="120">
        <v>-99.0</v>
      </c>
      <c r="C47" s="43" t="s">
        <v>349</v>
      </c>
      <c r="D47" s="43" t="s">
        <v>350</v>
      </c>
      <c r="E47" s="43" t="s">
        <v>352</v>
      </c>
      <c r="F47" s="42"/>
      <c r="G47" s="42"/>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row>
    <row r="48" ht="15.75" customHeight="1">
      <c r="A48" s="60"/>
      <c r="B48" s="119"/>
      <c r="C48" s="60"/>
      <c r="D48" s="60"/>
      <c r="E48" s="60"/>
      <c r="F48" s="37"/>
      <c r="G48" s="37"/>
      <c r="H48" s="115"/>
      <c r="I48" s="37"/>
      <c r="J48" s="37"/>
      <c r="K48" s="37"/>
      <c r="L48" s="37"/>
      <c r="M48" s="37"/>
      <c r="N48" s="37"/>
      <c r="O48" s="37"/>
      <c r="P48" s="37"/>
      <c r="Q48" s="37"/>
      <c r="R48" s="37"/>
      <c r="S48" s="37"/>
      <c r="T48" s="37"/>
      <c r="U48" s="37"/>
      <c r="V48" s="37"/>
      <c r="W48" s="37"/>
      <c r="X48" s="37"/>
      <c r="Y48" s="37"/>
      <c r="Z48" s="37"/>
      <c r="AA48" s="37"/>
      <c r="AB48" s="37"/>
      <c r="AC48" s="37"/>
      <c r="AD48" s="37"/>
      <c r="AE48" s="37"/>
      <c r="AF48" s="37"/>
    </row>
    <row r="49" ht="15.75" customHeight="1">
      <c r="A49" s="132" t="s">
        <v>360</v>
      </c>
      <c r="B49" s="133">
        <v>0.0</v>
      </c>
      <c r="C49" s="140" t="s">
        <v>361</v>
      </c>
      <c r="D49" s="140" t="s">
        <v>362</v>
      </c>
      <c r="E49" s="140" t="s">
        <v>364</v>
      </c>
      <c r="F49" s="136"/>
      <c r="G49" s="136"/>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row>
    <row r="50" ht="15.75" customHeight="1">
      <c r="A50" s="109" t="s">
        <v>360</v>
      </c>
      <c r="B50" s="112">
        <v>1.0</v>
      </c>
      <c r="C50" s="35" t="s">
        <v>368</v>
      </c>
      <c r="D50" s="35" t="s">
        <v>369</v>
      </c>
      <c r="E50" s="114" t="s">
        <v>370</v>
      </c>
      <c r="F50" s="32"/>
      <c r="G50" s="32"/>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row>
    <row r="51" ht="15.75" customHeight="1">
      <c r="A51" s="109" t="s">
        <v>360</v>
      </c>
      <c r="B51" s="112">
        <v>2.0</v>
      </c>
      <c r="C51" s="35" t="s">
        <v>374</v>
      </c>
      <c r="D51" s="35" t="s">
        <v>375</v>
      </c>
      <c r="E51" s="35" t="s">
        <v>376</v>
      </c>
      <c r="F51" s="32"/>
      <c r="G51" s="32"/>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row>
    <row r="52" ht="15.75" customHeight="1">
      <c r="A52" s="77" t="s">
        <v>360</v>
      </c>
      <c r="B52" s="120">
        <v>-999.0</v>
      </c>
      <c r="C52" s="43" t="s">
        <v>124</v>
      </c>
      <c r="D52" s="43" t="s">
        <v>125</v>
      </c>
      <c r="E52" s="43" t="s">
        <v>126</v>
      </c>
      <c r="F52" s="42"/>
      <c r="G52" s="42"/>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row>
    <row r="53" ht="15.75" customHeight="1">
      <c r="A53" s="60"/>
      <c r="B53" s="119"/>
      <c r="C53" s="60"/>
      <c r="D53" s="60"/>
      <c r="E53" s="60"/>
      <c r="F53" s="37"/>
      <c r="G53" s="37"/>
      <c r="H53" s="115"/>
      <c r="I53" s="37"/>
      <c r="J53" s="37"/>
      <c r="K53" s="37"/>
      <c r="L53" s="37"/>
      <c r="M53" s="37"/>
      <c r="N53" s="37"/>
      <c r="O53" s="37"/>
      <c r="P53" s="37"/>
      <c r="Q53" s="37"/>
      <c r="R53" s="37"/>
      <c r="S53" s="37"/>
      <c r="T53" s="37"/>
      <c r="U53" s="37"/>
      <c r="V53" s="37"/>
      <c r="W53" s="37"/>
      <c r="X53" s="37"/>
      <c r="Y53" s="37"/>
      <c r="Z53" s="37"/>
      <c r="AA53" s="37"/>
      <c r="AB53" s="37"/>
      <c r="AC53" s="37"/>
      <c r="AD53" s="37"/>
      <c r="AE53" s="37"/>
      <c r="AF53" s="37"/>
    </row>
    <row r="54" ht="15.75" customHeight="1">
      <c r="A54" s="132" t="s">
        <v>384</v>
      </c>
      <c r="B54" s="133">
        <v>1.0</v>
      </c>
      <c r="C54" s="134" t="s">
        <v>385</v>
      </c>
      <c r="D54" s="135" t="s">
        <v>386</v>
      </c>
      <c r="E54" s="135" t="s">
        <v>388</v>
      </c>
      <c r="F54" s="136"/>
      <c r="G54" s="136"/>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row>
    <row r="55" ht="15.75" customHeight="1">
      <c r="A55" s="109" t="s">
        <v>384</v>
      </c>
      <c r="B55" s="112">
        <v>2.0</v>
      </c>
      <c r="C55" s="165" t="s">
        <v>390</v>
      </c>
      <c r="D55" s="138" t="s">
        <v>391</v>
      </c>
      <c r="E55" s="138" t="s">
        <v>392</v>
      </c>
      <c r="F55" s="32"/>
      <c r="G55" s="32"/>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row>
    <row r="56" ht="15.75" customHeight="1">
      <c r="A56" s="109" t="s">
        <v>384</v>
      </c>
      <c r="B56" s="112">
        <v>3.0</v>
      </c>
      <c r="C56" s="165" t="s">
        <v>397</v>
      </c>
      <c r="D56" s="138" t="s">
        <v>397</v>
      </c>
      <c r="E56" s="138" t="s">
        <v>398</v>
      </c>
      <c r="F56" s="32"/>
      <c r="G56" s="32"/>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row>
    <row r="57" ht="15.75" customHeight="1">
      <c r="A57" s="109" t="s">
        <v>384</v>
      </c>
      <c r="B57" s="112">
        <v>4.0</v>
      </c>
      <c r="C57" s="122" t="s">
        <v>399</v>
      </c>
      <c r="D57" s="122" t="s">
        <v>400</v>
      </c>
      <c r="E57" s="166" t="s">
        <v>401</v>
      </c>
      <c r="F57" s="32"/>
      <c r="G57" s="32"/>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row>
    <row r="58" ht="15.75" customHeight="1">
      <c r="A58" s="109" t="s">
        <v>384</v>
      </c>
      <c r="B58" s="112">
        <v>5.0</v>
      </c>
      <c r="C58" s="122" t="s">
        <v>405</v>
      </c>
      <c r="D58" s="122" t="s">
        <v>406</v>
      </c>
      <c r="E58" s="166" t="s">
        <v>407</v>
      </c>
      <c r="F58" s="32"/>
      <c r="G58" s="32"/>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row>
    <row r="59" ht="15.75" customHeight="1">
      <c r="A59" s="109" t="s">
        <v>384</v>
      </c>
      <c r="B59" s="112">
        <v>6.0</v>
      </c>
      <c r="C59" s="122" t="s">
        <v>411</v>
      </c>
      <c r="D59" s="122" t="s">
        <v>412</v>
      </c>
      <c r="E59" s="166" t="s">
        <v>413</v>
      </c>
      <c r="F59" s="32"/>
      <c r="G59" s="32"/>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ht="15.75" customHeight="1">
      <c r="A60" s="109" t="s">
        <v>384</v>
      </c>
      <c r="B60" s="112">
        <v>7.0</v>
      </c>
      <c r="C60" s="122" t="s">
        <v>415</v>
      </c>
      <c r="D60" s="122" t="s">
        <v>416</v>
      </c>
      <c r="E60" s="166" t="s">
        <v>417</v>
      </c>
      <c r="F60" s="32"/>
      <c r="G60" s="32"/>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row>
    <row r="61" ht="15.75" customHeight="1">
      <c r="A61" s="109" t="s">
        <v>384</v>
      </c>
      <c r="B61" s="112">
        <v>8.0</v>
      </c>
      <c r="C61" s="122" t="s">
        <v>419</v>
      </c>
      <c r="D61" s="122" t="s">
        <v>420</v>
      </c>
      <c r="E61" s="166" t="s">
        <v>421</v>
      </c>
      <c r="F61" s="32"/>
      <c r="G61" s="32"/>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row>
    <row r="62" ht="15.75" customHeight="1">
      <c r="A62" s="77" t="s">
        <v>384</v>
      </c>
      <c r="B62" s="120">
        <v>-777.0</v>
      </c>
      <c r="C62" s="82" t="s">
        <v>139</v>
      </c>
      <c r="D62" s="82" t="s">
        <v>146</v>
      </c>
      <c r="E62" s="43" t="s">
        <v>147</v>
      </c>
      <c r="F62" s="42"/>
      <c r="G62" s="42"/>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row>
    <row r="63" ht="15.75" customHeight="1">
      <c r="A63" s="60"/>
      <c r="B63" s="119"/>
      <c r="C63" s="60"/>
      <c r="D63" s="60"/>
      <c r="E63" s="60"/>
      <c r="F63" s="37"/>
      <c r="G63" s="37"/>
      <c r="H63" s="115"/>
      <c r="I63" s="37"/>
      <c r="J63" s="37"/>
      <c r="K63" s="37"/>
      <c r="L63" s="37"/>
      <c r="M63" s="37"/>
      <c r="N63" s="37"/>
      <c r="O63" s="37"/>
      <c r="P63" s="37"/>
      <c r="Q63" s="37"/>
      <c r="R63" s="37"/>
      <c r="S63" s="37"/>
      <c r="T63" s="37"/>
      <c r="U63" s="37"/>
      <c r="V63" s="37"/>
      <c r="W63" s="37"/>
      <c r="X63" s="37"/>
      <c r="Y63" s="37"/>
      <c r="Z63" s="37"/>
      <c r="AA63" s="37"/>
      <c r="AB63" s="37"/>
      <c r="AC63" s="37"/>
      <c r="AD63" s="37"/>
      <c r="AE63" s="37"/>
      <c r="AF63" s="37"/>
    </row>
    <row r="64" ht="15.75" customHeight="1">
      <c r="A64" s="109" t="s">
        <v>429</v>
      </c>
      <c r="B64" s="109">
        <v>1.0</v>
      </c>
      <c r="C64" s="109" t="s">
        <v>430</v>
      </c>
      <c r="D64" s="109" t="s">
        <v>431</v>
      </c>
      <c r="E64" s="109" t="s">
        <v>433</v>
      </c>
      <c r="F64" s="136"/>
      <c r="G64" s="136"/>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row>
    <row r="65" ht="15.75" customHeight="1">
      <c r="A65" s="109" t="s">
        <v>429</v>
      </c>
      <c r="B65" s="109">
        <v>2.0</v>
      </c>
      <c r="C65" s="109" t="s">
        <v>437</v>
      </c>
      <c r="D65" s="109" t="s">
        <v>438</v>
      </c>
      <c r="E65" s="109" t="s">
        <v>439</v>
      </c>
      <c r="F65" s="32"/>
      <c r="G65" s="32"/>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row>
    <row r="66" ht="15.75" customHeight="1">
      <c r="A66" s="109" t="s">
        <v>429</v>
      </c>
      <c r="B66" s="109">
        <v>3.0</v>
      </c>
      <c r="C66" s="109" t="s">
        <v>442</v>
      </c>
      <c r="D66" s="109" t="s">
        <v>443</v>
      </c>
      <c r="E66" s="109" t="s">
        <v>444</v>
      </c>
      <c r="F66" s="42"/>
      <c r="G66" s="42"/>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row>
    <row r="67" ht="15.75" customHeight="1">
      <c r="A67" s="109"/>
      <c r="B67" s="109"/>
      <c r="C67" s="109"/>
      <c r="D67" s="109"/>
      <c r="E67" s="109"/>
      <c r="F67" s="37"/>
      <c r="G67" s="37"/>
      <c r="H67" s="115"/>
      <c r="I67" s="37"/>
      <c r="J67" s="37"/>
      <c r="K67" s="37"/>
      <c r="L67" s="37"/>
      <c r="M67" s="37"/>
      <c r="N67" s="37"/>
      <c r="O67" s="37"/>
      <c r="P67" s="37"/>
      <c r="Q67" s="37"/>
      <c r="R67" s="37"/>
      <c r="S67" s="37"/>
      <c r="T67" s="37"/>
      <c r="U67" s="37"/>
      <c r="V67" s="37"/>
      <c r="W67" s="37"/>
      <c r="X67" s="37"/>
      <c r="Y67" s="37"/>
      <c r="Z67" s="37"/>
      <c r="AA67" s="37"/>
      <c r="AB67" s="37"/>
      <c r="AC67" s="37"/>
      <c r="AD67" s="37"/>
      <c r="AE67" s="37"/>
      <c r="AF67" s="37"/>
    </row>
    <row r="68" ht="15.75" customHeight="1">
      <c r="A68" s="109" t="s">
        <v>450</v>
      </c>
      <c r="B68" s="109">
        <v>1.0</v>
      </c>
      <c r="C68" s="109" t="s">
        <v>452</v>
      </c>
      <c r="D68" s="109" t="s">
        <v>452</v>
      </c>
      <c r="E68" s="109" t="s">
        <v>454</v>
      </c>
      <c r="F68" s="136"/>
      <c r="G68" s="136"/>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row>
    <row r="69" ht="15.75" customHeight="1">
      <c r="A69" s="109" t="s">
        <v>450</v>
      </c>
      <c r="B69" s="109">
        <v>2.0</v>
      </c>
      <c r="C69" s="109" t="s">
        <v>457</v>
      </c>
      <c r="D69" s="109" t="s">
        <v>458</v>
      </c>
      <c r="E69" s="109" t="s">
        <v>459</v>
      </c>
      <c r="F69" s="32"/>
      <c r="G69" s="32"/>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row>
    <row r="70" ht="15.75" customHeight="1">
      <c r="A70" s="109" t="s">
        <v>450</v>
      </c>
      <c r="B70" s="109">
        <v>3.0</v>
      </c>
      <c r="C70" s="109" t="s">
        <v>461</v>
      </c>
      <c r="D70" s="109" t="s">
        <v>462</v>
      </c>
      <c r="E70" s="109" t="s">
        <v>463</v>
      </c>
      <c r="F70" s="42"/>
      <c r="G70" s="42"/>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row>
    <row r="71" ht="15.75" customHeight="1">
      <c r="A71" s="109"/>
      <c r="B71" s="109"/>
      <c r="C71" s="109"/>
      <c r="D71" s="109"/>
      <c r="E71" s="109"/>
      <c r="F71" s="42"/>
      <c r="G71" s="42"/>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row>
    <row r="72" ht="15.75" customHeight="1">
      <c r="A72" s="109" t="s">
        <v>469</v>
      </c>
      <c r="B72" s="109">
        <v>1.0</v>
      </c>
      <c r="C72" s="109" t="s">
        <v>470</v>
      </c>
      <c r="D72" s="109" t="s">
        <v>471</v>
      </c>
      <c r="E72" s="109" t="s">
        <v>473</v>
      </c>
      <c r="F72" s="32"/>
      <c r="G72" s="32"/>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row>
    <row r="73" ht="15.75" customHeight="1">
      <c r="A73" s="109" t="s">
        <v>469</v>
      </c>
      <c r="B73" s="109">
        <v>2.0</v>
      </c>
      <c r="C73" s="109" t="s">
        <v>476</v>
      </c>
      <c r="D73" s="109" t="s">
        <v>477</v>
      </c>
      <c r="E73" s="109" t="s">
        <v>478</v>
      </c>
      <c r="F73" s="32"/>
      <c r="G73" s="32"/>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row>
    <row r="74" ht="15.75" customHeight="1">
      <c r="A74" s="109" t="s">
        <v>469</v>
      </c>
      <c r="B74" s="109">
        <v>3.0</v>
      </c>
      <c r="C74" s="109" t="s">
        <v>483</v>
      </c>
      <c r="D74" s="109" t="s">
        <v>484</v>
      </c>
      <c r="E74" s="109" t="s">
        <v>485</v>
      </c>
      <c r="F74" s="42"/>
      <c r="G74" s="42"/>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row>
    <row r="75" ht="15.75" customHeight="1">
      <c r="A75" s="82"/>
      <c r="B75" s="82"/>
      <c r="C75" s="43"/>
      <c r="D75" s="43"/>
      <c r="E75" s="43"/>
      <c r="F75" s="42"/>
      <c r="G75" s="42"/>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row>
    <row r="76" ht="15.75" customHeight="1">
      <c r="A76" s="109" t="s">
        <v>491</v>
      </c>
      <c r="B76" s="109">
        <v>1.0</v>
      </c>
      <c r="C76" s="109" t="s">
        <v>492</v>
      </c>
      <c r="D76" s="109" t="s">
        <v>493</v>
      </c>
      <c r="E76" s="109" t="s">
        <v>495</v>
      </c>
      <c r="F76" s="32"/>
      <c r="G76" s="32"/>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row>
    <row r="77" ht="15.75" customHeight="1">
      <c r="A77" s="109" t="s">
        <v>491</v>
      </c>
      <c r="B77" s="109">
        <v>2.0</v>
      </c>
      <c r="C77" s="109" t="s">
        <v>497</v>
      </c>
      <c r="D77" s="109" t="s">
        <v>499</v>
      </c>
      <c r="E77" s="109" t="s">
        <v>500</v>
      </c>
      <c r="F77" s="32"/>
      <c r="G77" s="32"/>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row>
    <row r="78" ht="15.75" customHeight="1">
      <c r="A78" s="109" t="s">
        <v>491</v>
      </c>
      <c r="B78" s="109">
        <v>3.0</v>
      </c>
      <c r="C78" s="109" t="s">
        <v>502</v>
      </c>
      <c r="D78" s="109" t="s">
        <v>503</v>
      </c>
      <c r="E78" s="109" t="s">
        <v>504</v>
      </c>
      <c r="F78" s="32"/>
      <c r="G78" s="32"/>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row>
    <row r="79" ht="15.75" customHeight="1">
      <c r="A79" s="109" t="s">
        <v>491</v>
      </c>
      <c r="B79" s="109">
        <v>4.0</v>
      </c>
      <c r="C79" s="109" t="s">
        <v>506</v>
      </c>
      <c r="D79" s="109" t="s">
        <v>507</v>
      </c>
      <c r="E79" s="109" t="s">
        <v>508</v>
      </c>
      <c r="F79" s="42"/>
      <c r="G79" s="42"/>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row>
    <row r="80" ht="15.75" customHeight="1">
      <c r="A80" s="122"/>
      <c r="B80" s="122"/>
      <c r="C80" s="122"/>
      <c r="D80" s="122"/>
      <c r="E80" s="122"/>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row>
    <row r="81" ht="15.75" customHeight="1">
      <c r="A81" s="194" t="s">
        <v>510</v>
      </c>
      <c r="B81" s="195">
        <v>1.0</v>
      </c>
      <c r="C81" s="196" t="s">
        <v>513</v>
      </c>
      <c r="D81" s="196" t="s">
        <v>514</v>
      </c>
      <c r="E81" s="196" t="s">
        <v>515</v>
      </c>
      <c r="F81" s="197"/>
      <c r="G81" s="19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row>
    <row r="82" ht="15.75" customHeight="1">
      <c r="A82" s="109" t="s">
        <v>510</v>
      </c>
      <c r="B82" s="112">
        <v>2.0</v>
      </c>
      <c r="C82" s="35" t="s">
        <v>517</v>
      </c>
      <c r="D82" s="35" t="s">
        <v>518</v>
      </c>
      <c r="E82" s="114" t="s">
        <v>519</v>
      </c>
      <c r="F82" s="32"/>
      <c r="G82" s="32"/>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row>
    <row r="83" ht="15.75" customHeight="1">
      <c r="A83" s="109" t="s">
        <v>510</v>
      </c>
      <c r="B83" s="112">
        <v>3.0</v>
      </c>
      <c r="C83" s="35" t="s">
        <v>523</v>
      </c>
      <c r="D83" s="35" t="s">
        <v>524</v>
      </c>
      <c r="E83" s="114" t="s">
        <v>525</v>
      </c>
      <c r="F83" s="32"/>
      <c r="G83" s="32"/>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row>
    <row r="84" ht="15.75" customHeight="1">
      <c r="A84" s="109" t="s">
        <v>510</v>
      </c>
      <c r="B84" s="112">
        <v>4.0</v>
      </c>
      <c r="C84" s="35" t="s">
        <v>528</v>
      </c>
      <c r="D84" s="35" t="s">
        <v>529</v>
      </c>
      <c r="E84" s="114" t="s">
        <v>530</v>
      </c>
      <c r="F84" s="199"/>
      <c r="G84" s="199"/>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row>
    <row r="85" ht="15.75" customHeight="1">
      <c r="A85" s="109" t="s">
        <v>510</v>
      </c>
      <c r="B85" s="112">
        <v>5.0</v>
      </c>
      <c r="C85" s="35" t="s">
        <v>532</v>
      </c>
      <c r="D85" s="35" t="s">
        <v>535</v>
      </c>
      <c r="E85" s="114" t="s">
        <v>536</v>
      </c>
      <c r="F85" s="199"/>
      <c r="G85" s="32"/>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row>
    <row r="86" ht="15.75" customHeight="1">
      <c r="A86" s="109" t="s">
        <v>510</v>
      </c>
      <c r="B86" s="112">
        <v>6.0</v>
      </c>
      <c r="C86" s="35" t="s">
        <v>538</v>
      </c>
      <c r="D86" s="35" t="s">
        <v>539</v>
      </c>
      <c r="E86" s="114" t="s">
        <v>539</v>
      </c>
      <c r="F86" s="199"/>
      <c r="G86" s="199"/>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row>
    <row r="87" ht="15.75" customHeight="1">
      <c r="A87" s="109" t="s">
        <v>510</v>
      </c>
      <c r="B87" s="112">
        <v>-777.0</v>
      </c>
      <c r="C87" s="35" t="s">
        <v>139</v>
      </c>
      <c r="D87" s="35" t="s">
        <v>146</v>
      </c>
      <c r="E87" s="35" t="s">
        <v>147</v>
      </c>
      <c r="F87" s="32"/>
      <c r="G87" s="32"/>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row>
    <row r="88" ht="15.75" customHeight="1">
      <c r="A88" s="109" t="s">
        <v>510</v>
      </c>
      <c r="B88" s="112">
        <v>0.0</v>
      </c>
      <c r="C88" s="35" t="s">
        <v>232</v>
      </c>
      <c r="D88" s="35" t="s">
        <v>233</v>
      </c>
      <c r="E88" s="35" t="s">
        <v>234</v>
      </c>
      <c r="F88" s="32"/>
      <c r="G88" s="32"/>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row>
    <row r="89" ht="15.75" customHeight="1">
      <c r="A89" s="122"/>
      <c r="B89" s="122"/>
      <c r="C89" s="122"/>
      <c r="D89" s="122"/>
      <c r="E89" s="122"/>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row>
    <row r="90" ht="15.75" customHeight="1">
      <c r="A90" s="132" t="s">
        <v>556</v>
      </c>
      <c r="B90" s="133">
        <v>0.0</v>
      </c>
      <c r="C90" s="140" t="s">
        <v>558</v>
      </c>
      <c r="D90" s="140" t="s">
        <v>559</v>
      </c>
      <c r="E90" s="140" t="s">
        <v>560</v>
      </c>
      <c r="F90" s="136"/>
      <c r="G90" s="136"/>
      <c r="H90" s="53"/>
      <c r="I90" s="53"/>
      <c r="J90" s="53"/>
      <c r="K90" s="53"/>
      <c r="L90" s="53"/>
      <c r="M90" s="53"/>
      <c r="N90" s="53"/>
      <c r="O90" s="53"/>
      <c r="P90" s="53"/>
      <c r="Q90" s="53"/>
      <c r="R90" s="53"/>
      <c r="S90" s="53"/>
      <c r="T90" s="53"/>
      <c r="U90" s="53"/>
      <c r="V90" s="53"/>
      <c r="W90" s="53"/>
      <c r="X90" s="53"/>
      <c r="Y90" s="53"/>
      <c r="Z90" s="53"/>
      <c r="AA90" s="53"/>
      <c r="AB90" s="37"/>
      <c r="AC90" s="37"/>
      <c r="AD90" s="37"/>
      <c r="AE90" s="37"/>
      <c r="AF90" s="37"/>
    </row>
    <row r="91" ht="15.75" customHeight="1">
      <c r="A91" s="109" t="s">
        <v>556</v>
      </c>
      <c r="B91" s="112">
        <v>1.0</v>
      </c>
      <c r="C91" s="35" t="s">
        <v>566</v>
      </c>
      <c r="D91" s="35" t="s">
        <v>567</v>
      </c>
      <c r="E91" s="35" t="s">
        <v>568</v>
      </c>
      <c r="F91" s="32"/>
      <c r="G91" s="32"/>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row>
    <row r="92" ht="15.75" customHeight="1">
      <c r="A92" s="109" t="s">
        <v>556</v>
      </c>
      <c r="B92" s="112">
        <v>2.0</v>
      </c>
      <c r="C92" s="35" t="s">
        <v>573</v>
      </c>
      <c r="D92" s="35" t="s">
        <v>574</v>
      </c>
      <c r="E92" s="114" t="s">
        <v>575</v>
      </c>
      <c r="F92" s="32"/>
      <c r="G92" s="32"/>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row>
    <row r="93" ht="15.75" customHeight="1">
      <c r="A93" s="77" t="s">
        <v>556</v>
      </c>
      <c r="B93" s="120">
        <v>3.0</v>
      </c>
      <c r="C93" s="43" t="s">
        <v>577</v>
      </c>
      <c r="D93" s="35" t="s">
        <v>578</v>
      </c>
      <c r="E93" s="35" t="s">
        <v>579</v>
      </c>
      <c r="F93" s="42"/>
      <c r="G93" s="42"/>
      <c r="H93" s="44"/>
      <c r="I93" s="44"/>
      <c r="J93" s="44"/>
      <c r="K93" s="44"/>
      <c r="L93" s="44"/>
      <c r="M93" s="44"/>
      <c r="N93" s="44"/>
      <c r="O93" s="44"/>
      <c r="P93" s="44"/>
      <c r="Q93" s="44"/>
      <c r="R93" s="44"/>
      <c r="S93" s="44"/>
      <c r="T93" s="44"/>
      <c r="U93" s="44"/>
      <c r="V93" s="44"/>
      <c r="W93" s="44"/>
      <c r="X93" s="44"/>
      <c r="Y93" s="44"/>
      <c r="Z93" s="44"/>
      <c r="AA93" s="44"/>
      <c r="AB93" s="37"/>
      <c r="AC93" s="37"/>
      <c r="AD93" s="37"/>
      <c r="AE93" s="37"/>
      <c r="AF93" s="37"/>
    </row>
    <row r="94" ht="15.75" customHeight="1">
      <c r="A94" s="122"/>
      <c r="B94" s="122"/>
      <c r="C94" s="122"/>
      <c r="D94" s="122"/>
      <c r="E94" s="122"/>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row>
    <row r="95" ht="15.75" customHeight="1">
      <c r="A95" s="132" t="s">
        <v>273</v>
      </c>
      <c r="B95" s="133">
        <v>1.0</v>
      </c>
      <c r="C95" s="140" t="s">
        <v>275</v>
      </c>
      <c r="D95" s="140" t="s">
        <v>276</v>
      </c>
      <c r="E95" s="140" t="s">
        <v>277</v>
      </c>
      <c r="F95" s="136"/>
      <c r="G95" s="136"/>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row>
    <row r="96" ht="15.75" customHeight="1">
      <c r="A96" s="109" t="s">
        <v>273</v>
      </c>
      <c r="B96" s="112">
        <v>2.0</v>
      </c>
      <c r="C96" s="35" t="s">
        <v>281</v>
      </c>
      <c r="D96" s="35" t="s">
        <v>282</v>
      </c>
      <c r="E96" s="114" t="s">
        <v>283</v>
      </c>
      <c r="F96" s="32"/>
      <c r="G96" s="32"/>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row>
    <row r="97" ht="15.75" customHeight="1">
      <c r="A97" s="109" t="s">
        <v>273</v>
      </c>
      <c r="B97" s="112">
        <v>3.0</v>
      </c>
      <c r="C97" s="35" t="s">
        <v>285</v>
      </c>
      <c r="D97" s="35" t="s">
        <v>286</v>
      </c>
      <c r="E97" s="35" t="s">
        <v>287</v>
      </c>
      <c r="F97" s="32"/>
      <c r="G97" s="32"/>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row>
    <row r="98" ht="15.75" customHeight="1">
      <c r="A98" s="109" t="s">
        <v>273</v>
      </c>
      <c r="B98" s="112">
        <v>4.0</v>
      </c>
      <c r="C98" s="35" t="s">
        <v>291</v>
      </c>
      <c r="D98" s="35" t="s">
        <v>292</v>
      </c>
      <c r="E98" s="35" t="s">
        <v>293</v>
      </c>
      <c r="F98" s="32"/>
      <c r="G98" s="32"/>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row>
    <row r="99" ht="15.75" customHeight="1">
      <c r="A99" s="109" t="s">
        <v>273</v>
      </c>
      <c r="B99" s="112">
        <v>5.0</v>
      </c>
      <c r="C99" s="35" t="s">
        <v>295</v>
      </c>
      <c r="D99" s="35" t="s">
        <v>296</v>
      </c>
      <c r="E99" s="114" t="s">
        <v>297</v>
      </c>
      <c r="F99" s="32"/>
      <c r="G99" s="32"/>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row>
    <row r="100" ht="15.75" customHeight="1">
      <c r="A100" s="109" t="s">
        <v>273</v>
      </c>
      <c r="B100" s="112">
        <v>6.0</v>
      </c>
      <c r="C100" s="35" t="s">
        <v>301</v>
      </c>
      <c r="D100" s="35" t="s">
        <v>302</v>
      </c>
      <c r="E100" s="114" t="s">
        <v>303</v>
      </c>
      <c r="F100" s="199"/>
      <c r="G100" s="32"/>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row>
    <row r="101" ht="15.75" customHeight="1">
      <c r="A101" s="109" t="s">
        <v>273</v>
      </c>
      <c r="B101" s="112">
        <v>7.0</v>
      </c>
      <c r="C101" s="35" t="s">
        <v>313</v>
      </c>
      <c r="D101" s="35" t="s">
        <v>313</v>
      </c>
      <c r="E101" s="35" t="s">
        <v>314</v>
      </c>
      <c r="F101" s="32"/>
      <c r="G101" s="32"/>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row>
    <row r="102" ht="15.75" customHeight="1">
      <c r="A102" s="109" t="s">
        <v>273</v>
      </c>
      <c r="B102" s="112">
        <v>8.0</v>
      </c>
      <c r="C102" s="35" t="s">
        <v>315</v>
      </c>
      <c r="D102" s="35" t="s">
        <v>316</v>
      </c>
      <c r="E102" s="114" t="s">
        <v>317</v>
      </c>
      <c r="F102" s="32"/>
      <c r="G102" s="32"/>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row>
    <row r="103" ht="15.75" customHeight="1">
      <c r="A103" s="109" t="s">
        <v>273</v>
      </c>
      <c r="B103" s="112">
        <v>9.0</v>
      </c>
      <c r="C103" s="35" t="s">
        <v>320</v>
      </c>
      <c r="D103" s="35" t="s">
        <v>321</v>
      </c>
      <c r="E103" s="114" t="s">
        <v>322</v>
      </c>
      <c r="F103" s="199"/>
      <c r="G103" s="32"/>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row>
    <row r="104" ht="15.75" customHeight="1">
      <c r="A104" s="109" t="s">
        <v>273</v>
      </c>
      <c r="B104" s="112">
        <v>10.0</v>
      </c>
      <c r="C104" s="35" t="s">
        <v>324</v>
      </c>
      <c r="D104" s="35" t="s">
        <v>325</v>
      </c>
      <c r="E104" s="114" t="s">
        <v>326</v>
      </c>
      <c r="F104" s="32"/>
      <c r="G104" s="32"/>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row>
    <row r="105" ht="15.75" customHeight="1">
      <c r="A105" s="109" t="s">
        <v>273</v>
      </c>
      <c r="B105" s="112">
        <v>11.0</v>
      </c>
      <c r="C105" s="35" t="s">
        <v>330</v>
      </c>
      <c r="D105" s="35" t="s">
        <v>331</v>
      </c>
      <c r="E105" s="35" t="s">
        <v>332</v>
      </c>
      <c r="F105" s="32"/>
      <c r="G105" s="32"/>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row>
    <row r="106" ht="15.75" customHeight="1">
      <c r="A106" s="109" t="s">
        <v>273</v>
      </c>
      <c r="B106" s="112">
        <v>13.0</v>
      </c>
      <c r="C106" s="35" t="s">
        <v>335</v>
      </c>
      <c r="D106" s="35" t="s">
        <v>336</v>
      </c>
      <c r="E106" s="114" t="s">
        <v>337</v>
      </c>
      <c r="F106" s="32"/>
      <c r="G106" s="32"/>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row>
    <row r="107" ht="15.75" customHeight="1">
      <c r="A107" s="109" t="s">
        <v>273</v>
      </c>
      <c r="B107" s="112">
        <v>14.0</v>
      </c>
      <c r="C107" s="35" t="s">
        <v>340</v>
      </c>
      <c r="D107" s="35" t="s">
        <v>341</v>
      </c>
      <c r="E107" s="35" t="s">
        <v>342</v>
      </c>
      <c r="F107" s="32"/>
      <c r="G107" s="32"/>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row>
    <row r="108" ht="15.75" customHeight="1">
      <c r="A108" s="77" t="s">
        <v>273</v>
      </c>
      <c r="B108" s="120">
        <v>-99.0</v>
      </c>
      <c r="C108" s="43" t="s">
        <v>349</v>
      </c>
      <c r="D108" s="43" t="s">
        <v>350</v>
      </c>
      <c r="E108" s="92" t="s">
        <v>352</v>
      </c>
      <c r="F108" s="42"/>
      <c r="G108" s="42"/>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row>
    <row r="109" ht="15.75" customHeight="1">
      <c r="A109" s="122"/>
      <c r="B109" s="123"/>
      <c r="C109" s="122"/>
      <c r="D109" s="122"/>
      <c r="E109" s="202"/>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row>
    <row r="110" ht="15.75" customHeight="1">
      <c r="A110" s="132" t="s">
        <v>676</v>
      </c>
      <c r="B110" s="133">
        <v>0.0</v>
      </c>
      <c r="C110" s="140" t="s">
        <v>232</v>
      </c>
      <c r="D110" s="140" t="s">
        <v>233</v>
      </c>
      <c r="E110" s="203" t="s">
        <v>678</v>
      </c>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row>
    <row r="111" ht="15.75" customHeight="1">
      <c r="A111" s="109" t="s">
        <v>676</v>
      </c>
      <c r="B111" s="112">
        <v>1.0</v>
      </c>
      <c r="C111" s="35" t="s">
        <v>690</v>
      </c>
      <c r="D111" s="35" t="s">
        <v>691</v>
      </c>
      <c r="E111" s="114" t="s">
        <v>692</v>
      </c>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row>
    <row r="112" ht="15.75" customHeight="1">
      <c r="A112" s="109" t="s">
        <v>676</v>
      </c>
      <c r="B112" s="112">
        <v>2.0</v>
      </c>
      <c r="C112" s="35" t="s">
        <v>700</v>
      </c>
      <c r="D112" s="35" t="s">
        <v>701</v>
      </c>
      <c r="E112" s="114" t="s">
        <v>703</v>
      </c>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row>
    <row r="113" ht="15.75" customHeight="1">
      <c r="A113" s="109" t="s">
        <v>676</v>
      </c>
      <c r="B113" s="112">
        <v>3.0</v>
      </c>
      <c r="C113" s="35" t="s">
        <v>711</v>
      </c>
      <c r="D113" s="35" t="s">
        <v>712</v>
      </c>
      <c r="E113" s="35" t="s">
        <v>713</v>
      </c>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row>
    <row r="114" ht="15.75" customHeight="1">
      <c r="A114" s="109" t="s">
        <v>676</v>
      </c>
      <c r="B114" s="112">
        <v>4.0</v>
      </c>
      <c r="C114" s="35" t="s">
        <v>716</v>
      </c>
      <c r="D114" s="35" t="s">
        <v>717</v>
      </c>
      <c r="E114" s="114" t="s">
        <v>719</v>
      </c>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row>
    <row r="115" ht="15.75" customHeight="1">
      <c r="A115" s="109" t="s">
        <v>676</v>
      </c>
      <c r="B115" s="112">
        <v>5.0</v>
      </c>
      <c r="C115" s="35" t="s">
        <v>724</v>
      </c>
      <c r="D115" s="35" t="s">
        <v>725</v>
      </c>
      <c r="E115" s="114" t="s">
        <v>726</v>
      </c>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row>
    <row r="116" ht="15.75" customHeight="1">
      <c r="A116" s="77" t="s">
        <v>676</v>
      </c>
      <c r="B116" s="120">
        <v>6.0</v>
      </c>
      <c r="C116" s="43" t="s">
        <v>735</v>
      </c>
      <c r="D116" s="43" t="s">
        <v>736</v>
      </c>
      <c r="E116" s="43" t="s">
        <v>737</v>
      </c>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row>
    <row r="117" ht="15.75" customHeight="1">
      <c r="A117" s="122"/>
      <c r="B117" s="123"/>
      <c r="C117" s="122"/>
      <c r="D117" s="122"/>
      <c r="E117" s="202"/>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row>
    <row r="118" ht="15.75" customHeight="1">
      <c r="A118" s="132" t="s">
        <v>750</v>
      </c>
      <c r="B118" s="133">
        <v>1.0</v>
      </c>
      <c r="C118" s="140" t="s">
        <v>751</v>
      </c>
      <c r="D118" s="140" t="s">
        <v>751</v>
      </c>
      <c r="E118" s="140" t="s">
        <v>751</v>
      </c>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row>
    <row r="119" ht="15.75" customHeight="1">
      <c r="A119" s="109" t="s">
        <v>750</v>
      </c>
      <c r="B119" s="112">
        <v>2.0</v>
      </c>
      <c r="C119" s="35" t="s">
        <v>765</v>
      </c>
      <c r="D119" s="35" t="s">
        <v>765</v>
      </c>
      <c r="E119" s="35" t="s">
        <v>765</v>
      </c>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row>
    <row r="120" ht="15.75" customHeight="1">
      <c r="A120" s="109" t="s">
        <v>750</v>
      </c>
      <c r="B120" s="112">
        <v>3.0</v>
      </c>
      <c r="C120" s="35" t="s">
        <v>795</v>
      </c>
      <c r="D120" s="35" t="s">
        <v>795</v>
      </c>
      <c r="E120" s="35" t="s">
        <v>795</v>
      </c>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row>
    <row r="121" ht="15.75" customHeight="1">
      <c r="A121" s="109" t="s">
        <v>750</v>
      </c>
      <c r="B121" s="112">
        <v>4.0</v>
      </c>
      <c r="C121" s="35" t="s">
        <v>805</v>
      </c>
      <c r="D121" s="35" t="s">
        <v>805</v>
      </c>
      <c r="E121" s="35" t="s">
        <v>805</v>
      </c>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row>
    <row r="122" ht="15.75" customHeight="1">
      <c r="A122" s="109" t="s">
        <v>750</v>
      </c>
      <c r="B122" s="112">
        <v>5.0</v>
      </c>
      <c r="C122" s="35" t="s">
        <v>811</v>
      </c>
      <c r="D122" s="35" t="s">
        <v>811</v>
      </c>
      <c r="E122" s="35" t="s">
        <v>811</v>
      </c>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row>
    <row r="123" ht="15.75" customHeight="1">
      <c r="A123" s="109" t="s">
        <v>750</v>
      </c>
      <c r="B123" s="112">
        <v>6.0</v>
      </c>
      <c r="C123" s="35" t="s">
        <v>822</v>
      </c>
      <c r="D123" s="35" t="s">
        <v>822</v>
      </c>
      <c r="E123" s="35" t="s">
        <v>822</v>
      </c>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row>
    <row r="124" ht="15.75" customHeight="1">
      <c r="A124" s="109" t="s">
        <v>750</v>
      </c>
      <c r="B124" s="112">
        <v>7.0</v>
      </c>
      <c r="C124" s="35" t="s">
        <v>831</v>
      </c>
      <c r="D124" s="35" t="s">
        <v>831</v>
      </c>
      <c r="E124" s="35" t="s">
        <v>831</v>
      </c>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row>
    <row r="125" ht="15.75" customHeight="1">
      <c r="A125" s="77" t="s">
        <v>750</v>
      </c>
      <c r="B125" s="120">
        <v>8.0</v>
      </c>
      <c r="C125" s="43" t="s">
        <v>837</v>
      </c>
      <c r="D125" s="43" t="s">
        <v>837</v>
      </c>
      <c r="E125" s="43" t="s">
        <v>837</v>
      </c>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row>
    <row r="126" ht="15.75" customHeight="1">
      <c r="A126" s="122"/>
      <c r="B126" s="123"/>
      <c r="C126" s="122"/>
      <c r="D126" s="122"/>
      <c r="E126" s="202"/>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row>
    <row r="127" ht="15.75" customHeight="1">
      <c r="A127" s="210" t="s">
        <v>903</v>
      </c>
      <c r="B127" s="211" t="s">
        <v>921</v>
      </c>
      <c r="C127" s="211" t="s">
        <v>924</v>
      </c>
      <c r="D127" s="211" t="s">
        <v>924</v>
      </c>
      <c r="E127" s="211" t="s">
        <v>924</v>
      </c>
      <c r="F127" s="212"/>
      <c r="G127" s="212"/>
      <c r="H127" s="213"/>
      <c r="I127" s="213"/>
      <c r="J127" s="213"/>
      <c r="K127" s="213"/>
      <c r="L127" s="213"/>
      <c r="M127" s="213"/>
      <c r="N127" s="213"/>
      <c r="O127" s="213"/>
      <c r="P127" s="213"/>
      <c r="Q127" s="213"/>
      <c r="R127" s="213"/>
      <c r="S127" s="213"/>
      <c r="T127" s="213"/>
      <c r="U127" s="213"/>
      <c r="V127" s="213"/>
      <c r="W127" s="213"/>
      <c r="X127" s="213"/>
      <c r="Y127" s="213"/>
      <c r="Z127" s="213"/>
      <c r="AA127" s="213"/>
      <c r="AB127" s="213"/>
      <c r="AC127" s="213"/>
      <c r="AD127" s="213"/>
      <c r="AE127" s="213"/>
      <c r="AF127" s="213"/>
    </row>
    <row r="128" ht="15.75" customHeight="1">
      <c r="A128" s="210" t="s">
        <v>903</v>
      </c>
      <c r="B128" s="119">
        <v>-777.0</v>
      </c>
      <c r="C128" s="35" t="s">
        <v>139</v>
      </c>
      <c r="D128" s="35" t="s">
        <v>146</v>
      </c>
      <c r="E128" s="35" t="s">
        <v>940</v>
      </c>
      <c r="F128" s="37"/>
      <c r="G128" s="115"/>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row>
    <row r="129" ht="15.75" customHeight="1">
      <c r="A129" s="122"/>
      <c r="B129" s="123"/>
      <c r="C129" s="122"/>
      <c r="D129" s="122"/>
      <c r="E129" s="122"/>
      <c r="F129" s="37"/>
      <c r="G129" s="115"/>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row>
    <row r="130" ht="15.75" customHeight="1">
      <c r="A130" s="132" t="s">
        <v>953</v>
      </c>
      <c r="B130" s="133">
        <v>0.0</v>
      </c>
      <c r="C130" s="140" t="s">
        <v>232</v>
      </c>
      <c r="D130" s="140" t="s">
        <v>233</v>
      </c>
      <c r="E130" s="140" t="s">
        <v>234</v>
      </c>
      <c r="F130" s="136"/>
      <c r="G130" s="214">
        <v>1.0</v>
      </c>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row>
    <row r="131" ht="15.75" customHeight="1">
      <c r="A131" s="109" t="s">
        <v>953</v>
      </c>
      <c r="B131" s="112">
        <v>1.0</v>
      </c>
      <c r="C131" s="35" t="s">
        <v>966</v>
      </c>
      <c r="D131" s="35" t="s">
        <v>966</v>
      </c>
      <c r="E131" s="35" t="s">
        <v>968</v>
      </c>
      <c r="F131" s="32"/>
      <c r="G131" s="117">
        <v>2.0</v>
      </c>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row>
    <row r="132" ht="15.75" customHeight="1">
      <c r="A132" s="109" t="s">
        <v>953</v>
      </c>
      <c r="B132" s="112">
        <v>2.0</v>
      </c>
      <c r="C132" s="35" t="s">
        <v>979</v>
      </c>
      <c r="D132" s="35" t="s">
        <v>980</v>
      </c>
      <c r="E132" s="35" t="s">
        <v>982</v>
      </c>
      <c r="F132" s="32"/>
      <c r="G132" s="32"/>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row>
    <row r="133" ht="15.75" customHeight="1">
      <c r="A133" s="109" t="s">
        <v>953</v>
      </c>
      <c r="B133" s="112">
        <v>3.0</v>
      </c>
      <c r="C133" s="35" t="s">
        <v>990</v>
      </c>
      <c r="D133" s="35" t="s">
        <v>992</v>
      </c>
      <c r="E133" s="35" t="s">
        <v>990</v>
      </c>
      <c r="F133" s="32"/>
      <c r="G133" s="32"/>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row>
    <row r="134" ht="15.75" customHeight="1">
      <c r="A134" s="109" t="s">
        <v>953</v>
      </c>
      <c r="B134" s="112">
        <v>4.0</v>
      </c>
      <c r="C134" s="35" t="s">
        <v>1003</v>
      </c>
      <c r="D134" s="35" t="s">
        <v>1003</v>
      </c>
      <c r="E134" s="35" t="s">
        <v>1003</v>
      </c>
      <c r="F134" s="32"/>
      <c r="G134" s="32"/>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row>
    <row r="135" ht="15.75" customHeight="1">
      <c r="A135" s="109" t="s">
        <v>953</v>
      </c>
      <c r="B135" s="112">
        <v>5.0</v>
      </c>
      <c r="C135" s="35" t="s">
        <v>1011</v>
      </c>
      <c r="D135" s="35" t="s">
        <v>1012</v>
      </c>
      <c r="E135" s="35" t="s">
        <v>1014</v>
      </c>
      <c r="F135" s="32"/>
      <c r="G135" s="32"/>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row>
    <row r="136" ht="15.75" customHeight="1">
      <c r="A136" s="109" t="s">
        <v>953</v>
      </c>
      <c r="B136" s="112">
        <v>6.0</v>
      </c>
      <c r="C136" s="35" t="s">
        <v>1023</v>
      </c>
      <c r="D136" s="35" t="s">
        <v>1024</v>
      </c>
      <c r="E136" s="114" t="s">
        <v>1027</v>
      </c>
      <c r="F136" s="32"/>
      <c r="G136" s="32"/>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row>
    <row r="137" ht="15.75" customHeight="1">
      <c r="A137" s="109" t="s">
        <v>953</v>
      </c>
      <c r="B137" s="112">
        <v>7.0</v>
      </c>
      <c r="C137" s="35" t="s">
        <v>1034</v>
      </c>
      <c r="D137" s="35" t="s">
        <v>1035</v>
      </c>
      <c r="E137" s="35" t="s">
        <v>1034</v>
      </c>
      <c r="F137" s="32"/>
      <c r="G137" s="32"/>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row>
    <row r="138" ht="15.75" customHeight="1">
      <c r="A138" s="109" t="s">
        <v>953</v>
      </c>
      <c r="B138" s="112">
        <v>8.0</v>
      </c>
      <c r="C138" s="35" t="s">
        <v>1092</v>
      </c>
      <c r="D138" s="35" t="s">
        <v>1092</v>
      </c>
      <c r="E138" s="35" t="s">
        <v>1092</v>
      </c>
      <c r="F138" s="32"/>
      <c r="G138" s="32"/>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row>
    <row r="139" ht="15.75" customHeight="1">
      <c r="A139" s="109" t="s">
        <v>953</v>
      </c>
      <c r="B139" s="112">
        <v>9.0</v>
      </c>
      <c r="C139" s="35" t="s">
        <v>1101</v>
      </c>
      <c r="D139" s="35" t="s">
        <v>1101</v>
      </c>
      <c r="E139" s="35" t="s">
        <v>1101</v>
      </c>
      <c r="F139" s="32"/>
      <c r="G139" s="32"/>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row>
    <row r="140" ht="15.75" customHeight="1">
      <c r="A140" s="109" t="s">
        <v>953</v>
      </c>
      <c r="B140" s="112">
        <v>10.0</v>
      </c>
      <c r="C140" s="35" t="s">
        <v>1135</v>
      </c>
      <c r="D140" s="35" t="s">
        <v>1136</v>
      </c>
      <c r="E140" s="35" t="s">
        <v>1137</v>
      </c>
      <c r="F140" s="32"/>
      <c r="G140" s="32"/>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row>
    <row r="141" ht="15.75" customHeight="1">
      <c r="A141" s="109" t="s">
        <v>953</v>
      </c>
      <c r="B141" s="112">
        <v>11.0</v>
      </c>
      <c r="C141" s="35" t="s">
        <v>1144</v>
      </c>
      <c r="D141" s="35" t="s">
        <v>1146</v>
      </c>
      <c r="E141" s="35" t="s">
        <v>1144</v>
      </c>
      <c r="F141" s="32"/>
      <c r="G141" s="32"/>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row>
    <row r="142" ht="15.75" customHeight="1">
      <c r="A142" s="109" t="s">
        <v>953</v>
      </c>
      <c r="B142" s="112">
        <v>12.0</v>
      </c>
      <c r="C142" s="35" t="s">
        <v>1153</v>
      </c>
      <c r="D142" s="35" t="s">
        <v>1153</v>
      </c>
      <c r="E142" s="35" t="s">
        <v>1153</v>
      </c>
      <c r="F142" s="32"/>
      <c r="G142" s="32"/>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row>
    <row r="143" ht="15.75" customHeight="1">
      <c r="A143" s="109" t="s">
        <v>953</v>
      </c>
      <c r="B143" s="112">
        <v>13.0</v>
      </c>
      <c r="C143" s="35" t="s">
        <v>1185</v>
      </c>
      <c r="D143" s="35" t="s">
        <v>1187</v>
      </c>
      <c r="E143" s="35" t="s">
        <v>1185</v>
      </c>
      <c r="F143" s="32"/>
      <c r="G143" s="32"/>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row>
    <row r="144" ht="15.75" customHeight="1">
      <c r="A144" s="109" t="s">
        <v>953</v>
      </c>
      <c r="B144" s="112">
        <v>14.0</v>
      </c>
      <c r="C144" s="35" t="s">
        <v>1195</v>
      </c>
      <c r="D144" s="35" t="s">
        <v>1195</v>
      </c>
      <c r="E144" s="35" t="s">
        <v>1195</v>
      </c>
      <c r="F144" s="32"/>
      <c r="G144" s="32"/>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109" t="s">
        <v>953</v>
      </c>
      <c r="B145" s="112">
        <v>15.0</v>
      </c>
      <c r="C145" s="35" t="s">
        <v>1204</v>
      </c>
      <c r="D145" s="35" t="s">
        <v>1205</v>
      </c>
      <c r="E145" s="35" t="s">
        <v>1204</v>
      </c>
      <c r="F145" s="32"/>
      <c r="G145" s="32"/>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109" t="s">
        <v>953</v>
      </c>
      <c r="B146" s="112">
        <v>16.0</v>
      </c>
      <c r="C146" s="35" t="s">
        <v>1214</v>
      </c>
      <c r="D146" s="35" t="s">
        <v>1216</v>
      </c>
      <c r="E146" s="35" t="s">
        <v>1214</v>
      </c>
      <c r="F146" s="32"/>
      <c r="G146" s="32"/>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109" t="s">
        <v>953</v>
      </c>
      <c r="B147" s="112">
        <v>17.0</v>
      </c>
      <c r="C147" s="35" t="s">
        <v>1223</v>
      </c>
      <c r="D147" s="35" t="s">
        <v>1225</v>
      </c>
      <c r="E147" s="35" t="s">
        <v>1226</v>
      </c>
      <c r="F147" s="32"/>
      <c r="G147" s="32"/>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109" t="s">
        <v>953</v>
      </c>
      <c r="B148" s="112">
        <v>18.0</v>
      </c>
      <c r="C148" s="35" t="s">
        <v>1231</v>
      </c>
      <c r="D148" s="35" t="s">
        <v>1231</v>
      </c>
      <c r="E148" s="35" t="s">
        <v>1232</v>
      </c>
      <c r="F148" s="32"/>
      <c r="G148" s="32"/>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109" t="s">
        <v>953</v>
      </c>
      <c r="B149" s="112">
        <v>19.0</v>
      </c>
      <c r="C149" s="35" t="s">
        <v>1241</v>
      </c>
      <c r="D149" s="35" t="s">
        <v>1241</v>
      </c>
      <c r="E149" s="35" t="s">
        <v>1243</v>
      </c>
      <c r="F149" s="32"/>
      <c r="G149" s="32"/>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109" t="s">
        <v>953</v>
      </c>
      <c r="B150" s="112">
        <v>20.0</v>
      </c>
      <c r="C150" s="35" t="s">
        <v>1251</v>
      </c>
      <c r="D150" s="35" t="s">
        <v>1253</v>
      </c>
      <c r="E150" s="114" t="s">
        <v>1256</v>
      </c>
      <c r="F150" s="32"/>
      <c r="G150" s="32"/>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109" t="s">
        <v>953</v>
      </c>
      <c r="B151" s="112">
        <v>21.0</v>
      </c>
      <c r="C151" s="35" t="s">
        <v>1266</v>
      </c>
      <c r="D151" s="35" t="s">
        <v>1267</v>
      </c>
      <c r="E151" s="35" t="s">
        <v>1268</v>
      </c>
      <c r="F151" s="32"/>
      <c r="G151" s="32"/>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109" t="s">
        <v>953</v>
      </c>
      <c r="B152" s="112">
        <v>-777.0</v>
      </c>
      <c r="C152" s="35" t="s">
        <v>139</v>
      </c>
      <c r="D152" s="35" t="s">
        <v>146</v>
      </c>
      <c r="E152" s="35" t="s">
        <v>940</v>
      </c>
      <c r="F152" s="32"/>
      <c r="G152" s="32"/>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77" t="s">
        <v>953</v>
      </c>
      <c r="B153" s="120">
        <v>-999.0</v>
      </c>
      <c r="C153" s="43" t="s">
        <v>124</v>
      </c>
      <c r="D153" s="43" t="s">
        <v>125</v>
      </c>
      <c r="E153" s="43" t="s">
        <v>126</v>
      </c>
      <c r="F153" s="42"/>
      <c r="G153" s="42"/>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row>
    <row r="154" ht="15.75" customHeight="1">
      <c r="A154" s="122"/>
      <c r="B154" s="123"/>
      <c r="C154" s="122"/>
      <c r="D154" s="122"/>
      <c r="E154" s="202"/>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132" t="s">
        <v>1327</v>
      </c>
      <c r="B155" s="133">
        <v>1.0</v>
      </c>
      <c r="C155" s="140" t="s">
        <v>1330</v>
      </c>
      <c r="D155" s="140" t="s">
        <v>1336</v>
      </c>
      <c r="E155" s="203" t="s">
        <v>1337</v>
      </c>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row>
    <row r="156" ht="15.75" customHeight="1">
      <c r="A156" s="109" t="s">
        <v>1327</v>
      </c>
      <c r="B156" s="112">
        <v>2.0</v>
      </c>
      <c r="C156" s="35" t="s">
        <v>1395</v>
      </c>
      <c r="D156" s="35" t="s">
        <v>1396</v>
      </c>
      <c r="E156" s="114" t="s">
        <v>1397</v>
      </c>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109" t="s">
        <v>1327</v>
      </c>
      <c r="B157" s="112">
        <v>3.0</v>
      </c>
      <c r="C157" s="35" t="s">
        <v>1407</v>
      </c>
      <c r="D157" s="35" t="s">
        <v>1409</v>
      </c>
      <c r="E157" s="35" t="s">
        <v>1410</v>
      </c>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109" t="s">
        <v>1327</v>
      </c>
      <c r="B158" s="112">
        <v>4.0</v>
      </c>
      <c r="C158" s="35" t="s">
        <v>1418</v>
      </c>
      <c r="D158" s="35" t="s">
        <v>1420</v>
      </c>
      <c r="E158" s="35" t="s">
        <v>1421</v>
      </c>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77" t="s">
        <v>1327</v>
      </c>
      <c r="B159" s="120">
        <v>-777.0</v>
      </c>
      <c r="C159" s="43" t="s">
        <v>139</v>
      </c>
      <c r="D159" s="43" t="s">
        <v>146</v>
      </c>
      <c r="E159" s="43" t="s">
        <v>147</v>
      </c>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row>
    <row r="160" ht="15.75" customHeight="1">
      <c r="A160" s="122"/>
      <c r="B160" s="123"/>
      <c r="C160" s="122"/>
      <c r="D160" s="122"/>
      <c r="E160" s="202"/>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132" t="s">
        <v>1451</v>
      </c>
      <c r="B161" s="133">
        <v>1.0</v>
      </c>
      <c r="C161" s="140" t="s">
        <v>1452</v>
      </c>
      <c r="D161" s="140" t="s">
        <v>1453</v>
      </c>
      <c r="E161" s="203" t="s">
        <v>1456</v>
      </c>
      <c r="F161" s="136"/>
      <c r="G161" s="136"/>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row>
    <row r="162" ht="15.75" customHeight="1">
      <c r="A162" s="109" t="s">
        <v>1451</v>
      </c>
      <c r="B162" s="112">
        <v>2.0</v>
      </c>
      <c r="C162" s="35" t="s">
        <v>1475</v>
      </c>
      <c r="D162" s="35" t="s">
        <v>1476</v>
      </c>
      <c r="E162" s="35" t="s">
        <v>1477</v>
      </c>
      <c r="F162" s="32"/>
      <c r="G162" s="32"/>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109" t="s">
        <v>1451</v>
      </c>
      <c r="B163" s="112">
        <v>3.0</v>
      </c>
      <c r="C163" s="35" t="s">
        <v>1479</v>
      </c>
      <c r="D163" s="35" t="s">
        <v>1480</v>
      </c>
      <c r="E163" s="114" t="s">
        <v>1481</v>
      </c>
      <c r="F163" s="32"/>
      <c r="G163" s="32"/>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109" t="s">
        <v>1451</v>
      </c>
      <c r="B164" s="112">
        <v>4.0</v>
      </c>
      <c r="C164" s="35" t="s">
        <v>1487</v>
      </c>
      <c r="D164" s="35" t="s">
        <v>1488</v>
      </c>
      <c r="E164" s="114" t="s">
        <v>1489</v>
      </c>
      <c r="F164" s="32"/>
      <c r="G164" s="32"/>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109" t="s">
        <v>1451</v>
      </c>
      <c r="B165" s="112">
        <v>5.0</v>
      </c>
      <c r="C165" s="35" t="s">
        <v>1494</v>
      </c>
      <c r="D165" s="35" t="s">
        <v>1495</v>
      </c>
      <c r="E165" s="35" t="s">
        <v>1496</v>
      </c>
      <c r="F165" s="32"/>
      <c r="G165" s="32"/>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109" t="s">
        <v>1451</v>
      </c>
      <c r="B166" s="112">
        <v>6.0</v>
      </c>
      <c r="C166" s="35" t="s">
        <v>1502</v>
      </c>
      <c r="D166" s="35" t="s">
        <v>1503</v>
      </c>
      <c r="E166" s="35" t="s">
        <v>1504</v>
      </c>
      <c r="F166" s="32"/>
      <c r="G166" s="32"/>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109" t="s">
        <v>1451</v>
      </c>
      <c r="B167" s="112">
        <v>7.0</v>
      </c>
      <c r="C167" s="35" t="s">
        <v>1513</v>
      </c>
      <c r="D167" s="35" t="s">
        <v>1514</v>
      </c>
      <c r="E167" s="35" t="s">
        <v>1515</v>
      </c>
      <c r="F167" s="32"/>
      <c r="G167" s="32"/>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109" t="s">
        <v>1451</v>
      </c>
      <c r="B168" s="112">
        <v>8.0</v>
      </c>
      <c r="C168" s="35" t="s">
        <v>1524</v>
      </c>
      <c r="D168" s="35" t="s">
        <v>1525</v>
      </c>
      <c r="E168" s="114" t="s">
        <v>1529</v>
      </c>
      <c r="F168" s="32"/>
      <c r="G168" s="32"/>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109" t="s">
        <v>1451</v>
      </c>
      <c r="B169" s="112">
        <v>9.0</v>
      </c>
      <c r="C169" s="35" t="s">
        <v>1561</v>
      </c>
      <c r="D169" s="35" t="s">
        <v>1562</v>
      </c>
      <c r="E169" s="35" t="s">
        <v>1563</v>
      </c>
      <c r="F169" s="32"/>
      <c r="G169" s="32"/>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77" t="s">
        <v>1451</v>
      </c>
      <c r="B170" s="120">
        <v>-777.0</v>
      </c>
      <c r="C170" s="43" t="s">
        <v>139</v>
      </c>
      <c r="D170" s="43" t="s">
        <v>146</v>
      </c>
      <c r="E170" s="43" t="s">
        <v>147</v>
      </c>
      <c r="F170" s="42"/>
      <c r="G170" s="42"/>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row>
    <row r="171" ht="15.75" customHeight="1">
      <c r="A171" s="122"/>
      <c r="B171" s="123"/>
      <c r="C171" s="122"/>
      <c r="D171" s="122"/>
      <c r="E171" s="202"/>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132" t="s">
        <v>1592</v>
      </c>
      <c r="B172" s="133">
        <v>1.0</v>
      </c>
      <c r="C172" s="140" t="s">
        <v>1596</v>
      </c>
      <c r="D172" s="140" t="s">
        <v>1597</v>
      </c>
      <c r="E172" s="203" t="s">
        <v>1598</v>
      </c>
      <c r="F172" s="136"/>
      <c r="G172" s="235"/>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row>
    <row r="173" ht="15.75" customHeight="1">
      <c r="A173" s="109" t="s">
        <v>1592</v>
      </c>
      <c r="B173" s="112">
        <v>2.0</v>
      </c>
      <c r="C173" s="35" t="s">
        <v>1605</v>
      </c>
      <c r="D173" s="35" t="s">
        <v>1607</v>
      </c>
      <c r="E173" s="114" t="s">
        <v>1609</v>
      </c>
      <c r="F173" s="199"/>
      <c r="G173" s="32"/>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109" t="s">
        <v>1592</v>
      </c>
      <c r="B174" s="112">
        <v>3.0</v>
      </c>
      <c r="C174" s="35" t="s">
        <v>1616</v>
      </c>
      <c r="D174" s="35" t="s">
        <v>717</v>
      </c>
      <c r="E174" s="114" t="s">
        <v>1617</v>
      </c>
      <c r="F174" s="199"/>
      <c r="G174" s="32"/>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77" t="s">
        <v>1592</v>
      </c>
      <c r="B175" s="120">
        <v>4.0</v>
      </c>
      <c r="C175" s="43" t="s">
        <v>1635</v>
      </c>
      <c r="D175" s="43" t="s">
        <v>1636</v>
      </c>
      <c r="E175" s="92" t="s">
        <v>1639</v>
      </c>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row>
    <row r="176" ht="15.75" customHeight="1">
      <c r="A176" s="122"/>
      <c r="B176" s="123"/>
      <c r="C176" s="122"/>
      <c r="D176" s="122"/>
      <c r="E176" s="202"/>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132" t="s">
        <v>1674</v>
      </c>
      <c r="B177" s="133">
        <v>1.0</v>
      </c>
      <c r="C177" s="140" t="s">
        <v>1679</v>
      </c>
      <c r="D177" s="140" t="s">
        <v>1679</v>
      </c>
      <c r="E177" s="140" t="s">
        <v>1682</v>
      </c>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37"/>
      <c r="AF177" s="37"/>
    </row>
    <row r="178" ht="15.75" customHeight="1">
      <c r="A178" s="109" t="s">
        <v>1674</v>
      </c>
      <c r="B178" s="112">
        <v>2.0</v>
      </c>
      <c r="C178" s="35" t="s">
        <v>1695</v>
      </c>
      <c r="D178" s="35" t="s">
        <v>1697</v>
      </c>
      <c r="E178" s="35" t="s">
        <v>1699</v>
      </c>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109" t="s">
        <v>1674</v>
      </c>
      <c r="B179" s="112">
        <v>3.0</v>
      </c>
      <c r="C179" s="35" t="s">
        <v>1711</v>
      </c>
      <c r="D179" s="35" t="s">
        <v>1711</v>
      </c>
      <c r="E179" s="35" t="s">
        <v>1713</v>
      </c>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109" t="s">
        <v>1674</v>
      </c>
      <c r="B180" s="112">
        <v>4.0</v>
      </c>
      <c r="C180" s="35" t="s">
        <v>1719</v>
      </c>
      <c r="D180" s="35" t="s">
        <v>1721</v>
      </c>
      <c r="E180" s="35" t="s">
        <v>1722</v>
      </c>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109" t="s">
        <v>1674</v>
      </c>
      <c r="B181" s="112">
        <v>5.0</v>
      </c>
      <c r="C181" s="35" t="s">
        <v>1727</v>
      </c>
      <c r="D181" s="35" t="s">
        <v>1729</v>
      </c>
      <c r="E181" s="35" t="s">
        <v>1732</v>
      </c>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109" t="s">
        <v>1674</v>
      </c>
      <c r="B182" s="112">
        <v>6.0</v>
      </c>
      <c r="C182" s="35" t="s">
        <v>1743</v>
      </c>
      <c r="D182" s="35" t="s">
        <v>1744</v>
      </c>
      <c r="E182" s="35" t="s">
        <v>1745</v>
      </c>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109" t="s">
        <v>1674</v>
      </c>
      <c r="B183" s="112">
        <v>7.0</v>
      </c>
      <c r="C183" s="35" t="s">
        <v>1674</v>
      </c>
      <c r="D183" s="35" t="s">
        <v>1750</v>
      </c>
      <c r="E183" s="35" t="s">
        <v>1751</v>
      </c>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109" t="s">
        <v>1674</v>
      </c>
      <c r="B184" s="112">
        <v>8.0</v>
      </c>
      <c r="C184" s="35" t="s">
        <v>1761</v>
      </c>
      <c r="D184" s="35" t="s">
        <v>1763</v>
      </c>
      <c r="E184" s="35" t="s">
        <v>1761</v>
      </c>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109" t="s">
        <v>1674</v>
      </c>
      <c r="B185" s="112">
        <v>9.0</v>
      </c>
      <c r="C185" s="35" t="s">
        <v>1776</v>
      </c>
      <c r="D185" s="35" t="s">
        <v>1779</v>
      </c>
      <c r="E185" s="35" t="s">
        <v>1781</v>
      </c>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109" t="s">
        <v>1674</v>
      </c>
      <c r="B186" s="112">
        <v>10.0</v>
      </c>
      <c r="C186" s="35" t="s">
        <v>1787</v>
      </c>
      <c r="D186" s="35" t="s">
        <v>1789</v>
      </c>
      <c r="E186" s="35" t="s">
        <v>1790</v>
      </c>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109" t="s">
        <v>1674</v>
      </c>
      <c r="B187" s="112">
        <v>11.0</v>
      </c>
      <c r="C187" s="35" t="s">
        <v>1802</v>
      </c>
      <c r="D187" s="35" t="s">
        <v>1803</v>
      </c>
      <c r="E187" s="35" t="s">
        <v>1804</v>
      </c>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77" t="s">
        <v>1674</v>
      </c>
      <c r="B188" s="120">
        <v>-777.0</v>
      </c>
      <c r="C188" s="43" t="s">
        <v>1811</v>
      </c>
      <c r="D188" s="43" t="s">
        <v>1812</v>
      </c>
      <c r="E188" s="43" t="s">
        <v>1813</v>
      </c>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37"/>
      <c r="AF188" s="37"/>
    </row>
    <row r="189" ht="15.75" customHeight="1">
      <c r="A189" s="122"/>
      <c r="B189" s="123"/>
      <c r="C189" s="122"/>
      <c r="D189" s="122"/>
      <c r="E189" s="202"/>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132" t="s">
        <v>1827</v>
      </c>
      <c r="B190" s="133">
        <v>0.0</v>
      </c>
      <c r="C190" s="140" t="s">
        <v>232</v>
      </c>
      <c r="D190" s="140" t="s">
        <v>233</v>
      </c>
      <c r="E190" s="140" t="s">
        <v>234</v>
      </c>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37"/>
      <c r="AF190" s="37"/>
    </row>
    <row r="191" ht="15.75" customHeight="1">
      <c r="A191" s="109" t="s">
        <v>1827</v>
      </c>
      <c r="B191" s="112">
        <v>1.0</v>
      </c>
      <c r="C191" s="35" t="s">
        <v>1831</v>
      </c>
      <c r="D191" s="35" t="s">
        <v>1832</v>
      </c>
      <c r="E191" s="35" t="s">
        <v>1833</v>
      </c>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109" t="s">
        <v>1827</v>
      </c>
      <c r="B192" s="112">
        <v>2.0</v>
      </c>
      <c r="C192" s="35" t="s">
        <v>1840</v>
      </c>
      <c r="D192" s="35" t="s">
        <v>1841</v>
      </c>
      <c r="E192" s="35" t="s">
        <v>1842</v>
      </c>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109" t="s">
        <v>1827</v>
      </c>
      <c r="B193" s="112">
        <v>3.0</v>
      </c>
      <c r="C193" s="35" t="s">
        <v>1844</v>
      </c>
      <c r="D193" s="35" t="s">
        <v>1846</v>
      </c>
      <c r="E193" s="35" t="s">
        <v>1849</v>
      </c>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109" t="s">
        <v>1827</v>
      </c>
      <c r="B194" s="112">
        <v>4.0</v>
      </c>
      <c r="C194" s="35" t="s">
        <v>1854</v>
      </c>
      <c r="D194" s="35" t="s">
        <v>1855</v>
      </c>
      <c r="E194" s="35" t="s">
        <v>1858</v>
      </c>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109" t="s">
        <v>1827</v>
      </c>
      <c r="B195" s="112">
        <v>5.0</v>
      </c>
      <c r="C195" s="35" t="s">
        <v>1864</v>
      </c>
      <c r="D195" s="35" t="s">
        <v>1865</v>
      </c>
      <c r="E195" s="35" t="s">
        <v>1867</v>
      </c>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109" t="s">
        <v>1827</v>
      </c>
      <c r="B196" s="112">
        <v>6.0</v>
      </c>
      <c r="C196" s="35" t="s">
        <v>1881</v>
      </c>
      <c r="D196" s="35" t="s">
        <v>1882</v>
      </c>
      <c r="E196" s="35" t="s">
        <v>1883</v>
      </c>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109" t="s">
        <v>1827</v>
      </c>
      <c r="B197" s="112">
        <v>7.0</v>
      </c>
      <c r="C197" s="35" t="s">
        <v>1885</v>
      </c>
      <c r="D197" s="35" t="s">
        <v>1885</v>
      </c>
      <c r="E197" s="35" t="s">
        <v>1889</v>
      </c>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109" t="s">
        <v>1827</v>
      </c>
      <c r="B198" s="112">
        <v>8.0</v>
      </c>
      <c r="C198" s="35" t="s">
        <v>1893</v>
      </c>
      <c r="D198" s="35" t="s">
        <v>1894</v>
      </c>
      <c r="E198" s="35" t="s">
        <v>1895</v>
      </c>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109" t="s">
        <v>1827</v>
      </c>
      <c r="B199" s="112">
        <v>9.0</v>
      </c>
      <c r="C199" s="35" t="s">
        <v>1907</v>
      </c>
      <c r="D199" s="35" t="s">
        <v>1907</v>
      </c>
      <c r="E199" s="35" t="s">
        <v>1908</v>
      </c>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109" t="s">
        <v>1827</v>
      </c>
      <c r="B200" s="112">
        <v>10.0</v>
      </c>
      <c r="C200" s="35" t="s">
        <v>1919</v>
      </c>
      <c r="D200" s="35" t="s">
        <v>1919</v>
      </c>
      <c r="E200" s="35" t="s">
        <v>1923</v>
      </c>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109" t="s">
        <v>1827</v>
      </c>
      <c r="B201" s="112">
        <v>11.0</v>
      </c>
      <c r="C201" s="35" t="s">
        <v>1931</v>
      </c>
      <c r="D201" s="35" t="s">
        <v>1932</v>
      </c>
      <c r="E201" s="35" t="s">
        <v>1933</v>
      </c>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109" t="s">
        <v>1827</v>
      </c>
      <c r="B202" s="112">
        <v>12.0</v>
      </c>
      <c r="C202" s="35" t="s">
        <v>1945</v>
      </c>
      <c r="D202" s="35" t="s">
        <v>1946</v>
      </c>
      <c r="E202" s="35" t="s">
        <v>1947</v>
      </c>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109" t="s">
        <v>1827</v>
      </c>
      <c r="B203" s="112">
        <v>13.0</v>
      </c>
      <c r="C203" s="35" t="s">
        <v>1952</v>
      </c>
      <c r="D203" s="35" t="s">
        <v>1953</v>
      </c>
      <c r="E203" s="35" t="s">
        <v>1954</v>
      </c>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109" t="s">
        <v>1827</v>
      </c>
      <c r="B204" s="112">
        <v>14.0</v>
      </c>
      <c r="C204" s="35" t="s">
        <v>1961</v>
      </c>
      <c r="D204" s="35" t="s">
        <v>1962</v>
      </c>
      <c r="E204" s="35" t="s">
        <v>1964</v>
      </c>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109" t="s">
        <v>1827</v>
      </c>
      <c r="B205" s="112">
        <v>15.0</v>
      </c>
      <c r="C205" s="35" t="s">
        <v>1968</v>
      </c>
      <c r="D205" s="35" t="s">
        <v>1969</v>
      </c>
      <c r="E205" s="35" t="s">
        <v>1970</v>
      </c>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109" t="s">
        <v>1827</v>
      </c>
      <c r="B206" s="112">
        <v>16.0</v>
      </c>
      <c r="C206" s="35" t="s">
        <v>1976</v>
      </c>
      <c r="D206" s="35" t="s">
        <v>1977</v>
      </c>
      <c r="E206" s="35" t="s">
        <v>1978</v>
      </c>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109" t="s">
        <v>1827</v>
      </c>
      <c r="B207" s="112">
        <v>17.0</v>
      </c>
      <c r="C207" s="35" t="s">
        <v>1980</v>
      </c>
      <c r="D207" s="35" t="s">
        <v>1981</v>
      </c>
      <c r="E207" s="35" t="s">
        <v>1984</v>
      </c>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109" t="s">
        <v>1827</v>
      </c>
      <c r="B208" s="112">
        <v>18.0</v>
      </c>
      <c r="C208" s="35" t="s">
        <v>1985</v>
      </c>
      <c r="D208" s="35" t="s">
        <v>1986</v>
      </c>
      <c r="E208" s="35" t="s">
        <v>1987</v>
      </c>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109" t="s">
        <v>1827</v>
      </c>
      <c r="B209" s="112">
        <v>19.0</v>
      </c>
      <c r="C209" s="35" t="s">
        <v>1993</v>
      </c>
      <c r="D209" s="35" t="s">
        <v>1994</v>
      </c>
      <c r="E209" s="35" t="s">
        <v>1995</v>
      </c>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109" t="s">
        <v>1827</v>
      </c>
      <c r="B210" s="112">
        <v>20.0</v>
      </c>
      <c r="C210" s="35" t="s">
        <v>2001</v>
      </c>
      <c r="D210" s="35" t="s">
        <v>2002</v>
      </c>
      <c r="E210" s="35" t="s">
        <v>2003</v>
      </c>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109" t="s">
        <v>1827</v>
      </c>
      <c r="B211" s="112">
        <v>21.0</v>
      </c>
      <c r="C211" s="35" t="s">
        <v>2008</v>
      </c>
      <c r="D211" s="35" t="s">
        <v>2009</v>
      </c>
      <c r="E211" s="35" t="s">
        <v>2010</v>
      </c>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109" t="s">
        <v>1827</v>
      </c>
      <c r="B212" s="112">
        <v>22.0</v>
      </c>
      <c r="C212" s="35" t="s">
        <v>2017</v>
      </c>
      <c r="D212" s="35" t="s">
        <v>2019</v>
      </c>
      <c r="E212" s="35" t="s">
        <v>2021</v>
      </c>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109" t="s">
        <v>1827</v>
      </c>
      <c r="B213" s="112">
        <v>23.0</v>
      </c>
      <c r="C213" s="35" t="s">
        <v>2023</v>
      </c>
      <c r="D213" s="35" t="s">
        <v>2024</v>
      </c>
      <c r="E213" s="35" t="s">
        <v>2027</v>
      </c>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109" t="s">
        <v>1827</v>
      </c>
      <c r="B214" s="112">
        <v>24.0</v>
      </c>
      <c r="C214" s="35" t="s">
        <v>2036</v>
      </c>
      <c r="D214" s="35" t="s">
        <v>2037</v>
      </c>
      <c r="E214" s="35" t="s">
        <v>2038</v>
      </c>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77" t="s">
        <v>1827</v>
      </c>
      <c r="B215" s="120">
        <v>-777.0</v>
      </c>
      <c r="C215" s="43" t="s">
        <v>139</v>
      </c>
      <c r="D215" s="43" t="s">
        <v>146</v>
      </c>
      <c r="E215" s="43" t="s">
        <v>147</v>
      </c>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37"/>
      <c r="AF215" s="37"/>
    </row>
    <row r="216" ht="15.75" customHeight="1">
      <c r="A216" s="122"/>
      <c r="B216" s="123"/>
      <c r="C216" s="122"/>
      <c r="D216" s="122"/>
      <c r="E216" s="202"/>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132" t="s">
        <v>2047</v>
      </c>
      <c r="B217" s="133">
        <v>1.0</v>
      </c>
      <c r="C217" s="140" t="s">
        <v>2048</v>
      </c>
      <c r="D217" s="140" t="s">
        <v>2049</v>
      </c>
      <c r="E217" s="140" t="s">
        <v>2050</v>
      </c>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37"/>
      <c r="AF217" s="37"/>
    </row>
    <row r="218" ht="15.75" customHeight="1">
      <c r="A218" s="109" t="s">
        <v>2047</v>
      </c>
      <c r="B218" s="112">
        <v>2.0</v>
      </c>
      <c r="C218" s="35" t="s">
        <v>2055</v>
      </c>
      <c r="D218" s="35" t="s">
        <v>2056</v>
      </c>
      <c r="E218" s="35" t="s">
        <v>2057</v>
      </c>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109" t="s">
        <v>2047</v>
      </c>
      <c r="B219" s="112">
        <v>3.0</v>
      </c>
      <c r="C219" s="35" t="s">
        <v>2058</v>
      </c>
      <c r="D219" s="35" t="s">
        <v>2058</v>
      </c>
      <c r="E219" s="35" t="s">
        <v>2059</v>
      </c>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109" t="s">
        <v>2047</v>
      </c>
      <c r="B220" s="112">
        <v>4.0</v>
      </c>
      <c r="C220" s="35" t="s">
        <v>2060</v>
      </c>
      <c r="D220" s="35" t="s">
        <v>2061</v>
      </c>
      <c r="E220" s="35" t="s">
        <v>2063</v>
      </c>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109" t="s">
        <v>2047</v>
      </c>
      <c r="B221" s="112">
        <v>5.0</v>
      </c>
      <c r="C221" s="35" t="s">
        <v>2067</v>
      </c>
      <c r="D221" s="35" t="s">
        <v>2068</v>
      </c>
      <c r="E221" s="35" t="s">
        <v>2069</v>
      </c>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109" t="s">
        <v>2047</v>
      </c>
      <c r="B222" s="112">
        <v>6.0</v>
      </c>
      <c r="C222" s="35" t="s">
        <v>2081</v>
      </c>
      <c r="D222" s="35" t="s">
        <v>2082</v>
      </c>
      <c r="E222" s="35" t="s">
        <v>2083</v>
      </c>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109" t="s">
        <v>2047</v>
      </c>
      <c r="B223" s="112">
        <v>7.0</v>
      </c>
      <c r="C223" s="35" t="s">
        <v>2084</v>
      </c>
      <c r="D223" s="35" t="s">
        <v>2085</v>
      </c>
      <c r="E223" s="35" t="s">
        <v>2086</v>
      </c>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109" t="s">
        <v>2047</v>
      </c>
      <c r="B224" s="112">
        <v>8.0</v>
      </c>
      <c r="C224" s="35" t="s">
        <v>2091</v>
      </c>
      <c r="D224" s="35" t="s">
        <v>2092</v>
      </c>
      <c r="E224" s="35" t="s">
        <v>2093</v>
      </c>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109" t="s">
        <v>2047</v>
      </c>
      <c r="B225" s="112">
        <v>9.0</v>
      </c>
      <c r="C225" s="35" t="s">
        <v>2094</v>
      </c>
      <c r="D225" s="35" t="s">
        <v>2095</v>
      </c>
      <c r="E225" s="35" t="s">
        <v>2098</v>
      </c>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109" t="s">
        <v>2047</v>
      </c>
      <c r="B226" s="112">
        <v>10.0</v>
      </c>
      <c r="C226" s="35" t="s">
        <v>2107</v>
      </c>
      <c r="D226" s="35" t="s">
        <v>2108</v>
      </c>
      <c r="E226" s="35" t="s">
        <v>2109</v>
      </c>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109" t="s">
        <v>2047</v>
      </c>
      <c r="B227" s="112">
        <v>11.0</v>
      </c>
      <c r="C227" s="35" t="s">
        <v>2115</v>
      </c>
      <c r="D227" s="35" t="s">
        <v>2116</v>
      </c>
      <c r="E227" s="35" t="s">
        <v>2117</v>
      </c>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109" t="s">
        <v>2047</v>
      </c>
      <c r="B228" s="112">
        <v>12.0</v>
      </c>
      <c r="C228" s="35" t="s">
        <v>2118</v>
      </c>
      <c r="D228" s="35" t="s">
        <v>2119</v>
      </c>
      <c r="E228" s="35" t="s">
        <v>2120</v>
      </c>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77" t="s">
        <v>2047</v>
      </c>
      <c r="B229" s="120">
        <v>0.0</v>
      </c>
      <c r="C229" s="43" t="s">
        <v>232</v>
      </c>
      <c r="D229" s="43" t="s">
        <v>233</v>
      </c>
      <c r="E229" s="43" t="s">
        <v>234</v>
      </c>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37"/>
      <c r="AF229" s="37"/>
    </row>
    <row r="230" ht="15.75" customHeight="1">
      <c r="A230" s="77"/>
      <c r="B230" s="43"/>
      <c r="C230" s="43"/>
      <c r="D230" s="43"/>
      <c r="E230" s="43"/>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37"/>
      <c r="AF230" s="37"/>
    </row>
    <row r="231" ht="15.75" customHeight="1">
      <c r="A231" s="109" t="s">
        <v>2133</v>
      </c>
      <c r="B231" s="112">
        <v>1.0</v>
      </c>
      <c r="C231" s="117" t="s">
        <v>2134</v>
      </c>
      <c r="D231" s="258" t="s">
        <v>2135</v>
      </c>
      <c r="E231" s="35" t="s">
        <v>2140</v>
      </c>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109" t="s">
        <v>2133</v>
      </c>
      <c r="B232" s="112">
        <v>2.0</v>
      </c>
      <c r="C232" s="35" t="s">
        <v>2144</v>
      </c>
      <c r="D232" s="35" t="s">
        <v>2145</v>
      </c>
      <c r="E232" s="35" t="s">
        <v>2148</v>
      </c>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109" t="s">
        <v>2133</v>
      </c>
      <c r="B233" s="112">
        <v>3.0</v>
      </c>
      <c r="C233" s="35" t="s">
        <v>2151</v>
      </c>
      <c r="D233" s="35" t="s">
        <v>2152</v>
      </c>
      <c r="E233" s="35" t="s">
        <v>2153</v>
      </c>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109" t="s">
        <v>2133</v>
      </c>
      <c r="B234" s="112">
        <v>4.0</v>
      </c>
      <c r="C234" s="35" t="s">
        <v>2158</v>
      </c>
      <c r="D234" s="35" t="s">
        <v>2159</v>
      </c>
      <c r="E234" s="35" t="s">
        <v>2160</v>
      </c>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109" t="s">
        <v>2133</v>
      </c>
      <c r="B235" s="112">
        <v>5.0</v>
      </c>
      <c r="C235" s="35" t="s">
        <v>2162</v>
      </c>
      <c r="D235" s="35" t="s">
        <v>2163</v>
      </c>
      <c r="E235" s="35" t="s">
        <v>2164</v>
      </c>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109" t="s">
        <v>2133</v>
      </c>
      <c r="B236" s="112">
        <v>6.0</v>
      </c>
      <c r="C236" s="35" t="s">
        <v>2169</v>
      </c>
      <c r="D236" s="35" t="s">
        <v>2170</v>
      </c>
      <c r="E236" s="35" t="s">
        <v>2171</v>
      </c>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109" t="s">
        <v>2133</v>
      </c>
      <c r="B237" s="112">
        <v>7.0</v>
      </c>
      <c r="C237" s="35" t="s">
        <v>2176</v>
      </c>
      <c r="D237" s="35" t="s">
        <v>2177</v>
      </c>
      <c r="E237" s="35" t="s">
        <v>2178</v>
      </c>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77" t="s">
        <v>2133</v>
      </c>
      <c r="B238" s="120">
        <v>0.0</v>
      </c>
      <c r="C238" s="43" t="s">
        <v>232</v>
      </c>
      <c r="D238" s="43" t="s">
        <v>233</v>
      </c>
      <c r="E238" s="43" t="s">
        <v>234</v>
      </c>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37"/>
      <c r="AF238" s="37"/>
    </row>
    <row r="239" ht="15.75" customHeight="1">
      <c r="A239" s="122"/>
      <c r="B239" s="123"/>
      <c r="C239" s="122"/>
      <c r="D239" s="122"/>
      <c r="E239" s="202"/>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132" t="s">
        <v>2188</v>
      </c>
      <c r="B240" s="133">
        <v>1.0</v>
      </c>
      <c r="C240" s="140" t="s">
        <v>2189</v>
      </c>
      <c r="D240" s="140" t="s">
        <v>2190</v>
      </c>
      <c r="E240" s="140" t="s">
        <v>2191</v>
      </c>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37"/>
      <c r="AF240" s="37"/>
    </row>
    <row r="241" ht="15.75" customHeight="1">
      <c r="A241" s="109" t="s">
        <v>2188</v>
      </c>
      <c r="B241" s="112">
        <v>2.0</v>
      </c>
      <c r="C241" s="35" t="s">
        <v>2192</v>
      </c>
      <c r="D241" s="35" t="s">
        <v>2195</v>
      </c>
      <c r="E241" s="35" t="s">
        <v>2197</v>
      </c>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109" t="s">
        <v>2188</v>
      </c>
      <c r="B242" s="112">
        <v>3.0</v>
      </c>
      <c r="C242" s="35" t="s">
        <v>2199</v>
      </c>
      <c r="D242" s="35" t="s">
        <v>2200</v>
      </c>
      <c r="E242" s="35" t="s">
        <v>2201</v>
      </c>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109" t="s">
        <v>2188</v>
      </c>
      <c r="B243" s="112">
        <v>4.0</v>
      </c>
      <c r="C243" s="35" t="s">
        <v>2208</v>
      </c>
      <c r="D243" s="35" t="s">
        <v>2209</v>
      </c>
      <c r="E243" s="35" t="s">
        <v>2210</v>
      </c>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109" t="s">
        <v>2188</v>
      </c>
      <c r="B244" s="112">
        <v>5.0</v>
      </c>
      <c r="C244" s="35" t="s">
        <v>2215</v>
      </c>
      <c r="D244" s="35" t="s">
        <v>2217</v>
      </c>
      <c r="E244" s="35" t="s">
        <v>2219</v>
      </c>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109" t="s">
        <v>2188</v>
      </c>
      <c r="B245" s="112">
        <v>6.0</v>
      </c>
      <c r="C245" s="35" t="s">
        <v>2228</v>
      </c>
      <c r="D245" s="35" t="s">
        <v>2229</v>
      </c>
      <c r="E245" s="35" t="s">
        <v>2230</v>
      </c>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109" t="s">
        <v>2188</v>
      </c>
      <c r="B246" s="112">
        <v>7.0</v>
      </c>
      <c r="C246" s="35" t="s">
        <v>2237</v>
      </c>
      <c r="D246" s="35" t="s">
        <v>2238</v>
      </c>
      <c r="E246" s="35" t="s">
        <v>2239</v>
      </c>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109" t="s">
        <v>2188</v>
      </c>
      <c r="B247" s="112">
        <v>8.0</v>
      </c>
      <c r="C247" s="35" t="s">
        <v>2243</v>
      </c>
      <c r="D247" s="35" t="s">
        <v>2243</v>
      </c>
      <c r="E247" s="35" t="s">
        <v>2244</v>
      </c>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109" t="s">
        <v>2188</v>
      </c>
      <c r="B248" s="112">
        <v>9.0</v>
      </c>
      <c r="C248" s="35" t="s">
        <v>2245</v>
      </c>
      <c r="D248" s="35" t="s">
        <v>2246</v>
      </c>
      <c r="E248" s="35" t="s">
        <v>2247</v>
      </c>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109" t="s">
        <v>2188</v>
      </c>
      <c r="B249" s="112">
        <v>10.0</v>
      </c>
      <c r="C249" s="35" t="s">
        <v>2255</v>
      </c>
      <c r="D249" s="35" t="s">
        <v>2256</v>
      </c>
      <c r="E249" s="35" t="s">
        <v>2259</v>
      </c>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109" t="s">
        <v>2188</v>
      </c>
      <c r="B250" s="112">
        <v>11.0</v>
      </c>
      <c r="C250" s="35" t="s">
        <v>2261</v>
      </c>
      <c r="D250" s="35" t="s">
        <v>2262</v>
      </c>
      <c r="E250" s="35" t="s">
        <v>2263</v>
      </c>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109" t="s">
        <v>2188</v>
      </c>
      <c r="B251" s="112">
        <v>12.0</v>
      </c>
      <c r="C251" s="35" t="s">
        <v>2265</v>
      </c>
      <c r="D251" s="35" t="s">
        <v>2266</v>
      </c>
      <c r="E251" s="35" t="s">
        <v>2267</v>
      </c>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77" t="s">
        <v>2188</v>
      </c>
      <c r="B252" s="120">
        <v>-777.0</v>
      </c>
      <c r="C252" s="43" t="s">
        <v>139</v>
      </c>
      <c r="D252" s="43" t="s">
        <v>146</v>
      </c>
      <c r="E252" s="43" t="s">
        <v>2269</v>
      </c>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37"/>
      <c r="AF252" s="37"/>
    </row>
    <row r="253" ht="15.75" customHeight="1">
      <c r="A253" s="122"/>
      <c r="B253" s="123"/>
      <c r="C253" s="122"/>
      <c r="D253" s="122"/>
      <c r="E253" s="202"/>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132" t="s">
        <v>2283</v>
      </c>
      <c r="B254" s="133">
        <v>1.0</v>
      </c>
      <c r="C254" s="140" t="s">
        <v>2284</v>
      </c>
      <c r="D254" s="140" t="s">
        <v>2285</v>
      </c>
      <c r="E254" s="203" t="s">
        <v>2286</v>
      </c>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37"/>
      <c r="AF254" s="37"/>
    </row>
    <row r="255" ht="15.75" customHeight="1">
      <c r="A255" s="109" t="s">
        <v>2283</v>
      </c>
      <c r="B255" s="112">
        <v>2.0</v>
      </c>
      <c r="C255" s="35" t="s">
        <v>2288</v>
      </c>
      <c r="D255" s="35" t="s">
        <v>2289</v>
      </c>
      <c r="E255" s="35" t="s">
        <v>2290</v>
      </c>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109" t="s">
        <v>2283</v>
      </c>
      <c r="B256" s="112">
        <v>3.0</v>
      </c>
      <c r="C256" s="35" t="s">
        <v>2291</v>
      </c>
      <c r="D256" s="35" t="s">
        <v>2292</v>
      </c>
      <c r="E256" s="35" t="s">
        <v>2294</v>
      </c>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109" t="s">
        <v>2283</v>
      </c>
      <c r="B257" s="112">
        <v>4.0</v>
      </c>
      <c r="C257" s="43" t="s">
        <v>2298</v>
      </c>
      <c r="D257" s="43" t="s">
        <v>2299</v>
      </c>
      <c r="E257" s="43" t="s">
        <v>2300</v>
      </c>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109" t="s">
        <v>2283</v>
      </c>
      <c r="B258" s="112">
        <v>5.0</v>
      </c>
      <c r="C258" s="260" t="s">
        <v>2305</v>
      </c>
      <c r="D258" s="138" t="s">
        <v>2306</v>
      </c>
      <c r="E258" s="138" t="s">
        <v>2307</v>
      </c>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109" t="s">
        <v>2283</v>
      </c>
      <c r="B259" s="112">
        <v>6.0</v>
      </c>
      <c r="C259" s="261" t="s">
        <v>2309</v>
      </c>
      <c r="D259" s="122" t="s">
        <v>2313</v>
      </c>
      <c r="E259" s="202" t="s">
        <v>2313</v>
      </c>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77" t="s">
        <v>2283</v>
      </c>
      <c r="B260" s="120">
        <v>-777.0</v>
      </c>
      <c r="C260" s="43" t="s">
        <v>2315</v>
      </c>
      <c r="D260" s="43" t="s">
        <v>146</v>
      </c>
      <c r="E260" s="43" t="s">
        <v>2318</v>
      </c>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37"/>
      <c r="AF260" s="37"/>
    </row>
    <row r="261" ht="15.75" customHeight="1">
      <c r="A261" s="122"/>
      <c r="B261" s="123"/>
      <c r="C261" s="122"/>
      <c r="D261" s="122"/>
      <c r="E261" s="202"/>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132" t="s">
        <v>2323</v>
      </c>
      <c r="B262" s="133">
        <v>1.0</v>
      </c>
      <c r="C262" s="140" t="s">
        <v>2324</v>
      </c>
      <c r="D262" s="140" t="s">
        <v>2325</v>
      </c>
      <c r="E262" s="203" t="s">
        <v>2326</v>
      </c>
      <c r="F262" s="235"/>
      <c r="G262" s="235"/>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row>
    <row r="263" ht="15.75" customHeight="1">
      <c r="A263" s="109" t="s">
        <v>2323</v>
      </c>
      <c r="B263" s="112">
        <v>2.0</v>
      </c>
      <c r="C263" s="35" t="s">
        <v>2288</v>
      </c>
      <c r="D263" s="35" t="s">
        <v>2289</v>
      </c>
      <c r="E263" s="114" t="s">
        <v>2340</v>
      </c>
      <c r="F263" s="199"/>
      <c r="G263" s="32"/>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109" t="s">
        <v>2323</v>
      </c>
      <c r="B264" s="112">
        <v>3.0</v>
      </c>
      <c r="C264" s="35" t="s">
        <v>2291</v>
      </c>
      <c r="D264" s="35" t="s">
        <v>2292</v>
      </c>
      <c r="E264" s="114" t="s">
        <v>2341</v>
      </c>
      <c r="F264" s="32"/>
      <c r="G264" s="32"/>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c r="A265" s="77" t="s">
        <v>2323</v>
      </c>
      <c r="B265" s="120">
        <v>-777.0</v>
      </c>
      <c r="C265" s="43" t="s">
        <v>2315</v>
      </c>
      <c r="D265" s="43" t="s">
        <v>146</v>
      </c>
      <c r="E265" s="92" t="s">
        <v>2318</v>
      </c>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row>
    <row r="266" ht="15.75" customHeight="1">
      <c r="A266" s="122"/>
      <c r="B266" s="123"/>
      <c r="C266" s="122"/>
      <c r="D266" s="122"/>
      <c r="E266" s="122"/>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row>
    <row r="267" ht="15.75" customHeight="1">
      <c r="A267" s="132" t="s">
        <v>2362</v>
      </c>
      <c r="B267" s="133">
        <v>0.0</v>
      </c>
      <c r="C267" s="140" t="s">
        <v>232</v>
      </c>
      <c r="D267" s="140" t="s">
        <v>233</v>
      </c>
      <c r="E267" s="140" t="s">
        <v>234</v>
      </c>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37"/>
      <c r="AF267" s="37"/>
    </row>
    <row r="268" ht="15.75" customHeight="1">
      <c r="A268" s="109" t="s">
        <v>2362</v>
      </c>
      <c r="B268" s="112">
        <v>1.0</v>
      </c>
      <c r="C268" s="35" t="s">
        <v>2367</v>
      </c>
      <c r="D268" s="35" t="s">
        <v>2368</v>
      </c>
      <c r="E268" s="35" t="s">
        <v>2369</v>
      </c>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row>
    <row r="269" ht="15.75" customHeight="1">
      <c r="A269" s="109" t="s">
        <v>2362</v>
      </c>
      <c r="B269" s="112">
        <v>2.0</v>
      </c>
      <c r="C269" s="35" t="s">
        <v>2370</v>
      </c>
      <c r="D269" s="35" t="s">
        <v>2371</v>
      </c>
      <c r="E269" s="114" t="s">
        <v>2372</v>
      </c>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row>
    <row r="270" ht="15.75" customHeight="1">
      <c r="A270" s="109" t="s">
        <v>2362</v>
      </c>
      <c r="B270" s="112">
        <v>3.0</v>
      </c>
      <c r="C270" s="35" t="s">
        <v>2377</v>
      </c>
      <c r="D270" s="35" t="s">
        <v>2378</v>
      </c>
      <c r="E270" s="35" t="s">
        <v>2379</v>
      </c>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row>
    <row r="271" ht="15.75" customHeight="1">
      <c r="A271" s="109" t="s">
        <v>2362</v>
      </c>
      <c r="B271" s="112">
        <v>4.0</v>
      </c>
      <c r="C271" s="35" t="s">
        <v>2380</v>
      </c>
      <c r="D271" s="35" t="s">
        <v>2381</v>
      </c>
      <c r="E271" s="114" t="s">
        <v>2382</v>
      </c>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row>
    <row r="272" ht="15.75" customHeight="1">
      <c r="A272" s="109" t="s">
        <v>2362</v>
      </c>
      <c r="B272" s="112">
        <v>5.0</v>
      </c>
      <c r="C272" s="35" t="s">
        <v>2384</v>
      </c>
      <c r="D272" s="35" t="s">
        <v>2386</v>
      </c>
      <c r="E272" s="35" t="s">
        <v>2388</v>
      </c>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row>
    <row r="273" ht="15.75" customHeight="1">
      <c r="A273" s="109" t="s">
        <v>2362</v>
      </c>
      <c r="B273" s="112">
        <v>6.0</v>
      </c>
      <c r="C273" s="35" t="s">
        <v>2391</v>
      </c>
      <c r="D273" s="35" t="s">
        <v>2393</v>
      </c>
      <c r="E273" s="35" t="s">
        <v>2395</v>
      </c>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row>
    <row r="274" ht="15.75" customHeight="1">
      <c r="A274" s="109" t="s">
        <v>2362</v>
      </c>
      <c r="B274" s="112">
        <v>7.0</v>
      </c>
      <c r="C274" s="35" t="s">
        <v>2397</v>
      </c>
      <c r="D274" s="35" t="s">
        <v>2398</v>
      </c>
      <c r="E274" s="35" t="s">
        <v>2399</v>
      </c>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row>
    <row r="275" ht="15.75" customHeight="1">
      <c r="A275" s="109" t="s">
        <v>2362</v>
      </c>
      <c r="B275" s="112">
        <v>8.0</v>
      </c>
      <c r="C275" s="35" t="s">
        <v>2409</v>
      </c>
      <c r="D275" s="35" t="s">
        <v>2411</v>
      </c>
      <c r="E275" s="114" t="s">
        <v>2412</v>
      </c>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row>
    <row r="276" ht="15.75" customHeight="1">
      <c r="A276" s="109" t="s">
        <v>2362</v>
      </c>
      <c r="B276" s="112">
        <v>9.0</v>
      </c>
      <c r="C276" s="35" t="s">
        <v>2413</v>
      </c>
      <c r="D276" s="35" t="s">
        <v>2414</v>
      </c>
      <c r="E276" s="35" t="s">
        <v>2415</v>
      </c>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row>
    <row r="277" ht="15.75" customHeight="1">
      <c r="A277" s="109" t="s">
        <v>2362</v>
      </c>
      <c r="B277" s="112">
        <v>10.0</v>
      </c>
      <c r="C277" s="35" t="s">
        <v>2422</v>
      </c>
      <c r="D277" s="35" t="s">
        <v>2425</v>
      </c>
      <c r="E277" s="35" t="s">
        <v>2427</v>
      </c>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row>
    <row r="278" ht="15.75" customHeight="1">
      <c r="A278" s="109" t="s">
        <v>2362</v>
      </c>
      <c r="B278" s="112">
        <v>11.0</v>
      </c>
      <c r="C278" s="35" t="s">
        <v>2436</v>
      </c>
      <c r="D278" s="35" t="s">
        <v>2437</v>
      </c>
      <c r="E278" s="114" t="s">
        <v>2438</v>
      </c>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row>
    <row r="279" ht="15.75" customHeight="1">
      <c r="A279" s="109" t="s">
        <v>2362</v>
      </c>
      <c r="B279" s="112">
        <v>12.0</v>
      </c>
      <c r="C279" s="35" t="s">
        <v>2446</v>
      </c>
      <c r="D279" s="35" t="s">
        <v>2447</v>
      </c>
      <c r="E279" s="114" t="s">
        <v>2448</v>
      </c>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row>
    <row r="280" ht="15.75" customHeight="1">
      <c r="A280" s="77" t="s">
        <v>2362</v>
      </c>
      <c r="B280" s="120">
        <v>-777.0</v>
      </c>
      <c r="C280" s="43" t="s">
        <v>139</v>
      </c>
      <c r="D280" s="43" t="s">
        <v>146</v>
      </c>
      <c r="E280" s="43" t="s">
        <v>2318</v>
      </c>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37"/>
      <c r="AF280" s="37"/>
    </row>
    <row r="281" ht="15.75" customHeight="1">
      <c r="A281" s="77"/>
      <c r="B281" s="43"/>
      <c r="C281" s="43"/>
      <c r="D281" s="43"/>
      <c r="E281" s="43"/>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37"/>
      <c r="AF281" s="37"/>
    </row>
    <row r="282" ht="15.75" customHeight="1">
      <c r="A282" s="109" t="s">
        <v>2459</v>
      </c>
      <c r="B282" s="112">
        <v>1.0</v>
      </c>
      <c r="C282" s="35" t="s">
        <v>2461</v>
      </c>
      <c r="D282" s="35" t="s">
        <v>2462</v>
      </c>
      <c r="E282" s="35" t="s">
        <v>2463</v>
      </c>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row>
    <row r="283" ht="15.75" customHeight="1">
      <c r="A283" s="109" t="s">
        <v>2459</v>
      </c>
      <c r="B283" s="112">
        <v>2.0</v>
      </c>
      <c r="C283" s="35" t="s">
        <v>2474</v>
      </c>
      <c r="D283" s="35" t="s">
        <v>2476</v>
      </c>
      <c r="E283" s="35" t="s">
        <v>2477</v>
      </c>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row>
    <row r="284" ht="15.75" customHeight="1">
      <c r="A284" s="109" t="s">
        <v>2459</v>
      </c>
      <c r="B284" s="112">
        <v>3.0</v>
      </c>
      <c r="C284" s="35" t="s">
        <v>2484</v>
      </c>
      <c r="D284" s="35" t="s">
        <v>2485</v>
      </c>
      <c r="E284" s="35" t="s">
        <v>2486</v>
      </c>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row>
    <row r="285" ht="15.75" customHeight="1">
      <c r="A285" s="109" t="s">
        <v>2459</v>
      </c>
      <c r="B285" s="112">
        <v>4.0</v>
      </c>
      <c r="C285" s="35" t="s">
        <v>2495</v>
      </c>
      <c r="D285" s="35" t="s">
        <v>2496</v>
      </c>
      <c r="E285" s="35" t="s">
        <v>2497</v>
      </c>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row>
    <row r="286" ht="15.75" customHeight="1">
      <c r="A286" s="109" t="s">
        <v>2459</v>
      </c>
      <c r="B286" s="112">
        <v>5.0</v>
      </c>
      <c r="C286" s="35" t="s">
        <v>2502</v>
      </c>
      <c r="D286" s="35" t="s">
        <v>2503</v>
      </c>
      <c r="E286" s="35" t="s">
        <v>2504</v>
      </c>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row>
    <row r="287" ht="15.75" customHeight="1">
      <c r="A287" s="77" t="s">
        <v>2459</v>
      </c>
      <c r="B287" s="120">
        <v>0.0</v>
      </c>
      <c r="C287" s="43" t="s">
        <v>232</v>
      </c>
      <c r="D287" s="43" t="s">
        <v>233</v>
      </c>
      <c r="E287" s="43" t="s">
        <v>234</v>
      </c>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37"/>
      <c r="AF287" s="37"/>
    </row>
    <row r="288" ht="15.75" customHeight="1">
      <c r="A288" s="77"/>
      <c r="B288" s="43"/>
      <c r="C288" s="43"/>
      <c r="D288" s="43"/>
      <c r="E288" s="43"/>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37"/>
      <c r="AF288" s="37"/>
    </row>
    <row r="289" ht="15.75" customHeight="1">
      <c r="A289" s="109" t="s">
        <v>2516</v>
      </c>
      <c r="B289" s="112">
        <v>1.0</v>
      </c>
      <c r="C289" s="35" t="s">
        <v>2517</v>
      </c>
      <c r="D289" s="35" t="s">
        <v>2518</v>
      </c>
      <c r="E289" s="35" t="s">
        <v>2519</v>
      </c>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row>
    <row r="290" ht="15.75" customHeight="1">
      <c r="A290" s="109" t="s">
        <v>2516</v>
      </c>
      <c r="B290" s="112">
        <v>2.0</v>
      </c>
      <c r="C290" s="35" t="s">
        <v>2522</v>
      </c>
      <c r="D290" s="35" t="s">
        <v>2523</v>
      </c>
      <c r="E290" s="35" t="s">
        <v>2525</v>
      </c>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row>
    <row r="291" ht="15.75" customHeight="1">
      <c r="A291" s="109" t="s">
        <v>2516</v>
      </c>
      <c r="B291" s="112">
        <v>3.0</v>
      </c>
      <c r="C291" s="35" t="s">
        <v>2527</v>
      </c>
      <c r="D291" s="35" t="s">
        <v>2528</v>
      </c>
      <c r="E291" s="114" t="s">
        <v>2529</v>
      </c>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row>
    <row r="292" ht="15.75" customHeight="1">
      <c r="A292" s="109" t="s">
        <v>2516</v>
      </c>
      <c r="B292" s="112">
        <v>4.0</v>
      </c>
      <c r="C292" s="35" t="s">
        <v>2534</v>
      </c>
      <c r="D292" s="35" t="s">
        <v>2535</v>
      </c>
      <c r="E292" s="35" t="s">
        <v>2536</v>
      </c>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row>
    <row r="293" ht="15.75" customHeight="1">
      <c r="A293" s="109" t="s">
        <v>2516</v>
      </c>
      <c r="B293" s="112">
        <v>5.0</v>
      </c>
      <c r="C293" s="35" t="s">
        <v>2544</v>
      </c>
      <c r="D293" s="35" t="s">
        <v>2545</v>
      </c>
      <c r="E293" s="35" t="s">
        <v>2546</v>
      </c>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row>
    <row r="294" ht="15.75" customHeight="1">
      <c r="A294" s="109" t="s">
        <v>2516</v>
      </c>
      <c r="B294" s="112">
        <v>6.0</v>
      </c>
      <c r="C294" s="35" t="s">
        <v>2553</v>
      </c>
      <c r="D294" s="35" t="s">
        <v>2554</v>
      </c>
      <c r="E294" s="35" t="s">
        <v>2555</v>
      </c>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row>
    <row r="295" ht="15.75" customHeight="1">
      <c r="A295" s="77" t="s">
        <v>2516</v>
      </c>
      <c r="B295" s="120">
        <v>0.0</v>
      </c>
      <c r="C295" s="43" t="s">
        <v>232</v>
      </c>
      <c r="D295" s="43" t="s">
        <v>233</v>
      </c>
      <c r="E295" s="43" t="s">
        <v>234</v>
      </c>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37"/>
      <c r="AF295" s="37"/>
    </row>
    <row r="296" ht="15.75" customHeight="1">
      <c r="A296" s="122"/>
      <c r="B296" s="123"/>
      <c r="C296" s="122"/>
      <c r="D296" s="122"/>
      <c r="E296" s="202"/>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row>
    <row r="297" ht="15.75" customHeight="1">
      <c r="A297" s="132" t="s">
        <v>2572</v>
      </c>
      <c r="B297" s="133">
        <v>0.0</v>
      </c>
      <c r="C297" s="140" t="s">
        <v>232</v>
      </c>
      <c r="D297" s="140" t="s">
        <v>233</v>
      </c>
      <c r="E297" s="140" t="s">
        <v>234</v>
      </c>
      <c r="F297" s="136"/>
      <c r="G297" s="136"/>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row>
    <row r="298" ht="15.75" customHeight="1">
      <c r="A298" s="109" t="s">
        <v>2572</v>
      </c>
      <c r="B298" s="112">
        <v>1.0</v>
      </c>
      <c r="C298" s="35" t="s">
        <v>2579</v>
      </c>
      <c r="D298" s="35" t="s">
        <v>2579</v>
      </c>
      <c r="E298" s="114" t="s">
        <v>2579</v>
      </c>
      <c r="F298" s="199"/>
      <c r="G298" s="32"/>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row>
    <row r="299" ht="15.75" customHeight="1">
      <c r="A299" s="109" t="s">
        <v>2572</v>
      </c>
      <c r="B299" s="112">
        <v>2.0</v>
      </c>
      <c r="C299" s="35" t="s">
        <v>2584</v>
      </c>
      <c r="D299" s="35" t="s">
        <v>2584</v>
      </c>
      <c r="E299" s="35" t="s">
        <v>2584</v>
      </c>
      <c r="F299" s="32"/>
      <c r="G299" s="32"/>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row>
    <row r="300" ht="15.75" customHeight="1">
      <c r="A300" s="109" t="s">
        <v>2572</v>
      </c>
      <c r="B300" s="112">
        <v>3.0</v>
      </c>
      <c r="C300" s="35" t="s">
        <v>2589</v>
      </c>
      <c r="D300" s="35" t="s">
        <v>2589</v>
      </c>
      <c r="E300" s="35" t="s">
        <v>2589</v>
      </c>
      <c r="F300" s="32"/>
      <c r="G300" s="32"/>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row>
    <row r="301" ht="15.75" customHeight="1">
      <c r="A301" s="109" t="s">
        <v>2572</v>
      </c>
      <c r="B301" s="112">
        <v>4.0</v>
      </c>
      <c r="C301" s="35" t="s">
        <v>2596</v>
      </c>
      <c r="D301" s="35" t="s">
        <v>2596</v>
      </c>
      <c r="E301" s="114" t="s">
        <v>2596</v>
      </c>
      <c r="F301" s="32"/>
      <c r="G301" s="32"/>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row>
    <row r="302" ht="15.75" customHeight="1">
      <c r="A302" s="109" t="s">
        <v>2572</v>
      </c>
      <c r="B302" s="112">
        <v>5.0</v>
      </c>
      <c r="C302" s="35" t="s">
        <v>2603</v>
      </c>
      <c r="D302" s="35" t="s">
        <v>2603</v>
      </c>
      <c r="E302" s="114" t="s">
        <v>2603</v>
      </c>
      <c r="F302" s="199"/>
      <c r="G302" s="199"/>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row>
    <row r="303" ht="15.75" customHeight="1">
      <c r="A303" s="77" t="s">
        <v>2572</v>
      </c>
      <c r="B303" s="120">
        <v>6.0</v>
      </c>
      <c r="C303" s="43" t="s">
        <v>2611</v>
      </c>
      <c r="D303" s="43" t="s">
        <v>2611</v>
      </c>
      <c r="E303" s="43" t="s">
        <v>2611</v>
      </c>
      <c r="F303" s="42"/>
      <c r="G303" s="42"/>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row>
    <row r="304" ht="15.75" customHeight="1">
      <c r="A304" s="77" t="s">
        <v>2572</v>
      </c>
      <c r="B304" s="120">
        <v>7.0</v>
      </c>
      <c r="C304" s="43" t="s">
        <v>2627</v>
      </c>
      <c r="D304" s="43" t="s">
        <v>2627</v>
      </c>
      <c r="E304" s="92" t="s">
        <v>2627</v>
      </c>
      <c r="F304" s="42"/>
      <c r="G304" s="42"/>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row>
    <row r="305" ht="15.75" customHeight="1">
      <c r="A305" s="109" t="s">
        <v>2572</v>
      </c>
      <c r="B305" s="112">
        <v>8.0</v>
      </c>
      <c r="C305" s="35" t="s">
        <v>2639</v>
      </c>
      <c r="D305" s="35" t="s">
        <v>2639</v>
      </c>
      <c r="E305" s="35" t="s">
        <v>2639</v>
      </c>
      <c r="F305" s="32"/>
      <c r="G305" s="32"/>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row>
    <row r="306" ht="15.75" customHeight="1">
      <c r="A306" s="109" t="s">
        <v>2572</v>
      </c>
      <c r="B306" s="112">
        <v>9.0</v>
      </c>
      <c r="C306" s="35" t="s">
        <v>2645</v>
      </c>
      <c r="D306" s="35" t="s">
        <v>2645</v>
      </c>
      <c r="E306" s="35" t="s">
        <v>2645</v>
      </c>
      <c r="F306" s="32"/>
      <c r="G306" s="32"/>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row>
    <row r="307" ht="15.75" customHeight="1">
      <c r="A307" s="109" t="s">
        <v>2572</v>
      </c>
      <c r="B307" s="112">
        <v>10.0</v>
      </c>
      <c r="C307" s="35" t="s">
        <v>2651</v>
      </c>
      <c r="D307" s="35" t="s">
        <v>2651</v>
      </c>
      <c r="E307" s="35" t="s">
        <v>2651</v>
      </c>
      <c r="F307" s="32"/>
      <c r="G307" s="32"/>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row>
    <row r="308" ht="15.75" customHeight="1">
      <c r="A308" s="109" t="s">
        <v>2572</v>
      </c>
      <c r="B308" s="112">
        <v>11.0</v>
      </c>
      <c r="C308" s="35" t="s">
        <v>2656</v>
      </c>
      <c r="D308" s="35" t="s">
        <v>2656</v>
      </c>
      <c r="E308" s="261" t="s">
        <v>2656</v>
      </c>
      <c r="F308" s="32"/>
      <c r="G308" s="32"/>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row>
    <row r="309" ht="15.75" customHeight="1">
      <c r="A309" s="109" t="s">
        <v>2572</v>
      </c>
      <c r="B309" s="112">
        <v>12.0</v>
      </c>
      <c r="C309" s="35" t="s">
        <v>2662</v>
      </c>
      <c r="D309" s="35" t="s">
        <v>2662</v>
      </c>
      <c r="E309" s="35" t="s">
        <v>2662</v>
      </c>
      <c r="F309" s="32"/>
      <c r="G309" s="32"/>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row>
    <row r="310" ht="15.75" customHeight="1">
      <c r="A310" s="77" t="s">
        <v>2572</v>
      </c>
      <c r="B310" s="120">
        <v>13.0</v>
      </c>
      <c r="C310" s="43" t="s">
        <v>2677</v>
      </c>
      <c r="D310" s="43" t="s">
        <v>2677</v>
      </c>
      <c r="E310" s="92" t="s">
        <v>2677</v>
      </c>
      <c r="F310" s="44"/>
      <c r="G310" s="42"/>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row>
    <row r="311" ht="15.75" customHeight="1">
      <c r="A311" s="77" t="s">
        <v>2572</v>
      </c>
      <c r="B311" s="120">
        <v>14.0</v>
      </c>
      <c r="C311" s="43" t="s">
        <v>2689</v>
      </c>
      <c r="D311" s="43" t="s">
        <v>2689</v>
      </c>
      <c r="E311" s="43" t="s">
        <v>2689</v>
      </c>
      <c r="F311" s="42"/>
      <c r="G311" s="42"/>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row>
    <row r="312" ht="15.75" customHeight="1">
      <c r="A312" s="109" t="s">
        <v>2572</v>
      </c>
      <c r="B312" s="112">
        <v>15.0</v>
      </c>
      <c r="C312" s="35" t="s">
        <v>2697</v>
      </c>
      <c r="D312" s="35" t="s">
        <v>2697</v>
      </c>
      <c r="E312" s="114" t="s">
        <v>2697</v>
      </c>
      <c r="F312" s="32"/>
      <c r="G312" s="32"/>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row>
    <row r="313" ht="15.75" customHeight="1">
      <c r="A313" s="109" t="s">
        <v>2572</v>
      </c>
      <c r="B313" s="112">
        <v>16.0</v>
      </c>
      <c r="C313" s="35" t="s">
        <v>2706</v>
      </c>
      <c r="D313" s="35" t="s">
        <v>2706</v>
      </c>
      <c r="E313" s="35" t="s">
        <v>2706</v>
      </c>
      <c r="F313" s="32"/>
      <c r="G313" s="32"/>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row>
    <row r="314" ht="15.75" customHeight="1">
      <c r="A314" s="109" t="s">
        <v>2572</v>
      </c>
      <c r="B314" s="112">
        <v>17.0</v>
      </c>
      <c r="C314" s="35" t="s">
        <v>2715</v>
      </c>
      <c r="D314" s="35" t="s">
        <v>2715</v>
      </c>
      <c r="E314" s="35" t="s">
        <v>2715</v>
      </c>
      <c r="F314" s="32"/>
      <c r="G314" s="32"/>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row>
    <row r="315" ht="15.75" customHeight="1">
      <c r="A315" s="109" t="s">
        <v>2572</v>
      </c>
      <c r="B315" s="112">
        <v>18.0</v>
      </c>
      <c r="C315" s="35" t="s">
        <v>2721</v>
      </c>
      <c r="D315" s="35" t="s">
        <v>2721</v>
      </c>
      <c r="E315" s="114" t="s">
        <v>2721</v>
      </c>
      <c r="F315" s="199"/>
      <c r="G315" s="199"/>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row>
    <row r="316" ht="15.75" customHeight="1">
      <c r="A316" s="77" t="s">
        <v>2572</v>
      </c>
      <c r="B316" s="120">
        <v>19.0</v>
      </c>
      <c r="C316" s="43" t="s">
        <v>2726</v>
      </c>
      <c r="D316" s="43" t="s">
        <v>2726</v>
      </c>
      <c r="E316" s="43" t="s">
        <v>2726</v>
      </c>
      <c r="F316" s="42"/>
      <c r="G316" s="42"/>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row>
    <row r="317" ht="15.75" customHeight="1">
      <c r="A317" s="77" t="s">
        <v>2572</v>
      </c>
      <c r="B317" s="120">
        <v>20.0</v>
      </c>
      <c r="C317" s="43" t="s">
        <v>2730</v>
      </c>
      <c r="D317" s="43" t="s">
        <v>2730</v>
      </c>
      <c r="E317" s="43" t="s">
        <v>2730</v>
      </c>
      <c r="F317" s="42"/>
      <c r="G317" s="42"/>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row>
    <row r="318" ht="15.75" customHeight="1">
      <c r="A318" s="109" t="s">
        <v>2572</v>
      </c>
      <c r="B318" s="112">
        <v>21.0</v>
      </c>
      <c r="C318" s="35" t="s">
        <v>2738</v>
      </c>
      <c r="D318" s="35" t="s">
        <v>2738</v>
      </c>
      <c r="E318" s="35" t="s">
        <v>2738</v>
      </c>
      <c r="F318" s="32"/>
      <c r="G318" s="32"/>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row>
    <row r="319" ht="15.75" customHeight="1">
      <c r="A319" s="109" t="s">
        <v>2572</v>
      </c>
      <c r="B319" s="112">
        <v>22.0</v>
      </c>
      <c r="C319" s="35" t="s">
        <v>2744</v>
      </c>
      <c r="D319" s="35" t="s">
        <v>2744</v>
      </c>
      <c r="E319" s="35" t="s">
        <v>2744</v>
      </c>
      <c r="F319" s="32"/>
      <c r="G319" s="32"/>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row>
    <row r="320" ht="15.75" customHeight="1">
      <c r="A320" s="109" t="s">
        <v>2572</v>
      </c>
      <c r="B320" s="112">
        <v>23.0</v>
      </c>
      <c r="C320" s="35" t="s">
        <v>2750</v>
      </c>
      <c r="D320" s="35" t="s">
        <v>2750</v>
      </c>
      <c r="E320" s="261" t="s">
        <v>2750</v>
      </c>
      <c r="F320" s="32"/>
      <c r="G320" s="32"/>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row>
    <row r="321" ht="15.75" customHeight="1">
      <c r="A321" s="77" t="s">
        <v>2572</v>
      </c>
      <c r="B321" s="120">
        <v>24.0</v>
      </c>
      <c r="C321" s="43" t="s">
        <v>2751</v>
      </c>
      <c r="D321" s="43" t="s">
        <v>2751</v>
      </c>
      <c r="E321" s="43" t="s">
        <v>2751</v>
      </c>
      <c r="F321" s="42"/>
      <c r="G321" s="42"/>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row>
    <row r="322" ht="15.75" customHeight="1">
      <c r="A322" s="77" t="s">
        <v>2572</v>
      </c>
      <c r="B322" s="120">
        <v>25.0</v>
      </c>
      <c r="C322" s="43" t="s">
        <v>2762</v>
      </c>
      <c r="D322" s="43" t="s">
        <v>2762</v>
      </c>
      <c r="E322" s="43" t="s">
        <v>2762</v>
      </c>
      <c r="F322" s="42"/>
      <c r="G322" s="42"/>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row>
    <row r="323" ht="15.75" customHeight="1">
      <c r="A323" s="109" t="s">
        <v>2572</v>
      </c>
      <c r="B323" s="112">
        <v>26.0</v>
      </c>
      <c r="C323" s="35" t="s">
        <v>2773</v>
      </c>
      <c r="D323" s="35" t="s">
        <v>2773</v>
      </c>
      <c r="E323" s="35" t="s">
        <v>2773</v>
      </c>
      <c r="F323" s="32"/>
      <c r="G323" s="32"/>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row>
    <row r="324" ht="15.75" customHeight="1">
      <c r="A324" s="109" t="s">
        <v>2572</v>
      </c>
      <c r="B324" s="112">
        <v>27.0</v>
      </c>
      <c r="C324" s="35" t="s">
        <v>2774</v>
      </c>
      <c r="D324" s="35" t="s">
        <v>2774</v>
      </c>
      <c r="E324" s="261" t="s">
        <v>2774</v>
      </c>
      <c r="F324" s="199"/>
      <c r="G324" s="199"/>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row>
    <row r="325" ht="15.75" customHeight="1">
      <c r="A325" s="109" t="s">
        <v>2572</v>
      </c>
      <c r="B325" s="112">
        <v>28.0</v>
      </c>
      <c r="C325" s="35" t="s">
        <v>2787</v>
      </c>
      <c r="D325" s="35" t="s">
        <v>2787</v>
      </c>
      <c r="E325" s="35" t="s">
        <v>2787</v>
      </c>
      <c r="F325" s="32"/>
      <c r="G325" s="32"/>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row>
    <row r="326" ht="15.75" customHeight="1">
      <c r="A326" s="109" t="s">
        <v>2572</v>
      </c>
      <c r="B326" s="112">
        <v>29.0</v>
      </c>
      <c r="C326" s="35" t="s">
        <v>2791</v>
      </c>
      <c r="D326" s="35" t="s">
        <v>2791</v>
      </c>
      <c r="E326" s="114" t="s">
        <v>2791</v>
      </c>
      <c r="F326" s="199"/>
      <c r="G326" s="32"/>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row>
    <row r="327" ht="15.75" customHeight="1">
      <c r="A327" s="109" t="s">
        <v>2572</v>
      </c>
      <c r="B327" s="112">
        <v>30.0</v>
      </c>
      <c r="C327" s="35" t="s">
        <v>2800</v>
      </c>
      <c r="D327" s="35" t="s">
        <v>2800</v>
      </c>
      <c r="E327" s="114" t="s">
        <v>2800</v>
      </c>
      <c r="F327" s="199"/>
      <c r="G327" s="199"/>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row>
    <row r="328" ht="15.75" customHeight="1">
      <c r="A328" s="109" t="s">
        <v>2572</v>
      </c>
      <c r="B328" s="112">
        <v>31.0</v>
      </c>
      <c r="C328" s="35" t="s">
        <v>2807</v>
      </c>
      <c r="D328" s="35" t="s">
        <v>2807</v>
      </c>
      <c r="E328" s="261" t="s">
        <v>2807</v>
      </c>
      <c r="F328" s="32"/>
      <c r="G328" s="32"/>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row>
    <row r="329" ht="15.75" customHeight="1">
      <c r="A329" s="77" t="s">
        <v>2572</v>
      </c>
      <c r="B329" s="120">
        <v>32.0</v>
      </c>
      <c r="C329" s="43" t="s">
        <v>2813</v>
      </c>
      <c r="D329" s="43" t="s">
        <v>2813</v>
      </c>
      <c r="E329" s="43" t="s">
        <v>2813</v>
      </c>
      <c r="F329" s="42"/>
      <c r="G329" s="42"/>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row>
    <row r="330" ht="15.75" customHeight="1">
      <c r="A330" s="77" t="s">
        <v>2572</v>
      </c>
      <c r="B330" s="120">
        <v>33.0</v>
      </c>
      <c r="C330" s="43" t="s">
        <v>2820</v>
      </c>
      <c r="D330" s="43" t="s">
        <v>2820</v>
      </c>
      <c r="E330" s="92" t="s">
        <v>2820</v>
      </c>
      <c r="F330" s="42"/>
      <c r="G330" s="42"/>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row>
    <row r="331" ht="15.75" customHeight="1">
      <c r="A331" s="109" t="s">
        <v>2572</v>
      </c>
      <c r="B331" s="112">
        <v>34.0</v>
      </c>
      <c r="C331" s="35" t="s">
        <v>2830</v>
      </c>
      <c r="D331" s="35" t="s">
        <v>2830</v>
      </c>
      <c r="E331" s="114" t="s">
        <v>2830</v>
      </c>
      <c r="F331" s="32"/>
      <c r="G331" s="32"/>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row>
    <row r="332" ht="15.75" customHeight="1">
      <c r="A332" s="109" t="s">
        <v>2572</v>
      </c>
      <c r="B332" s="112">
        <v>35.0</v>
      </c>
      <c r="C332" s="35" t="s">
        <v>2838</v>
      </c>
      <c r="D332" s="35" t="s">
        <v>2838</v>
      </c>
      <c r="E332" s="35" t="s">
        <v>2838</v>
      </c>
      <c r="F332" s="32"/>
      <c r="G332" s="32"/>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row>
    <row r="333" ht="15.75" customHeight="1">
      <c r="A333" s="109" t="s">
        <v>2572</v>
      </c>
      <c r="B333" s="112">
        <v>36.0</v>
      </c>
      <c r="C333" s="35" t="s">
        <v>2841</v>
      </c>
      <c r="D333" s="35" t="s">
        <v>2841</v>
      </c>
      <c r="E333" s="35" t="s">
        <v>2841</v>
      </c>
      <c r="F333" s="32"/>
      <c r="G333" s="32"/>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row>
    <row r="334" ht="15.75" customHeight="1">
      <c r="A334" s="109" t="s">
        <v>2572</v>
      </c>
      <c r="B334" s="112">
        <v>37.0</v>
      </c>
      <c r="C334" s="35" t="s">
        <v>2845</v>
      </c>
      <c r="D334" s="35" t="s">
        <v>2845</v>
      </c>
      <c r="E334" s="35" t="s">
        <v>2845</v>
      </c>
      <c r="F334" s="32"/>
      <c r="G334" s="32"/>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row>
    <row r="335" ht="15.75" customHeight="1">
      <c r="A335" s="109" t="s">
        <v>2572</v>
      </c>
      <c r="B335" s="112">
        <v>38.0</v>
      </c>
      <c r="C335" s="35" t="s">
        <v>2851</v>
      </c>
      <c r="D335" s="35" t="s">
        <v>2851</v>
      </c>
      <c r="E335" s="35" t="s">
        <v>2851</v>
      </c>
      <c r="F335" s="32"/>
      <c r="G335" s="32"/>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row>
    <row r="336" ht="15.75" customHeight="1">
      <c r="A336" s="109" t="s">
        <v>2572</v>
      </c>
      <c r="B336" s="112">
        <v>39.0</v>
      </c>
      <c r="C336" s="35" t="s">
        <v>2856</v>
      </c>
      <c r="D336" s="35" t="s">
        <v>2856</v>
      </c>
      <c r="E336" s="114" t="s">
        <v>2856</v>
      </c>
      <c r="F336" s="199"/>
      <c r="G336" s="199"/>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row>
    <row r="337" ht="15.75" customHeight="1">
      <c r="A337" s="109" t="s">
        <v>2572</v>
      </c>
      <c r="B337" s="112">
        <v>40.0</v>
      </c>
      <c r="C337" s="35" t="s">
        <v>2859</v>
      </c>
      <c r="D337" s="35" t="s">
        <v>2859</v>
      </c>
      <c r="E337" s="35" t="s">
        <v>2859</v>
      </c>
      <c r="F337" s="32"/>
      <c r="G337" s="32"/>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row>
    <row r="338" ht="15.75" customHeight="1">
      <c r="A338" s="77" t="s">
        <v>2572</v>
      </c>
      <c r="B338" s="120">
        <v>41.0</v>
      </c>
      <c r="C338" s="43" t="s">
        <v>2862</v>
      </c>
      <c r="D338" s="43" t="s">
        <v>2862</v>
      </c>
      <c r="E338" s="43" t="s">
        <v>2862</v>
      </c>
      <c r="F338" s="42"/>
      <c r="G338" s="42"/>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row>
    <row r="339" ht="15.75" customHeight="1">
      <c r="A339" s="77" t="s">
        <v>2572</v>
      </c>
      <c r="B339" s="120">
        <v>42.0</v>
      </c>
      <c r="C339" s="43" t="s">
        <v>2866</v>
      </c>
      <c r="D339" s="43" t="s">
        <v>2866</v>
      </c>
      <c r="E339" s="43" t="s">
        <v>2866</v>
      </c>
      <c r="F339" s="42"/>
      <c r="G339" s="42"/>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row>
    <row r="340" ht="15.75" customHeight="1">
      <c r="A340" s="122"/>
      <c r="B340" s="123"/>
      <c r="C340" s="122"/>
      <c r="D340" s="122"/>
      <c r="E340" s="202"/>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row>
    <row r="341" ht="15.75" customHeight="1">
      <c r="A341" s="132" t="s">
        <v>2883</v>
      </c>
      <c r="B341" s="133">
        <v>0.0</v>
      </c>
      <c r="C341" s="140" t="s">
        <v>232</v>
      </c>
      <c r="D341" s="140" t="s">
        <v>233</v>
      </c>
      <c r="E341" s="140" t="s">
        <v>234</v>
      </c>
      <c r="F341" s="136"/>
      <c r="G341" s="214">
        <v>0.0</v>
      </c>
      <c r="H341" s="53"/>
      <c r="I341" s="53"/>
      <c r="J341" s="53"/>
      <c r="K341" s="53"/>
      <c r="L341" s="53"/>
      <c r="M341" s="53"/>
      <c r="N341" s="53"/>
      <c r="O341" s="53"/>
      <c r="P341" s="53"/>
      <c r="Q341" s="53"/>
      <c r="R341" s="53"/>
      <c r="S341" s="53"/>
      <c r="T341" s="53"/>
      <c r="U341" s="53"/>
      <c r="V341" s="53"/>
      <c r="W341" s="53"/>
      <c r="X341" s="53"/>
      <c r="Y341" s="53"/>
      <c r="Z341" s="53"/>
      <c r="AA341" s="53"/>
      <c r="AB341" s="53"/>
      <c r="AC341" s="53"/>
      <c r="AD341" s="53"/>
      <c r="AE341" s="53"/>
      <c r="AF341" s="53"/>
    </row>
    <row r="342" ht="15.75" customHeight="1">
      <c r="A342" s="109" t="s">
        <v>2883</v>
      </c>
      <c r="B342" s="112">
        <v>2.0</v>
      </c>
      <c r="C342" s="35" t="s">
        <v>979</v>
      </c>
      <c r="D342" s="35" t="s">
        <v>980</v>
      </c>
      <c r="E342" s="35" t="s">
        <v>982</v>
      </c>
      <c r="F342" s="32"/>
      <c r="G342" s="30">
        <v>1.0</v>
      </c>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row>
    <row r="343" ht="15.75" customHeight="1">
      <c r="A343" s="109" t="s">
        <v>2883</v>
      </c>
      <c r="B343" s="112">
        <v>3.0</v>
      </c>
      <c r="C343" s="35" t="s">
        <v>990</v>
      </c>
      <c r="D343" s="35" t="s">
        <v>992</v>
      </c>
      <c r="E343" s="35" t="s">
        <v>990</v>
      </c>
      <c r="F343" s="32"/>
      <c r="G343" s="30">
        <v>2.0</v>
      </c>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row>
    <row r="344" ht="15.75" customHeight="1">
      <c r="A344" s="109" t="s">
        <v>2883</v>
      </c>
      <c r="B344" s="112">
        <v>4.0</v>
      </c>
      <c r="C344" s="35" t="s">
        <v>1003</v>
      </c>
      <c r="D344" s="35" t="s">
        <v>1003</v>
      </c>
      <c r="E344" s="35" t="s">
        <v>1003</v>
      </c>
      <c r="F344" s="32"/>
      <c r="G344" s="30">
        <v>3.0</v>
      </c>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row>
    <row r="345" ht="15.75" customHeight="1">
      <c r="A345" s="109" t="s">
        <v>2883</v>
      </c>
      <c r="B345" s="112">
        <v>5.0</v>
      </c>
      <c r="C345" s="35" t="s">
        <v>1011</v>
      </c>
      <c r="D345" s="35" t="s">
        <v>1012</v>
      </c>
      <c r="E345" s="35" t="s">
        <v>1014</v>
      </c>
      <c r="F345" s="32"/>
      <c r="G345" s="30">
        <v>4.0</v>
      </c>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row>
    <row r="346" ht="15.75" customHeight="1">
      <c r="A346" s="109" t="s">
        <v>2883</v>
      </c>
      <c r="B346" s="112">
        <v>6.0</v>
      </c>
      <c r="C346" s="35" t="s">
        <v>1023</v>
      </c>
      <c r="D346" s="35" t="s">
        <v>1024</v>
      </c>
      <c r="E346" s="114" t="s">
        <v>1027</v>
      </c>
      <c r="F346" s="32"/>
      <c r="G346" s="30">
        <v>5.0</v>
      </c>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row>
    <row r="347" ht="15.75" customHeight="1">
      <c r="A347" s="109" t="s">
        <v>2883</v>
      </c>
      <c r="B347" s="112">
        <v>7.0</v>
      </c>
      <c r="C347" s="35" t="s">
        <v>1034</v>
      </c>
      <c r="D347" s="35" t="s">
        <v>1035</v>
      </c>
      <c r="E347" s="35" t="s">
        <v>1034</v>
      </c>
      <c r="F347" s="32"/>
      <c r="G347" s="30">
        <v>6.0</v>
      </c>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row>
    <row r="348" ht="15.75" customHeight="1">
      <c r="A348" s="109" t="s">
        <v>2883</v>
      </c>
      <c r="B348" s="112">
        <v>8.0</v>
      </c>
      <c r="C348" s="35" t="s">
        <v>1092</v>
      </c>
      <c r="D348" s="35" t="s">
        <v>1092</v>
      </c>
      <c r="E348" s="35" t="s">
        <v>1092</v>
      </c>
      <c r="F348" s="32"/>
      <c r="G348" s="30">
        <v>7.0</v>
      </c>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row>
    <row r="349" ht="15.75" customHeight="1">
      <c r="A349" s="109" t="s">
        <v>2883</v>
      </c>
      <c r="B349" s="112">
        <v>9.0</v>
      </c>
      <c r="C349" s="35" t="s">
        <v>1101</v>
      </c>
      <c r="D349" s="35" t="s">
        <v>1101</v>
      </c>
      <c r="E349" s="35" t="s">
        <v>1101</v>
      </c>
      <c r="F349" s="32"/>
      <c r="G349" s="30">
        <v>8.0</v>
      </c>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row>
    <row r="350" ht="15.75" customHeight="1">
      <c r="A350" s="109" t="s">
        <v>2883</v>
      </c>
      <c r="B350" s="112">
        <v>10.0</v>
      </c>
      <c r="C350" s="35" t="s">
        <v>1135</v>
      </c>
      <c r="D350" s="35" t="s">
        <v>1136</v>
      </c>
      <c r="E350" s="35" t="s">
        <v>1137</v>
      </c>
      <c r="F350" s="32"/>
      <c r="G350" s="30">
        <v>9.0</v>
      </c>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row>
    <row r="351" ht="15.75" customHeight="1">
      <c r="A351" s="109" t="s">
        <v>2883</v>
      </c>
      <c r="B351" s="112">
        <v>11.0</v>
      </c>
      <c r="C351" s="35" t="s">
        <v>1144</v>
      </c>
      <c r="D351" s="35" t="s">
        <v>1146</v>
      </c>
      <c r="E351" s="35" t="s">
        <v>1144</v>
      </c>
      <c r="F351" s="32"/>
      <c r="G351" s="30">
        <v>10.0</v>
      </c>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row>
    <row r="352" ht="15.75" customHeight="1">
      <c r="A352" s="109" t="s">
        <v>2883</v>
      </c>
      <c r="B352" s="112">
        <v>12.0</v>
      </c>
      <c r="C352" s="35" t="s">
        <v>1153</v>
      </c>
      <c r="D352" s="35" t="s">
        <v>1153</v>
      </c>
      <c r="E352" s="35" t="s">
        <v>1153</v>
      </c>
      <c r="F352" s="32"/>
      <c r="G352" s="30">
        <v>11.0</v>
      </c>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row>
    <row r="353" ht="15.75" customHeight="1">
      <c r="A353" s="109" t="s">
        <v>2883</v>
      </c>
      <c r="B353" s="112">
        <v>13.0</v>
      </c>
      <c r="C353" s="35" t="s">
        <v>1185</v>
      </c>
      <c r="D353" s="35" t="s">
        <v>1187</v>
      </c>
      <c r="E353" s="35" t="s">
        <v>1185</v>
      </c>
      <c r="F353" s="32"/>
      <c r="G353" s="30">
        <v>12.0</v>
      </c>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row>
    <row r="354" ht="15.75" customHeight="1">
      <c r="A354" s="109" t="s">
        <v>2883</v>
      </c>
      <c r="B354" s="112">
        <v>14.0</v>
      </c>
      <c r="C354" s="35" t="s">
        <v>1195</v>
      </c>
      <c r="D354" s="35" t="s">
        <v>1195</v>
      </c>
      <c r="E354" s="35" t="s">
        <v>1195</v>
      </c>
      <c r="F354" s="32"/>
      <c r="G354" s="30">
        <v>13.0</v>
      </c>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row>
    <row r="355" ht="15.75" customHeight="1">
      <c r="A355" s="109" t="s">
        <v>2883</v>
      </c>
      <c r="B355" s="112">
        <v>15.0</v>
      </c>
      <c r="C355" s="35" t="s">
        <v>1204</v>
      </c>
      <c r="D355" s="35" t="s">
        <v>1205</v>
      </c>
      <c r="E355" s="35" t="s">
        <v>1204</v>
      </c>
      <c r="F355" s="32"/>
      <c r="G355" s="30">
        <v>14.0</v>
      </c>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row>
    <row r="356" ht="15.75" customHeight="1">
      <c r="A356" s="109" t="s">
        <v>2883</v>
      </c>
      <c r="B356" s="112">
        <v>16.0</v>
      </c>
      <c r="C356" s="35" t="s">
        <v>1214</v>
      </c>
      <c r="D356" s="35" t="s">
        <v>1216</v>
      </c>
      <c r="E356" s="35" t="s">
        <v>1214</v>
      </c>
      <c r="F356" s="32"/>
      <c r="G356" s="30">
        <v>15.0</v>
      </c>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row>
    <row r="357" ht="15.75" customHeight="1">
      <c r="A357" s="109" t="s">
        <v>2883</v>
      </c>
      <c r="B357" s="112">
        <v>17.0</v>
      </c>
      <c r="C357" s="35" t="s">
        <v>1223</v>
      </c>
      <c r="D357" s="35" t="s">
        <v>1225</v>
      </c>
      <c r="E357" s="35" t="s">
        <v>1226</v>
      </c>
      <c r="F357" s="32"/>
      <c r="G357" s="30">
        <v>16.0</v>
      </c>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row>
    <row r="358" ht="15.75" customHeight="1">
      <c r="A358" s="109" t="s">
        <v>2883</v>
      </c>
      <c r="B358" s="112">
        <v>18.0</v>
      </c>
      <c r="C358" s="35" t="s">
        <v>1231</v>
      </c>
      <c r="D358" s="35" t="s">
        <v>1231</v>
      </c>
      <c r="E358" s="35" t="s">
        <v>1232</v>
      </c>
      <c r="F358" s="32"/>
      <c r="G358" s="30">
        <v>17.0</v>
      </c>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row>
    <row r="359" ht="15.75" customHeight="1">
      <c r="A359" s="109" t="s">
        <v>2883</v>
      </c>
      <c r="B359" s="112">
        <v>19.0</v>
      </c>
      <c r="C359" s="35" t="s">
        <v>1241</v>
      </c>
      <c r="D359" s="35" t="s">
        <v>1241</v>
      </c>
      <c r="E359" s="35" t="s">
        <v>1243</v>
      </c>
      <c r="F359" s="32"/>
      <c r="G359" s="30">
        <v>18.0</v>
      </c>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row>
    <row r="360" ht="15.75" customHeight="1">
      <c r="A360" s="109" t="s">
        <v>2883</v>
      </c>
      <c r="B360" s="112">
        <v>20.0</v>
      </c>
      <c r="C360" s="35" t="s">
        <v>1251</v>
      </c>
      <c r="D360" s="35" t="s">
        <v>1253</v>
      </c>
      <c r="E360" s="114" t="s">
        <v>1256</v>
      </c>
      <c r="F360" s="32"/>
      <c r="G360" s="30">
        <v>19.0</v>
      </c>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row>
    <row r="361" ht="15.75" customHeight="1">
      <c r="A361" s="109" t="s">
        <v>2883</v>
      </c>
      <c r="B361" s="112">
        <v>21.0</v>
      </c>
      <c r="C361" s="35" t="s">
        <v>1266</v>
      </c>
      <c r="D361" s="35" t="s">
        <v>1267</v>
      </c>
      <c r="E361" s="35" t="s">
        <v>1268</v>
      </c>
      <c r="F361" s="32"/>
      <c r="G361" s="30">
        <v>20.0</v>
      </c>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row>
    <row r="362" ht="15.75" customHeight="1">
      <c r="A362" s="109" t="s">
        <v>2883</v>
      </c>
      <c r="B362" s="112">
        <v>-777.0</v>
      </c>
      <c r="C362" s="35" t="s">
        <v>139</v>
      </c>
      <c r="D362" s="35" t="s">
        <v>146</v>
      </c>
      <c r="E362" s="35" t="s">
        <v>940</v>
      </c>
      <c r="F362" s="32"/>
      <c r="G362" s="30">
        <v>-777.0</v>
      </c>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row>
    <row r="363" ht="15.75" customHeight="1">
      <c r="A363" s="77" t="s">
        <v>2883</v>
      </c>
      <c r="B363" s="120">
        <v>-999.0</v>
      </c>
      <c r="C363" s="43" t="s">
        <v>124</v>
      </c>
      <c r="D363" s="43" t="s">
        <v>125</v>
      </c>
      <c r="E363" s="43" t="s">
        <v>126</v>
      </c>
      <c r="F363" s="42"/>
      <c r="G363" s="41">
        <v>-999.0</v>
      </c>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row>
    <row r="364" ht="15.75" customHeight="1">
      <c r="A364" s="122"/>
      <c r="B364" s="123"/>
      <c r="C364" s="122"/>
      <c r="D364" s="122"/>
      <c r="E364" s="202"/>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row>
    <row r="365" ht="15.75" customHeight="1">
      <c r="A365" s="132" t="s">
        <v>3020</v>
      </c>
      <c r="B365" s="133">
        <v>1.0</v>
      </c>
      <c r="C365" s="140" t="s">
        <v>3022</v>
      </c>
      <c r="D365" s="274" t="s">
        <v>3022</v>
      </c>
      <c r="E365" s="274" t="s">
        <v>3026</v>
      </c>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c r="AD365" s="53"/>
      <c r="AE365" s="53"/>
      <c r="AF365" s="53"/>
    </row>
    <row r="366" ht="15.75" customHeight="1">
      <c r="A366" s="109" t="s">
        <v>3020</v>
      </c>
      <c r="B366" s="112">
        <v>2.0</v>
      </c>
      <c r="C366" s="35" t="s">
        <v>3036</v>
      </c>
      <c r="D366" s="122" t="s">
        <v>3037</v>
      </c>
      <c r="E366" s="122" t="s">
        <v>3036</v>
      </c>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row>
    <row r="367" ht="15.75" customHeight="1">
      <c r="A367" s="109" t="s">
        <v>3020</v>
      </c>
      <c r="B367" s="112">
        <v>3.0</v>
      </c>
      <c r="C367" s="35" t="s">
        <v>3047</v>
      </c>
      <c r="D367" s="122" t="s">
        <v>3048</v>
      </c>
      <c r="E367" s="122" t="s">
        <v>3049</v>
      </c>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row>
    <row r="368" ht="15.75" customHeight="1">
      <c r="A368" s="77" t="s">
        <v>3020</v>
      </c>
      <c r="B368" s="120">
        <v>4.0</v>
      </c>
      <c r="C368" s="43" t="s">
        <v>3062</v>
      </c>
      <c r="D368" s="82" t="s">
        <v>3063</v>
      </c>
      <c r="E368" s="82" t="s">
        <v>3064</v>
      </c>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row>
    <row r="369" ht="15.75" customHeight="1">
      <c r="A369" s="77" t="s">
        <v>3020</v>
      </c>
      <c r="B369" s="120">
        <v>-777.0</v>
      </c>
      <c r="C369" s="43" t="s">
        <v>139</v>
      </c>
      <c r="D369" s="43" t="s">
        <v>146</v>
      </c>
      <c r="E369" s="43" t="s">
        <v>2269</v>
      </c>
      <c r="F369" s="42"/>
      <c r="G369" s="42"/>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row>
    <row r="370" ht="15.75" customHeight="1">
      <c r="A370" s="122"/>
      <c r="B370" s="123"/>
      <c r="C370" s="122"/>
      <c r="D370" s="122"/>
      <c r="E370" s="202"/>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row>
    <row r="371" ht="15.75" customHeight="1">
      <c r="A371" s="132" t="s">
        <v>3075</v>
      </c>
      <c r="B371" s="133">
        <v>1.0</v>
      </c>
      <c r="C371" s="140" t="s">
        <v>3077</v>
      </c>
      <c r="D371" s="140" t="s">
        <v>3078</v>
      </c>
      <c r="E371" s="140" t="s">
        <v>3079</v>
      </c>
      <c r="F371" s="136"/>
      <c r="G371" s="136"/>
      <c r="H371" s="53"/>
      <c r="I371" s="53"/>
      <c r="J371" s="53"/>
      <c r="K371" s="53"/>
      <c r="L371" s="53"/>
      <c r="M371" s="53"/>
      <c r="N371" s="53"/>
      <c r="O371" s="53"/>
      <c r="P371" s="53"/>
      <c r="Q371" s="53"/>
      <c r="R371" s="53"/>
      <c r="S371" s="53"/>
      <c r="T371" s="53"/>
      <c r="U371" s="53"/>
      <c r="V371" s="53"/>
      <c r="W371" s="53"/>
      <c r="X371" s="53"/>
      <c r="Y371" s="53"/>
      <c r="Z371" s="53"/>
      <c r="AA371" s="53"/>
      <c r="AB371" s="53"/>
      <c r="AC371" s="53"/>
      <c r="AD371" s="53"/>
      <c r="AE371" s="53"/>
      <c r="AF371" s="53"/>
    </row>
    <row r="372" ht="15.75" customHeight="1">
      <c r="A372" s="109" t="s">
        <v>3075</v>
      </c>
      <c r="B372" s="112">
        <v>2.0</v>
      </c>
      <c r="C372" s="35" t="s">
        <v>3089</v>
      </c>
      <c r="D372" s="35" t="s">
        <v>3091</v>
      </c>
      <c r="E372" s="114" t="s">
        <v>3092</v>
      </c>
      <c r="F372" s="32"/>
      <c r="G372" s="32"/>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row>
    <row r="373" ht="15.75" customHeight="1">
      <c r="A373" s="109" t="s">
        <v>3075</v>
      </c>
      <c r="B373" s="112">
        <v>3.0</v>
      </c>
      <c r="C373" s="35" t="s">
        <v>3103</v>
      </c>
      <c r="D373" s="35" t="s">
        <v>3106</v>
      </c>
      <c r="E373" s="114" t="s">
        <v>3110</v>
      </c>
      <c r="F373" s="32"/>
      <c r="G373" s="32"/>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row>
    <row r="374" ht="15.75" customHeight="1">
      <c r="A374" s="109" t="s">
        <v>3075</v>
      </c>
      <c r="B374" s="276">
        <v>4.0</v>
      </c>
      <c r="C374" s="166" t="s">
        <v>3118</v>
      </c>
      <c r="D374" s="122" t="s">
        <v>3119</v>
      </c>
      <c r="E374" s="202" t="s">
        <v>3120</v>
      </c>
      <c r="F374" s="118"/>
      <c r="G374" s="118"/>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row>
    <row r="375" ht="15.75" customHeight="1">
      <c r="A375" s="77" t="s">
        <v>3075</v>
      </c>
      <c r="B375" s="120">
        <v>-777.0</v>
      </c>
      <c r="C375" s="43" t="s">
        <v>139</v>
      </c>
      <c r="D375" s="43" t="s">
        <v>146</v>
      </c>
      <c r="E375" s="43" t="s">
        <v>147</v>
      </c>
      <c r="F375" s="42"/>
      <c r="G375" s="42"/>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row>
    <row r="376" ht="15.75" customHeight="1">
      <c r="A376" s="77"/>
      <c r="B376" s="43"/>
      <c r="C376" s="43"/>
      <c r="D376" s="43"/>
      <c r="E376" s="43"/>
      <c r="F376" s="42"/>
      <c r="G376" s="42"/>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row>
    <row r="377" ht="15.75" customHeight="1">
      <c r="A377" s="109" t="s">
        <v>3126</v>
      </c>
      <c r="B377" s="112">
        <v>0.0</v>
      </c>
      <c r="C377" s="35" t="s">
        <v>232</v>
      </c>
      <c r="D377" s="35" t="s">
        <v>233</v>
      </c>
      <c r="E377" s="35" t="s">
        <v>234</v>
      </c>
      <c r="F377" s="32"/>
      <c r="G377" s="32"/>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row>
    <row r="378" ht="15.75" customHeight="1">
      <c r="A378" s="109" t="s">
        <v>3126</v>
      </c>
      <c r="B378" s="112">
        <v>1.0</v>
      </c>
      <c r="C378" s="35" t="s">
        <v>3135</v>
      </c>
      <c r="D378" s="35" t="s">
        <v>3136</v>
      </c>
      <c r="E378" s="114" t="s">
        <v>3137</v>
      </c>
      <c r="F378" s="32"/>
      <c r="G378" s="32"/>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row>
    <row r="379" ht="15.75" customHeight="1">
      <c r="A379" s="109" t="s">
        <v>3126</v>
      </c>
      <c r="B379" s="112">
        <v>2.0</v>
      </c>
      <c r="C379" s="35" t="s">
        <v>3145</v>
      </c>
      <c r="D379" s="35" t="s">
        <v>3146</v>
      </c>
      <c r="E379" s="35" t="s">
        <v>3147</v>
      </c>
      <c r="F379" s="32"/>
      <c r="G379" s="32"/>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row>
    <row r="380" ht="15.75" customHeight="1">
      <c r="A380" s="109" t="s">
        <v>3126</v>
      </c>
      <c r="B380" s="112">
        <v>3.0</v>
      </c>
      <c r="C380" s="35" t="s">
        <v>3152</v>
      </c>
      <c r="D380" s="35" t="s">
        <v>3153</v>
      </c>
      <c r="E380" s="114" t="s">
        <v>3154</v>
      </c>
      <c r="F380" s="32"/>
      <c r="G380" s="32"/>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row>
    <row r="381" ht="15.75" customHeight="1">
      <c r="A381" s="109" t="s">
        <v>3126</v>
      </c>
      <c r="B381" s="112">
        <v>4.0</v>
      </c>
      <c r="C381" s="35" t="s">
        <v>3163</v>
      </c>
      <c r="D381" s="35" t="s">
        <v>3164</v>
      </c>
      <c r="E381" s="114" t="s">
        <v>3165</v>
      </c>
      <c r="F381" s="32"/>
      <c r="G381" s="32"/>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row>
    <row r="382" ht="15.75" customHeight="1">
      <c r="A382" s="109" t="s">
        <v>3126</v>
      </c>
      <c r="B382" s="112">
        <v>5.0</v>
      </c>
      <c r="C382" s="35" t="s">
        <v>3171</v>
      </c>
      <c r="D382" s="35" t="s">
        <v>3172</v>
      </c>
      <c r="E382" s="114" t="s">
        <v>3173</v>
      </c>
      <c r="F382" s="32"/>
      <c r="G382" s="32"/>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row>
    <row r="383" ht="15.75" customHeight="1">
      <c r="A383" s="77" t="s">
        <v>3126</v>
      </c>
      <c r="B383" s="120">
        <v>6.0</v>
      </c>
      <c r="C383" s="43" t="s">
        <v>3181</v>
      </c>
      <c r="D383" s="43" t="s">
        <v>3182</v>
      </c>
      <c r="E383" s="92" t="s">
        <v>3183</v>
      </c>
      <c r="F383" s="42"/>
      <c r="G383" s="42"/>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row>
    <row r="384" ht="15.75" customHeight="1">
      <c r="A384" s="77" t="s">
        <v>3126</v>
      </c>
      <c r="B384" s="120">
        <v>-777.0</v>
      </c>
      <c r="C384" s="43" t="s">
        <v>139</v>
      </c>
      <c r="D384" s="43" t="s">
        <v>146</v>
      </c>
      <c r="E384" s="43" t="s">
        <v>2269</v>
      </c>
      <c r="F384" s="42"/>
      <c r="G384" s="42"/>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row>
    <row r="385" ht="15.75" customHeight="1">
      <c r="A385" s="77" t="s">
        <v>3126</v>
      </c>
      <c r="B385" s="120">
        <v>-999.0</v>
      </c>
      <c r="C385" s="43" t="s">
        <v>124</v>
      </c>
      <c r="D385" s="43" t="s">
        <v>125</v>
      </c>
      <c r="E385" s="43" t="s">
        <v>126</v>
      </c>
      <c r="F385" s="42"/>
      <c r="G385" s="42"/>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row>
    <row r="386" ht="15.75" customHeight="1">
      <c r="A386" s="77"/>
      <c r="B386" s="43"/>
      <c r="C386" s="43"/>
      <c r="D386" s="43"/>
      <c r="E386" s="43"/>
      <c r="F386" s="42"/>
      <c r="G386" s="42"/>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row>
    <row r="387" ht="15.75" customHeight="1">
      <c r="A387" s="109" t="s">
        <v>2188</v>
      </c>
      <c r="B387" s="112">
        <v>1.0</v>
      </c>
      <c r="C387" s="35" t="s">
        <v>2189</v>
      </c>
      <c r="D387" s="35" t="s">
        <v>2190</v>
      </c>
      <c r="E387" s="35" t="s">
        <v>2191</v>
      </c>
      <c r="F387" s="32"/>
      <c r="G387" s="32"/>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row>
    <row r="388" ht="15.75" customHeight="1">
      <c r="A388" s="109" t="s">
        <v>2188</v>
      </c>
      <c r="B388" s="112">
        <v>2.0</v>
      </c>
      <c r="C388" s="35" t="s">
        <v>2192</v>
      </c>
      <c r="D388" s="35" t="s">
        <v>2195</v>
      </c>
      <c r="E388" s="35" t="s">
        <v>2197</v>
      </c>
      <c r="F388" s="32"/>
      <c r="G388" s="32"/>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row>
    <row r="389" ht="15.75" customHeight="1">
      <c r="A389" s="109" t="s">
        <v>2188</v>
      </c>
      <c r="B389" s="112">
        <v>3.0</v>
      </c>
      <c r="C389" s="35" t="s">
        <v>2199</v>
      </c>
      <c r="D389" s="35" t="s">
        <v>2200</v>
      </c>
      <c r="E389" s="114" t="s">
        <v>2201</v>
      </c>
      <c r="F389" s="32"/>
      <c r="G389" s="32"/>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row>
    <row r="390" ht="15.75" customHeight="1">
      <c r="A390" s="109" t="s">
        <v>2188</v>
      </c>
      <c r="B390" s="112">
        <v>4.0</v>
      </c>
      <c r="C390" s="35" t="s">
        <v>2208</v>
      </c>
      <c r="D390" s="35" t="s">
        <v>2209</v>
      </c>
      <c r="E390" s="35" t="s">
        <v>2210</v>
      </c>
      <c r="F390" s="32"/>
      <c r="G390" s="32"/>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row>
    <row r="391" ht="15.75" customHeight="1">
      <c r="A391" s="109" t="s">
        <v>2188</v>
      </c>
      <c r="B391" s="112">
        <v>5.0</v>
      </c>
      <c r="C391" s="35" t="s">
        <v>2215</v>
      </c>
      <c r="D391" s="35" t="s">
        <v>2217</v>
      </c>
      <c r="E391" s="35" t="s">
        <v>2219</v>
      </c>
      <c r="F391" s="32"/>
      <c r="G391" s="32"/>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row>
    <row r="392" ht="15.75" customHeight="1">
      <c r="A392" s="109" t="s">
        <v>2188</v>
      </c>
      <c r="B392" s="112">
        <v>6.0</v>
      </c>
      <c r="C392" s="35" t="s">
        <v>2228</v>
      </c>
      <c r="D392" s="35" t="s">
        <v>2229</v>
      </c>
      <c r="E392" s="114" t="s">
        <v>2230</v>
      </c>
      <c r="F392" s="32"/>
      <c r="G392" s="32"/>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row>
    <row r="393" ht="15.75" customHeight="1">
      <c r="A393" s="109" t="s">
        <v>2188</v>
      </c>
      <c r="B393" s="112">
        <v>7.0</v>
      </c>
      <c r="C393" s="35" t="s">
        <v>2237</v>
      </c>
      <c r="D393" s="35" t="s">
        <v>3243</v>
      </c>
      <c r="E393" s="35" t="s">
        <v>2239</v>
      </c>
      <c r="F393" s="32"/>
      <c r="G393" s="32"/>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row>
    <row r="394" ht="15.75" customHeight="1">
      <c r="A394" s="109" t="s">
        <v>2188</v>
      </c>
      <c r="B394" s="112">
        <v>8.0</v>
      </c>
      <c r="C394" s="35" t="s">
        <v>2243</v>
      </c>
      <c r="D394" s="35" t="s">
        <v>2243</v>
      </c>
      <c r="E394" s="35" t="s">
        <v>2244</v>
      </c>
      <c r="F394" s="32"/>
      <c r="G394" s="32"/>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row>
    <row r="395" ht="15.75" customHeight="1">
      <c r="A395" s="109" t="s">
        <v>2188</v>
      </c>
      <c r="B395" s="112">
        <v>9.0</v>
      </c>
      <c r="C395" s="35" t="s">
        <v>2245</v>
      </c>
      <c r="D395" s="35" t="s">
        <v>2246</v>
      </c>
      <c r="E395" s="114" t="s">
        <v>2247</v>
      </c>
      <c r="F395" s="32"/>
      <c r="G395" s="32"/>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row>
    <row r="396" ht="15.75" customHeight="1">
      <c r="A396" s="109" t="s">
        <v>2188</v>
      </c>
      <c r="B396" s="112">
        <v>10.0</v>
      </c>
      <c r="C396" s="35" t="s">
        <v>2255</v>
      </c>
      <c r="D396" s="35" t="s">
        <v>2256</v>
      </c>
      <c r="E396" s="35" t="s">
        <v>2259</v>
      </c>
      <c r="F396" s="32"/>
      <c r="G396" s="32"/>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row>
    <row r="397" ht="15.75" customHeight="1">
      <c r="A397" s="109" t="s">
        <v>2188</v>
      </c>
      <c r="B397" s="112">
        <v>11.0</v>
      </c>
      <c r="C397" s="35" t="s">
        <v>2261</v>
      </c>
      <c r="D397" s="35" t="s">
        <v>2262</v>
      </c>
      <c r="E397" s="114" t="s">
        <v>2263</v>
      </c>
      <c r="F397" s="32"/>
      <c r="G397" s="32"/>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row>
    <row r="398" ht="15.75" customHeight="1">
      <c r="A398" s="109" t="s">
        <v>2188</v>
      </c>
      <c r="B398" s="112">
        <v>12.0</v>
      </c>
      <c r="C398" s="35" t="s">
        <v>2265</v>
      </c>
      <c r="D398" s="35" t="s">
        <v>2266</v>
      </c>
      <c r="E398" s="35" t="s">
        <v>2267</v>
      </c>
      <c r="F398" s="32"/>
      <c r="G398" s="32"/>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row>
    <row r="399" ht="15.75" customHeight="1">
      <c r="A399" s="77" t="s">
        <v>2188</v>
      </c>
      <c r="B399" s="120">
        <v>-777.0</v>
      </c>
      <c r="C399" s="43" t="s">
        <v>139</v>
      </c>
      <c r="D399" s="43" t="s">
        <v>146</v>
      </c>
      <c r="E399" s="43" t="s">
        <v>2269</v>
      </c>
      <c r="F399" s="42"/>
      <c r="G399" s="42"/>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row>
    <row r="400" ht="15.75" customHeight="1">
      <c r="A400" s="77"/>
      <c r="B400" s="43"/>
      <c r="C400" s="43"/>
      <c r="D400" s="43"/>
      <c r="E400" s="43"/>
      <c r="F400" s="42"/>
      <c r="G400" s="42"/>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row>
    <row r="401" ht="15.75" customHeight="1">
      <c r="A401" s="109" t="s">
        <v>3302</v>
      </c>
      <c r="B401" s="112">
        <v>1.0</v>
      </c>
      <c r="C401" s="35" t="s">
        <v>3303</v>
      </c>
      <c r="D401" s="35" t="s">
        <v>3304</v>
      </c>
      <c r="E401" s="114" t="s">
        <v>3305</v>
      </c>
      <c r="F401" s="32"/>
      <c r="G401" s="32"/>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row>
    <row r="402" ht="15.75" customHeight="1">
      <c r="A402" s="109" t="s">
        <v>3302</v>
      </c>
      <c r="B402" s="112">
        <v>2.0</v>
      </c>
      <c r="C402" s="35" t="s">
        <v>3313</v>
      </c>
      <c r="D402" s="35" t="s">
        <v>3314</v>
      </c>
      <c r="E402" s="114" t="s">
        <v>3315</v>
      </c>
      <c r="F402" s="32"/>
      <c r="G402" s="32"/>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row>
    <row r="403" ht="15.75" customHeight="1">
      <c r="A403" s="109" t="s">
        <v>3302</v>
      </c>
      <c r="B403" s="112">
        <v>3.0</v>
      </c>
      <c r="C403" s="35" t="s">
        <v>3330</v>
      </c>
      <c r="D403" s="35" t="s">
        <v>3332</v>
      </c>
      <c r="E403" s="114" t="s">
        <v>3334</v>
      </c>
      <c r="F403" s="32"/>
      <c r="G403" s="32"/>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row>
    <row r="404" ht="15.75" customHeight="1">
      <c r="A404" s="109" t="s">
        <v>3302</v>
      </c>
      <c r="B404" s="112">
        <v>4.0</v>
      </c>
      <c r="C404" s="35" t="s">
        <v>3340</v>
      </c>
      <c r="D404" s="35" t="s">
        <v>3342</v>
      </c>
      <c r="E404" s="114" t="s">
        <v>3344</v>
      </c>
      <c r="F404" s="199"/>
      <c r="G404" s="32"/>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row>
    <row r="405" ht="15.75" customHeight="1">
      <c r="A405" s="109" t="s">
        <v>3302</v>
      </c>
      <c r="B405" s="112">
        <v>5.0</v>
      </c>
      <c r="C405" s="35" t="s">
        <v>3351</v>
      </c>
      <c r="D405" s="35" t="s">
        <v>3352</v>
      </c>
      <c r="E405" s="35" t="s">
        <v>3353</v>
      </c>
      <c r="F405" s="32"/>
      <c r="G405" s="32"/>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row>
    <row r="406" ht="15.75" customHeight="1">
      <c r="A406" s="77" t="s">
        <v>3302</v>
      </c>
      <c r="B406" s="120">
        <v>-777.0</v>
      </c>
      <c r="C406" s="43" t="s">
        <v>139</v>
      </c>
      <c r="D406" s="43" t="s">
        <v>146</v>
      </c>
      <c r="E406" s="43" t="s">
        <v>2269</v>
      </c>
      <c r="F406" s="42"/>
      <c r="G406" s="42"/>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row>
    <row r="407" ht="15.75" customHeight="1">
      <c r="A407" s="77"/>
      <c r="B407" s="43"/>
      <c r="C407" s="43"/>
      <c r="D407" s="43"/>
      <c r="E407" s="43"/>
      <c r="F407" s="42"/>
      <c r="G407" s="42"/>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row>
    <row r="408" ht="15.75" customHeight="1">
      <c r="A408" s="77"/>
      <c r="B408" s="43"/>
      <c r="C408" s="43"/>
      <c r="D408" s="43"/>
      <c r="E408" s="43"/>
      <c r="F408" s="42"/>
      <c r="G408" s="42"/>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row>
    <row r="409" ht="15.75" customHeight="1">
      <c r="A409" s="77"/>
      <c r="B409" s="43"/>
      <c r="C409" s="43"/>
      <c r="D409" s="43"/>
      <c r="E409" s="43"/>
      <c r="F409" s="42"/>
      <c r="G409" s="42"/>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row>
    <row r="410" ht="15.75" customHeight="1">
      <c r="A410" s="109" t="s">
        <v>3396</v>
      </c>
      <c r="B410" s="112">
        <v>1.0</v>
      </c>
      <c r="C410" s="35" t="s">
        <v>3398</v>
      </c>
      <c r="D410" s="35" t="s">
        <v>3399</v>
      </c>
      <c r="E410" s="35" t="s">
        <v>3400</v>
      </c>
      <c r="F410" s="32"/>
      <c r="G410" s="32"/>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row>
    <row r="411" ht="15.75" customHeight="1">
      <c r="A411" s="109" t="s">
        <v>3396</v>
      </c>
      <c r="B411" s="112">
        <v>2.0</v>
      </c>
      <c r="C411" s="35" t="s">
        <v>3403</v>
      </c>
      <c r="D411" s="35" t="s">
        <v>3405</v>
      </c>
      <c r="E411" s="114" t="s">
        <v>3406</v>
      </c>
      <c r="F411" s="199"/>
      <c r="G411" s="32"/>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row>
    <row r="412" ht="15.75" customHeight="1">
      <c r="A412" s="109" t="s">
        <v>3396</v>
      </c>
      <c r="B412" s="112">
        <v>3.0</v>
      </c>
      <c r="C412" s="35" t="s">
        <v>3413</v>
      </c>
      <c r="D412" s="35" t="s">
        <v>3414</v>
      </c>
      <c r="E412" s="114" t="s">
        <v>3415</v>
      </c>
      <c r="F412" s="199"/>
      <c r="G412" s="32"/>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row>
    <row r="413" ht="15.75" customHeight="1">
      <c r="A413" s="77" t="s">
        <v>3396</v>
      </c>
      <c r="B413" s="120">
        <v>4.0</v>
      </c>
      <c r="C413" s="43" t="s">
        <v>3424</v>
      </c>
      <c r="D413" s="43" t="s">
        <v>3426</v>
      </c>
      <c r="E413" s="92" t="s">
        <v>3427</v>
      </c>
      <c r="F413" s="42"/>
      <c r="G413" s="42"/>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row>
    <row r="414" ht="15.75" customHeight="1">
      <c r="A414" s="77"/>
      <c r="B414" s="43"/>
      <c r="C414" s="43"/>
      <c r="D414" s="43"/>
      <c r="E414" s="43"/>
      <c r="F414" s="42"/>
      <c r="G414" s="42"/>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row>
    <row r="415" ht="15.75" customHeight="1">
      <c r="A415" s="109" t="s">
        <v>3444</v>
      </c>
      <c r="B415" s="112">
        <v>1.0</v>
      </c>
      <c r="C415" s="35" t="s">
        <v>3445</v>
      </c>
      <c r="D415" s="35" t="s">
        <v>3446</v>
      </c>
      <c r="E415" s="35" t="s">
        <v>3447</v>
      </c>
      <c r="F415" s="32"/>
      <c r="G415" s="32"/>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row>
    <row r="416" ht="15.75" customHeight="1">
      <c r="A416" s="109" t="s">
        <v>3444</v>
      </c>
      <c r="B416" s="112">
        <v>2.0</v>
      </c>
      <c r="C416" s="35" t="s">
        <v>3455</v>
      </c>
      <c r="D416" s="35" t="s">
        <v>3457</v>
      </c>
      <c r="E416" s="114" t="s">
        <v>3459</v>
      </c>
      <c r="F416" s="199"/>
      <c r="G416" s="199"/>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row>
    <row r="417" ht="15.75" customHeight="1">
      <c r="A417" s="109" t="s">
        <v>3444</v>
      </c>
      <c r="B417" s="112">
        <v>3.0</v>
      </c>
      <c r="C417" s="35" t="s">
        <v>3467</v>
      </c>
      <c r="D417" s="35" t="s">
        <v>3468</v>
      </c>
      <c r="E417" s="114" t="s">
        <v>3469</v>
      </c>
      <c r="F417" s="32"/>
      <c r="G417" s="32"/>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row>
    <row r="418" ht="15.75" customHeight="1">
      <c r="A418" s="109" t="s">
        <v>3444</v>
      </c>
      <c r="B418" s="112">
        <v>4.0</v>
      </c>
      <c r="C418" s="35" t="s">
        <v>3473</v>
      </c>
      <c r="D418" s="35" t="s">
        <v>3476</v>
      </c>
      <c r="E418" s="35" t="s">
        <v>3477</v>
      </c>
      <c r="F418" s="32"/>
      <c r="G418" s="32"/>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row>
    <row r="419" ht="15.75" customHeight="1">
      <c r="A419" s="109" t="s">
        <v>3444</v>
      </c>
      <c r="B419" s="112">
        <v>5.0</v>
      </c>
      <c r="C419" s="35" t="s">
        <v>3483</v>
      </c>
      <c r="D419" s="114" t="s">
        <v>3484</v>
      </c>
      <c r="E419" s="35"/>
      <c r="F419" s="32"/>
      <c r="G419" s="32"/>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row>
    <row r="420" ht="15.75" customHeight="1">
      <c r="A420" s="109" t="s">
        <v>3444</v>
      </c>
      <c r="B420" s="112">
        <v>8.0</v>
      </c>
      <c r="C420" s="35" t="s">
        <v>3489</v>
      </c>
      <c r="D420" s="35" t="s">
        <v>3490</v>
      </c>
      <c r="E420" s="114" t="s">
        <v>3491</v>
      </c>
      <c r="F420" s="199"/>
      <c r="G420" s="32"/>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row>
    <row r="421" ht="15.75" customHeight="1">
      <c r="A421" s="77" t="s">
        <v>3444</v>
      </c>
      <c r="B421" s="120">
        <v>-777.0</v>
      </c>
      <c r="C421" s="43" t="s">
        <v>3497</v>
      </c>
      <c r="D421" s="43" t="s">
        <v>3498</v>
      </c>
      <c r="E421" s="43" t="s">
        <v>2269</v>
      </c>
      <c r="F421" s="42"/>
      <c r="G421" s="42"/>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row>
    <row r="422" ht="15.75" customHeight="1">
      <c r="A422" s="77"/>
      <c r="B422" s="43"/>
      <c r="C422" s="43"/>
      <c r="D422" s="43"/>
      <c r="E422" s="43"/>
      <c r="F422" s="42"/>
      <c r="G422" s="42"/>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row>
    <row r="423" ht="15.75" customHeight="1">
      <c r="A423" s="109" t="s">
        <v>3508</v>
      </c>
      <c r="B423" s="112">
        <v>0.0</v>
      </c>
      <c r="C423" s="35" t="s">
        <v>3509</v>
      </c>
      <c r="D423" s="35" t="s">
        <v>3510</v>
      </c>
      <c r="E423" s="114" t="s">
        <v>3511</v>
      </c>
      <c r="F423" s="32"/>
      <c r="G423" s="32"/>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row>
    <row r="424" ht="15.75" customHeight="1">
      <c r="A424" s="109" t="s">
        <v>3508</v>
      </c>
      <c r="B424" s="112">
        <v>1.0</v>
      </c>
      <c r="C424" s="35" t="s">
        <v>3518</v>
      </c>
      <c r="D424" s="35" t="s">
        <v>3519</v>
      </c>
      <c r="E424" s="114" t="s">
        <v>3520</v>
      </c>
      <c r="F424" s="199"/>
      <c r="G424" s="32"/>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row>
    <row r="425" ht="15.75" customHeight="1">
      <c r="A425" s="109" t="s">
        <v>3508</v>
      </c>
      <c r="B425" s="112">
        <v>2.0</v>
      </c>
      <c r="C425" s="35" t="s">
        <v>3530</v>
      </c>
      <c r="D425" s="35" t="s">
        <v>3536</v>
      </c>
      <c r="E425" s="114" t="s">
        <v>3539</v>
      </c>
      <c r="F425" s="32"/>
      <c r="G425" s="32"/>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row>
    <row r="426" ht="15.75" customHeight="1">
      <c r="A426" s="109" t="s">
        <v>3508</v>
      </c>
      <c r="B426" s="112">
        <v>3.0</v>
      </c>
      <c r="C426" s="35" t="s">
        <v>3547</v>
      </c>
      <c r="D426" s="35" t="s">
        <v>3549</v>
      </c>
      <c r="E426" s="114" t="s">
        <v>3552</v>
      </c>
      <c r="F426" s="32"/>
      <c r="G426" s="32"/>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row>
    <row r="427" ht="15.75" customHeight="1">
      <c r="A427" s="109" t="s">
        <v>3508</v>
      </c>
      <c r="B427" s="112">
        <v>4.0</v>
      </c>
      <c r="C427" s="35" t="s">
        <v>3558</v>
      </c>
      <c r="D427" s="35" t="s">
        <v>3559</v>
      </c>
      <c r="E427" s="35" t="s">
        <v>3560</v>
      </c>
      <c r="F427" s="32"/>
      <c r="G427" s="32"/>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row>
    <row r="428" ht="15.75" customHeight="1">
      <c r="A428" s="109" t="s">
        <v>3508</v>
      </c>
      <c r="B428" s="112">
        <v>5.0</v>
      </c>
      <c r="C428" s="35" t="s">
        <v>3565</v>
      </c>
      <c r="D428" s="35" t="s">
        <v>3566</v>
      </c>
      <c r="E428" s="114" t="s">
        <v>3567</v>
      </c>
      <c r="F428" s="199"/>
      <c r="G428" s="32"/>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row>
    <row r="429" ht="15.75" customHeight="1">
      <c r="A429" s="109" t="s">
        <v>3508</v>
      </c>
      <c r="B429" s="112">
        <v>6.0</v>
      </c>
      <c r="C429" s="35" t="s">
        <v>3573</v>
      </c>
      <c r="D429" s="35" t="s">
        <v>3574</v>
      </c>
      <c r="E429" s="35" t="s">
        <v>3575</v>
      </c>
      <c r="F429" s="32"/>
      <c r="G429" s="32"/>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row>
    <row r="430" ht="15.75" customHeight="1">
      <c r="A430" s="77" t="s">
        <v>3508</v>
      </c>
      <c r="B430" s="120">
        <v>7.0</v>
      </c>
      <c r="C430" s="43" t="s">
        <v>3584</v>
      </c>
      <c r="D430" s="43" t="s">
        <v>3585</v>
      </c>
      <c r="E430" s="92" t="s">
        <v>3586</v>
      </c>
      <c r="F430" s="42"/>
      <c r="G430" s="42"/>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row>
    <row r="431" ht="15.75" customHeight="1">
      <c r="A431" s="122"/>
      <c r="B431" s="123"/>
      <c r="C431" s="122"/>
      <c r="D431" s="122"/>
      <c r="E431" s="202"/>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row>
    <row r="432" ht="15.75" customHeight="1">
      <c r="A432" s="109" t="s">
        <v>429</v>
      </c>
      <c r="B432" s="109">
        <v>1.0</v>
      </c>
      <c r="C432" s="109" t="s">
        <v>430</v>
      </c>
      <c r="D432" s="109" t="s">
        <v>431</v>
      </c>
      <c r="E432" s="109" t="s">
        <v>433</v>
      </c>
      <c r="F432" s="136"/>
      <c r="G432" s="136"/>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row>
    <row r="433" ht="15.75" customHeight="1">
      <c r="A433" s="109" t="s">
        <v>429</v>
      </c>
      <c r="B433" s="109">
        <v>2.0</v>
      </c>
      <c r="C433" s="109" t="s">
        <v>437</v>
      </c>
      <c r="D433" s="109" t="s">
        <v>438</v>
      </c>
      <c r="E433" s="109" t="s">
        <v>439</v>
      </c>
      <c r="F433" s="32"/>
      <c r="G433" s="32"/>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row>
    <row r="434" ht="15.75" customHeight="1">
      <c r="A434" s="109" t="s">
        <v>429</v>
      </c>
      <c r="B434" s="109">
        <v>3.0</v>
      </c>
      <c r="C434" s="109" t="s">
        <v>442</v>
      </c>
      <c r="D434" s="109" t="s">
        <v>443</v>
      </c>
      <c r="E434" s="109" t="s">
        <v>444</v>
      </c>
      <c r="F434" s="42"/>
      <c r="G434" s="42"/>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row>
    <row r="435" ht="15.75" customHeight="1">
      <c r="A435" s="109"/>
      <c r="B435" s="109"/>
      <c r="C435" s="109"/>
      <c r="D435" s="109"/>
      <c r="E435" s="109"/>
      <c r="F435" s="42"/>
      <c r="G435" s="42"/>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row>
    <row r="436" ht="15.75" customHeight="1">
      <c r="A436" s="109" t="s">
        <v>450</v>
      </c>
      <c r="B436" s="109">
        <v>1.0</v>
      </c>
      <c r="C436" s="109" t="s">
        <v>452</v>
      </c>
      <c r="D436" s="109" t="s">
        <v>452</v>
      </c>
      <c r="E436" s="109" t="s">
        <v>454</v>
      </c>
      <c r="F436" s="32"/>
      <c r="G436" s="32"/>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row>
    <row r="437" ht="15.75" customHeight="1">
      <c r="A437" s="109" t="s">
        <v>450</v>
      </c>
      <c r="B437" s="109">
        <v>2.0</v>
      </c>
      <c r="C437" s="109" t="s">
        <v>457</v>
      </c>
      <c r="D437" s="109" t="s">
        <v>458</v>
      </c>
      <c r="E437" s="109" t="s">
        <v>459</v>
      </c>
      <c r="F437" s="32"/>
      <c r="G437" s="32"/>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row>
    <row r="438" ht="15.75" customHeight="1">
      <c r="A438" s="109" t="s">
        <v>450</v>
      </c>
      <c r="B438" s="109">
        <v>3.0</v>
      </c>
      <c r="C438" s="109" t="s">
        <v>461</v>
      </c>
      <c r="D438" s="109" t="s">
        <v>462</v>
      </c>
      <c r="E438" s="109" t="s">
        <v>463</v>
      </c>
      <c r="F438" s="42"/>
      <c r="G438" s="42"/>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row>
    <row r="439" ht="15.75" customHeight="1">
      <c r="A439" s="109"/>
      <c r="B439" s="109"/>
      <c r="C439" s="109"/>
      <c r="D439" s="109"/>
      <c r="E439" s="109"/>
      <c r="F439" s="42"/>
      <c r="G439" s="42"/>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row>
    <row r="440" ht="15.75" customHeight="1">
      <c r="A440" s="109" t="s">
        <v>469</v>
      </c>
      <c r="B440" s="109">
        <v>1.0</v>
      </c>
      <c r="C440" s="109" t="s">
        <v>470</v>
      </c>
      <c r="D440" s="109" t="s">
        <v>471</v>
      </c>
      <c r="E440" s="109" t="s">
        <v>473</v>
      </c>
      <c r="F440" s="32"/>
      <c r="G440" s="32"/>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row>
    <row r="441" ht="15.75" customHeight="1">
      <c r="A441" s="109" t="s">
        <v>469</v>
      </c>
      <c r="B441" s="109">
        <v>2.0</v>
      </c>
      <c r="C441" s="109" t="s">
        <v>476</v>
      </c>
      <c r="D441" s="109" t="s">
        <v>477</v>
      </c>
      <c r="E441" s="109" t="s">
        <v>478</v>
      </c>
      <c r="F441" s="32"/>
      <c r="G441" s="32"/>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row>
    <row r="442" ht="15.75" customHeight="1">
      <c r="A442" s="109" t="s">
        <v>469</v>
      </c>
      <c r="B442" s="109">
        <v>3.0</v>
      </c>
      <c r="C442" s="109" t="s">
        <v>483</v>
      </c>
      <c r="D442" s="109" t="s">
        <v>484</v>
      </c>
      <c r="E442" s="109" t="s">
        <v>485</v>
      </c>
      <c r="F442" s="42"/>
      <c r="G442" s="42"/>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row>
    <row r="443" ht="15.75" customHeight="1">
      <c r="A443" s="109"/>
      <c r="B443" s="109"/>
      <c r="C443" s="109"/>
      <c r="D443" s="109"/>
      <c r="E443" s="109"/>
      <c r="F443" s="42"/>
      <c r="G443" s="42"/>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row>
    <row r="444" ht="15.75" customHeight="1">
      <c r="A444" s="109" t="s">
        <v>491</v>
      </c>
      <c r="B444" s="109">
        <v>1.0</v>
      </c>
      <c r="C444" s="109" t="s">
        <v>492</v>
      </c>
      <c r="D444" s="109" t="s">
        <v>493</v>
      </c>
      <c r="E444" s="109" t="s">
        <v>495</v>
      </c>
      <c r="F444" s="32"/>
      <c r="G444" s="32"/>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row>
    <row r="445" ht="15.75" customHeight="1">
      <c r="A445" s="109" t="s">
        <v>491</v>
      </c>
      <c r="B445" s="109">
        <v>2.0</v>
      </c>
      <c r="C445" s="109" t="s">
        <v>497</v>
      </c>
      <c r="D445" s="109" t="s">
        <v>499</v>
      </c>
      <c r="E445" s="109" t="s">
        <v>500</v>
      </c>
      <c r="F445" s="32"/>
      <c r="G445" s="32"/>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row>
    <row r="446" ht="15.75" customHeight="1">
      <c r="A446" s="109" t="s">
        <v>491</v>
      </c>
      <c r="B446" s="109">
        <v>3.0</v>
      </c>
      <c r="C446" s="109" t="s">
        <v>502</v>
      </c>
      <c r="D446" s="109" t="s">
        <v>503</v>
      </c>
      <c r="E446" s="109" t="s">
        <v>504</v>
      </c>
      <c r="F446" s="32"/>
      <c r="G446" s="32"/>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row>
    <row r="447" ht="15.75" customHeight="1">
      <c r="A447" s="109" t="s">
        <v>491</v>
      </c>
      <c r="B447" s="109">
        <v>4.0</v>
      </c>
      <c r="C447" s="109" t="s">
        <v>506</v>
      </c>
      <c r="D447" s="109" t="s">
        <v>507</v>
      </c>
      <c r="E447" s="109" t="s">
        <v>508</v>
      </c>
      <c r="F447" s="44"/>
      <c r="G447" s="42"/>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row>
    <row r="448" ht="15.75" customHeight="1">
      <c r="A448" s="109"/>
      <c r="B448" s="109"/>
      <c r="C448" s="109"/>
      <c r="D448" s="109"/>
      <c r="E448" s="109"/>
      <c r="F448" s="42"/>
      <c r="G448" s="42"/>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row>
    <row r="449" ht="15.75" customHeight="1">
      <c r="A449" s="109" t="s">
        <v>3716</v>
      </c>
      <c r="B449" s="109">
        <v>1.0</v>
      </c>
      <c r="C449" s="109" t="s">
        <v>3718</v>
      </c>
      <c r="D449" s="109" t="s">
        <v>3719</v>
      </c>
      <c r="E449" s="109" t="s">
        <v>3720</v>
      </c>
      <c r="F449" s="32"/>
      <c r="G449" s="32"/>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row>
    <row r="450" ht="15.75" customHeight="1">
      <c r="A450" s="109" t="s">
        <v>3716</v>
      </c>
      <c r="B450" s="109">
        <v>2.0</v>
      </c>
      <c r="C450" s="109" t="s">
        <v>3725</v>
      </c>
      <c r="D450" s="109" t="s">
        <v>3727</v>
      </c>
      <c r="E450" s="109" t="s">
        <v>3730</v>
      </c>
      <c r="F450" s="42"/>
      <c r="G450" s="42"/>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row>
    <row r="451" ht="15.75" customHeight="1">
      <c r="A451" s="122"/>
      <c r="B451" s="123"/>
      <c r="C451" s="122"/>
      <c r="D451" s="122"/>
      <c r="E451" s="202"/>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row>
    <row r="452" ht="15.75" customHeight="1">
      <c r="A452" s="132" t="s">
        <v>3744</v>
      </c>
      <c r="B452" s="133">
        <v>1.0</v>
      </c>
      <c r="C452" s="140" t="s">
        <v>3747</v>
      </c>
      <c r="D452" s="140" t="s">
        <v>3749</v>
      </c>
      <c r="E452" s="140" t="s">
        <v>3751</v>
      </c>
      <c r="F452" s="136"/>
      <c r="G452" s="136"/>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row>
    <row r="453" ht="15.75" customHeight="1">
      <c r="A453" s="109" t="s">
        <v>3744</v>
      </c>
      <c r="B453" s="112">
        <v>2.0</v>
      </c>
      <c r="C453" s="35" t="s">
        <v>3759</v>
      </c>
      <c r="D453" s="35" t="s">
        <v>3760</v>
      </c>
      <c r="E453" s="35" t="s">
        <v>3761</v>
      </c>
      <c r="F453" s="32"/>
      <c r="G453" s="32"/>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row>
    <row r="454" ht="15.75" customHeight="1">
      <c r="A454" s="109" t="s">
        <v>3744</v>
      </c>
      <c r="B454" s="112">
        <v>3.0</v>
      </c>
      <c r="C454" s="35" t="s">
        <v>3768</v>
      </c>
      <c r="D454" s="35" t="s">
        <v>3769</v>
      </c>
      <c r="E454" s="114" t="s">
        <v>3771</v>
      </c>
      <c r="F454" s="32"/>
      <c r="G454" s="32"/>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row>
    <row r="455" ht="15.75" customHeight="1">
      <c r="A455" s="109" t="s">
        <v>3744</v>
      </c>
      <c r="B455" s="112">
        <v>-777.0</v>
      </c>
      <c r="C455" s="35" t="s">
        <v>139</v>
      </c>
      <c r="D455" s="35" t="s">
        <v>146</v>
      </c>
      <c r="E455" s="35" t="s">
        <v>147</v>
      </c>
      <c r="F455" s="32"/>
      <c r="G455" s="32"/>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row>
    <row r="456" ht="15.75" customHeight="1">
      <c r="A456" s="77" t="s">
        <v>3744</v>
      </c>
      <c r="B456" s="120">
        <v>0.0</v>
      </c>
      <c r="C456" s="43" t="s">
        <v>232</v>
      </c>
      <c r="D456" s="43" t="s">
        <v>233</v>
      </c>
      <c r="E456" s="43" t="s">
        <v>234</v>
      </c>
      <c r="F456" s="42"/>
      <c r="G456" s="42"/>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row>
    <row r="457" ht="15.75" customHeight="1">
      <c r="A457" s="122"/>
      <c r="B457" s="123"/>
      <c r="C457" s="122"/>
      <c r="D457" s="122"/>
      <c r="E457" s="202"/>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row>
    <row r="458" ht="15.75" customHeight="1">
      <c r="A458" s="132" t="s">
        <v>3806</v>
      </c>
      <c r="B458" s="133">
        <v>0.0</v>
      </c>
      <c r="C458" s="140" t="s">
        <v>3807</v>
      </c>
      <c r="D458" s="140" t="s">
        <v>3808</v>
      </c>
      <c r="E458" s="203" t="s">
        <v>3809</v>
      </c>
      <c r="F458" s="136"/>
      <c r="G458" s="136"/>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row>
    <row r="459" ht="15.75" customHeight="1">
      <c r="A459" s="109" t="s">
        <v>3806</v>
      </c>
      <c r="B459" s="112">
        <v>1.0</v>
      </c>
      <c r="C459" s="35" t="s">
        <v>3813</v>
      </c>
      <c r="D459" s="35" t="s">
        <v>3814</v>
      </c>
      <c r="E459" s="35" t="s">
        <v>3815</v>
      </c>
      <c r="F459" s="32"/>
      <c r="G459" s="32"/>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row>
    <row r="460" ht="15.75" customHeight="1">
      <c r="A460" s="77" t="s">
        <v>3806</v>
      </c>
      <c r="B460" s="120">
        <v>2.0</v>
      </c>
      <c r="C460" s="43" t="s">
        <v>3821</v>
      </c>
      <c r="D460" s="43" t="s">
        <v>3822</v>
      </c>
      <c r="E460" s="43" t="s">
        <v>3824</v>
      </c>
      <c r="F460" s="42"/>
      <c r="G460" s="42"/>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row>
    <row r="461" ht="15.75" customHeight="1">
      <c r="A461" s="122"/>
      <c r="B461" s="123"/>
      <c r="C461" s="122"/>
      <c r="D461" s="122"/>
      <c r="E461" s="202"/>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row>
    <row r="462" ht="15.75" customHeight="1">
      <c r="A462" s="122"/>
      <c r="B462" s="123"/>
      <c r="C462" s="122"/>
      <c r="D462" s="122"/>
      <c r="E462" s="202"/>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row>
    <row r="463" ht="15.75" customHeight="1">
      <c r="A463" s="77"/>
      <c r="B463" s="43"/>
      <c r="C463" s="43"/>
      <c r="D463" s="43"/>
      <c r="E463" s="43"/>
      <c r="F463" s="42"/>
      <c r="G463" s="42"/>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row>
    <row r="464" ht="15.75" customHeight="1">
      <c r="A464" s="109" t="s">
        <v>3845</v>
      </c>
      <c r="B464" s="112">
        <v>1.0</v>
      </c>
      <c r="C464" s="35" t="s">
        <v>3848</v>
      </c>
      <c r="D464" s="35" t="s">
        <v>3850</v>
      </c>
      <c r="E464" s="35" t="s">
        <v>3851</v>
      </c>
      <c r="F464" s="32"/>
      <c r="G464" s="32"/>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row>
    <row r="465" ht="15.75" customHeight="1">
      <c r="A465" s="109" t="s">
        <v>3845</v>
      </c>
      <c r="B465" s="112">
        <v>2.0</v>
      </c>
      <c r="C465" s="35" t="s">
        <v>3858</v>
      </c>
      <c r="D465" s="35" t="s">
        <v>3859</v>
      </c>
      <c r="E465" s="114" t="s">
        <v>3896</v>
      </c>
      <c r="F465" s="32"/>
      <c r="G465" s="32"/>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row>
    <row r="466" ht="15.75" customHeight="1">
      <c r="A466" s="109" t="s">
        <v>3845</v>
      </c>
      <c r="B466" s="112">
        <v>3.0</v>
      </c>
      <c r="C466" s="35" t="s">
        <v>3907</v>
      </c>
      <c r="D466" s="35" t="s">
        <v>3908</v>
      </c>
      <c r="E466" s="114" t="s">
        <v>3909</v>
      </c>
      <c r="F466" s="199"/>
      <c r="G466" s="32"/>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row>
    <row r="467" ht="15.75" customHeight="1">
      <c r="A467" s="109" t="s">
        <v>3845</v>
      </c>
      <c r="B467" s="112">
        <v>4.0</v>
      </c>
      <c r="C467" s="35" t="s">
        <v>3919</v>
      </c>
      <c r="D467" s="35" t="s">
        <v>3920</v>
      </c>
      <c r="E467" s="35" t="s">
        <v>3921</v>
      </c>
      <c r="F467" s="32"/>
      <c r="G467" s="32"/>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row>
    <row r="468" ht="15.75" customHeight="1">
      <c r="A468" s="77" t="s">
        <v>3845</v>
      </c>
      <c r="B468" s="120">
        <v>5.0</v>
      </c>
      <c r="C468" s="43" t="s">
        <v>3934</v>
      </c>
      <c r="D468" s="43" t="s">
        <v>3937</v>
      </c>
      <c r="E468" s="43" t="s">
        <v>3939</v>
      </c>
      <c r="F468" s="42"/>
      <c r="G468" s="42"/>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row>
    <row r="469" ht="15.75" customHeight="1">
      <c r="A469" s="77"/>
      <c r="B469" s="43"/>
      <c r="C469" s="43"/>
      <c r="D469" s="43"/>
      <c r="E469" s="43"/>
      <c r="F469" s="42"/>
      <c r="G469" s="42"/>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row>
    <row r="470" ht="15.75" customHeight="1">
      <c r="A470" s="109" t="s">
        <v>3951</v>
      </c>
      <c r="B470" s="112">
        <v>1.0</v>
      </c>
      <c r="C470" s="35" t="s">
        <v>3955</v>
      </c>
      <c r="D470" s="35" t="s">
        <v>3956</v>
      </c>
      <c r="E470" s="114" t="s">
        <v>3957</v>
      </c>
      <c r="F470" s="32"/>
      <c r="G470" s="32"/>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row>
    <row r="471" ht="15.75" customHeight="1">
      <c r="A471" s="109" t="s">
        <v>3951</v>
      </c>
      <c r="B471" s="112">
        <v>2.0</v>
      </c>
      <c r="C471" s="35" t="s">
        <v>3964</v>
      </c>
      <c r="D471" s="35" t="s">
        <v>3967</v>
      </c>
      <c r="E471" s="35" t="s">
        <v>3972</v>
      </c>
      <c r="F471" s="32"/>
      <c r="G471" s="32"/>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row>
    <row r="472" ht="15.75" customHeight="1">
      <c r="A472" s="109" t="s">
        <v>3951</v>
      </c>
      <c r="B472" s="112">
        <v>3.0</v>
      </c>
      <c r="C472" s="35" t="s">
        <v>3982</v>
      </c>
      <c r="D472" s="35" t="s">
        <v>3985</v>
      </c>
      <c r="E472" s="114" t="s">
        <v>3986</v>
      </c>
      <c r="F472" s="32"/>
      <c r="G472" s="32"/>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row>
    <row r="473" ht="15.75" customHeight="1">
      <c r="A473" s="109" t="s">
        <v>3951</v>
      </c>
      <c r="B473" s="112">
        <v>4.0</v>
      </c>
      <c r="C473" s="35" t="s">
        <v>3993</v>
      </c>
      <c r="D473" s="35" t="s">
        <v>3994</v>
      </c>
      <c r="E473" s="35" t="s">
        <v>3995</v>
      </c>
      <c r="F473" s="32"/>
      <c r="G473" s="32"/>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row>
    <row r="474" ht="15.75" customHeight="1">
      <c r="A474" s="77" t="s">
        <v>3951</v>
      </c>
      <c r="B474" s="120">
        <v>5.0</v>
      </c>
      <c r="C474" s="43" t="s">
        <v>4000</v>
      </c>
      <c r="D474" s="43" t="s">
        <v>4001</v>
      </c>
      <c r="E474" s="43" t="s">
        <v>4002</v>
      </c>
      <c r="F474" s="42"/>
      <c r="G474" s="42"/>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row>
    <row r="475" ht="15.75" customHeight="1">
      <c r="A475" s="122"/>
      <c r="B475" s="123"/>
      <c r="C475" s="122"/>
      <c r="D475" s="122"/>
      <c r="E475" s="202"/>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row>
    <row r="476" ht="15.75" customHeight="1">
      <c r="A476" s="132" t="s">
        <v>4014</v>
      </c>
      <c r="B476" s="133">
        <v>1.0</v>
      </c>
      <c r="C476" s="140" t="s">
        <v>4015</v>
      </c>
      <c r="D476" s="140" t="s">
        <v>4017</v>
      </c>
      <c r="E476" s="203" t="s">
        <v>4019</v>
      </c>
      <c r="F476" s="136"/>
      <c r="G476" s="136"/>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row>
    <row r="477" ht="15.75" customHeight="1">
      <c r="A477" s="109" t="s">
        <v>4014</v>
      </c>
      <c r="B477" s="112">
        <v>2.0</v>
      </c>
      <c r="C477" s="35" t="s">
        <v>4025</v>
      </c>
      <c r="D477" s="35" t="s">
        <v>4026</v>
      </c>
      <c r="E477" s="114" t="s">
        <v>4027</v>
      </c>
      <c r="F477" s="32"/>
      <c r="G477" s="32"/>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row>
    <row r="478" ht="15.75" customHeight="1">
      <c r="A478" s="109" t="s">
        <v>4014</v>
      </c>
      <c r="B478" s="112">
        <v>3.0</v>
      </c>
      <c r="C478" s="35" t="s">
        <v>4034</v>
      </c>
      <c r="D478" s="35" t="s">
        <v>4035</v>
      </c>
      <c r="E478" s="35" t="s">
        <v>4036</v>
      </c>
      <c r="F478" s="32"/>
      <c r="G478" s="32"/>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row>
    <row r="479" ht="15.75" customHeight="1">
      <c r="A479" s="77" t="s">
        <v>4014</v>
      </c>
      <c r="B479" s="120">
        <v>4.0</v>
      </c>
      <c r="C479" s="43" t="s">
        <v>4055</v>
      </c>
      <c r="D479" s="43" t="s">
        <v>4056</v>
      </c>
      <c r="E479" s="43" t="s">
        <v>4057</v>
      </c>
      <c r="F479" s="42"/>
      <c r="G479" s="42"/>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row>
    <row r="480" ht="15.75" customHeight="1">
      <c r="A480" s="122"/>
      <c r="B480" s="123"/>
      <c r="C480" s="122"/>
      <c r="D480" s="122"/>
      <c r="E480" s="202"/>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row>
    <row r="481" ht="15.75" customHeight="1">
      <c r="A481" s="132" t="s">
        <v>4068</v>
      </c>
      <c r="B481" s="133">
        <v>1.0</v>
      </c>
      <c r="C481" s="140" t="s">
        <v>4069</v>
      </c>
      <c r="D481" s="140" t="s">
        <v>4070</v>
      </c>
      <c r="E481" s="203" t="s">
        <v>4071</v>
      </c>
      <c r="F481" s="136"/>
      <c r="G481" s="136"/>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row>
    <row r="482" ht="15.75" customHeight="1">
      <c r="A482" s="109" t="s">
        <v>4068</v>
      </c>
      <c r="B482" s="112">
        <v>2.0</v>
      </c>
      <c r="C482" s="35" t="s">
        <v>4079</v>
      </c>
      <c r="D482" s="35" t="s">
        <v>4080</v>
      </c>
      <c r="E482" s="114" t="s">
        <v>4081</v>
      </c>
      <c r="F482" s="32"/>
      <c r="G482" s="32"/>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row>
    <row r="483" ht="15.75" customHeight="1">
      <c r="A483" s="109" t="s">
        <v>4068</v>
      </c>
      <c r="B483" s="112">
        <v>3.0</v>
      </c>
      <c r="C483" s="35" t="s">
        <v>4086</v>
      </c>
      <c r="D483" s="35" t="s">
        <v>4087</v>
      </c>
      <c r="E483" s="114" t="s">
        <v>4088</v>
      </c>
      <c r="F483" s="32"/>
      <c r="G483" s="32"/>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row>
    <row r="484" ht="15.75" customHeight="1">
      <c r="A484" s="77" t="s">
        <v>4068</v>
      </c>
      <c r="B484" s="120">
        <v>4.0</v>
      </c>
      <c r="C484" s="43" t="s">
        <v>4098</v>
      </c>
      <c r="D484" s="43" t="s">
        <v>4099</v>
      </c>
      <c r="E484" s="92" t="s">
        <v>4088</v>
      </c>
      <c r="F484" s="42"/>
      <c r="G484" s="42"/>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row>
    <row r="485" ht="15.75" customHeight="1">
      <c r="A485" s="77"/>
      <c r="B485" s="43"/>
      <c r="C485" s="43"/>
      <c r="D485" s="43"/>
      <c r="E485" s="43"/>
      <c r="F485" s="42"/>
      <c r="G485" s="42"/>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row>
    <row r="486" ht="15.75" customHeight="1">
      <c r="A486" s="109" t="s">
        <v>4108</v>
      </c>
      <c r="B486" s="112">
        <v>1.0</v>
      </c>
      <c r="C486" s="35" t="s">
        <v>4109</v>
      </c>
      <c r="D486" s="35" t="s">
        <v>4110</v>
      </c>
      <c r="E486" s="35" t="s">
        <v>4111</v>
      </c>
      <c r="F486" s="32"/>
      <c r="G486" s="32"/>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row>
    <row r="487" ht="15.75" customHeight="1">
      <c r="A487" s="109" t="s">
        <v>4108</v>
      </c>
      <c r="B487" s="112">
        <v>2.0</v>
      </c>
      <c r="C487" s="35" t="s">
        <v>4121</v>
      </c>
      <c r="D487" s="35" t="s">
        <v>4122</v>
      </c>
      <c r="E487" s="35" t="s">
        <v>4123</v>
      </c>
      <c r="F487" s="32"/>
      <c r="G487" s="32"/>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row>
    <row r="488" ht="15.75" customHeight="1">
      <c r="A488" s="77" t="s">
        <v>4108</v>
      </c>
      <c r="B488" s="120">
        <v>3.0</v>
      </c>
      <c r="C488" s="43" t="s">
        <v>4134</v>
      </c>
      <c r="D488" s="43" t="s">
        <v>4137</v>
      </c>
      <c r="E488" s="43" t="s">
        <v>4138</v>
      </c>
      <c r="F488" s="42"/>
      <c r="G488" s="42"/>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row>
    <row r="489" ht="15.75" customHeight="1">
      <c r="A489" s="77"/>
      <c r="B489" s="43"/>
      <c r="C489" s="43"/>
      <c r="D489" s="43"/>
      <c r="E489" s="43"/>
      <c r="F489" s="42"/>
      <c r="G489" s="42"/>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row>
    <row r="490" ht="15.75" customHeight="1">
      <c r="A490" s="109" t="s">
        <v>4156</v>
      </c>
      <c r="B490" s="112">
        <v>1.0</v>
      </c>
      <c r="C490" s="35" t="s">
        <v>4162</v>
      </c>
      <c r="D490" s="35" t="s">
        <v>4164</v>
      </c>
      <c r="E490" s="114" t="s">
        <v>4165</v>
      </c>
      <c r="F490" s="32"/>
      <c r="G490" s="32"/>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row>
    <row r="491" ht="15.75" customHeight="1">
      <c r="A491" s="77" t="s">
        <v>4156</v>
      </c>
      <c r="B491" s="120">
        <v>2.0</v>
      </c>
      <c r="C491" s="43" t="s">
        <v>4171</v>
      </c>
      <c r="D491" s="43" t="s">
        <v>4173</v>
      </c>
      <c r="E491" s="92" t="s">
        <v>4175</v>
      </c>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row>
    <row r="492" ht="15.75" customHeight="1">
      <c r="A492" s="77"/>
      <c r="B492" s="43"/>
      <c r="C492" s="43"/>
      <c r="D492" s="43"/>
      <c r="E492" s="43"/>
      <c r="F492" s="42"/>
      <c r="G492" s="42"/>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row>
    <row r="493" ht="15.75" customHeight="1">
      <c r="A493" s="109" t="s">
        <v>4190</v>
      </c>
      <c r="B493" s="112">
        <v>1.0</v>
      </c>
      <c r="C493" s="35" t="s">
        <v>4194</v>
      </c>
      <c r="D493" s="35" t="s">
        <v>4195</v>
      </c>
      <c r="E493" s="114" t="s">
        <v>4196</v>
      </c>
      <c r="F493" s="199"/>
      <c r="G493" s="199"/>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row>
    <row r="494" ht="15.75" customHeight="1">
      <c r="A494" s="109" t="s">
        <v>4190</v>
      </c>
      <c r="B494" s="112">
        <v>2.0</v>
      </c>
      <c r="C494" s="35" t="s">
        <v>4206</v>
      </c>
      <c r="D494" s="35" t="s">
        <v>4208</v>
      </c>
      <c r="E494" s="114" t="s">
        <v>4210</v>
      </c>
      <c r="F494" s="199"/>
      <c r="G494" s="199"/>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row>
    <row r="495" ht="15.75" customHeight="1">
      <c r="A495" s="77" t="s">
        <v>4190</v>
      </c>
      <c r="B495" s="120">
        <v>3.0</v>
      </c>
      <c r="C495" s="43" t="s">
        <v>4216</v>
      </c>
      <c r="D495" s="43" t="s">
        <v>4218</v>
      </c>
      <c r="E495" s="92" t="s">
        <v>4221</v>
      </c>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row>
    <row r="496" ht="15.75" customHeight="1">
      <c r="A496" s="77"/>
      <c r="B496" s="43"/>
      <c r="C496" s="43"/>
      <c r="D496" s="43"/>
      <c r="E496" s="43"/>
      <c r="F496" s="42"/>
      <c r="G496" s="42"/>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row>
    <row r="497" ht="15.75" customHeight="1">
      <c r="A497" s="109" t="s">
        <v>4235</v>
      </c>
      <c r="B497" s="112">
        <v>1.0</v>
      </c>
      <c r="C497" s="35" t="s">
        <v>4236</v>
      </c>
      <c r="D497" s="35" t="s">
        <v>4237</v>
      </c>
      <c r="E497" s="114" t="s">
        <v>4238</v>
      </c>
      <c r="F497" s="199"/>
      <c r="G497" s="199"/>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row>
    <row r="498" ht="15.75" customHeight="1">
      <c r="A498" s="109" t="s">
        <v>4235</v>
      </c>
      <c r="B498" s="112">
        <v>2.0</v>
      </c>
      <c r="C498" s="35" t="s">
        <v>4246</v>
      </c>
      <c r="D498" s="35" t="s">
        <v>4247</v>
      </c>
      <c r="E498" s="114" t="s">
        <v>4248</v>
      </c>
      <c r="F498" s="199"/>
      <c r="G498" s="199"/>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row>
    <row r="499" ht="15.75" customHeight="1">
      <c r="A499" s="77" t="s">
        <v>4235</v>
      </c>
      <c r="B499" s="120">
        <v>3.0</v>
      </c>
      <c r="C499" s="43" t="s">
        <v>4256</v>
      </c>
      <c r="D499" s="43" t="s">
        <v>4257</v>
      </c>
      <c r="E499" s="92" t="s">
        <v>4258</v>
      </c>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row>
    <row r="500" ht="15.75" customHeight="1">
      <c r="A500" s="77"/>
      <c r="B500" s="43"/>
      <c r="C500" s="43"/>
      <c r="D500" s="43"/>
      <c r="E500" s="43"/>
      <c r="F500" s="42"/>
      <c r="G500" s="42"/>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row>
    <row r="501" ht="15.75" customHeight="1">
      <c r="A501" s="109" t="s">
        <v>4274</v>
      </c>
      <c r="B501" s="112">
        <v>1.0</v>
      </c>
      <c r="C501" s="35" t="s">
        <v>4275</v>
      </c>
      <c r="D501" s="35" t="s">
        <v>4276</v>
      </c>
      <c r="E501" s="114" t="s">
        <v>4277</v>
      </c>
      <c r="F501" s="199"/>
      <c r="G501" s="32"/>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row>
    <row r="502" ht="15.75" customHeight="1">
      <c r="A502" s="109" t="s">
        <v>4274</v>
      </c>
      <c r="B502" s="112">
        <v>2.0</v>
      </c>
      <c r="C502" s="35" t="s">
        <v>4285</v>
      </c>
      <c r="D502" s="35" t="s">
        <v>4286</v>
      </c>
      <c r="E502" s="114" t="s">
        <v>4287</v>
      </c>
      <c r="F502" s="32"/>
      <c r="G502" s="32"/>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row>
    <row r="503" ht="15.75" customHeight="1">
      <c r="A503" s="109" t="s">
        <v>4274</v>
      </c>
      <c r="B503" s="112">
        <v>3.0</v>
      </c>
      <c r="C503" s="35" t="s">
        <v>4293</v>
      </c>
      <c r="D503" s="35" t="s">
        <v>4296</v>
      </c>
      <c r="E503" s="35" t="s">
        <v>4299</v>
      </c>
      <c r="F503" s="32"/>
      <c r="G503" s="32"/>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row>
    <row r="504" ht="15.75" customHeight="1">
      <c r="A504" s="109" t="s">
        <v>4274</v>
      </c>
      <c r="B504" s="112">
        <v>4.0</v>
      </c>
      <c r="C504" s="35" t="s">
        <v>4306</v>
      </c>
      <c r="D504" s="35" t="s">
        <v>4308</v>
      </c>
      <c r="E504" s="35" t="s">
        <v>4311</v>
      </c>
      <c r="F504" s="32"/>
      <c r="G504" s="32"/>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row>
    <row r="505" ht="15.75" customHeight="1">
      <c r="A505" s="77" t="s">
        <v>4274</v>
      </c>
      <c r="B505" s="120">
        <v>5.0</v>
      </c>
      <c r="C505" s="43" t="s">
        <v>4320</v>
      </c>
      <c r="D505" s="43" t="s">
        <v>4321</v>
      </c>
      <c r="E505" s="92" t="s">
        <v>4323</v>
      </c>
      <c r="F505" s="44"/>
      <c r="G505" s="42"/>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row>
    <row r="506" ht="15.75" customHeight="1">
      <c r="A506" s="77"/>
      <c r="B506" s="43"/>
      <c r="C506" s="43"/>
      <c r="D506" s="43"/>
      <c r="E506" s="43"/>
      <c r="F506" s="42"/>
      <c r="G506" s="42"/>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row>
    <row r="507" ht="15.75" customHeight="1">
      <c r="A507" s="109" t="s">
        <v>4339</v>
      </c>
      <c r="B507" s="112">
        <v>1.0</v>
      </c>
      <c r="C507" s="35" t="s">
        <v>4340</v>
      </c>
      <c r="D507" s="35" t="s">
        <v>4343</v>
      </c>
      <c r="E507" s="114" t="s">
        <v>4345</v>
      </c>
      <c r="F507" s="32"/>
      <c r="G507" s="32"/>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row>
    <row r="508" ht="15.75" customHeight="1">
      <c r="A508" s="109" t="s">
        <v>4339</v>
      </c>
      <c r="B508" s="112">
        <v>2.0</v>
      </c>
      <c r="C508" s="35" t="s">
        <v>4357</v>
      </c>
      <c r="D508" s="322" t="s">
        <v>4359</v>
      </c>
      <c r="E508" s="114" t="s">
        <v>4369</v>
      </c>
      <c r="F508" s="32"/>
      <c r="G508" s="32"/>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row>
    <row r="509" ht="15.75" customHeight="1">
      <c r="A509" s="109" t="s">
        <v>4339</v>
      </c>
      <c r="B509" s="112">
        <v>3.0</v>
      </c>
      <c r="C509" s="35" t="s">
        <v>4377</v>
      </c>
      <c r="D509" s="122" t="s">
        <v>4379</v>
      </c>
      <c r="E509" s="114" t="s">
        <v>4380</v>
      </c>
      <c r="F509" s="32"/>
      <c r="G509" s="32"/>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row>
    <row r="510" ht="15.75" customHeight="1">
      <c r="A510" s="109" t="s">
        <v>4339</v>
      </c>
      <c r="B510" s="112">
        <v>4.0</v>
      </c>
      <c r="C510" s="35" t="s">
        <v>4386</v>
      </c>
      <c r="D510" s="122" t="s">
        <v>4389</v>
      </c>
      <c r="E510" s="114" t="s">
        <v>4390</v>
      </c>
      <c r="F510" s="199"/>
      <c r="G510" s="199"/>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row>
    <row r="511" ht="15.75" customHeight="1">
      <c r="A511" s="109" t="s">
        <v>4339</v>
      </c>
      <c r="B511" s="112">
        <v>5.0</v>
      </c>
      <c r="C511" s="35" t="s">
        <v>4405</v>
      </c>
      <c r="D511" s="122" t="s">
        <v>4406</v>
      </c>
      <c r="E511" s="114" t="s">
        <v>4408</v>
      </c>
      <c r="F511" s="32"/>
      <c r="G511" s="32"/>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row>
    <row r="512" ht="15.75" customHeight="1">
      <c r="A512" s="77" t="s">
        <v>4339</v>
      </c>
      <c r="B512" s="120">
        <v>6.0</v>
      </c>
      <c r="C512" s="43" t="s">
        <v>4414</v>
      </c>
      <c r="D512" s="82" t="s">
        <v>4416</v>
      </c>
      <c r="E512" s="92" t="s">
        <v>4417</v>
      </c>
      <c r="F512" s="42"/>
      <c r="G512" s="42"/>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row>
    <row r="513" ht="15.75" customHeight="1">
      <c r="A513" s="77"/>
      <c r="B513" s="43"/>
      <c r="C513" s="43"/>
      <c r="D513" s="43"/>
      <c r="E513" s="43"/>
      <c r="F513" s="42"/>
      <c r="G513" s="42"/>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row>
    <row r="514" ht="15.75" customHeight="1">
      <c r="A514" s="109" t="s">
        <v>4424</v>
      </c>
      <c r="B514" s="112">
        <v>1.0</v>
      </c>
      <c r="C514" s="35" t="s">
        <v>4425</v>
      </c>
      <c r="D514" s="35" t="s">
        <v>4426</v>
      </c>
      <c r="E514" s="114" t="s">
        <v>4427</v>
      </c>
      <c r="F514" s="199"/>
      <c r="G514" s="32"/>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row>
    <row r="515" ht="15.75" customHeight="1">
      <c r="A515" s="109" t="s">
        <v>4424</v>
      </c>
      <c r="B515" s="112">
        <v>2.0</v>
      </c>
      <c r="C515" s="35" t="s">
        <v>4432</v>
      </c>
      <c r="D515" s="35" t="s">
        <v>4433</v>
      </c>
      <c r="E515" s="114" t="s">
        <v>4434</v>
      </c>
      <c r="F515" s="199"/>
      <c r="G515" s="32"/>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row>
    <row r="516" ht="15.75" customHeight="1">
      <c r="A516" s="109" t="s">
        <v>4424</v>
      </c>
      <c r="B516" s="112">
        <v>3.0</v>
      </c>
      <c r="C516" s="35" t="s">
        <v>4443</v>
      </c>
      <c r="D516" s="122" t="s">
        <v>4444</v>
      </c>
      <c r="E516" s="114" t="s">
        <v>4445</v>
      </c>
      <c r="F516" s="199"/>
      <c r="G516" s="32"/>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row>
    <row r="517" ht="15.75" customHeight="1">
      <c r="A517" s="109" t="s">
        <v>4424</v>
      </c>
      <c r="B517" s="112">
        <v>4.0</v>
      </c>
      <c r="C517" s="35" t="s">
        <v>4451</v>
      </c>
      <c r="D517" s="122" t="s">
        <v>4452</v>
      </c>
      <c r="E517" s="114" t="s">
        <v>4453</v>
      </c>
      <c r="F517" s="199"/>
      <c r="G517" s="32"/>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row>
    <row r="518" ht="15.75" customHeight="1">
      <c r="A518" s="109" t="s">
        <v>4424</v>
      </c>
      <c r="B518" s="112">
        <v>5.0</v>
      </c>
      <c r="C518" s="35" t="s">
        <v>4462</v>
      </c>
      <c r="D518" s="122" t="s">
        <v>4406</v>
      </c>
      <c r="E518" s="114" t="s">
        <v>4453</v>
      </c>
      <c r="F518" s="199"/>
      <c r="G518" s="32"/>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row>
    <row r="519" ht="15.75" customHeight="1">
      <c r="A519" s="77" t="s">
        <v>4424</v>
      </c>
      <c r="B519" s="120">
        <v>6.0</v>
      </c>
      <c r="C519" s="43" t="s">
        <v>4473</v>
      </c>
      <c r="D519" s="82" t="s">
        <v>4416</v>
      </c>
      <c r="E519" s="92" t="s">
        <v>4475</v>
      </c>
      <c r="F519" s="44"/>
      <c r="G519" s="42"/>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row>
    <row r="520" ht="15.75" customHeight="1">
      <c r="A520" s="77"/>
      <c r="B520" s="43"/>
      <c r="C520" s="43"/>
      <c r="D520" s="43"/>
      <c r="E520" s="43"/>
      <c r="F520" s="42"/>
      <c r="G520" s="42"/>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row>
    <row r="521" ht="15.75" customHeight="1">
      <c r="A521" s="109" t="s">
        <v>4492</v>
      </c>
      <c r="B521" s="112">
        <v>1.0</v>
      </c>
      <c r="C521" s="35" t="s">
        <v>4495</v>
      </c>
      <c r="D521" s="35" t="s">
        <v>4497</v>
      </c>
      <c r="E521" s="114" t="s">
        <v>4498</v>
      </c>
      <c r="F521" s="199"/>
      <c r="G521" s="199"/>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row>
    <row r="522" ht="15.75" customHeight="1">
      <c r="A522" s="109" t="s">
        <v>4492</v>
      </c>
      <c r="B522" s="112">
        <v>2.0</v>
      </c>
      <c r="C522" s="35" t="s">
        <v>4503</v>
      </c>
      <c r="D522" s="35" t="s">
        <v>4504</v>
      </c>
      <c r="E522" s="114" t="s">
        <v>4505</v>
      </c>
      <c r="F522" s="199"/>
      <c r="G522" s="199"/>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row>
    <row r="523" ht="15.75" customHeight="1">
      <c r="A523" s="109" t="s">
        <v>4492</v>
      </c>
      <c r="B523" s="112">
        <v>3.0</v>
      </c>
      <c r="C523" s="35" t="s">
        <v>4512</v>
      </c>
      <c r="D523" s="35" t="s">
        <v>4513</v>
      </c>
      <c r="E523" s="114" t="s">
        <v>4514</v>
      </c>
      <c r="F523" s="199"/>
      <c r="G523" s="199"/>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row>
    <row r="524" ht="15.75" customHeight="1">
      <c r="A524" s="109" t="s">
        <v>4492</v>
      </c>
      <c r="B524" s="112">
        <v>4.0</v>
      </c>
      <c r="C524" s="35" t="s">
        <v>4525</v>
      </c>
      <c r="D524" s="35" t="s">
        <v>4526</v>
      </c>
      <c r="E524" s="114" t="s">
        <v>4527</v>
      </c>
      <c r="F524" s="199"/>
      <c r="G524" s="199"/>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row>
    <row r="525" ht="15.75" customHeight="1">
      <c r="A525" s="77" t="s">
        <v>4492</v>
      </c>
      <c r="B525" s="120">
        <v>5.0</v>
      </c>
      <c r="C525" s="43" t="s">
        <v>4535</v>
      </c>
      <c r="D525" s="43" t="s">
        <v>4536</v>
      </c>
      <c r="E525" s="92" t="s">
        <v>4537</v>
      </c>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row>
    <row r="526" ht="15.75" customHeight="1">
      <c r="A526" s="77"/>
      <c r="B526" s="43"/>
      <c r="C526" s="43"/>
      <c r="D526" s="43"/>
      <c r="E526" s="43"/>
      <c r="F526" s="42"/>
      <c r="G526" s="42"/>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row>
    <row r="527" ht="15.75" customHeight="1">
      <c r="A527" s="109" t="s">
        <v>4549</v>
      </c>
      <c r="B527" s="112">
        <v>1.0</v>
      </c>
      <c r="C527" s="35" t="s">
        <v>4550</v>
      </c>
      <c r="D527" s="35" t="s">
        <v>4551</v>
      </c>
      <c r="E527" s="114" t="s">
        <v>4552</v>
      </c>
      <c r="F527" s="199"/>
      <c r="G527" s="199"/>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row>
    <row r="528" ht="15.75" customHeight="1">
      <c r="A528" s="109" t="s">
        <v>4549</v>
      </c>
      <c r="B528" s="112">
        <v>2.0</v>
      </c>
      <c r="C528" s="35" t="s">
        <v>4563</v>
      </c>
      <c r="D528" s="35" t="s">
        <v>4565</v>
      </c>
      <c r="E528" s="114" t="s">
        <v>4568</v>
      </c>
      <c r="F528" s="199"/>
      <c r="G528" s="199"/>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row>
    <row r="529" ht="15.75" customHeight="1">
      <c r="A529" s="109" t="s">
        <v>4549</v>
      </c>
      <c r="B529" s="112">
        <v>3.0</v>
      </c>
      <c r="C529" s="35" t="s">
        <v>4577</v>
      </c>
      <c r="D529" s="35" t="s">
        <v>4578</v>
      </c>
      <c r="E529" s="114" t="s">
        <v>4579</v>
      </c>
      <c r="F529" s="199"/>
      <c r="G529" s="199"/>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row>
    <row r="530" ht="15.75" customHeight="1">
      <c r="A530" s="109" t="s">
        <v>4549</v>
      </c>
      <c r="B530" s="112">
        <v>4.0</v>
      </c>
      <c r="C530" s="35" t="s">
        <v>4584</v>
      </c>
      <c r="D530" s="35" t="s">
        <v>4585</v>
      </c>
      <c r="E530" s="114" t="s">
        <v>4587</v>
      </c>
      <c r="F530" s="199"/>
      <c r="G530" s="199"/>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row>
    <row r="531" ht="15.75" customHeight="1">
      <c r="A531" s="77" t="s">
        <v>4549</v>
      </c>
      <c r="B531" s="120">
        <v>5.0</v>
      </c>
      <c r="C531" s="43" t="s">
        <v>4595</v>
      </c>
      <c r="D531" s="43" t="s">
        <v>4597</v>
      </c>
      <c r="E531" s="92" t="s">
        <v>4600</v>
      </c>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row>
    <row r="532" ht="15.75" customHeight="1">
      <c r="A532" s="77"/>
      <c r="B532" s="43"/>
      <c r="C532" s="43"/>
      <c r="D532" s="43"/>
      <c r="E532" s="43"/>
      <c r="F532" s="42"/>
      <c r="G532" s="42"/>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row>
    <row r="533" ht="15.75" customHeight="1">
      <c r="A533" s="109" t="s">
        <v>4626</v>
      </c>
      <c r="B533" s="112">
        <v>1.0</v>
      </c>
      <c r="C533" s="35" t="s">
        <v>4628</v>
      </c>
      <c r="D533" s="35" t="s">
        <v>4630</v>
      </c>
      <c r="E533" s="114" t="s">
        <v>4633</v>
      </c>
      <c r="F533" s="199"/>
      <c r="G533" s="199"/>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row>
    <row r="534" ht="15.75" customHeight="1">
      <c r="A534" s="109" t="s">
        <v>4626</v>
      </c>
      <c r="B534" s="112">
        <v>2.0</v>
      </c>
      <c r="C534" s="35" t="s">
        <v>4653</v>
      </c>
      <c r="D534" s="35" t="s">
        <v>4655</v>
      </c>
      <c r="E534" s="114" t="s">
        <v>4657</v>
      </c>
      <c r="F534" s="199"/>
      <c r="G534" s="199"/>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row>
    <row r="535" ht="15.75" customHeight="1">
      <c r="A535" s="109" t="s">
        <v>4626</v>
      </c>
      <c r="B535" s="112">
        <v>3.0</v>
      </c>
      <c r="C535" s="35" t="s">
        <v>4512</v>
      </c>
      <c r="D535" s="35" t="s">
        <v>4665</v>
      </c>
      <c r="E535" s="114" t="s">
        <v>4514</v>
      </c>
      <c r="F535" s="199"/>
      <c r="G535" s="199"/>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row>
    <row r="536" ht="15.75" customHeight="1">
      <c r="A536" s="109" t="s">
        <v>4626</v>
      </c>
      <c r="B536" s="112">
        <v>4.0</v>
      </c>
      <c r="C536" s="35" t="s">
        <v>4669</v>
      </c>
      <c r="D536" s="35" t="s">
        <v>4670</v>
      </c>
      <c r="E536" s="114" t="s">
        <v>4671</v>
      </c>
      <c r="F536" s="199"/>
      <c r="G536" s="199"/>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row>
    <row r="537" ht="15.75" customHeight="1">
      <c r="A537" s="77" t="s">
        <v>4626</v>
      </c>
      <c r="B537" s="120">
        <v>5.0</v>
      </c>
      <c r="C537" s="43" t="s">
        <v>4685</v>
      </c>
      <c r="D537" s="43" t="s">
        <v>4686</v>
      </c>
      <c r="E537" s="92" t="s">
        <v>4687</v>
      </c>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row>
    <row r="538" ht="15.75" customHeight="1">
      <c r="A538" s="77"/>
      <c r="B538" s="43"/>
      <c r="C538" s="43"/>
      <c r="D538" s="43"/>
      <c r="E538" s="43"/>
      <c r="F538" s="42"/>
      <c r="G538" s="42"/>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row>
    <row r="539" ht="15.75" customHeight="1">
      <c r="A539" s="109" t="s">
        <v>4701</v>
      </c>
      <c r="B539" s="112">
        <v>1.0</v>
      </c>
      <c r="C539" s="35" t="s">
        <v>4703</v>
      </c>
      <c r="D539" s="35" t="s">
        <v>4704</v>
      </c>
      <c r="E539" s="114" t="s">
        <v>4706</v>
      </c>
      <c r="F539" s="199"/>
      <c r="G539" s="199"/>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row>
    <row r="540" ht="15.75" customHeight="1">
      <c r="A540" s="109" t="s">
        <v>4701</v>
      </c>
      <c r="B540" s="112">
        <v>2.0</v>
      </c>
      <c r="C540" s="35" t="s">
        <v>4713</v>
      </c>
      <c r="D540" s="35" t="s">
        <v>4714</v>
      </c>
      <c r="E540" s="114" t="s">
        <v>4715</v>
      </c>
      <c r="F540" s="199"/>
      <c r="G540" s="199"/>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row>
    <row r="541" ht="15.75" customHeight="1">
      <c r="A541" s="109" t="s">
        <v>4701</v>
      </c>
      <c r="B541" s="112">
        <v>3.0</v>
      </c>
      <c r="C541" s="35" t="s">
        <v>4723</v>
      </c>
      <c r="D541" s="35" t="s">
        <v>4726</v>
      </c>
      <c r="E541" s="114" t="s">
        <v>4579</v>
      </c>
      <c r="F541" s="199"/>
      <c r="G541" s="199"/>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row>
    <row r="542" ht="15.75" customHeight="1">
      <c r="A542" s="109" t="s">
        <v>4701</v>
      </c>
      <c r="B542" s="112">
        <v>4.0</v>
      </c>
      <c r="C542" s="35" t="s">
        <v>4733</v>
      </c>
      <c r="D542" s="35" t="s">
        <v>4734</v>
      </c>
      <c r="E542" s="114" t="s">
        <v>4737</v>
      </c>
      <c r="F542" s="199"/>
      <c r="G542" s="199"/>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row>
    <row r="543" ht="15.75" customHeight="1">
      <c r="A543" s="77" t="s">
        <v>4701</v>
      </c>
      <c r="B543" s="120">
        <v>5.0</v>
      </c>
      <c r="C543" s="43" t="s">
        <v>4747</v>
      </c>
      <c r="D543" s="43" t="s">
        <v>4748</v>
      </c>
      <c r="E543" s="92" t="s">
        <v>4749</v>
      </c>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row>
    <row r="544" ht="15.75" customHeight="1">
      <c r="A544" s="77"/>
      <c r="B544" s="43"/>
      <c r="C544" s="43"/>
      <c r="D544" s="43"/>
      <c r="E544" s="43"/>
      <c r="F544" s="42"/>
      <c r="G544" s="42"/>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row>
    <row r="545" ht="15.75" customHeight="1">
      <c r="A545" s="109" t="s">
        <v>4776</v>
      </c>
      <c r="B545" s="112">
        <v>1.0</v>
      </c>
      <c r="C545" s="35" t="s">
        <v>4777</v>
      </c>
      <c r="D545" s="35" t="s">
        <v>4778</v>
      </c>
      <c r="E545" s="35" t="s">
        <v>4781</v>
      </c>
      <c r="F545" s="32"/>
      <c r="G545" s="32"/>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row>
    <row r="546" ht="15.75" customHeight="1">
      <c r="A546" s="109" t="s">
        <v>4776</v>
      </c>
      <c r="B546" s="112">
        <v>2.0</v>
      </c>
      <c r="C546" s="35" t="s">
        <v>4792</v>
      </c>
      <c r="D546" s="35" t="s">
        <v>4792</v>
      </c>
      <c r="E546" s="114" t="s">
        <v>4793</v>
      </c>
      <c r="F546" s="32"/>
      <c r="G546" s="32"/>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row>
    <row r="547" ht="15.75" customHeight="1">
      <c r="A547" s="109" t="s">
        <v>4776</v>
      </c>
      <c r="B547" s="112">
        <v>3.0</v>
      </c>
      <c r="C547" s="35" t="s">
        <v>4805</v>
      </c>
      <c r="D547" s="35" t="s">
        <v>4805</v>
      </c>
      <c r="E547" s="35" t="s">
        <v>4806</v>
      </c>
      <c r="F547" s="32"/>
      <c r="G547" s="32"/>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row>
    <row r="548" ht="15.75" customHeight="1">
      <c r="A548" s="109" t="s">
        <v>4776</v>
      </c>
      <c r="B548" s="112">
        <v>4.0</v>
      </c>
      <c r="C548" s="35" t="s">
        <v>4811</v>
      </c>
      <c r="D548" s="35" t="s">
        <v>4811</v>
      </c>
      <c r="E548" s="35" t="s">
        <v>4814</v>
      </c>
      <c r="F548" s="32"/>
      <c r="G548" s="32"/>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row>
    <row r="549" ht="15.75" customHeight="1">
      <c r="A549" s="109" t="s">
        <v>4776</v>
      </c>
      <c r="B549" s="112">
        <v>5.0</v>
      </c>
      <c r="C549" s="35" t="s">
        <v>4824</v>
      </c>
      <c r="D549" s="35" t="s">
        <v>4824</v>
      </c>
      <c r="E549" s="114" t="s">
        <v>4825</v>
      </c>
      <c r="F549" s="32"/>
      <c r="G549" s="32"/>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row>
    <row r="550" ht="15.75" customHeight="1">
      <c r="A550" s="109" t="s">
        <v>4776</v>
      </c>
      <c r="B550" s="112">
        <v>6.0</v>
      </c>
      <c r="C550" s="35" t="s">
        <v>4837</v>
      </c>
      <c r="D550" s="35" t="s">
        <v>4837</v>
      </c>
      <c r="E550" s="35" t="s">
        <v>4841</v>
      </c>
      <c r="F550" s="32"/>
      <c r="G550" s="32"/>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row>
    <row r="551" ht="15.75" customHeight="1">
      <c r="A551" s="109" t="s">
        <v>4776</v>
      </c>
      <c r="B551" s="112">
        <v>7.0</v>
      </c>
      <c r="C551" s="35" t="s">
        <v>4847</v>
      </c>
      <c r="D551" s="35" t="s">
        <v>4847</v>
      </c>
      <c r="E551" s="114" t="s">
        <v>4850</v>
      </c>
      <c r="F551" s="32"/>
      <c r="G551" s="32"/>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row>
    <row r="552" ht="15.75" customHeight="1">
      <c r="A552" s="109" t="s">
        <v>4776</v>
      </c>
      <c r="B552" s="112">
        <v>8.0</v>
      </c>
      <c r="C552" s="35" t="s">
        <v>4860</v>
      </c>
      <c r="D552" s="35" t="s">
        <v>4860</v>
      </c>
      <c r="E552" s="35" t="s">
        <v>4861</v>
      </c>
      <c r="F552" s="32"/>
      <c r="G552" s="32"/>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row>
    <row r="553" ht="15.75" customHeight="1">
      <c r="A553" s="77" t="s">
        <v>4776</v>
      </c>
      <c r="B553" s="120">
        <v>-777.0</v>
      </c>
      <c r="C553" s="43" t="s">
        <v>139</v>
      </c>
      <c r="D553" s="43" t="s">
        <v>146</v>
      </c>
      <c r="E553" s="43" t="s">
        <v>147</v>
      </c>
      <c r="F553" s="42"/>
      <c r="G553" s="42"/>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row>
    <row r="554" ht="15.75" customHeight="1">
      <c r="A554" s="122"/>
      <c r="B554" s="123"/>
      <c r="C554" s="122"/>
      <c r="D554" s="122"/>
      <c r="E554" s="202"/>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row>
    <row r="555" ht="15.75" customHeight="1">
      <c r="A555" s="132" t="s">
        <v>4880</v>
      </c>
      <c r="B555" s="133">
        <v>0.0</v>
      </c>
      <c r="C555" s="140" t="s">
        <v>232</v>
      </c>
      <c r="D555" s="140" t="s">
        <v>233</v>
      </c>
      <c r="E555" s="140" t="s">
        <v>4883</v>
      </c>
      <c r="F555" s="136"/>
      <c r="G555" s="136"/>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row>
    <row r="556" ht="15.75" customHeight="1">
      <c r="A556" s="109" t="s">
        <v>4880</v>
      </c>
      <c r="B556" s="112">
        <v>1.0</v>
      </c>
      <c r="C556" s="35" t="s">
        <v>4889</v>
      </c>
      <c r="D556" s="35" t="s">
        <v>1480</v>
      </c>
      <c r="E556" s="35" t="s">
        <v>4894</v>
      </c>
      <c r="F556" s="32"/>
      <c r="G556" s="32"/>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row>
    <row r="557" ht="15.75" customHeight="1">
      <c r="A557" s="109" t="s">
        <v>4880</v>
      </c>
      <c r="B557" s="112">
        <v>2.0</v>
      </c>
      <c r="C557" s="35" t="s">
        <v>4907</v>
      </c>
      <c r="D557" s="35" t="s">
        <v>1514</v>
      </c>
      <c r="E557" s="35" t="s">
        <v>4908</v>
      </c>
      <c r="F557" s="32"/>
      <c r="G557" s="32"/>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row>
    <row r="558" ht="15.75" customHeight="1">
      <c r="A558" s="109" t="s">
        <v>4880</v>
      </c>
      <c r="B558" s="112">
        <v>3.0</v>
      </c>
      <c r="C558" s="35" t="s">
        <v>4920</v>
      </c>
      <c r="D558" s="35" t="s">
        <v>4921</v>
      </c>
      <c r="E558" s="114" t="s">
        <v>4922</v>
      </c>
      <c r="F558" s="32"/>
      <c r="G558" s="32"/>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row>
    <row r="559" ht="15.75" customHeight="1">
      <c r="A559" s="109" t="s">
        <v>4880</v>
      </c>
      <c r="B559" s="112">
        <v>4.0</v>
      </c>
      <c r="C559" s="35" t="s">
        <v>4932</v>
      </c>
      <c r="D559" s="35" t="s">
        <v>4932</v>
      </c>
      <c r="E559" s="114" t="s">
        <v>4933</v>
      </c>
      <c r="F559" s="32"/>
      <c r="G559" s="32"/>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row>
    <row r="560" ht="15.75" customHeight="1">
      <c r="A560" s="109" t="s">
        <v>4880</v>
      </c>
      <c r="B560" s="112">
        <v>5.0</v>
      </c>
      <c r="C560" s="35" t="s">
        <v>4937</v>
      </c>
      <c r="D560" s="35" t="s">
        <v>1476</v>
      </c>
      <c r="E560" s="35" t="s">
        <v>4942</v>
      </c>
      <c r="F560" s="32"/>
      <c r="G560" s="32"/>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row>
    <row r="561" ht="15.75" customHeight="1">
      <c r="A561" s="77" t="s">
        <v>4880</v>
      </c>
      <c r="B561" s="120">
        <v>-777.0</v>
      </c>
      <c r="C561" s="43" t="s">
        <v>139</v>
      </c>
      <c r="D561" s="43" t="s">
        <v>146</v>
      </c>
      <c r="E561" s="43" t="s">
        <v>147</v>
      </c>
      <c r="F561" s="42"/>
      <c r="G561" s="42"/>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row>
    <row r="562" ht="15.75" customHeight="1">
      <c r="A562" s="122"/>
      <c r="B562" s="123"/>
      <c r="C562" s="122"/>
      <c r="D562" s="122"/>
      <c r="E562" s="202"/>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row>
    <row r="563" ht="15.75" customHeight="1">
      <c r="A563" s="132" t="s">
        <v>4999</v>
      </c>
      <c r="B563" s="133">
        <v>1.0</v>
      </c>
      <c r="C563" s="140" t="s">
        <v>5000</v>
      </c>
      <c r="D563" s="140" t="s">
        <v>5002</v>
      </c>
      <c r="E563" s="140" t="s">
        <v>5003</v>
      </c>
      <c r="F563" s="327"/>
      <c r="G563" s="327"/>
      <c r="H563" s="53"/>
      <c r="I563" s="53"/>
      <c r="J563" s="53"/>
      <c r="K563" s="53"/>
      <c r="L563" s="53"/>
      <c r="M563" s="53"/>
      <c r="N563" s="53"/>
      <c r="O563" s="53"/>
      <c r="P563" s="53"/>
      <c r="Q563" s="53"/>
      <c r="R563" s="53"/>
      <c r="S563" s="53"/>
      <c r="T563" s="53"/>
      <c r="U563" s="53"/>
      <c r="V563" s="53"/>
      <c r="W563" s="53"/>
      <c r="X563" s="53"/>
      <c r="Y563" s="53"/>
      <c r="Z563" s="53"/>
      <c r="AA563" s="53"/>
      <c r="AB563" s="53"/>
      <c r="AC563" s="53"/>
      <c r="AD563" s="53"/>
      <c r="AE563" s="53"/>
      <c r="AF563" s="53"/>
    </row>
    <row r="564" ht="15.75" customHeight="1">
      <c r="A564" s="109" t="s">
        <v>4999</v>
      </c>
      <c r="B564" s="112">
        <v>2.0</v>
      </c>
      <c r="C564" s="35" t="s">
        <v>5016</v>
      </c>
      <c r="D564" s="35" t="s">
        <v>5018</v>
      </c>
      <c r="E564" s="35" t="s">
        <v>5019</v>
      </c>
      <c r="F564" s="118"/>
      <c r="G564" s="118"/>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row>
    <row r="565" ht="15.75" customHeight="1">
      <c r="A565" s="109" t="s">
        <v>4999</v>
      </c>
      <c r="B565" s="112">
        <v>3.0</v>
      </c>
      <c r="C565" s="35" t="s">
        <v>5035</v>
      </c>
      <c r="D565" s="35" t="s">
        <v>4811</v>
      </c>
      <c r="E565" s="35" t="s">
        <v>5036</v>
      </c>
      <c r="F565" s="118"/>
      <c r="G565" s="118"/>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row>
    <row r="566" ht="15.75" customHeight="1">
      <c r="A566" s="109" t="s">
        <v>4999</v>
      </c>
      <c r="B566" s="112">
        <v>4.0</v>
      </c>
      <c r="C566" s="35" t="s">
        <v>5045</v>
      </c>
      <c r="D566" s="35" t="s">
        <v>5046</v>
      </c>
      <c r="E566" s="114" t="s">
        <v>5048</v>
      </c>
      <c r="F566" s="118"/>
      <c r="G566" s="118"/>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row>
    <row r="567" ht="15.75" customHeight="1">
      <c r="A567" s="109" t="s">
        <v>4999</v>
      </c>
      <c r="B567" s="112">
        <v>5.0</v>
      </c>
      <c r="C567" s="35" t="s">
        <v>5060</v>
      </c>
      <c r="D567" s="35" t="s">
        <v>5060</v>
      </c>
      <c r="E567" s="35" t="s">
        <v>5062</v>
      </c>
      <c r="F567" s="118"/>
      <c r="G567" s="118"/>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row>
    <row r="568" ht="15.75" customHeight="1">
      <c r="A568" s="109" t="s">
        <v>4999</v>
      </c>
      <c r="B568" s="112">
        <v>6.0</v>
      </c>
      <c r="C568" s="35" t="s">
        <v>5068</v>
      </c>
      <c r="D568" s="35" t="s">
        <v>5068</v>
      </c>
      <c r="E568" s="114" t="s">
        <v>5071</v>
      </c>
      <c r="F568" s="118"/>
      <c r="G568" s="118"/>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row>
    <row r="569" ht="15.75" customHeight="1">
      <c r="A569" s="109" t="s">
        <v>4999</v>
      </c>
      <c r="B569" s="112">
        <v>7.0</v>
      </c>
      <c r="C569" s="35" t="s">
        <v>5077</v>
      </c>
      <c r="D569" s="35" t="s">
        <v>5077</v>
      </c>
      <c r="E569" s="114" t="s">
        <v>5078</v>
      </c>
      <c r="F569" s="32"/>
      <c r="G569" s="32"/>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row>
    <row r="570" ht="15.75" customHeight="1">
      <c r="A570" s="109" t="s">
        <v>4999</v>
      </c>
      <c r="B570" s="112">
        <v>8.0</v>
      </c>
      <c r="C570" s="35" t="s">
        <v>5087</v>
      </c>
      <c r="D570" s="35" t="s">
        <v>5087</v>
      </c>
      <c r="E570" s="35" t="s">
        <v>5088</v>
      </c>
      <c r="F570" s="32"/>
      <c r="G570" s="32"/>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row>
    <row r="571" ht="15.75" customHeight="1">
      <c r="A571" s="109" t="s">
        <v>4999</v>
      </c>
      <c r="B571" s="112">
        <v>9.0</v>
      </c>
      <c r="C571" s="35" t="s">
        <v>5103</v>
      </c>
      <c r="D571" s="35" t="s">
        <v>4860</v>
      </c>
      <c r="E571" s="35" t="s">
        <v>5104</v>
      </c>
      <c r="F571" s="32"/>
      <c r="G571" s="32"/>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row>
    <row r="572" ht="15.75" customHeight="1">
      <c r="A572" s="109" t="s">
        <v>4999</v>
      </c>
      <c r="B572" s="112">
        <v>10.0</v>
      </c>
      <c r="C572" s="35" t="s">
        <v>5113</v>
      </c>
      <c r="D572" s="35" t="s">
        <v>5114</v>
      </c>
      <c r="E572" s="35" t="s">
        <v>5115</v>
      </c>
      <c r="F572" s="32"/>
      <c r="G572" s="32"/>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row>
    <row r="573" ht="15.75" customHeight="1">
      <c r="A573" s="328" t="s">
        <v>4999</v>
      </c>
      <c r="B573" s="276">
        <v>11.0</v>
      </c>
      <c r="C573" s="166" t="s">
        <v>5141</v>
      </c>
      <c r="D573" s="166" t="s">
        <v>5141</v>
      </c>
      <c r="E573" s="166" t="s">
        <v>5141</v>
      </c>
      <c r="F573" s="32"/>
      <c r="G573" s="32"/>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row>
    <row r="574" ht="15.75" customHeight="1">
      <c r="A574" s="328" t="s">
        <v>4999</v>
      </c>
      <c r="B574" s="276">
        <v>12.0</v>
      </c>
      <c r="C574" s="166" t="s">
        <v>5149</v>
      </c>
      <c r="D574" s="166" t="s">
        <v>5149</v>
      </c>
      <c r="E574" s="166" t="s">
        <v>5149</v>
      </c>
      <c r="F574" s="32"/>
      <c r="G574" s="32"/>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row>
    <row r="575" ht="15.75" customHeight="1">
      <c r="A575" s="328" t="s">
        <v>4999</v>
      </c>
      <c r="B575" s="276">
        <v>13.0</v>
      </c>
      <c r="C575" s="166" t="s">
        <v>5157</v>
      </c>
      <c r="D575" s="166" t="s">
        <v>5157</v>
      </c>
      <c r="E575" s="166" t="s">
        <v>5157</v>
      </c>
      <c r="F575" s="32"/>
      <c r="G575" s="32"/>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row>
    <row r="576" ht="15.75" customHeight="1">
      <c r="A576" s="77" t="s">
        <v>4999</v>
      </c>
      <c r="B576" s="120">
        <v>14.0</v>
      </c>
      <c r="C576" s="43" t="s">
        <v>5172</v>
      </c>
      <c r="D576" s="43" t="s">
        <v>5173</v>
      </c>
      <c r="E576" s="35" t="s">
        <v>5175</v>
      </c>
      <c r="F576" s="42"/>
      <c r="G576" s="42"/>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row>
    <row r="577" ht="15.75" customHeight="1">
      <c r="A577" s="77" t="s">
        <v>4999</v>
      </c>
      <c r="B577" s="120">
        <v>-777.0</v>
      </c>
      <c r="C577" s="43" t="s">
        <v>139</v>
      </c>
      <c r="D577" s="43" t="s">
        <v>146</v>
      </c>
      <c r="E577" s="43" t="s">
        <v>147</v>
      </c>
      <c r="F577" s="42"/>
      <c r="G577" s="42"/>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row>
    <row r="578" ht="15.75" customHeight="1">
      <c r="A578" s="122"/>
      <c r="B578" s="123"/>
      <c r="C578" s="122"/>
      <c r="D578" s="122"/>
      <c r="E578" s="202"/>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row>
    <row r="579" ht="15.75" customHeight="1">
      <c r="A579" s="210" t="s">
        <v>5181</v>
      </c>
      <c r="B579" s="133">
        <v>1.0</v>
      </c>
      <c r="C579" s="140" t="s">
        <v>2284</v>
      </c>
      <c r="D579" s="140" t="s">
        <v>2285</v>
      </c>
      <c r="E579" s="203" t="s">
        <v>2326</v>
      </c>
      <c r="F579" s="213"/>
      <c r="G579" s="213"/>
      <c r="H579" s="213"/>
      <c r="I579" s="213"/>
      <c r="J579" s="213"/>
      <c r="K579" s="213"/>
      <c r="L579" s="213"/>
      <c r="M579" s="213"/>
      <c r="N579" s="213"/>
      <c r="O579" s="213"/>
      <c r="P579" s="213"/>
      <c r="Q579" s="213"/>
      <c r="R579" s="213"/>
      <c r="S579" s="213"/>
      <c r="T579" s="213"/>
      <c r="U579" s="213"/>
      <c r="V579" s="213"/>
      <c r="W579" s="213"/>
      <c r="X579" s="213"/>
      <c r="Y579" s="213"/>
      <c r="Z579" s="213"/>
      <c r="AA579" s="213"/>
      <c r="AB579" s="213"/>
      <c r="AC579" s="213"/>
      <c r="AD579" s="213"/>
      <c r="AE579" s="213"/>
      <c r="AF579" s="213"/>
    </row>
    <row r="580" ht="15.75" customHeight="1">
      <c r="A580" s="77" t="s">
        <v>5181</v>
      </c>
      <c r="B580" s="112">
        <v>2.0</v>
      </c>
      <c r="C580" s="35" t="s">
        <v>2288</v>
      </c>
      <c r="D580" s="35" t="s">
        <v>2289</v>
      </c>
      <c r="E580" s="114" t="s">
        <v>2340</v>
      </c>
      <c r="F580" s="37"/>
      <c r="G580" s="42"/>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row>
    <row r="581" ht="15.75" customHeight="1">
      <c r="A581" s="77" t="s">
        <v>5181</v>
      </c>
      <c r="B581" s="112">
        <v>3.0</v>
      </c>
      <c r="C581" s="35" t="s">
        <v>2291</v>
      </c>
      <c r="D581" s="35" t="s">
        <v>2292</v>
      </c>
      <c r="E581" s="114" t="s">
        <v>2341</v>
      </c>
      <c r="F581" s="37"/>
      <c r="G581" s="118"/>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row>
    <row r="582" ht="15.75" customHeight="1">
      <c r="A582" s="77" t="s">
        <v>5181</v>
      </c>
      <c r="B582" s="112">
        <v>4.0</v>
      </c>
      <c r="C582" s="43" t="s">
        <v>2298</v>
      </c>
      <c r="D582" s="43" t="s">
        <v>2299</v>
      </c>
      <c r="E582" s="92" t="s">
        <v>5197</v>
      </c>
      <c r="F582" s="37"/>
      <c r="G582" s="118"/>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row>
    <row r="583" ht="15.75" customHeight="1">
      <c r="A583" s="77" t="s">
        <v>5181</v>
      </c>
      <c r="B583" s="112">
        <v>5.0</v>
      </c>
      <c r="C583" s="260" t="s">
        <v>2305</v>
      </c>
      <c r="D583" s="138" t="s">
        <v>2306</v>
      </c>
      <c r="E583" s="92" t="s">
        <v>2307</v>
      </c>
      <c r="F583" s="37"/>
      <c r="G583" s="118"/>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row>
    <row r="584" ht="15.75" customHeight="1">
      <c r="A584" s="77" t="s">
        <v>5181</v>
      </c>
      <c r="B584" s="112">
        <v>6.0</v>
      </c>
      <c r="C584" s="261" t="s">
        <v>2309</v>
      </c>
      <c r="D584" s="122" t="s">
        <v>2313</v>
      </c>
      <c r="E584" s="202" t="s">
        <v>2313</v>
      </c>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row>
    <row r="585" ht="15.75" customHeight="1">
      <c r="A585" s="77" t="s">
        <v>5181</v>
      </c>
      <c r="B585" s="120">
        <v>-777.0</v>
      </c>
      <c r="C585" s="43" t="s">
        <v>2315</v>
      </c>
      <c r="D585" s="43" t="s">
        <v>146</v>
      </c>
      <c r="E585" s="92" t="s">
        <v>2318</v>
      </c>
      <c r="F585" s="44"/>
      <c r="G585" s="42"/>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row>
    <row r="586" ht="15.75" customHeight="1">
      <c r="A586" s="122"/>
      <c r="B586" s="123"/>
      <c r="C586" s="122"/>
      <c r="D586" s="122"/>
      <c r="E586" s="202"/>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row>
    <row r="587" ht="15.75" customHeight="1">
      <c r="A587" s="132" t="s">
        <v>5212</v>
      </c>
      <c r="B587" s="133">
        <v>0.0</v>
      </c>
      <c r="C587" s="140" t="s">
        <v>5213</v>
      </c>
      <c r="D587" s="140" t="s">
        <v>5214</v>
      </c>
      <c r="E587" s="140" t="s">
        <v>5215</v>
      </c>
      <c r="F587" s="136"/>
      <c r="G587" s="136"/>
      <c r="H587" s="53"/>
      <c r="I587" s="53"/>
      <c r="J587" s="53"/>
      <c r="K587" s="53"/>
      <c r="L587" s="53"/>
      <c r="M587" s="53"/>
      <c r="N587" s="53"/>
      <c r="O587" s="53"/>
      <c r="P587" s="53"/>
      <c r="Q587" s="53"/>
      <c r="R587" s="53"/>
      <c r="S587" s="53"/>
      <c r="T587" s="53"/>
      <c r="U587" s="53"/>
      <c r="V587" s="53"/>
      <c r="W587" s="53"/>
      <c r="X587" s="53"/>
      <c r="Y587" s="53"/>
      <c r="Z587" s="53"/>
      <c r="AA587" s="53"/>
      <c r="AB587" s="53"/>
      <c r="AC587" s="53"/>
      <c r="AD587" s="53"/>
      <c r="AE587" s="53"/>
      <c r="AF587" s="53"/>
    </row>
    <row r="588" ht="15.75" customHeight="1">
      <c r="A588" s="109" t="s">
        <v>5212</v>
      </c>
      <c r="B588" s="112">
        <v>1.0</v>
      </c>
      <c r="C588" s="35" t="s">
        <v>5224</v>
      </c>
      <c r="D588" s="35" t="s">
        <v>5227</v>
      </c>
      <c r="E588" s="114" t="s">
        <v>5228</v>
      </c>
      <c r="F588" s="32"/>
      <c r="G588" s="32"/>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row>
    <row r="589" ht="15.75" customHeight="1">
      <c r="A589" s="109" t="s">
        <v>5212</v>
      </c>
      <c r="B589" s="112">
        <v>2.0</v>
      </c>
      <c r="C589" s="35" t="s">
        <v>5237</v>
      </c>
      <c r="D589" s="35" t="s">
        <v>5241</v>
      </c>
      <c r="E589" s="114" t="s">
        <v>5244</v>
      </c>
      <c r="F589" s="32"/>
      <c r="G589" s="32"/>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row>
    <row r="590" ht="15.75" customHeight="1">
      <c r="A590" s="109" t="s">
        <v>5212</v>
      </c>
      <c r="B590" s="112">
        <v>3.0</v>
      </c>
      <c r="C590" s="35" t="s">
        <v>5256</v>
      </c>
      <c r="D590" s="35" t="s">
        <v>5258</v>
      </c>
      <c r="E590" s="114" t="s">
        <v>5259</v>
      </c>
      <c r="F590" s="199"/>
      <c r="G590" s="199"/>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row>
    <row r="591" ht="15.75" customHeight="1">
      <c r="A591" s="109" t="s">
        <v>5212</v>
      </c>
      <c r="B591" s="112">
        <v>4.0</v>
      </c>
      <c r="C591" s="35" t="s">
        <v>5271</v>
      </c>
      <c r="D591" s="35" t="s">
        <v>5272</v>
      </c>
      <c r="E591" s="114" t="s">
        <v>5273</v>
      </c>
      <c r="F591" s="32"/>
      <c r="G591" s="32"/>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row>
    <row r="592" ht="15.75" customHeight="1">
      <c r="A592" s="109" t="s">
        <v>5212</v>
      </c>
      <c r="B592" s="112">
        <v>5.0</v>
      </c>
      <c r="C592" s="35" t="s">
        <v>5288</v>
      </c>
      <c r="D592" s="35" t="s">
        <v>5289</v>
      </c>
      <c r="E592" s="114" t="s">
        <v>5290</v>
      </c>
      <c r="F592" s="32"/>
      <c r="G592" s="32"/>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row>
    <row r="593" ht="15.75" customHeight="1">
      <c r="A593" s="109" t="s">
        <v>5212</v>
      </c>
      <c r="B593" s="112">
        <v>6.0</v>
      </c>
      <c r="C593" s="35" t="s">
        <v>5302</v>
      </c>
      <c r="D593" s="35" t="s">
        <v>5304</v>
      </c>
      <c r="E593" s="114" t="s">
        <v>5305</v>
      </c>
      <c r="F593" s="32"/>
      <c r="G593" s="32"/>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row>
    <row r="594" ht="15.75" customHeight="1">
      <c r="A594" s="109" t="s">
        <v>5212</v>
      </c>
      <c r="B594" s="112">
        <v>7.0</v>
      </c>
      <c r="C594" s="35" t="s">
        <v>5315</v>
      </c>
      <c r="D594" s="35" t="s">
        <v>5316</v>
      </c>
      <c r="E594" s="114" t="s">
        <v>5317</v>
      </c>
      <c r="F594" s="32"/>
      <c r="G594" s="32"/>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row>
    <row r="595" ht="15.75" customHeight="1">
      <c r="A595" s="77" t="s">
        <v>5212</v>
      </c>
      <c r="B595" s="120">
        <v>-777.0</v>
      </c>
      <c r="C595" s="43" t="s">
        <v>139</v>
      </c>
      <c r="D595" s="43" t="s">
        <v>146</v>
      </c>
      <c r="E595" s="92" t="s">
        <v>2318</v>
      </c>
      <c r="F595" s="42"/>
      <c r="G595" s="42"/>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row>
    <row r="596" ht="15.75" customHeight="1">
      <c r="A596" s="122"/>
      <c r="B596" s="123"/>
      <c r="C596" s="122"/>
      <c r="D596" s="122"/>
      <c r="E596" s="202"/>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row>
    <row r="597" ht="15.75" customHeight="1">
      <c r="A597" s="274" t="s">
        <v>5338</v>
      </c>
      <c r="B597" s="331">
        <v>0.0</v>
      </c>
      <c r="C597" s="140" t="s">
        <v>232</v>
      </c>
      <c r="D597" s="332" t="s">
        <v>233</v>
      </c>
      <c r="E597" s="332" t="s">
        <v>4883</v>
      </c>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c r="AD597" s="53"/>
      <c r="AE597" s="53"/>
      <c r="AF597" s="53"/>
    </row>
    <row r="598" ht="15.75" customHeight="1">
      <c r="A598" s="122" t="s">
        <v>5338</v>
      </c>
      <c r="B598" s="123">
        <v>1.0</v>
      </c>
      <c r="C598" s="35" t="s">
        <v>5362</v>
      </c>
      <c r="D598" s="333" t="s">
        <v>5363</v>
      </c>
      <c r="E598" s="333" t="s">
        <v>5364</v>
      </c>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row>
    <row r="599" ht="15.75" customHeight="1">
      <c r="A599" s="122" t="s">
        <v>5338</v>
      </c>
      <c r="B599" s="123">
        <v>2.0</v>
      </c>
      <c r="C599" s="35" t="s">
        <v>5374</v>
      </c>
      <c r="D599" s="333" t="s">
        <v>5376</v>
      </c>
      <c r="E599" s="333" t="s">
        <v>5380</v>
      </c>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row>
    <row r="600" ht="15.75" customHeight="1">
      <c r="A600" s="122" t="s">
        <v>5338</v>
      </c>
      <c r="B600" s="123">
        <v>3.0</v>
      </c>
      <c r="C600" s="35" t="s">
        <v>5393</v>
      </c>
      <c r="D600" s="333" t="s">
        <v>5395</v>
      </c>
      <c r="E600" s="334" t="s">
        <v>5397</v>
      </c>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row>
    <row r="601" ht="15.75" customHeight="1">
      <c r="A601" s="122" t="s">
        <v>5338</v>
      </c>
      <c r="B601" s="123">
        <v>4.0</v>
      </c>
      <c r="C601" s="35" t="s">
        <v>5414</v>
      </c>
      <c r="D601" s="333" t="s">
        <v>5415</v>
      </c>
      <c r="E601" s="334" t="s">
        <v>5416</v>
      </c>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row>
    <row r="602" ht="15.75" customHeight="1">
      <c r="A602" s="122" t="s">
        <v>5338</v>
      </c>
      <c r="B602" s="123">
        <v>5.0</v>
      </c>
      <c r="C602" s="35" t="s">
        <v>5432</v>
      </c>
      <c r="D602" s="333" t="s">
        <v>5433</v>
      </c>
      <c r="E602" s="333" t="s">
        <v>5434</v>
      </c>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row>
    <row r="603" ht="15.75" customHeight="1">
      <c r="A603" s="122" t="s">
        <v>5338</v>
      </c>
      <c r="B603" s="123">
        <v>6.0</v>
      </c>
      <c r="C603" s="35" t="s">
        <v>5442</v>
      </c>
      <c r="D603" s="333" t="s">
        <v>5443</v>
      </c>
      <c r="E603" s="334" t="s">
        <v>5444</v>
      </c>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row>
    <row r="604" ht="15.75" customHeight="1">
      <c r="A604" s="82" t="s">
        <v>5338</v>
      </c>
      <c r="B604" s="335">
        <v>-999.0</v>
      </c>
      <c r="C604" s="43" t="s">
        <v>5453</v>
      </c>
      <c r="D604" s="336" t="s">
        <v>125</v>
      </c>
      <c r="E604" s="336" t="s">
        <v>126</v>
      </c>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row>
    <row r="605" ht="15.75" customHeight="1">
      <c r="A605" s="82"/>
      <c r="B605" s="82"/>
      <c r="C605" s="43"/>
      <c r="D605" s="82"/>
      <c r="E605" s="82"/>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row>
    <row r="606" ht="15.75" customHeight="1">
      <c r="A606" s="122" t="s">
        <v>5475</v>
      </c>
      <c r="B606" s="123">
        <v>0.0</v>
      </c>
      <c r="C606" s="122" t="s">
        <v>5479</v>
      </c>
      <c r="D606" s="332" t="s">
        <v>5481</v>
      </c>
      <c r="E606" s="337" t="s">
        <v>5482</v>
      </c>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row>
    <row r="607" ht="15.75" customHeight="1">
      <c r="A607" s="122" t="s">
        <v>5475</v>
      </c>
      <c r="B607" s="123">
        <v>1.0</v>
      </c>
      <c r="C607" s="202" t="s">
        <v>5494</v>
      </c>
      <c r="D607" s="333" t="s">
        <v>5495</v>
      </c>
      <c r="E607" s="334" t="s">
        <v>5496</v>
      </c>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row>
    <row r="608" ht="15.75" customHeight="1">
      <c r="A608" s="122" t="s">
        <v>5475</v>
      </c>
      <c r="B608" s="123">
        <v>2.0</v>
      </c>
      <c r="C608" s="202" t="s">
        <v>5508</v>
      </c>
      <c r="D608" s="333" t="s">
        <v>5509</v>
      </c>
      <c r="E608" s="334" t="s">
        <v>5510</v>
      </c>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row>
    <row r="609" ht="15.75" customHeight="1">
      <c r="A609" s="122" t="s">
        <v>5475</v>
      </c>
      <c r="B609" s="123">
        <v>3.0</v>
      </c>
      <c r="C609" s="122" t="s">
        <v>5523</v>
      </c>
      <c r="D609" s="333" t="s">
        <v>5524</v>
      </c>
      <c r="E609" s="334" t="s">
        <v>5525</v>
      </c>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row>
    <row r="610" ht="15.75" customHeight="1">
      <c r="A610" s="122" t="s">
        <v>5475</v>
      </c>
      <c r="B610" s="123">
        <v>4.0</v>
      </c>
      <c r="C610" s="122" t="s">
        <v>5537</v>
      </c>
      <c r="D610" s="333" t="s">
        <v>5538</v>
      </c>
      <c r="E610" s="334" t="s">
        <v>5539</v>
      </c>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row>
    <row r="611" ht="15.75" customHeight="1">
      <c r="A611" s="122" t="s">
        <v>5475</v>
      </c>
      <c r="B611" s="123">
        <v>5.0</v>
      </c>
      <c r="C611" s="202" t="s">
        <v>5553</v>
      </c>
      <c r="D611" s="333" t="s">
        <v>5554</v>
      </c>
      <c r="E611" s="334" t="s">
        <v>5555</v>
      </c>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row>
    <row r="612" ht="15.75" customHeight="1">
      <c r="A612" s="122" t="s">
        <v>5475</v>
      </c>
      <c r="B612" s="123">
        <v>6.0</v>
      </c>
      <c r="C612" s="202" t="s">
        <v>5562</v>
      </c>
      <c r="D612" s="333" t="s">
        <v>5563</v>
      </c>
      <c r="E612" s="334" t="s">
        <v>5564</v>
      </c>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row>
    <row r="613" ht="15.75" customHeight="1">
      <c r="A613" s="122" t="s">
        <v>5475</v>
      </c>
      <c r="B613" s="123">
        <v>7.0</v>
      </c>
      <c r="C613" s="202" t="s">
        <v>5570</v>
      </c>
      <c r="D613" s="333" t="s">
        <v>5571</v>
      </c>
      <c r="E613" s="334" t="s">
        <v>5572</v>
      </c>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row>
    <row r="614" ht="15.75" customHeight="1">
      <c r="A614" s="122" t="s">
        <v>5475</v>
      </c>
      <c r="B614" s="123">
        <v>8.0</v>
      </c>
      <c r="C614" s="202" t="s">
        <v>5577</v>
      </c>
      <c r="D614" s="333" t="s">
        <v>5578</v>
      </c>
      <c r="E614" s="334" t="s">
        <v>5579</v>
      </c>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row>
    <row r="615" ht="15.75" customHeight="1">
      <c r="A615" s="122" t="s">
        <v>5475</v>
      </c>
      <c r="B615" s="123">
        <v>9.0</v>
      </c>
      <c r="C615" s="122" t="s">
        <v>5585</v>
      </c>
      <c r="D615" s="333" t="s">
        <v>5586</v>
      </c>
      <c r="E615" s="334" t="s">
        <v>5587</v>
      </c>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row>
    <row r="616" ht="15.75" customHeight="1">
      <c r="A616" s="122" t="s">
        <v>5475</v>
      </c>
      <c r="B616" s="123">
        <v>10.0</v>
      </c>
      <c r="C616" s="122" t="s">
        <v>5589</v>
      </c>
      <c r="D616" s="333" t="s">
        <v>5590</v>
      </c>
      <c r="E616" s="334" t="s">
        <v>5591</v>
      </c>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row>
    <row r="617" ht="15.75" customHeight="1">
      <c r="A617" s="82" t="s">
        <v>5475</v>
      </c>
      <c r="B617" s="335">
        <v>-999.0</v>
      </c>
      <c r="C617" s="82" t="s">
        <v>5453</v>
      </c>
      <c r="D617" s="336" t="s">
        <v>125</v>
      </c>
      <c r="E617" s="336" t="s">
        <v>126</v>
      </c>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row>
    <row r="618" ht="15.75" customHeight="1">
      <c r="A618" s="122"/>
      <c r="B618" s="123"/>
      <c r="C618" s="122"/>
      <c r="D618" s="122"/>
      <c r="E618" s="202"/>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row>
    <row r="619" ht="15.75" customHeight="1">
      <c r="A619" s="132" t="s">
        <v>5623</v>
      </c>
      <c r="B619" s="133">
        <v>1.0</v>
      </c>
      <c r="C619" s="140" t="s">
        <v>5628</v>
      </c>
      <c r="D619" s="140" t="s">
        <v>5631</v>
      </c>
      <c r="E619" s="140" t="s">
        <v>5634</v>
      </c>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c r="AD619" s="53"/>
      <c r="AE619" s="53"/>
      <c r="AF619" s="53"/>
    </row>
    <row r="620" ht="15.75" customHeight="1">
      <c r="A620" s="109" t="s">
        <v>5623</v>
      </c>
      <c r="B620" s="112">
        <v>2.0</v>
      </c>
      <c r="C620" s="35" t="s">
        <v>5649</v>
      </c>
      <c r="D620" s="35" t="s">
        <v>5651</v>
      </c>
      <c r="E620" s="114" t="s">
        <v>5652</v>
      </c>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row>
    <row r="621" ht="15.75" customHeight="1">
      <c r="A621" s="109" t="s">
        <v>5623</v>
      </c>
      <c r="B621" s="112">
        <v>3.0</v>
      </c>
      <c r="C621" s="35" t="s">
        <v>5664</v>
      </c>
      <c r="D621" s="35" t="s">
        <v>5666</v>
      </c>
      <c r="E621" s="114" t="s">
        <v>5667</v>
      </c>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row>
    <row r="622" ht="15.75" customHeight="1">
      <c r="A622" s="109" t="s">
        <v>5623</v>
      </c>
      <c r="B622" s="112">
        <v>4.0</v>
      </c>
      <c r="C622" s="35" t="s">
        <v>5684</v>
      </c>
      <c r="D622" s="35" t="s">
        <v>5685</v>
      </c>
      <c r="E622" s="114" t="s">
        <v>5690</v>
      </c>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row>
    <row r="623" ht="15.75" customHeight="1">
      <c r="A623" s="109" t="s">
        <v>5623</v>
      </c>
      <c r="B623" s="112">
        <v>5.0</v>
      </c>
      <c r="C623" s="35" t="s">
        <v>5697</v>
      </c>
      <c r="D623" s="35" t="s">
        <v>5698</v>
      </c>
      <c r="E623" s="35" t="s">
        <v>5699</v>
      </c>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row>
    <row r="624" ht="15.75" customHeight="1">
      <c r="A624" s="109" t="s">
        <v>5623</v>
      </c>
      <c r="B624" s="112">
        <v>6.0</v>
      </c>
      <c r="C624" s="35" t="s">
        <v>5707</v>
      </c>
      <c r="D624" s="35" t="s">
        <v>5708</v>
      </c>
      <c r="E624" s="114" t="s">
        <v>5709</v>
      </c>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row>
    <row r="625" ht="15.75" customHeight="1">
      <c r="A625" s="109" t="s">
        <v>5623</v>
      </c>
      <c r="B625" s="112">
        <v>7.0</v>
      </c>
      <c r="C625" s="35" t="s">
        <v>5714</v>
      </c>
      <c r="D625" s="35" t="s">
        <v>5715</v>
      </c>
      <c r="E625" s="114" t="s">
        <v>5719</v>
      </c>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row>
    <row r="626" ht="15.75" customHeight="1">
      <c r="A626" s="109" t="s">
        <v>5623</v>
      </c>
      <c r="B626" s="112">
        <v>-777.0</v>
      </c>
      <c r="C626" s="35" t="s">
        <v>139</v>
      </c>
      <c r="D626" s="35" t="s">
        <v>146</v>
      </c>
      <c r="E626" s="35" t="s">
        <v>147</v>
      </c>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row>
    <row r="627" ht="15.75" customHeight="1">
      <c r="A627" s="77" t="s">
        <v>5623</v>
      </c>
      <c r="B627" s="120">
        <v>-999.0</v>
      </c>
      <c r="C627" s="43" t="s">
        <v>124</v>
      </c>
      <c r="D627" s="43" t="s">
        <v>5737</v>
      </c>
      <c r="E627" s="43" t="s">
        <v>126</v>
      </c>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row>
    <row r="628" ht="15.75" customHeight="1">
      <c r="A628" s="122"/>
      <c r="B628" s="123"/>
      <c r="C628" s="122"/>
      <c r="D628" s="122"/>
      <c r="E628" s="202"/>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row>
    <row r="629" ht="15.75" customHeight="1">
      <c r="A629" s="132" t="s">
        <v>5764</v>
      </c>
      <c r="B629" s="133">
        <v>1.0</v>
      </c>
      <c r="C629" s="140" t="s">
        <v>5767</v>
      </c>
      <c r="D629" s="140" t="s">
        <v>5768</v>
      </c>
      <c r="E629" s="339" t="s">
        <v>5769</v>
      </c>
      <c r="F629" s="136"/>
      <c r="G629" s="136"/>
      <c r="H629" s="53"/>
      <c r="I629" s="53"/>
      <c r="J629" s="53"/>
      <c r="K629" s="53"/>
      <c r="L629" s="53"/>
      <c r="M629" s="53"/>
      <c r="N629" s="53"/>
      <c r="O629" s="53"/>
      <c r="P629" s="53"/>
      <c r="Q629" s="53"/>
      <c r="R629" s="53"/>
      <c r="S629" s="53"/>
      <c r="T629" s="53"/>
      <c r="U629" s="53"/>
      <c r="V629" s="53"/>
      <c r="W629" s="53"/>
      <c r="X629" s="53"/>
      <c r="Y629" s="53"/>
      <c r="Z629" s="53"/>
      <c r="AA629" s="53"/>
      <c r="AB629" s="53"/>
      <c r="AC629" s="53"/>
      <c r="AD629" s="53"/>
      <c r="AE629" s="53"/>
      <c r="AF629" s="53"/>
    </row>
    <row r="630" ht="15.75" customHeight="1">
      <c r="A630" s="109" t="s">
        <v>5764</v>
      </c>
      <c r="B630" s="112">
        <v>2.0</v>
      </c>
      <c r="C630" s="35" t="s">
        <v>5774</v>
      </c>
      <c r="D630" s="35" t="s">
        <v>5776</v>
      </c>
      <c r="E630" s="261" t="s">
        <v>5778</v>
      </c>
      <c r="F630" s="32"/>
      <c r="G630" s="32"/>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row>
    <row r="631" ht="15.75" customHeight="1">
      <c r="A631" s="77" t="s">
        <v>5764</v>
      </c>
      <c r="B631" s="120">
        <v>3.0</v>
      </c>
      <c r="C631" s="43" t="s">
        <v>5797</v>
      </c>
      <c r="D631" s="43" t="s">
        <v>5798</v>
      </c>
      <c r="E631" s="82" t="s">
        <v>5800</v>
      </c>
      <c r="F631" s="42"/>
      <c r="G631" s="42"/>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row>
    <row r="632" ht="15.75" customHeight="1">
      <c r="A632" s="122"/>
      <c r="B632" s="123"/>
      <c r="C632" s="122"/>
      <c r="D632" s="122"/>
      <c r="E632" s="202"/>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row>
    <row r="633" ht="15.75" customHeight="1">
      <c r="A633" s="60" t="s">
        <v>5820</v>
      </c>
      <c r="B633" s="119">
        <v>1.0</v>
      </c>
      <c r="C633" s="60" t="s">
        <v>5821</v>
      </c>
      <c r="D633" s="60" t="s">
        <v>5821</v>
      </c>
      <c r="E633" s="60" t="s">
        <v>5821</v>
      </c>
      <c r="F633" s="37"/>
      <c r="G633" s="119">
        <v>1.0</v>
      </c>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row>
    <row r="634" ht="15.75" customHeight="1">
      <c r="A634" s="60" t="s">
        <v>5820</v>
      </c>
      <c r="B634" s="119">
        <v>2.0</v>
      </c>
      <c r="C634" s="60" t="s">
        <v>5827</v>
      </c>
      <c r="D634" s="60" t="s">
        <v>5827</v>
      </c>
      <c r="E634" s="60" t="s">
        <v>5827</v>
      </c>
      <c r="F634" s="37"/>
      <c r="G634" s="119">
        <v>2.0</v>
      </c>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row>
    <row r="635" ht="15.75" customHeight="1">
      <c r="A635" s="60" t="s">
        <v>5820</v>
      </c>
      <c r="B635" s="119">
        <v>3.0</v>
      </c>
      <c r="C635" s="122" t="s">
        <v>5836</v>
      </c>
      <c r="D635" s="122" t="s">
        <v>5836</v>
      </c>
      <c r="E635" s="122" t="s">
        <v>5836</v>
      </c>
      <c r="F635" s="37"/>
      <c r="G635" s="119">
        <v>3.0</v>
      </c>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row>
    <row r="636" ht="15.75" customHeight="1">
      <c r="A636" s="60" t="s">
        <v>5820</v>
      </c>
      <c r="B636" s="119">
        <v>4.0</v>
      </c>
      <c r="C636" s="122" t="s">
        <v>5842</v>
      </c>
      <c r="D636" s="122" t="s">
        <v>5842</v>
      </c>
      <c r="E636" s="122" t="s">
        <v>5842</v>
      </c>
      <c r="F636" s="37"/>
      <c r="G636" s="119">
        <v>4.0</v>
      </c>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row>
    <row r="637" ht="15.75" customHeight="1">
      <c r="A637" s="60" t="s">
        <v>5820</v>
      </c>
      <c r="B637" s="119">
        <v>5.0</v>
      </c>
      <c r="C637" s="122" t="s">
        <v>5849</v>
      </c>
      <c r="D637" s="122" t="s">
        <v>5849</v>
      </c>
      <c r="E637" s="122" t="s">
        <v>5849</v>
      </c>
      <c r="F637" s="37"/>
      <c r="G637" s="119">
        <v>5.0</v>
      </c>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row>
    <row r="638" ht="15.75" customHeight="1">
      <c r="A638" s="60" t="s">
        <v>5820</v>
      </c>
      <c r="B638" s="119">
        <v>6.0</v>
      </c>
      <c r="C638" s="122" t="s">
        <v>5855</v>
      </c>
      <c r="D638" s="122" t="s">
        <v>5855</v>
      </c>
      <c r="E638" s="122" t="s">
        <v>5855</v>
      </c>
      <c r="F638" s="37"/>
      <c r="G638" s="119">
        <v>6.0</v>
      </c>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row>
    <row r="639" ht="15.75" customHeight="1">
      <c r="A639" s="60" t="s">
        <v>5820</v>
      </c>
      <c r="B639" s="119">
        <v>7.0</v>
      </c>
      <c r="C639" s="122" t="s">
        <v>5857</v>
      </c>
      <c r="D639" s="122" t="s">
        <v>5857</v>
      </c>
      <c r="E639" s="122" t="s">
        <v>5857</v>
      </c>
      <c r="F639" s="37"/>
      <c r="G639" s="119">
        <v>7.0</v>
      </c>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row>
    <row r="640" ht="15.75" customHeight="1">
      <c r="A640" s="60" t="s">
        <v>5820</v>
      </c>
      <c r="B640" s="119">
        <v>8.0</v>
      </c>
      <c r="C640" s="122" t="s">
        <v>5875</v>
      </c>
      <c r="D640" s="122" t="s">
        <v>5875</v>
      </c>
      <c r="E640" s="122" t="s">
        <v>5875</v>
      </c>
      <c r="F640" s="37"/>
      <c r="G640" s="119">
        <v>8.0</v>
      </c>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row>
    <row r="641" ht="15.75" customHeight="1">
      <c r="A641" s="60" t="s">
        <v>5820</v>
      </c>
      <c r="B641" s="119">
        <v>9.0</v>
      </c>
      <c r="C641" s="122" t="s">
        <v>5900</v>
      </c>
      <c r="D641" s="122" t="s">
        <v>5900</v>
      </c>
      <c r="E641" s="122" t="s">
        <v>5900</v>
      </c>
      <c r="F641" s="37"/>
      <c r="G641" s="119">
        <v>9.0</v>
      </c>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row>
    <row r="642" ht="15.75" customHeight="1">
      <c r="A642" s="60" t="s">
        <v>5820</v>
      </c>
      <c r="B642" s="119">
        <v>10.0</v>
      </c>
      <c r="C642" s="122" t="s">
        <v>5912</v>
      </c>
      <c r="D642" s="122" t="s">
        <v>5912</v>
      </c>
      <c r="E642" s="122" t="s">
        <v>5912</v>
      </c>
      <c r="F642" s="37"/>
      <c r="G642" s="119">
        <v>10.0</v>
      </c>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row>
    <row r="643" ht="15.75" customHeight="1">
      <c r="A643" s="60" t="s">
        <v>5820</v>
      </c>
      <c r="B643" s="119">
        <v>11.0</v>
      </c>
      <c r="C643" s="122" t="s">
        <v>5916</v>
      </c>
      <c r="D643" s="122" t="s">
        <v>5916</v>
      </c>
      <c r="E643" s="122" t="s">
        <v>5916</v>
      </c>
      <c r="F643" s="37"/>
      <c r="G643" s="119">
        <v>11.0</v>
      </c>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row>
    <row r="644" ht="15.75" customHeight="1">
      <c r="A644" s="60" t="s">
        <v>5820</v>
      </c>
      <c r="B644" s="119">
        <v>12.0</v>
      </c>
      <c r="C644" s="122" t="s">
        <v>5924</v>
      </c>
      <c r="D644" s="122" t="s">
        <v>5924</v>
      </c>
      <c r="E644" s="122" t="s">
        <v>5924</v>
      </c>
      <c r="F644" s="37"/>
      <c r="G644" s="119">
        <v>12.0</v>
      </c>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row>
    <row r="645" ht="15.75" customHeight="1">
      <c r="A645" s="60" t="s">
        <v>5820</v>
      </c>
      <c r="B645" s="119">
        <v>13.0</v>
      </c>
      <c r="C645" s="122" t="s">
        <v>5933</v>
      </c>
      <c r="D645" s="122" t="s">
        <v>5933</v>
      </c>
      <c r="E645" s="122" t="s">
        <v>5933</v>
      </c>
      <c r="F645" s="37"/>
      <c r="G645" s="119">
        <v>13.0</v>
      </c>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row>
    <row r="646" ht="15.75" customHeight="1">
      <c r="A646" s="60" t="s">
        <v>5820</v>
      </c>
      <c r="B646" s="119">
        <v>14.0</v>
      </c>
      <c r="C646" s="122" t="s">
        <v>5941</v>
      </c>
      <c r="D646" s="122" t="s">
        <v>5941</v>
      </c>
      <c r="E646" s="122" t="s">
        <v>5941</v>
      </c>
      <c r="F646" s="37"/>
      <c r="G646" s="119">
        <v>14.0</v>
      </c>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row>
    <row r="647" ht="15.75" customHeight="1">
      <c r="A647" s="60" t="s">
        <v>5820</v>
      </c>
      <c r="B647" s="119">
        <v>15.0</v>
      </c>
      <c r="C647" s="122" t="s">
        <v>5947</v>
      </c>
      <c r="D647" s="122" t="s">
        <v>5947</v>
      </c>
      <c r="E647" s="122" t="s">
        <v>5947</v>
      </c>
      <c r="F647" s="37"/>
      <c r="G647" s="119">
        <v>15.0</v>
      </c>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row>
    <row r="648" ht="15.75" customHeight="1">
      <c r="A648" s="60" t="s">
        <v>5820</v>
      </c>
      <c r="B648" s="119">
        <v>16.0</v>
      </c>
      <c r="C648" s="122" t="s">
        <v>5956</v>
      </c>
      <c r="D648" s="122" t="s">
        <v>5956</v>
      </c>
      <c r="E648" s="122" t="s">
        <v>5956</v>
      </c>
      <c r="F648" s="37"/>
      <c r="G648" s="119">
        <v>16.0</v>
      </c>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row>
    <row r="649" ht="15.75" customHeight="1">
      <c r="A649" s="60" t="s">
        <v>5820</v>
      </c>
      <c r="B649" s="119">
        <v>17.0</v>
      </c>
      <c r="C649" s="122" t="s">
        <v>5961</v>
      </c>
      <c r="D649" s="122" t="s">
        <v>5961</v>
      </c>
      <c r="E649" s="122" t="s">
        <v>5961</v>
      </c>
      <c r="F649" s="37"/>
      <c r="G649" s="119">
        <v>17.0</v>
      </c>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row>
    <row r="650" ht="15.75" customHeight="1">
      <c r="A650" s="60" t="s">
        <v>5820</v>
      </c>
      <c r="B650" s="119">
        <v>18.0</v>
      </c>
      <c r="C650" s="122" t="s">
        <v>5963</v>
      </c>
      <c r="D650" s="122" t="s">
        <v>5963</v>
      </c>
      <c r="E650" s="122" t="s">
        <v>5963</v>
      </c>
      <c r="F650" s="37"/>
      <c r="G650" s="119">
        <v>18.0</v>
      </c>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row>
    <row r="651" ht="15.75" customHeight="1">
      <c r="A651" s="60" t="s">
        <v>5820</v>
      </c>
      <c r="B651" s="119">
        <v>19.0</v>
      </c>
      <c r="C651" s="122" t="s">
        <v>5969</v>
      </c>
      <c r="D651" s="122" t="s">
        <v>5969</v>
      </c>
      <c r="E651" s="122" t="s">
        <v>5969</v>
      </c>
      <c r="F651" s="37"/>
      <c r="G651" s="119">
        <v>19.0</v>
      </c>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row>
    <row r="652" ht="15.75" customHeight="1">
      <c r="A652" s="60" t="s">
        <v>5820</v>
      </c>
      <c r="B652" s="119">
        <v>20.0</v>
      </c>
      <c r="C652" s="122" t="s">
        <v>5974</v>
      </c>
      <c r="D652" s="122" t="s">
        <v>5974</v>
      </c>
      <c r="E652" s="122" t="s">
        <v>5974</v>
      </c>
      <c r="F652" s="37"/>
      <c r="G652" s="119">
        <v>20.0</v>
      </c>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row>
    <row r="653" ht="15.75" customHeight="1">
      <c r="A653" s="60" t="s">
        <v>5820</v>
      </c>
      <c r="B653" s="119">
        <v>21.0</v>
      </c>
      <c r="C653" s="122" t="s">
        <v>5980</v>
      </c>
      <c r="D653" s="122" t="s">
        <v>5980</v>
      </c>
      <c r="E653" s="122" t="s">
        <v>5980</v>
      </c>
      <c r="F653" s="37"/>
      <c r="G653" s="119">
        <v>21.0</v>
      </c>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row>
    <row r="654" ht="15.75" customHeight="1">
      <c r="A654" s="60" t="s">
        <v>5820</v>
      </c>
      <c r="B654" s="119">
        <v>22.0</v>
      </c>
      <c r="C654" s="122" t="s">
        <v>5985</v>
      </c>
      <c r="D654" s="122" t="s">
        <v>5985</v>
      </c>
      <c r="E654" s="122" t="s">
        <v>5985</v>
      </c>
      <c r="F654" s="37"/>
      <c r="G654" s="119">
        <v>22.0</v>
      </c>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row>
    <row r="655" ht="15.75" customHeight="1">
      <c r="A655" s="60" t="s">
        <v>5820</v>
      </c>
      <c r="B655" s="119">
        <v>23.0</v>
      </c>
      <c r="C655" s="122" t="s">
        <v>5991</v>
      </c>
      <c r="D655" s="122" t="s">
        <v>5991</v>
      </c>
      <c r="E655" s="122" t="s">
        <v>5991</v>
      </c>
      <c r="F655" s="37"/>
      <c r="G655" s="119">
        <v>23.0</v>
      </c>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row>
    <row r="656" ht="15.75" customHeight="1">
      <c r="A656" s="60" t="s">
        <v>5820</v>
      </c>
      <c r="B656" s="119">
        <v>24.0</v>
      </c>
      <c r="C656" s="122" t="s">
        <v>6000</v>
      </c>
      <c r="D656" s="122" t="s">
        <v>6000</v>
      </c>
      <c r="E656" s="122" t="s">
        <v>6000</v>
      </c>
      <c r="F656" s="37"/>
      <c r="G656" s="119">
        <v>24.0</v>
      </c>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row>
    <row r="657" ht="15.75" customHeight="1">
      <c r="A657" s="60" t="s">
        <v>5820</v>
      </c>
      <c r="B657" s="119">
        <v>25.0</v>
      </c>
      <c r="C657" s="122" t="s">
        <v>6007</v>
      </c>
      <c r="D657" s="122" t="s">
        <v>6007</v>
      </c>
      <c r="E657" s="122" t="s">
        <v>6007</v>
      </c>
      <c r="F657" s="37"/>
      <c r="G657" s="119">
        <v>25.0</v>
      </c>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row>
    <row r="658" ht="15.75" customHeight="1">
      <c r="A658" s="60" t="s">
        <v>5820</v>
      </c>
      <c r="B658" s="119">
        <v>26.0</v>
      </c>
      <c r="C658" s="122" t="s">
        <v>6012</v>
      </c>
      <c r="D658" s="122" t="s">
        <v>6012</v>
      </c>
      <c r="E658" s="122" t="s">
        <v>6012</v>
      </c>
      <c r="F658" s="37"/>
      <c r="G658" s="119">
        <v>26.0</v>
      </c>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row>
    <row r="659" ht="15.75" customHeight="1">
      <c r="A659" s="60" t="s">
        <v>5820</v>
      </c>
      <c r="B659" s="119">
        <v>27.0</v>
      </c>
      <c r="C659" s="122" t="s">
        <v>6021</v>
      </c>
      <c r="D659" s="122" t="s">
        <v>6021</v>
      </c>
      <c r="E659" s="122" t="s">
        <v>6021</v>
      </c>
      <c r="F659" s="37"/>
      <c r="G659" s="119">
        <v>27.0</v>
      </c>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row>
    <row r="660" ht="15.75" customHeight="1">
      <c r="A660" s="60" t="s">
        <v>5820</v>
      </c>
      <c r="B660" s="119">
        <v>28.0</v>
      </c>
      <c r="C660" s="122" t="s">
        <v>6025</v>
      </c>
      <c r="D660" s="122" t="s">
        <v>6025</v>
      </c>
      <c r="E660" s="122" t="s">
        <v>6025</v>
      </c>
      <c r="F660" s="37"/>
      <c r="G660" s="119">
        <v>28.0</v>
      </c>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row>
    <row r="661" ht="15.75" customHeight="1">
      <c r="A661" s="119"/>
      <c r="B661" s="122"/>
      <c r="C661" s="119"/>
      <c r="D661" s="122"/>
      <c r="E661" s="119"/>
      <c r="F661" s="122"/>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row>
    <row r="662" ht="15.75" customHeight="1">
      <c r="A662" s="344" t="s">
        <v>6031</v>
      </c>
      <c r="B662" s="345">
        <v>1.0</v>
      </c>
      <c r="C662" s="346" t="s">
        <v>6038</v>
      </c>
      <c r="D662" s="332" t="s">
        <v>6041</v>
      </c>
      <c r="E662" s="346" t="s">
        <v>6044</v>
      </c>
      <c r="F662" s="122"/>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row>
    <row r="663" ht="15.75" customHeight="1">
      <c r="A663" s="347" t="s">
        <v>6031</v>
      </c>
      <c r="B663" s="348">
        <v>2.0</v>
      </c>
      <c r="C663" s="349" t="s">
        <v>1418</v>
      </c>
      <c r="D663" s="349" t="s">
        <v>1420</v>
      </c>
      <c r="E663" s="349" t="s">
        <v>6053</v>
      </c>
      <c r="F663" s="122"/>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row>
    <row r="664" ht="15.75" customHeight="1">
      <c r="A664" s="347" t="s">
        <v>6031</v>
      </c>
      <c r="B664" s="348">
        <v>3.0</v>
      </c>
      <c r="C664" s="349" t="s">
        <v>1407</v>
      </c>
      <c r="D664" s="349" t="s">
        <v>1409</v>
      </c>
      <c r="E664" s="349" t="s">
        <v>6065</v>
      </c>
      <c r="F664" s="122"/>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row>
    <row r="665" ht="15.75" customHeight="1">
      <c r="A665" s="347" t="s">
        <v>6031</v>
      </c>
      <c r="B665" s="348">
        <v>4.0</v>
      </c>
      <c r="C665" s="349" t="s">
        <v>6070</v>
      </c>
      <c r="D665" s="349" t="s">
        <v>6071</v>
      </c>
      <c r="E665" s="349" t="s">
        <v>6073</v>
      </c>
      <c r="F665" s="122"/>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row>
    <row r="666" ht="15.75" customHeight="1">
      <c r="A666" s="347" t="s">
        <v>6031</v>
      </c>
      <c r="B666" s="348">
        <v>5.0</v>
      </c>
      <c r="C666" s="349" t="s">
        <v>6079</v>
      </c>
      <c r="D666" s="349" t="s">
        <v>6081</v>
      </c>
      <c r="E666" s="350" t="s">
        <v>6082</v>
      </c>
      <c r="F666" s="122"/>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row>
    <row r="667" ht="15.75" customHeight="1">
      <c r="A667" s="349" t="s">
        <v>6031</v>
      </c>
      <c r="B667" s="351">
        <v>-777.0</v>
      </c>
      <c r="C667" s="349" t="s">
        <v>139</v>
      </c>
      <c r="D667" s="349" t="s">
        <v>146</v>
      </c>
      <c r="E667" s="349" t="s">
        <v>147</v>
      </c>
      <c r="F667" s="122"/>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row>
    <row r="668" ht="15.75" customHeight="1">
      <c r="A668" s="122"/>
      <c r="B668" s="123"/>
      <c r="C668" s="122"/>
      <c r="D668" s="122"/>
      <c r="E668" s="202"/>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row>
    <row r="669" ht="15.75" customHeight="1">
      <c r="A669" s="122"/>
      <c r="B669" s="123"/>
      <c r="C669" s="122"/>
      <c r="D669" s="122"/>
      <c r="E669" s="202"/>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row>
    <row r="670" ht="15.75" customHeight="1">
      <c r="A670" s="122"/>
      <c r="B670" s="123"/>
      <c r="C670" s="122"/>
      <c r="D670" s="122"/>
      <c r="E670" s="202"/>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row>
    <row r="671" ht="15.75" customHeight="1">
      <c r="A671" s="122"/>
      <c r="B671" s="123"/>
      <c r="C671" s="122"/>
      <c r="D671" s="122"/>
      <c r="E671" s="202"/>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row>
    <row r="672" ht="15.75" customHeight="1">
      <c r="A672" s="122"/>
      <c r="B672" s="123"/>
      <c r="C672" s="122"/>
      <c r="D672" s="122"/>
      <c r="E672" s="202"/>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row>
    <row r="673" ht="15.75" customHeight="1">
      <c r="A673" s="122"/>
      <c r="B673" s="123"/>
      <c r="C673" s="122"/>
      <c r="D673" s="122"/>
      <c r="E673" s="202"/>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row>
    <row r="674" ht="15.75" customHeight="1">
      <c r="A674" s="122"/>
      <c r="B674" s="123"/>
      <c r="C674" s="122"/>
      <c r="D674" s="122"/>
      <c r="E674" s="202"/>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row>
    <row r="675" ht="15.75" customHeight="1">
      <c r="A675" s="122"/>
      <c r="B675" s="123"/>
      <c r="C675" s="122"/>
      <c r="D675" s="122"/>
      <c r="E675" s="202"/>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row>
    <row r="676" ht="15.75" customHeight="1">
      <c r="A676" s="122"/>
      <c r="B676" s="123"/>
      <c r="C676" s="122"/>
      <c r="D676" s="122"/>
      <c r="E676" s="202"/>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row>
    <row r="677" ht="15.75" customHeight="1">
      <c r="A677" s="122"/>
      <c r="B677" s="123"/>
      <c r="C677" s="122"/>
      <c r="D677" s="122"/>
      <c r="E677" s="202"/>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row>
    <row r="678" ht="15.75" customHeight="1">
      <c r="A678" s="122"/>
      <c r="B678" s="123"/>
      <c r="C678" s="122"/>
      <c r="D678" s="122"/>
      <c r="E678" s="202"/>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row>
    <row r="679" ht="15.75" customHeight="1">
      <c r="A679" s="122"/>
      <c r="B679" s="123"/>
      <c r="C679" s="122"/>
      <c r="D679" s="122"/>
      <c r="E679" s="202"/>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row>
    <row r="680" ht="15.75" customHeight="1">
      <c r="A680" s="122"/>
      <c r="B680" s="123"/>
      <c r="C680" s="122"/>
      <c r="D680" s="122"/>
      <c r="E680" s="202"/>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row>
    <row r="681" ht="15.75" customHeight="1">
      <c r="A681" s="122"/>
      <c r="B681" s="123"/>
      <c r="C681" s="122"/>
      <c r="D681" s="122"/>
      <c r="E681" s="202"/>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row>
    <row r="682" ht="15.75" customHeight="1">
      <c r="A682" s="122"/>
      <c r="B682" s="123"/>
      <c r="C682" s="122"/>
      <c r="D682" s="122"/>
      <c r="E682" s="202"/>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row>
    <row r="683" ht="15.75" customHeight="1">
      <c r="A683" s="122"/>
      <c r="B683" s="123"/>
      <c r="C683" s="122"/>
      <c r="D683" s="122"/>
      <c r="E683" s="202"/>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row>
    <row r="684" ht="15.75" customHeight="1">
      <c r="A684" s="122"/>
      <c r="B684" s="123"/>
      <c r="C684" s="122"/>
      <c r="D684" s="122"/>
      <c r="E684" s="202"/>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row>
    <row r="685" ht="15.75" customHeight="1">
      <c r="A685" s="122"/>
      <c r="B685" s="123"/>
      <c r="C685" s="122"/>
      <c r="D685" s="122"/>
      <c r="E685" s="202"/>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row>
    <row r="686" ht="15.75" customHeight="1">
      <c r="A686" s="122"/>
      <c r="B686" s="123"/>
      <c r="C686" s="122"/>
      <c r="D686" s="122"/>
      <c r="E686" s="202"/>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row>
    <row r="687" ht="15.75" customHeight="1">
      <c r="A687" s="122"/>
      <c r="B687" s="123"/>
      <c r="C687" s="122"/>
      <c r="D687" s="122"/>
      <c r="E687" s="202"/>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row>
    <row r="688" ht="15.75" customHeight="1">
      <c r="A688" s="122"/>
      <c r="B688" s="123"/>
      <c r="C688" s="122"/>
      <c r="D688" s="122"/>
      <c r="E688" s="202"/>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row>
    <row r="689" ht="15.75" customHeight="1">
      <c r="A689" s="122"/>
      <c r="B689" s="123"/>
      <c r="C689" s="122"/>
      <c r="D689" s="122"/>
      <c r="E689" s="202"/>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row>
    <row r="690" ht="15.75" customHeight="1">
      <c r="A690" s="122"/>
      <c r="B690" s="123"/>
      <c r="C690" s="122"/>
      <c r="D690" s="122"/>
      <c r="E690" s="202"/>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row>
    <row r="691" ht="15.75" customHeight="1">
      <c r="A691" s="122"/>
      <c r="B691" s="123"/>
      <c r="C691" s="122"/>
      <c r="D691" s="122"/>
      <c r="E691" s="202"/>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row>
    <row r="692" ht="15.75" customHeight="1">
      <c r="A692" s="122"/>
      <c r="B692" s="123"/>
      <c r="C692" s="122"/>
      <c r="D692" s="122"/>
      <c r="E692" s="202"/>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row>
    <row r="693" ht="15.75" customHeight="1">
      <c r="A693" s="122"/>
      <c r="B693" s="123"/>
      <c r="C693" s="122"/>
      <c r="D693" s="122"/>
      <c r="E693" s="202"/>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row>
    <row r="694" ht="15.75" customHeight="1">
      <c r="A694" s="122"/>
      <c r="B694" s="123"/>
      <c r="C694" s="122"/>
      <c r="D694" s="122"/>
      <c r="E694" s="202"/>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row>
    <row r="695" ht="15.75" customHeight="1">
      <c r="A695" s="122"/>
      <c r="B695" s="123"/>
      <c r="C695" s="122"/>
      <c r="D695" s="122"/>
      <c r="E695" s="202"/>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row>
    <row r="696" ht="15.75" customHeight="1">
      <c r="A696" s="122"/>
      <c r="B696" s="123"/>
      <c r="C696" s="122"/>
      <c r="D696" s="122"/>
      <c r="E696" s="202"/>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row>
    <row r="697" ht="15.75" customHeight="1">
      <c r="A697" s="122"/>
      <c r="B697" s="123"/>
      <c r="C697" s="122"/>
      <c r="D697" s="122"/>
      <c r="E697" s="202"/>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row>
    <row r="698" ht="15.75" customHeight="1">
      <c r="A698" s="122"/>
      <c r="B698" s="123"/>
      <c r="C698" s="122"/>
      <c r="D698" s="122"/>
      <c r="E698" s="202"/>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row>
    <row r="699" ht="15.75" customHeight="1">
      <c r="A699" s="122"/>
      <c r="B699" s="123"/>
      <c r="C699" s="122"/>
      <c r="D699" s="122"/>
      <c r="E699" s="202"/>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row>
    <row r="700" ht="15.75" customHeight="1">
      <c r="A700" s="122"/>
      <c r="B700" s="123"/>
      <c r="C700" s="122"/>
      <c r="D700" s="122"/>
      <c r="E700" s="202"/>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row>
    <row r="701" ht="15.75" customHeight="1">
      <c r="A701" s="122"/>
      <c r="B701" s="123"/>
      <c r="C701" s="122"/>
      <c r="D701" s="122"/>
      <c r="E701" s="202"/>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row>
    <row r="702" ht="15.75" customHeight="1">
      <c r="A702" s="122"/>
      <c r="B702" s="123"/>
      <c r="C702" s="122"/>
      <c r="D702" s="122"/>
      <c r="E702" s="202"/>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row>
    <row r="703" ht="15.75" customHeight="1">
      <c r="A703" s="122"/>
      <c r="B703" s="123"/>
      <c r="C703" s="122"/>
      <c r="D703" s="122"/>
      <c r="E703" s="202"/>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row>
    <row r="704" ht="15.75" customHeight="1">
      <c r="A704" s="122"/>
      <c r="B704" s="123"/>
      <c r="C704" s="122"/>
      <c r="D704" s="122"/>
      <c r="E704" s="202"/>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row>
    <row r="705" ht="15.75" customHeight="1">
      <c r="A705" s="122"/>
      <c r="B705" s="123"/>
      <c r="C705" s="122"/>
      <c r="D705" s="122"/>
      <c r="E705" s="202"/>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row>
    <row r="706" ht="15.75" customHeight="1">
      <c r="A706" s="122"/>
      <c r="B706" s="123"/>
      <c r="C706" s="122"/>
      <c r="D706" s="122"/>
      <c r="E706" s="202"/>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row>
    <row r="707" ht="15.75" customHeight="1">
      <c r="A707" s="122"/>
      <c r="B707" s="123"/>
      <c r="C707" s="122"/>
      <c r="D707" s="122"/>
      <c r="E707" s="202"/>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row>
    <row r="708" ht="15.75" customHeight="1">
      <c r="A708" s="122"/>
      <c r="B708" s="123"/>
      <c r="C708" s="122"/>
      <c r="D708" s="122"/>
      <c r="E708" s="202"/>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row>
    <row r="709" ht="15.75" customHeight="1">
      <c r="A709" s="122"/>
      <c r="B709" s="123"/>
      <c r="C709" s="122"/>
      <c r="D709" s="122"/>
      <c r="E709" s="202"/>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row>
    <row r="710" ht="15.75" customHeight="1">
      <c r="A710" s="122"/>
      <c r="B710" s="123"/>
      <c r="C710" s="122"/>
      <c r="D710" s="122"/>
      <c r="E710" s="202"/>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row>
    <row r="711" ht="15.75" customHeight="1">
      <c r="A711" s="122"/>
      <c r="B711" s="123"/>
      <c r="C711" s="122"/>
      <c r="D711" s="122"/>
      <c r="E711" s="202"/>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row>
    <row r="712" ht="15.75" customHeight="1">
      <c r="A712" s="122"/>
      <c r="B712" s="123"/>
      <c r="C712" s="122"/>
      <c r="D712" s="122"/>
      <c r="E712" s="202"/>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row>
    <row r="713" ht="15.75" customHeight="1">
      <c r="A713" s="122"/>
      <c r="B713" s="123"/>
      <c r="C713" s="122"/>
      <c r="D713" s="122"/>
      <c r="E713" s="202"/>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row>
    <row r="714" ht="15.75" customHeight="1">
      <c r="A714" s="122"/>
      <c r="B714" s="123"/>
      <c r="C714" s="122"/>
      <c r="D714" s="122"/>
      <c r="E714" s="202"/>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row>
    <row r="715" ht="15.75" customHeight="1">
      <c r="A715" s="122"/>
      <c r="B715" s="123"/>
      <c r="C715" s="122"/>
      <c r="D715" s="122"/>
      <c r="E715" s="202"/>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row>
    <row r="716" ht="15.75" customHeight="1">
      <c r="A716" s="122"/>
      <c r="B716" s="123"/>
      <c r="C716" s="122"/>
      <c r="D716" s="122"/>
      <c r="E716" s="202"/>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row>
    <row r="717" ht="15.75" customHeight="1">
      <c r="A717" s="122"/>
      <c r="B717" s="123"/>
      <c r="C717" s="122"/>
      <c r="D717" s="122"/>
      <c r="E717" s="202"/>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row>
    <row r="718" ht="15.75" customHeight="1">
      <c r="A718" s="122"/>
      <c r="B718" s="123"/>
      <c r="C718" s="122"/>
      <c r="D718" s="122"/>
      <c r="E718" s="202"/>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row>
    <row r="719" ht="15.75" customHeight="1">
      <c r="A719" s="122"/>
      <c r="B719" s="123"/>
      <c r="C719" s="122"/>
      <c r="D719" s="122"/>
      <c r="E719" s="202"/>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row>
    <row r="720" ht="15.75" customHeight="1">
      <c r="A720" s="122"/>
      <c r="B720" s="123"/>
      <c r="C720" s="122"/>
      <c r="D720" s="122"/>
      <c r="E720" s="202"/>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row>
    <row r="721" ht="15.75" customHeight="1">
      <c r="A721" s="122"/>
      <c r="B721" s="123"/>
      <c r="C721" s="122"/>
      <c r="D721" s="122"/>
      <c r="E721" s="202"/>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row>
    <row r="722" ht="15.75" customHeight="1">
      <c r="A722" s="122"/>
      <c r="B722" s="123"/>
      <c r="C722" s="122"/>
      <c r="D722" s="122"/>
      <c r="E722" s="202"/>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row>
    <row r="723" ht="15.75" customHeight="1">
      <c r="A723" s="122"/>
      <c r="B723" s="123"/>
      <c r="C723" s="122"/>
      <c r="D723" s="122"/>
      <c r="E723" s="202"/>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row>
    <row r="724" ht="15.75" customHeight="1">
      <c r="A724" s="122"/>
      <c r="B724" s="123"/>
      <c r="C724" s="122"/>
      <c r="D724" s="122"/>
      <c r="E724" s="202"/>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row>
    <row r="725" ht="15.75" customHeight="1">
      <c r="A725" s="122"/>
      <c r="B725" s="123"/>
      <c r="C725" s="122"/>
      <c r="D725" s="122"/>
      <c r="E725" s="202"/>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row>
    <row r="726" ht="15.75" customHeight="1">
      <c r="A726" s="122"/>
      <c r="B726" s="123"/>
      <c r="C726" s="122"/>
      <c r="D726" s="122"/>
      <c r="E726" s="202"/>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row>
    <row r="727" ht="15.75" customHeight="1">
      <c r="A727" s="122"/>
      <c r="B727" s="123"/>
      <c r="C727" s="122"/>
      <c r="D727" s="122"/>
      <c r="E727" s="202"/>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row>
    <row r="728" ht="15.75" customHeight="1">
      <c r="A728" s="122"/>
      <c r="B728" s="123"/>
      <c r="C728" s="122"/>
      <c r="D728" s="122"/>
      <c r="E728" s="202"/>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row>
    <row r="729" ht="15.75" customHeight="1">
      <c r="A729" s="122"/>
      <c r="B729" s="123"/>
      <c r="C729" s="122"/>
      <c r="D729" s="122"/>
      <c r="E729" s="202"/>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row>
    <row r="730" ht="15.75" customHeight="1">
      <c r="A730" s="122"/>
      <c r="B730" s="123"/>
      <c r="C730" s="122"/>
      <c r="D730" s="122"/>
      <c r="E730" s="202"/>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row>
    <row r="731" ht="15.75" customHeight="1">
      <c r="A731" s="122"/>
      <c r="B731" s="123"/>
      <c r="C731" s="122"/>
      <c r="D731" s="122"/>
      <c r="E731" s="202"/>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row>
    <row r="732" ht="15.75" customHeight="1">
      <c r="A732" s="122"/>
      <c r="B732" s="123"/>
      <c r="C732" s="122"/>
      <c r="D732" s="122"/>
      <c r="E732" s="202"/>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row>
    <row r="733" ht="15.75" customHeight="1">
      <c r="A733" s="122"/>
      <c r="B733" s="123"/>
      <c r="C733" s="122"/>
      <c r="D733" s="122"/>
      <c r="E733" s="202"/>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row>
    <row r="734" ht="15.75" customHeight="1">
      <c r="A734" s="122"/>
      <c r="B734" s="123"/>
      <c r="C734" s="122"/>
      <c r="D734" s="122"/>
      <c r="E734" s="202"/>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row>
    <row r="735" ht="15.75" customHeight="1">
      <c r="A735" s="122"/>
      <c r="B735" s="123"/>
      <c r="C735" s="122"/>
      <c r="D735" s="122"/>
      <c r="E735" s="202"/>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row>
    <row r="736" ht="15.75" customHeight="1">
      <c r="A736" s="122"/>
      <c r="B736" s="123"/>
      <c r="C736" s="122"/>
      <c r="D736" s="122"/>
      <c r="E736" s="202"/>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row>
    <row r="737" ht="15.75" customHeight="1">
      <c r="A737" s="122"/>
      <c r="B737" s="123"/>
      <c r="C737" s="122"/>
      <c r="D737" s="122"/>
      <c r="E737" s="202"/>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row>
    <row r="738" ht="15.75" customHeight="1">
      <c r="A738" s="122"/>
      <c r="B738" s="123"/>
      <c r="C738" s="122"/>
      <c r="D738" s="122"/>
      <c r="E738" s="202"/>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row>
    <row r="739" ht="15.75" customHeight="1">
      <c r="A739" s="122"/>
      <c r="B739" s="123"/>
      <c r="C739" s="122"/>
      <c r="D739" s="122"/>
      <c r="E739" s="202"/>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row>
    <row r="740" ht="15.75" customHeight="1">
      <c r="A740" s="122"/>
      <c r="B740" s="123"/>
      <c r="C740" s="122"/>
      <c r="D740" s="122"/>
      <c r="E740" s="202"/>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row>
    <row r="741" ht="15.75" customHeight="1">
      <c r="A741" s="122"/>
      <c r="B741" s="123"/>
      <c r="C741" s="122"/>
      <c r="D741" s="122"/>
      <c r="E741" s="202"/>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row>
    <row r="742" ht="15.75" customHeight="1">
      <c r="A742" s="122"/>
      <c r="B742" s="123"/>
      <c r="C742" s="122"/>
      <c r="D742" s="122"/>
      <c r="E742" s="202"/>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row>
    <row r="743" ht="15.75" customHeight="1">
      <c r="A743" s="122"/>
      <c r="B743" s="123"/>
      <c r="C743" s="122"/>
      <c r="D743" s="122"/>
      <c r="E743" s="202"/>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row>
    <row r="744" ht="15.75" customHeight="1">
      <c r="A744" s="122"/>
      <c r="B744" s="123"/>
      <c r="C744" s="122"/>
      <c r="D744" s="122"/>
      <c r="E744" s="202"/>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row>
    <row r="745" ht="15.75" customHeight="1">
      <c r="A745" s="122"/>
      <c r="B745" s="123"/>
      <c r="C745" s="122"/>
      <c r="D745" s="122"/>
      <c r="E745" s="202"/>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row>
    <row r="746" ht="15.75" customHeight="1">
      <c r="A746" s="122"/>
      <c r="B746" s="123"/>
      <c r="C746" s="122"/>
      <c r="D746" s="122"/>
      <c r="E746" s="202"/>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row>
    <row r="747" ht="15.75" customHeight="1">
      <c r="A747" s="122"/>
      <c r="B747" s="123"/>
      <c r="C747" s="122"/>
      <c r="D747" s="122"/>
      <c r="E747" s="202"/>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row>
    <row r="748" ht="15.75" customHeight="1">
      <c r="A748" s="122"/>
      <c r="B748" s="123"/>
      <c r="C748" s="122"/>
      <c r="D748" s="122"/>
      <c r="E748" s="202"/>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row>
    <row r="749" ht="15.75" customHeight="1">
      <c r="A749" s="122"/>
      <c r="B749" s="123"/>
      <c r="C749" s="122"/>
      <c r="D749" s="122"/>
      <c r="E749" s="202"/>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row>
    <row r="750" ht="15.75" customHeight="1">
      <c r="A750" s="122"/>
      <c r="B750" s="123"/>
      <c r="C750" s="122"/>
      <c r="D750" s="122"/>
      <c r="E750" s="202"/>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row>
    <row r="751" ht="15.75" customHeight="1">
      <c r="A751" s="122"/>
      <c r="B751" s="123"/>
      <c r="C751" s="122"/>
      <c r="D751" s="122"/>
      <c r="E751" s="202"/>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row>
    <row r="752" ht="15.75" customHeight="1">
      <c r="A752" s="122"/>
      <c r="B752" s="123"/>
      <c r="C752" s="122"/>
      <c r="D752" s="122"/>
      <c r="E752" s="202"/>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row>
    <row r="753" ht="15.75" customHeight="1">
      <c r="A753" s="122"/>
      <c r="B753" s="123"/>
      <c r="C753" s="122"/>
      <c r="D753" s="122"/>
      <c r="E753" s="202"/>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row>
    <row r="754" ht="15.75" customHeight="1">
      <c r="A754" s="122"/>
      <c r="B754" s="123"/>
      <c r="C754" s="122"/>
      <c r="D754" s="122"/>
      <c r="E754" s="202"/>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row>
    <row r="755" ht="15.75" customHeight="1">
      <c r="A755" s="122"/>
      <c r="B755" s="123"/>
      <c r="C755" s="122"/>
      <c r="D755" s="122"/>
      <c r="E755" s="202"/>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row>
    <row r="756" ht="15.75" customHeight="1">
      <c r="A756" s="122"/>
      <c r="B756" s="123"/>
      <c r="C756" s="122"/>
      <c r="D756" s="122"/>
      <c r="E756" s="202"/>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row>
    <row r="757" ht="15.75" customHeight="1">
      <c r="A757" s="122"/>
      <c r="B757" s="123"/>
      <c r="C757" s="122"/>
      <c r="D757" s="122"/>
      <c r="E757" s="202"/>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row>
    <row r="758" ht="15.75" customHeight="1">
      <c r="A758" s="122"/>
      <c r="B758" s="123"/>
      <c r="C758" s="122"/>
      <c r="D758" s="122"/>
      <c r="E758" s="202"/>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row>
    <row r="759" ht="15.75" customHeight="1">
      <c r="A759" s="122"/>
      <c r="B759" s="123"/>
      <c r="C759" s="122"/>
      <c r="D759" s="122"/>
      <c r="E759" s="202"/>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row>
    <row r="760" ht="15.75" customHeight="1">
      <c r="A760" s="122"/>
      <c r="B760" s="123"/>
      <c r="C760" s="122"/>
      <c r="D760" s="122"/>
      <c r="E760" s="202"/>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row>
    <row r="761" ht="15.75" customHeight="1">
      <c r="A761" s="122"/>
      <c r="B761" s="123"/>
      <c r="C761" s="122"/>
      <c r="D761" s="122"/>
      <c r="E761" s="202"/>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row>
    <row r="762" ht="15.75" customHeight="1">
      <c r="A762" s="122"/>
      <c r="B762" s="123"/>
      <c r="C762" s="122"/>
      <c r="D762" s="122"/>
      <c r="E762" s="202"/>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row>
    <row r="763" ht="15.75" customHeight="1">
      <c r="A763" s="122"/>
      <c r="B763" s="123"/>
      <c r="C763" s="122"/>
      <c r="D763" s="122"/>
      <c r="E763" s="202"/>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row>
    <row r="764" ht="15.75" customHeight="1">
      <c r="A764" s="122"/>
      <c r="B764" s="123"/>
      <c r="C764" s="122"/>
      <c r="D764" s="122"/>
      <c r="E764" s="202"/>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row>
    <row r="765" ht="15.75" customHeight="1">
      <c r="A765" s="122"/>
      <c r="B765" s="123"/>
      <c r="C765" s="122"/>
      <c r="D765" s="122"/>
      <c r="E765" s="202"/>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row>
    <row r="766" ht="15.75" customHeight="1">
      <c r="A766" s="122"/>
      <c r="B766" s="123"/>
      <c r="C766" s="122"/>
      <c r="D766" s="122"/>
      <c r="E766" s="202"/>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row>
    <row r="767" ht="15.75" customHeight="1">
      <c r="A767" s="122"/>
      <c r="B767" s="123"/>
      <c r="C767" s="122"/>
      <c r="D767" s="122"/>
      <c r="E767" s="202"/>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row>
    <row r="768" ht="15.75" customHeight="1">
      <c r="A768" s="122"/>
      <c r="B768" s="123"/>
      <c r="C768" s="122"/>
      <c r="D768" s="122"/>
      <c r="E768" s="202"/>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row>
    <row r="769" ht="15.75" customHeight="1">
      <c r="A769" s="122"/>
      <c r="B769" s="123"/>
      <c r="C769" s="122"/>
      <c r="D769" s="122"/>
      <c r="E769" s="202"/>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row>
    <row r="770" ht="15.75" customHeight="1">
      <c r="A770" s="122"/>
      <c r="B770" s="123"/>
      <c r="C770" s="122"/>
      <c r="D770" s="122"/>
      <c r="E770" s="202"/>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row>
    <row r="771" ht="15.75" customHeight="1">
      <c r="A771" s="122"/>
      <c r="B771" s="123"/>
      <c r="C771" s="122"/>
      <c r="D771" s="122"/>
      <c r="E771" s="202"/>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row>
    <row r="772" ht="15.75" customHeight="1">
      <c r="A772" s="122"/>
      <c r="B772" s="123"/>
      <c r="C772" s="122"/>
      <c r="D772" s="122"/>
      <c r="E772" s="202"/>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row>
    <row r="773" ht="15.75" customHeight="1">
      <c r="A773" s="122"/>
      <c r="B773" s="123"/>
      <c r="C773" s="122"/>
      <c r="D773" s="122"/>
      <c r="E773" s="202"/>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row>
    <row r="774" ht="15.75" customHeight="1">
      <c r="A774" s="122"/>
      <c r="B774" s="123"/>
      <c r="C774" s="122"/>
      <c r="D774" s="122"/>
      <c r="E774" s="202"/>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row>
    <row r="775" ht="15.75" customHeight="1">
      <c r="A775" s="122"/>
      <c r="B775" s="123"/>
      <c r="C775" s="122"/>
      <c r="D775" s="122"/>
      <c r="E775" s="202"/>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row>
    <row r="776" ht="15.75" customHeight="1">
      <c r="A776" s="122"/>
      <c r="B776" s="123"/>
      <c r="C776" s="122"/>
      <c r="D776" s="122"/>
      <c r="E776" s="202"/>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row>
    <row r="777" ht="15.75" customHeight="1">
      <c r="A777" s="122"/>
      <c r="B777" s="123"/>
      <c r="C777" s="122"/>
      <c r="D777" s="122"/>
      <c r="E777" s="202"/>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row>
    <row r="778" ht="15.75" customHeight="1">
      <c r="A778" s="122"/>
      <c r="B778" s="123"/>
      <c r="C778" s="122"/>
      <c r="D778" s="122"/>
      <c r="E778" s="202"/>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row>
    <row r="779" ht="15.75" customHeight="1">
      <c r="A779" s="122"/>
      <c r="B779" s="123"/>
      <c r="C779" s="122"/>
      <c r="D779" s="122"/>
      <c r="E779" s="202"/>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row>
    <row r="780" ht="15.75" customHeight="1">
      <c r="A780" s="122"/>
      <c r="B780" s="123"/>
      <c r="C780" s="122"/>
      <c r="D780" s="122"/>
      <c r="E780" s="202"/>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row>
    <row r="781" ht="15.75" customHeight="1">
      <c r="A781" s="122"/>
      <c r="B781" s="123"/>
      <c r="C781" s="122"/>
      <c r="D781" s="122"/>
      <c r="E781" s="202"/>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row>
    <row r="782" ht="15.75" customHeight="1">
      <c r="A782" s="122"/>
      <c r="B782" s="123"/>
      <c r="C782" s="122"/>
      <c r="D782" s="122"/>
      <c r="E782" s="202"/>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row>
    <row r="783" ht="15.75" customHeight="1">
      <c r="A783" s="122"/>
      <c r="B783" s="123"/>
      <c r="C783" s="122"/>
      <c r="D783" s="122"/>
      <c r="E783" s="202"/>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row>
    <row r="784" ht="15.75" customHeight="1">
      <c r="A784" s="122"/>
      <c r="B784" s="123"/>
      <c r="C784" s="122"/>
      <c r="D784" s="122"/>
      <c r="E784" s="202"/>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row>
    <row r="785" ht="15.75" customHeight="1">
      <c r="A785" s="122"/>
      <c r="B785" s="123"/>
      <c r="C785" s="122"/>
      <c r="D785" s="122"/>
      <c r="E785" s="202"/>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row>
    <row r="786" ht="15.75" customHeight="1">
      <c r="A786" s="122"/>
      <c r="B786" s="123"/>
      <c r="C786" s="122"/>
      <c r="D786" s="122"/>
      <c r="E786" s="202"/>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row>
    <row r="787" ht="15.75" customHeight="1">
      <c r="A787" s="122"/>
      <c r="B787" s="123"/>
      <c r="C787" s="122"/>
      <c r="D787" s="122"/>
      <c r="E787" s="202"/>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row>
    <row r="788" ht="15.75" customHeight="1">
      <c r="A788" s="122"/>
      <c r="B788" s="123"/>
      <c r="C788" s="122"/>
      <c r="D788" s="122"/>
      <c r="E788" s="202"/>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row>
    <row r="789" ht="15.75" customHeight="1">
      <c r="A789" s="122"/>
      <c r="B789" s="123"/>
      <c r="C789" s="122"/>
      <c r="D789" s="122"/>
      <c r="E789" s="202"/>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row>
    <row r="790" ht="15.75" customHeight="1">
      <c r="A790" s="122"/>
      <c r="B790" s="123"/>
      <c r="C790" s="122"/>
      <c r="D790" s="122"/>
      <c r="E790" s="202"/>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row>
    <row r="791" ht="15.75" customHeight="1">
      <c r="A791" s="122"/>
      <c r="B791" s="123"/>
      <c r="C791" s="122"/>
      <c r="D791" s="122"/>
      <c r="E791" s="202"/>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row>
    <row r="792" ht="15.75" customHeight="1">
      <c r="A792" s="122"/>
      <c r="B792" s="123"/>
      <c r="C792" s="122"/>
      <c r="D792" s="122"/>
      <c r="E792" s="202"/>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row>
    <row r="793" ht="15.75" customHeight="1">
      <c r="A793" s="122"/>
      <c r="B793" s="123"/>
      <c r="C793" s="122"/>
      <c r="D793" s="122"/>
      <c r="E793" s="202"/>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row>
    <row r="794" ht="15.75" customHeight="1">
      <c r="A794" s="122"/>
      <c r="B794" s="123"/>
      <c r="C794" s="122"/>
      <c r="D794" s="122"/>
      <c r="E794" s="202"/>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row>
    <row r="795" ht="15.75" customHeight="1">
      <c r="A795" s="122"/>
      <c r="B795" s="123"/>
      <c r="C795" s="122"/>
      <c r="D795" s="122"/>
      <c r="E795" s="202"/>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row>
    <row r="796" ht="15.75" customHeight="1">
      <c r="A796" s="122"/>
      <c r="B796" s="123"/>
      <c r="C796" s="122"/>
      <c r="D796" s="122"/>
      <c r="E796" s="202"/>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row>
    <row r="797" ht="15.75" customHeight="1">
      <c r="A797" s="122"/>
      <c r="B797" s="123"/>
      <c r="C797" s="122"/>
      <c r="D797" s="122"/>
      <c r="E797" s="202"/>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row>
    <row r="798" ht="15.75" customHeight="1">
      <c r="A798" s="122"/>
      <c r="B798" s="123"/>
      <c r="C798" s="122"/>
      <c r="D798" s="122"/>
      <c r="E798" s="202"/>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row>
    <row r="799" ht="15.75" customHeight="1">
      <c r="A799" s="122"/>
      <c r="B799" s="123"/>
      <c r="C799" s="122"/>
      <c r="D799" s="122"/>
      <c r="E799" s="202"/>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row>
    <row r="800" ht="15.75" customHeight="1">
      <c r="A800" s="122"/>
      <c r="B800" s="123"/>
      <c r="C800" s="122"/>
      <c r="D800" s="122"/>
      <c r="E800" s="202"/>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row>
    <row r="801" ht="15.75" customHeight="1">
      <c r="A801" s="122"/>
      <c r="B801" s="123"/>
      <c r="C801" s="122"/>
      <c r="D801" s="122"/>
      <c r="E801" s="202"/>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row>
    <row r="802" ht="15.75" customHeight="1">
      <c r="A802" s="122"/>
      <c r="B802" s="123"/>
      <c r="C802" s="122"/>
      <c r="D802" s="122"/>
      <c r="E802" s="202"/>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row>
    <row r="803" ht="15.75" customHeight="1">
      <c r="A803" s="122"/>
      <c r="B803" s="123"/>
      <c r="C803" s="122"/>
      <c r="D803" s="122"/>
      <c r="E803" s="202"/>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row>
    <row r="804" ht="15.75" customHeight="1">
      <c r="A804" s="122"/>
      <c r="B804" s="123"/>
      <c r="C804" s="122"/>
      <c r="D804" s="122"/>
      <c r="E804" s="202"/>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row>
    <row r="805" ht="15.75" customHeight="1">
      <c r="A805" s="122"/>
      <c r="B805" s="123"/>
      <c r="C805" s="122"/>
      <c r="D805" s="122"/>
      <c r="E805" s="202"/>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row>
    <row r="806" ht="15.75" customHeight="1">
      <c r="A806" s="122"/>
      <c r="B806" s="123"/>
      <c r="C806" s="122"/>
      <c r="D806" s="122"/>
      <c r="E806" s="202"/>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row>
    <row r="807" ht="15.75" customHeight="1">
      <c r="A807" s="122"/>
      <c r="B807" s="123"/>
      <c r="C807" s="122"/>
      <c r="D807" s="122"/>
      <c r="E807" s="202"/>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row>
    <row r="808" ht="15.75" customHeight="1">
      <c r="A808" s="122"/>
      <c r="B808" s="123"/>
      <c r="C808" s="122"/>
      <c r="D808" s="122"/>
      <c r="E808" s="202"/>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row>
    <row r="809" ht="15.75" customHeight="1">
      <c r="A809" s="122"/>
      <c r="B809" s="123"/>
      <c r="C809" s="122"/>
      <c r="D809" s="122"/>
      <c r="E809" s="202"/>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row>
    <row r="810" ht="15.75" customHeight="1">
      <c r="A810" s="122"/>
      <c r="B810" s="123"/>
      <c r="C810" s="122"/>
      <c r="D810" s="122"/>
      <c r="E810" s="202"/>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row>
    <row r="811" ht="15.75" customHeight="1">
      <c r="A811" s="122"/>
      <c r="B811" s="123"/>
      <c r="C811" s="122"/>
      <c r="D811" s="122"/>
      <c r="E811" s="202"/>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row>
    <row r="812" ht="15.75" customHeight="1">
      <c r="A812" s="122"/>
      <c r="B812" s="123"/>
      <c r="C812" s="122"/>
      <c r="D812" s="122"/>
      <c r="E812" s="202"/>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row>
    <row r="813" ht="15.75" customHeight="1">
      <c r="A813" s="122"/>
      <c r="B813" s="123"/>
      <c r="C813" s="122"/>
      <c r="D813" s="122"/>
      <c r="E813" s="202"/>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row>
    <row r="814" ht="15.75" customHeight="1">
      <c r="A814" s="122"/>
      <c r="B814" s="123"/>
      <c r="C814" s="122"/>
      <c r="D814" s="122"/>
      <c r="E814" s="202"/>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row>
    <row r="815" ht="15.75" customHeight="1">
      <c r="A815" s="122"/>
      <c r="B815" s="123"/>
      <c r="C815" s="122"/>
      <c r="D815" s="122"/>
      <c r="E815" s="202"/>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row>
    <row r="816" ht="15.75" customHeight="1">
      <c r="A816" s="122"/>
      <c r="B816" s="123"/>
      <c r="C816" s="122"/>
      <c r="D816" s="122"/>
      <c r="E816" s="202"/>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row>
    <row r="817" ht="15.75" customHeight="1">
      <c r="A817" s="122"/>
      <c r="B817" s="123"/>
      <c r="C817" s="122"/>
      <c r="D817" s="122"/>
      <c r="E817" s="202"/>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row>
    <row r="818" ht="15.75" customHeight="1">
      <c r="A818" s="122"/>
      <c r="B818" s="123"/>
      <c r="C818" s="122"/>
      <c r="D818" s="122"/>
      <c r="E818" s="202"/>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row>
    <row r="819" ht="15.75" customHeight="1">
      <c r="A819" s="122"/>
      <c r="B819" s="123"/>
      <c r="C819" s="122"/>
      <c r="D819" s="122"/>
      <c r="E819" s="202"/>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row>
    <row r="820" ht="15.75" customHeight="1">
      <c r="A820" s="122"/>
      <c r="B820" s="123"/>
      <c r="C820" s="122"/>
      <c r="D820" s="122"/>
      <c r="E820" s="202"/>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row>
    <row r="821" ht="15.75" customHeight="1">
      <c r="A821" s="122"/>
      <c r="B821" s="123"/>
      <c r="C821" s="122"/>
      <c r="D821" s="122"/>
      <c r="E821" s="202"/>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row>
    <row r="822" ht="15.75" customHeight="1">
      <c r="A822" s="122"/>
      <c r="B822" s="123"/>
      <c r="C822" s="122"/>
      <c r="D822" s="122"/>
      <c r="E822" s="202"/>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row>
    <row r="823" ht="15.75" customHeight="1">
      <c r="A823" s="122"/>
      <c r="B823" s="123"/>
      <c r="C823" s="122"/>
      <c r="D823" s="122"/>
      <c r="E823" s="202"/>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row>
    <row r="824" ht="15.75" customHeight="1">
      <c r="A824" s="122"/>
      <c r="B824" s="123"/>
      <c r="C824" s="122"/>
      <c r="D824" s="122"/>
      <c r="E824" s="202"/>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row>
    <row r="825" ht="15.75" customHeight="1">
      <c r="A825" s="122"/>
      <c r="B825" s="123"/>
      <c r="C825" s="122"/>
      <c r="D825" s="122"/>
      <c r="E825" s="202"/>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row>
    <row r="826" ht="15.75" customHeight="1">
      <c r="A826" s="122"/>
      <c r="B826" s="123"/>
      <c r="C826" s="122"/>
      <c r="D826" s="122"/>
      <c r="E826" s="202"/>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row>
    <row r="827" ht="15.75" customHeight="1">
      <c r="A827" s="122"/>
      <c r="B827" s="123"/>
      <c r="C827" s="122"/>
      <c r="D827" s="122"/>
      <c r="E827" s="202"/>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row>
    <row r="828" ht="15.75" customHeight="1">
      <c r="A828" s="122"/>
      <c r="B828" s="123"/>
      <c r="C828" s="122"/>
      <c r="D828" s="122"/>
      <c r="E828" s="202"/>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row>
    <row r="829" ht="15.75" customHeight="1">
      <c r="A829" s="122"/>
      <c r="B829" s="123"/>
      <c r="C829" s="122"/>
      <c r="D829" s="122"/>
      <c r="E829" s="202"/>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row>
    <row r="830" ht="15.75" customHeight="1">
      <c r="A830" s="122"/>
      <c r="B830" s="123"/>
      <c r="C830" s="122"/>
      <c r="D830" s="122"/>
      <c r="E830" s="202"/>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row>
    <row r="831" ht="15.75" customHeight="1">
      <c r="A831" s="122"/>
      <c r="B831" s="123"/>
      <c r="C831" s="122"/>
      <c r="D831" s="122"/>
      <c r="E831" s="202"/>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row>
    <row r="832" ht="15.75" customHeight="1">
      <c r="A832" s="122"/>
      <c r="B832" s="123"/>
      <c r="C832" s="122"/>
      <c r="D832" s="122"/>
      <c r="E832" s="202"/>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row>
    <row r="833" ht="15.75" customHeight="1">
      <c r="A833" s="122"/>
      <c r="B833" s="123"/>
      <c r="C833" s="122"/>
      <c r="D833" s="122"/>
      <c r="E833" s="202"/>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row>
    <row r="834" ht="15.75" customHeight="1">
      <c r="A834" s="122"/>
      <c r="B834" s="123"/>
      <c r="C834" s="122"/>
      <c r="D834" s="122"/>
      <c r="E834" s="202"/>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row>
    <row r="835" ht="15.75" customHeight="1">
      <c r="A835" s="122"/>
      <c r="B835" s="123"/>
      <c r="C835" s="122"/>
      <c r="D835" s="122"/>
      <c r="E835" s="202"/>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row>
    <row r="836" ht="15.75" customHeight="1">
      <c r="A836" s="122"/>
      <c r="B836" s="123"/>
      <c r="C836" s="122"/>
      <c r="D836" s="122"/>
      <c r="E836" s="202"/>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row>
    <row r="837" ht="15.75" customHeight="1">
      <c r="A837" s="122"/>
      <c r="B837" s="123"/>
      <c r="C837" s="122"/>
      <c r="D837" s="122"/>
      <c r="E837" s="202"/>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row>
    <row r="838" ht="15.75" customHeight="1">
      <c r="A838" s="122"/>
      <c r="B838" s="123"/>
      <c r="C838" s="122"/>
      <c r="D838" s="122"/>
      <c r="E838" s="202"/>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row>
    <row r="839" ht="15.75" customHeight="1">
      <c r="A839" s="122"/>
      <c r="B839" s="123"/>
      <c r="C839" s="122"/>
      <c r="D839" s="122"/>
      <c r="E839" s="202"/>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row>
    <row r="840" ht="15.75" customHeight="1">
      <c r="A840" s="122"/>
      <c r="B840" s="123"/>
      <c r="C840" s="122"/>
      <c r="D840" s="122"/>
      <c r="E840" s="202"/>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row>
    <row r="841" ht="15.75" customHeight="1">
      <c r="A841" s="122"/>
      <c r="B841" s="123"/>
      <c r="C841" s="122"/>
      <c r="D841" s="122"/>
      <c r="E841" s="202"/>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row>
    <row r="842" ht="15.75" customHeight="1">
      <c r="A842" s="122"/>
      <c r="B842" s="123"/>
      <c r="C842" s="122"/>
      <c r="D842" s="122"/>
      <c r="E842" s="202"/>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row>
    <row r="843" ht="15.75" customHeight="1">
      <c r="A843" s="122"/>
      <c r="B843" s="123"/>
      <c r="C843" s="122"/>
      <c r="D843" s="122"/>
      <c r="E843" s="202"/>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row>
    <row r="844" ht="15.75" customHeight="1">
      <c r="A844" s="122"/>
      <c r="B844" s="123"/>
      <c r="C844" s="122"/>
      <c r="D844" s="122"/>
      <c r="E844" s="202"/>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row>
    <row r="845" ht="15.75" customHeight="1">
      <c r="A845" s="122"/>
      <c r="B845" s="123"/>
      <c r="C845" s="122"/>
      <c r="D845" s="122"/>
      <c r="E845" s="202"/>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row>
    <row r="846" ht="15.75" customHeight="1">
      <c r="A846" s="122"/>
      <c r="B846" s="123"/>
      <c r="C846" s="122"/>
      <c r="D846" s="122"/>
      <c r="E846" s="202"/>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row>
    <row r="847" ht="15.75" customHeight="1">
      <c r="A847" s="122"/>
      <c r="B847" s="123"/>
      <c r="C847" s="122"/>
      <c r="D847" s="122"/>
      <c r="E847" s="202"/>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row>
    <row r="848" ht="15.75" customHeight="1">
      <c r="A848" s="122"/>
      <c r="B848" s="123"/>
      <c r="C848" s="122"/>
      <c r="D848" s="122"/>
      <c r="E848" s="202"/>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row>
    <row r="849" ht="15.75" customHeight="1">
      <c r="A849" s="122"/>
      <c r="B849" s="123"/>
      <c r="C849" s="122"/>
      <c r="D849" s="122"/>
      <c r="E849" s="202"/>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row>
    <row r="850" ht="15.75" customHeight="1">
      <c r="A850" s="122"/>
      <c r="B850" s="123"/>
      <c r="C850" s="122"/>
      <c r="D850" s="122"/>
      <c r="E850" s="202"/>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row>
    <row r="851" ht="15.75" customHeight="1">
      <c r="A851" s="122"/>
      <c r="B851" s="123"/>
      <c r="C851" s="122"/>
      <c r="D851" s="122"/>
      <c r="E851" s="202"/>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row>
    <row r="852" ht="15.75" customHeight="1">
      <c r="A852" s="122"/>
      <c r="B852" s="123"/>
      <c r="C852" s="122"/>
      <c r="D852" s="122"/>
      <c r="E852" s="202"/>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row>
    <row r="853" ht="15.75" customHeight="1">
      <c r="A853" s="122"/>
      <c r="B853" s="123"/>
      <c r="C853" s="122"/>
      <c r="D853" s="122"/>
      <c r="E853" s="202"/>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row>
    <row r="854" ht="15.75" customHeight="1">
      <c r="A854" s="122"/>
      <c r="B854" s="123"/>
      <c r="C854" s="122"/>
      <c r="D854" s="122"/>
      <c r="E854" s="202"/>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row>
    <row r="855" ht="15.75" customHeight="1">
      <c r="A855" s="122"/>
      <c r="B855" s="123"/>
      <c r="C855" s="122"/>
      <c r="D855" s="122"/>
      <c r="E855" s="202"/>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row>
    <row r="856" ht="15.75" customHeight="1">
      <c r="A856" s="122"/>
      <c r="B856" s="123"/>
      <c r="C856" s="122"/>
      <c r="D856" s="122"/>
      <c r="E856" s="202"/>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row>
    <row r="857" ht="15.75" customHeight="1">
      <c r="A857" s="122"/>
      <c r="B857" s="123"/>
      <c r="C857" s="122"/>
      <c r="D857" s="122"/>
      <c r="E857" s="202"/>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row>
    <row r="858" ht="15.75" customHeight="1">
      <c r="A858" s="122"/>
      <c r="B858" s="123"/>
      <c r="C858" s="122"/>
      <c r="D858" s="122"/>
      <c r="E858" s="202"/>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row>
    <row r="859" ht="15.75" customHeight="1">
      <c r="A859" s="122"/>
      <c r="B859" s="123"/>
      <c r="C859" s="122"/>
      <c r="D859" s="122"/>
      <c r="E859" s="202"/>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row>
    <row r="860" ht="15.75" customHeight="1">
      <c r="A860" s="122"/>
      <c r="B860" s="123"/>
      <c r="C860" s="122"/>
      <c r="D860" s="122"/>
      <c r="E860" s="202"/>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row>
    <row r="861" ht="15.75" customHeight="1">
      <c r="A861" s="122"/>
      <c r="B861" s="123"/>
      <c r="C861" s="122"/>
      <c r="D861" s="122"/>
      <c r="E861" s="202"/>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row>
    <row r="862" ht="15.75" customHeight="1">
      <c r="A862" s="122"/>
      <c r="B862" s="123"/>
      <c r="C862" s="122"/>
      <c r="D862" s="122"/>
      <c r="E862" s="202"/>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row>
    <row r="863" ht="15.75" customHeight="1">
      <c r="A863" s="122"/>
      <c r="B863" s="123"/>
      <c r="C863" s="122"/>
      <c r="D863" s="122"/>
      <c r="E863" s="202"/>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row>
    <row r="864" ht="15.75" customHeight="1">
      <c r="A864" s="122"/>
      <c r="B864" s="123"/>
      <c r="C864" s="122"/>
      <c r="D864" s="122"/>
      <c r="E864" s="202"/>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row>
    <row r="865" ht="15.75" customHeight="1">
      <c r="A865" s="122"/>
      <c r="B865" s="123"/>
      <c r="C865" s="122"/>
      <c r="D865" s="122"/>
      <c r="E865" s="202"/>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row>
    <row r="866" ht="15.75" customHeight="1">
      <c r="A866" s="122"/>
      <c r="B866" s="123"/>
      <c r="C866" s="122"/>
      <c r="D866" s="122"/>
      <c r="E866" s="202"/>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row>
    <row r="867" ht="15.75" customHeight="1">
      <c r="A867" s="122"/>
      <c r="B867" s="123"/>
      <c r="C867" s="122"/>
      <c r="D867" s="122"/>
      <c r="E867" s="202"/>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row>
    <row r="868" ht="15.75" customHeight="1">
      <c r="A868" s="122"/>
      <c r="B868" s="123"/>
      <c r="C868" s="122"/>
      <c r="D868" s="122"/>
      <c r="E868" s="202"/>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row>
    <row r="869" ht="15.75" customHeight="1">
      <c r="A869" s="122"/>
      <c r="B869" s="123"/>
      <c r="C869" s="122"/>
      <c r="D869" s="122"/>
      <c r="E869" s="202"/>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row>
    <row r="870" ht="15.75" customHeight="1">
      <c r="A870" s="122"/>
      <c r="B870" s="123"/>
      <c r="C870" s="122"/>
      <c r="D870" s="122"/>
      <c r="E870" s="202"/>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row>
    <row r="871" ht="15.75" customHeight="1">
      <c r="A871" s="122"/>
      <c r="B871" s="123"/>
      <c r="C871" s="122"/>
      <c r="D871" s="122"/>
      <c r="E871" s="202"/>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row>
    <row r="872" ht="15.75" customHeight="1">
      <c r="A872" s="122"/>
      <c r="B872" s="123"/>
      <c r="C872" s="122"/>
      <c r="D872" s="122"/>
      <c r="E872" s="202"/>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row>
    <row r="873" ht="15.75" customHeight="1">
      <c r="A873" s="122"/>
      <c r="B873" s="123"/>
      <c r="C873" s="122"/>
      <c r="D873" s="122"/>
      <c r="E873" s="202"/>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row>
    <row r="874" ht="15.75" customHeight="1">
      <c r="A874" s="122"/>
      <c r="B874" s="123"/>
      <c r="C874" s="122"/>
      <c r="D874" s="122"/>
      <c r="E874" s="202"/>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row>
    <row r="875" ht="15.75" customHeight="1">
      <c r="A875" s="122"/>
      <c r="B875" s="123"/>
      <c r="C875" s="122"/>
      <c r="D875" s="122"/>
      <c r="E875" s="202"/>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row>
    <row r="876" ht="15.75" customHeight="1">
      <c r="A876" s="122"/>
      <c r="B876" s="123"/>
      <c r="C876" s="122"/>
      <c r="D876" s="122"/>
      <c r="E876" s="202"/>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row>
    <row r="877" ht="15.75" customHeight="1">
      <c r="A877" s="122"/>
      <c r="B877" s="123"/>
      <c r="C877" s="122"/>
      <c r="D877" s="122"/>
      <c r="E877" s="202"/>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row>
    <row r="878" ht="15.75" customHeight="1">
      <c r="A878" s="122"/>
      <c r="B878" s="123"/>
      <c r="C878" s="122"/>
      <c r="D878" s="122"/>
      <c r="E878" s="202"/>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row>
    <row r="879" ht="15.75" customHeight="1">
      <c r="A879" s="122"/>
      <c r="B879" s="123"/>
      <c r="C879" s="122"/>
      <c r="D879" s="122"/>
      <c r="E879" s="202"/>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row>
    <row r="880" ht="15.75" customHeight="1">
      <c r="A880" s="122"/>
      <c r="B880" s="123"/>
      <c r="C880" s="122"/>
      <c r="D880" s="122"/>
      <c r="E880" s="202"/>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row>
    <row r="881" ht="15.75" customHeight="1">
      <c r="A881" s="122"/>
      <c r="B881" s="123"/>
      <c r="C881" s="122"/>
      <c r="D881" s="122"/>
      <c r="E881" s="202"/>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row>
    <row r="882" ht="15.75" customHeight="1">
      <c r="A882" s="122"/>
      <c r="B882" s="123"/>
      <c r="C882" s="122"/>
      <c r="D882" s="122"/>
      <c r="E882" s="202"/>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row>
    <row r="883" ht="15.75" customHeight="1">
      <c r="A883" s="122"/>
      <c r="B883" s="123"/>
      <c r="C883" s="122"/>
      <c r="D883" s="122"/>
      <c r="E883" s="202"/>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row>
    <row r="884" ht="15.75" customHeight="1">
      <c r="A884" s="122"/>
      <c r="B884" s="123"/>
      <c r="C884" s="122"/>
      <c r="D884" s="122"/>
      <c r="E884" s="202"/>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row>
    <row r="885" ht="15.75" customHeight="1">
      <c r="A885" s="122"/>
      <c r="B885" s="123"/>
      <c r="C885" s="122"/>
      <c r="D885" s="122"/>
      <c r="E885" s="202"/>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row>
    <row r="886" ht="15.75" customHeight="1">
      <c r="A886" s="122"/>
      <c r="B886" s="123"/>
      <c r="C886" s="122"/>
      <c r="D886" s="122"/>
      <c r="E886" s="202"/>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row>
    <row r="887" ht="15.75" customHeight="1">
      <c r="A887" s="122"/>
      <c r="B887" s="123"/>
      <c r="C887" s="122"/>
      <c r="D887" s="122"/>
      <c r="E887" s="202"/>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row>
    <row r="888" ht="15.75" customHeight="1">
      <c r="A888" s="122"/>
      <c r="B888" s="123"/>
      <c r="C888" s="122"/>
      <c r="D888" s="122"/>
      <c r="E888" s="202"/>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row>
    <row r="889" ht="15.75" customHeight="1">
      <c r="A889" s="122"/>
      <c r="B889" s="123"/>
      <c r="C889" s="122"/>
      <c r="D889" s="122"/>
      <c r="E889" s="202"/>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row>
    <row r="890" ht="15.75" customHeight="1">
      <c r="A890" s="122"/>
      <c r="B890" s="123"/>
      <c r="C890" s="122"/>
      <c r="D890" s="122"/>
      <c r="E890" s="202"/>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row>
    <row r="891" ht="15.75" customHeight="1">
      <c r="A891" s="122"/>
      <c r="B891" s="123"/>
      <c r="C891" s="122"/>
      <c r="D891" s="122"/>
      <c r="E891" s="202"/>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row>
    <row r="892" ht="15.75" customHeight="1">
      <c r="A892" s="122"/>
      <c r="B892" s="123"/>
      <c r="C892" s="122"/>
      <c r="D892" s="122"/>
      <c r="E892" s="202"/>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row>
    <row r="893" ht="15.75" customHeight="1">
      <c r="A893" s="122"/>
      <c r="B893" s="123"/>
      <c r="C893" s="122"/>
      <c r="D893" s="122"/>
      <c r="E893" s="202"/>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row>
    <row r="894" ht="15.75" customHeight="1">
      <c r="A894" s="122"/>
      <c r="B894" s="123"/>
      <c r="C894" s="122"/>
      <c r="D894" s="122"/>
      <c r="E894" s="202"/>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row>
    <row r="895" ht="15.75" customHeight="1">
      <c r="A895" s="122"/>
      <c r="B895" s="123"/>
      <c r="C895" s="122"/>
      <c r="D895" s="122"/>
      <c r="E895" s="202"/>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row>
    <row r="896" ht="15.75" customHeight="1">
      <c r="A896" s="122"/>
      <c r="B896" s="123"/>
      <c r="C896" s="122"/>
      <c r="D896" s="122"/>
      <c r="E896" s="202"/>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row>
    <row r="897" ht="15.75" customHeight="1">
      <c r="A897" s="122"/>
      <c r="B897" s="123"/>
      <c r="C897" s="122"/>
      <c r="D897" s="122"/>
      <c r="E897" s="202"/>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row>
    <row r="898" ht="15.75" customHeight="1">
      <c r="A898" s="122"/>
      <c r="B898" s="123"/>
      <c r="C898" s="122"/>
      <c r="D898" s="122"/>
      <c r="E898" s="202"/>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row>
    <row r="899" ht="15.75" customHeight="1">
      <c r="A899" s="122"/>
      <c r="B899" s="123"/>
      <c r="C899" s="122"/>
      <c r="D899" s="122"/>
      <c r="E899" s="202"/>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row>
    <row r="900" ht="15.75" customHeight="1">
      <c r="A900" s="122"/>
      <c r="B900" s="123"/>
      <c r="C900" s="122"/>
      <c r="D900" s="122"/>
      <c r="E900" s="202"/>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row>
    <row r="901" ht="15.75" customHeight="1">
      <c r="A901" s="122"/>
      <c r="B901" s="123"/>
      <c r="C901" s="122"/>
      <c r="D901" s="122"/>
      <c r="E901" s="202"/>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row>
    <row r="902" ht="15.75" customHeight="1">
      <c r="A902" s="122"/>
      <c r="B902" s="123"/>
      <c r="C902" s="122"/>
      <c r="D902" s="122"/>
      <c r="E902" s="202"/>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row>
    <row r="903" ht="15.75" customHeight="1">
      <c r="A903" s="122"/>
      <c r="B903" s="123"/>
      <c r="C903" s="122"/>
      <c r="D903" s="122"/>
      <c r="E903" s="202"/>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row>
    <row r="904" ht="15.75" customHeight="1">
      <c r="A904" s="122"/>
      <c r="B904" s="123"/>
      <c r="C904" s="122"/>
      <c r="D904" s="122"/>
      <c r="E904" s="202"/>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row>
    <row r="905" ht="15.75" customHeight="1">
      <c r="A905" s="122"/>
      <c r="B905" s="123"/>
      <c r="C905" s="122"/>
      <c r="D905" s="122"/>
      <c r="E905" s="202"/>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row>
    <row r="906" ht="15.75" customHeight="1">
      <c r="A906" s="122"/>
      <c r="B906" s="123"/>
      <c r="C906" s="122"/>
      <c r="D906" s="122"/>
      <c r="E906" s="202"/>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row>
    <row r="907" ht="15.75" customHeight="1">
      <c r="A907" s="122"/>
      <c r="B907" s="123"/>
      <c r="C907" s="122"/>
      <c r="D907" s="122"/>
      <c r="E907" s="202"/>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row>
    <row r="908" ht="15.75" customHeight="1">
      <c r="A908" s="122"/>
      <c r="B908" s="123"/>
      <c r="C908" s="122"/>
      <c r="D908" s="122"/>
      <c r="E908" s="202"/>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row>
    <row r="909" ht="15.75" customHeight="1">
      <c r="A909" s="122"/>
      <c r="B909" s="123"/>
      <c r="C909" s="122"/>
      <c r="D909" s="122"/>
      <c r="E909" s="202"/>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row>
    <row r="910" ht="15.75" customHeight="1">
      <c r="A910" s="122"/>
      <c r="B910" s="123"/>
      <c r="C910" s="122"/>
      <c r="D910" s="122"/>
      <c r="E910" s="202"/>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row>
    <row r="911" ht="15.75" customHeight="1">
      <c r="A911" s="122"/>
      <c r="B911" s="123"/>
      <c r="C911" s="122"/>
      <c r="D911" s="122"/>
      <c r="E911" s="202"/>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row>
    <row r="912" ht="15.75" customHeight="1">
      <c r="A912" s="122"/>
      <c r="B912" s="123"/>
      <c r="C912" s="122"/>
      <c r="D912" s="122"/>
      <c r="E912" s="202"/>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row>
    <row r="913" ht="15.75" customHeight="1">
      <c r="A913" s="122"/>
      <c r="B913" s="123"/>
      <c r="C913" s="122"/>
      <c r="D913" s="122"/>
      <c r="E913" s="202"/>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row>
    <row r="914" ht="15.75" customHeight="1">
      <c r="A914" s="122"/>
      <c r="B914" s="123"/>
      <c r="C914" s="122"/>
      <c r="D914" s="122"/>
      <c r="E914" s="202"/>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row>
    <row r="915" ht="15.75" customHeight="1">
      <c r="A915" s="122"/>
      <c r="B915" s="123"/>
      <c r="C915" s="122"/>
      <c r="D915" s="122"/>
      <c r="E915" s="202"/>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row>
    <row r="916" ht="15.75" customHeight="1">
      <c r="A916" s="122"/>
      <c r="B916" s="123"/>
      <c r="C916" s="122"/>
      <c r="D916" s="122"/>
      <c r="E916" s="202"/>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row>
    <row r="917" ht="15.75" customHeight="1">
      <c r="A917" s="122"/>
      <c r="B917" s="123"/>
      <c r="C917" s="122"/>
      <c r="D917" s="122"/>
      <c r="E917" s="202"/>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row>
    <row r="918" ht="15.75" customHeight="1">
      <c r="A918" s="122"/>
      <c r="B918" s="123"/>
      <c r="C918" s="122"/>
      <c r="D918" s="122"/>
      <c r="E918" s="202"/>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row>
    <row r="919" ht="15.75" customHeight="1">
      <c r="A919" s="122"/>
      <c r="B919" s="123"/>
      <c r="C919" s="122"/>
      <c r="D919" s="122"/>
      <c r="E919" s="202"/>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row>
    <row r="920" ht="15.75" customHeight="1">
      <c r="A920" s="122"/>
      <c r="B920" s="123"/>
      <c r="C920" s="122"/>
      <c r="D920" s="122"/>
      <c r="E920" s="202"/>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row>
    <row r="921" ht="15.75" customHeight="1">
      <c r="A921" s="122"/>
      <c r="B921" s="123"/>
      <c r="C921" s="122"/>
      <c r="D921" s="122"/>
      <c r="E921" s="202"/>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row>
    <row r="922" ht="15.75" customHeight="1">
      <c r="A922" s="122"/>
      <c r="B922" s="123"/>
      <c r="C922" s="122"/>
      <c r="D922" s="122"/>
      <c r="E922" s="202"/>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row>
    <row r="923" ht="15.75" customHeight="1">
      <c r="A923" s="122"/>
      <c r="B923" s="123"/>
      <c r="C923" s="122"/>
      <c r="D923" s="122"/>
      <c r="E923" s="202"/>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row>
    <row r="924" ht="15.75" customHeight="1">
      <c r="A924" s="122"/>
      <c r="B924" s="123"/>
      <c r="C924" s="122"/>
      <c r="D924" s="122"/>
      <c r="E924" s="202"/>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row>
    <row r="925" ht="15.75" customHeight="1">
      <c r="A925" s="122"/>
      <c r="B925" s="123"/>
      <c r="C925" s="122"/>
      <c r="D925" s="122"/>
      <c r="E925" s="202"/>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row>
    <row r="926" ht="15.75" customHeight="1">
      <c r="A926" s="122"/>
      <c r="B926" s="123"/>
      <c r="C926" s="122"/>
      <c r="D926" s="122"/>
      <c r="E926" s="202"/>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row>
    <row r="927" ht="15.75" customHeight="1">
      <c r="A927" s="122"/>
      <c r="B927" s="123"/>
      <c r="C927" s="122"/>
      <c r="D927" s="122"/>
      <c r="E927" s="202"/>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row>
    <row r="928" ht="15.75" customHeight="1">
      <c r="A928" s="122"/>
      <c r="B928" s="123"/>
      <c r="C928" s="122"/>
      <c r="D928" s="122"/>
      <c r="E928" s="202"/>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row>
    <row r="929" ht="15.75" customHeight="1">
      <c r="A929" s="122"/>
      <c r="B929" s="123"/>
      <c r="C929" s="122"/>
      <c r="D929" s="122"/>
      <c r="E929" s="202"/>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row>
    <row r="930" ht="15.75" customHeight="1">
      <c r="A930" s="122"/>
      <c r="B930" s="123"/>
      <c r="C930" s="122"/>
      <c r="D930" s="122"/>
      <c r="E930" s="202"/>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row>
    <row r="931" ht="15.75" customHeight="1">
      <c r="A931" s="122"/>
      <c r="B931" s="123"/>
      <c r="C931" s="122"/>
      <c r="D931" s="122"/>
      <c r="E931" s="202"/>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row>
    <row r="932" ht="15.75" customHeight="1">
      <c r="A932" s="122"/>
      <c r="B932" s="123"/>
      <c r="C932" s="122"/>
      <c r="D932" s="122"/>
      <c r="E932" s="202"/>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row>
    <row r="933" ht="15.75" customHeight="1">
      <c r="A933" s="122"/>
      <c r="B933" s="123"/>
      <c r="C933" s="122"/>
      <c r="D933" s="122"/>
      <c r="E933" s="202"/>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row>
    <row r="934" ht="15.75" customHeight="1">
      <c r="A934" s="122"/>
      <c r="B934" s="123"/>
      <c r="C934" s="122"/>
      <c r="D934" s="122"/>
      <c r="E934" s="202"/>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row>
    <row r="935" ht="15.75" customHeight="1">
      <c r="A935" s="122"/>
      <c r="B935" s="123"/>
      <c r="C935" s="122"/>
      <c r="D935" s="122"/>
      <c r="E935" s="202"/>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row>
    <row r="936" ht="15.75" customHeight="1">
      <c r="A936" s="122"/>
      <c r="B936" s="123"/>
      <c r="C936" s="122"/>
      <c r="D936" s="122"/>
      <c r="E936" s="202"/>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row>
    <row r="937" ht="15.75" customHeight="1">
      <c r="A937" s="122"/>
      <c r="B937" s="123"/>
      <c r="C937" s="122"/>
      <c r="D937" s="122"/>
      <c r="E937" s="202"/>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row>
    <row r="938" ht="15.75" customHeight="1">
      <c r="A938" s="122"/>
      <c r="B938" s="123"/>
      <c r="C938" s="122"/>
      <c r="D938" s="122"/>
      <c r="E938" s="202"/>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row>
    <row r="939" ht="15.75" customHeight="1">
      <c r="A939" s="122"/>
      <c r="B939" s="123"/>
      <c r="C939" s="122"/>
      <c r="D939" s="122"/>
      <c r="E939" s="202"/>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row>
    <row r="940" ht="15.75" customHeight="1">
      <c r="A940" s="122"/>
      <c r="B940" s="123"/>
      <c r="C940" s="122"/>
      <c r="D940" s="122"/>
      <c r="E940" s="202"/>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row>
    <row r="941" ht="15.75" customHeight="1">
      <c r="A941" s="122"/>
      <c r="B941" s="123"/>
      <c r="C941" s="122"/>
      <c r="D941" s="122"/>
      <c r="E941" s="202"/>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row>
    <row r="942" ht="15.75" customHeight="1">
      <c r="A942" s="122"/>
      <c r="B942" s="123"/>
      <c r="C942" s="122"/>
      <c r="D942" s="122"/>
      <c r="E942" s="202"/>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row>
    <row r="943" ht="15.75" customHeight="1">
      <c r="A943" s="122"/>
      <c r="B943" s="123"/>
      <c r="C943" s="122"/>
      <c r="D943" s="122"/>
      <c r="E943" s="202"/>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row>
    <row r="944" ht="15.75" customHeight="1">
      <c r="A944" s="122"/>
      <c r="B944" s="123"/>
      <c r="C944" s="122"/>
      <c r="D944" s="122"/>
      <c r="E944" s="202"/>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row>
    <row r="945" ht="15.75" customHeight="1">
      <c r="A945" s="122"/>
      <c r="B945" s="123"/>
      <c r="C945" s="122"/>
      <c r="D945" s="122"/>
      <c r="E945" s="202"/>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row>
    <row r="946" ht="15.75" customHeight="1">
      <c r="A946" s="122"/>
      <c r="B946" s="123"/>
      <c r="C946" s="122"/>
      <c r="D946" s="122"/>
      <c r="E946" s="202"/>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row>
    <row r="947" ht="15.75" customHeight="1">
      <c r="A947" s="122"/>
      <c r="B947" s="123"/>
      <c r="C947" s="122"/>
      <c r="D947" s="122"/>
      <c r="E947" s="202"/>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row>
    <row r="948" ht="15.75" customHeight="1">
      <c r="A948" s="122"/>
      <c r="B948" s="123"/>
      <c r="C948" s="122"/>
      <c r="D948" s="122"/>
      <c r="E948" s="202"/>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row>
    <row r="949" ht="15.75" customHeight="1">
      <c r="A949" s="122"/>
      <c r="B949" s="123"/>
      <c r="C949" s="122"/>
      <c r="D949" s="122"/>
      <c r="E949" s="202"/>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row>
    <row r="950" ht="15.75" customHeight="1">
      <c r="A950" s="122"/>
      <c r="B950" s="123"/>
      <c r="C950" s="122"/>
      <c r="D950" s="122"/>
      <c r="E950" s="202"/>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row>
    <row r="951" ht="15.75" customHeight="1">
      <c r="A951" s="122"/>
      <c r="B951" s="123"/>
      <c r="C951" s="122"/>
      <c r="D951" s="122"/>
      <c r="E951" s="202"/>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row>
    <row r="952" ht="15.75" customHeight="1">
      <c r="A952" s="122"/>
      <c r="B952" s="123"/>
      <c r="C952" s="122"/>
      <c r="D952" s="122"/>
      <c r="E952" s="202"/>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row>
    <row r="953" ht="15.75" customHeight="1">
      <c r="A953" s="122"/>
      <c r="B953" s="123"/>
      <c r="C953" s="122"/>
      <c r="D953" s="122"/>
      <c r="E953" s="202"/>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row>
    <row r="954" ht="15.75" customHeight="1">
      <c r="A954" s="122"/>
      <c r="B954" s="123"/>
      <c r="C954" s="122"/>
      <c r="D954" s="122"/>
      <c r="E954" s="202"/>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row>
    <row r="955" ht="15.75" customHeight="1">
      <c r="A955" s="122"/>
      <c r="B955" s="123"/>
      <c r="C955" s="122"/>
      <c r="D955" s="122"/>
      <c r="E955" s="202"/>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row>
    <row r="956" ht="15.75" customHeight="1">
      <c r="A956" s="122"/>
      <c r="B956" s="123"/>
      <c r="C956" s="122"/>
      <c r="D956" s="122"/>
      <c r="E956" s="202"/>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row>
    <row r="957" ht="15.75" customHeight="1">
      <c r="A957" s="122"/>
      <c r="B957" s="123"/>
      <c r="C957" s="122"/>
      <c r="D957" s="122"/>
      <c r="E957" s="202"/>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row>
    <row r="958" ht="15.75" customHeight="1">
      <c r="A958" s="122"/>
      <c r="B958" s="123"/>
      <c r="C958" s="122"/>
      <c r="D958" s="122"/>
      <c r="E958" s="202"/>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row>
    <row r="959" ht="15.75" customHeight="1">
      <c r="A959" s="122"/>
      <c r="B959" s="123"/>
      <c r="C959" s="122"/>
      <c r="D959" s="122"/>
      <c r="E959" s="202"/>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row>
    <row r="960" ht="15.75" customHeight="1">
      <c r="A960" s="122"/>
      <c r="B960" s="123"/>
      <c r="C960" s="122"/>
      <c r="D960" s="122"/>
      <c r="E960" s="202"/>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row>
    <row r="961" ht="15.75" customHeight="1">
      <c r="A961" s="122"/>
      <c r="B961" s="123"/>
      <c r="C961" s="122"/>
      <c r="D961" s="122"/>
      <c r="E961" s="202"/>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row>
    <row r="962" ht="15.75" customHeight="1">
      <c r="A962" s="122"/>
      <c r="B962" s="123"/>
      <c r="C962" s="122"/>
      <c r="D962" s="122"/>
      <c r="E962" s="202"/>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row>
    <row r="963" ht="15.75" customHeight="1">
      <c r="A963" s="122"/>
      <c r="B963" s="123"/>
      <c r="C963" s="122"/>
      <c r="D963" s="122"/>
      <c r="E963" s="202"/>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row>
    <row r="964" ht="15.75" customHeight="1">
      <c r="A964" s="122"/>
      <c r="B964" s="123"/>
      <c r="C964" s="122"/>
      <c r="D964" s="122"/>
      <c r="E964" s="202"/>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row>
    <row r="965" ht="15.75" customHeight="1">
      <c r="A965" s="122"/>
      <c r="B965" s="123"/>
      <c r="C965" s="122"/>
      <c r="D965" s="122"/>
      <c r="E965" s="202"/>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row>
    <row r="966" ht="15.75" customHeight="1">
      <c r="A966" s="122"/>
      <c r="B966" s="123"/>
      <c r="C966" s="122"/>
      <c r="D966" s="122"/>
      <c r="E966" s="202"/>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row>
    <row r="967" ht="15.75" customHeight="1">
      <c r="A967" s="122"/>
      <c r="B967" s="123"/>
      <c r="C967" s="122"/>
      <c r="D967" s="122"/>
      <c r="E967" s="202"/>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row>
    <row r="968" ht="15.75" customHeight="1">
      <c r="A968" s="122"/>
      <c r="B968" s="123"/>
      <c r="C968" s="122"/>
      <c r="D968" s="122"/>
      <c r="E968" s="202"/>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row>
    <row r="969" ht="15.75" customHeight="1">
      <c r="A969" s="122"/>
      <c r="B969" s="123"/>
      <c r="C969" s="122"/>
      <c r="D969" s="122"/>
      <c r="E969" s="202"/>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row>
    <row r="970" ht="15.75" customHeight="1">
      <c r="A970" s="122"/>
      <c r="B970" s="123"/>
      <c r="C970" s="122"/>
      <c r="D970" s="122"/>
      <c r="E970" s="202"/>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row>
    <row r="971" ht="15.75" customHeight="1">
      <c r="A971" s="122"/>
      <c r="B971" s="123"/>
      <c r="C971" s="122"/>
      <c r="D971" s="122"/>
      <c r="E971" s="202"/>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row>
    <row r="972" ht="15.75" customHeight="1">
      <c r="A972" s="122"/>
      <c r="B972" s="123"/>
      <c r="C972" s="122"/>
      <c r="D972" s="122"/>
      <c r="E972" s="202"/>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row>
    <row r="973" ht="15.75" customHeight="1">
      <c r="A973" s="122"/>
      <c r="B973" s="123"/>
      <c r="C973" s="122"/>
      <c r="D973" s="122"/>
      <c r="E973" s="202"/>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row>
    <row r="974" ht="15.75" customHeight="1">
      <c r="A974" s="122"/>
      <c r="B974" s="123"/>
      <c r="C974" s="122"/>
      <c r="D974" s="122"/>
      <c r="E974" s="202"/>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row>
    <row r="975" ht="15.75" customHeight="1">
      <c r="A975" s="122"/>
      <c r="B975" s="123"/>
      <c r="C975" s="122"/>
      <c r="D975" s="122"/>
      <c r="E975" s="202"/>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row>
    <row r="976" ht="15.75" customHeight="1">
      <c r="A976" s="122"/>
      <c r="B976" s="123"/>
      <c r="C976" s="122"/>
      <c r="D976" s="122"/>
      <c r="E976" s="202"/>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row>
    <row r="977" ht="15.75" customHeight="1">
      <c r="A977" s="122"/>
      <c r="B977" s="123"/>
      <c r="C977" s="122"/>
      <c r="D977" s="122"/>
      <c r="E977" s="202"/>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row>
    <row r="978" ht="15.75" customHeight="1">
      <c r="A978" s="122"/>
      <c r="B978" s="123"/>
      <c r="C978" s="122"/>
      <c r="D978" s="122"/>
      <c r="E978" s="202"/>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row>
    <row r="979" ht="15.75" customHeight="1">
      <c r="A979" s="122"/>
      <c r="B979" s="123"/>
      <c r="C979" s="122"/>
      <c r="D979" s="122"/>
      <c r="E979" s="202"/>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row>
    <row r="980" ht="15.75" customHeight="1">
      <c r="A980" s="122"/>
      <c r="B980" s="123"/>
      <c r="C980" s="122"/>
      <c r="D980" s="122"/>
      <c r="E980" s="202"/>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row>
    <row r="981" ht="15.75" customHeight="1">
      <c r="A981" s="122"/>
      <c r="B981" s="123"/>
      <c r="C981" s="122"/>
      <c r="D981" s="122"/>
      <c r="E981" s="202"/>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row>
    <row r="982" ht="15.75" customHeight="1">
      <c r="A982" s="122"/>
      <c r="B982" s="123"/>
      <c r="C982" s="122"/>
      <c r="D982" s="122"/>
      <c r="E982" s="202"/>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row>
    <row r="983" ht="15.75" customHeight="1">
      <c r="A983" s="122"/>
      <c r="B983" s="123"/>
      <c r="C983" s="122"/>
      <c r="D983" s="122"/>
      <c r="E983" s="202"/>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row>
    <row r="984" ht="15.75" customHeight="1">
      <c r="A984" s="122"/>
      <c r="B984" s="123"/>
      <c r="C984" s="122"/>
      <c r="D984" s="122"/>
      <c r="E984" s="202"/>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row>
    <row r="985" ht="15.75" customHeight="1">
      <c r="A985" s="122"/>
      <c r="B985" s="123"/>
      <c r="C985" s="122"/>
      <c r="D985" s="122"/>
      <c r="E985" s="202"/>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row>
    <row r="986" ht="15.75" customHeight="1">
      <c r="A986" s="122"/>
      <c r="B986" s="123"/>
      <c r="C986" s="122"/>
      <c r="D986" s="122"/>
      <c r="E986" s="202"/>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row>
    <row r="987" ht="15.75" customHeight="1">
      <c r="A987" s="122"/>
      <c r="B987" s="123"/>
      <c r="C987" s="122"/>
      <c r="D987" s="122"/>
      <c r="E987" s="202"/>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row>
    <row r="988" ht="15.75" customHeight="1">
      <c r="A988" s="122"/>
      <c r="B988" s="123"/>
      <c r="C988" s="122"/>
      <c r="D988" s="122"/>
      <c r="E988" s="202"/>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row>
    <row r="989" ht="15.75" customHeight="1">
      <c r="A989" s="122"/>
      <c r="B989" s="123"/>
      <c r="C989" s="122"/>
      <c r="D989" s="122"/>
      <c r="E989" s="202"/>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row>
    <row r="990" ht="15.75" customHeight="1">
      <c r="A990" s="122"/>
      <c r="B990" s="123"/>
      <c r="C990" s="122"/>
      <c r="D990" s="122"/>
      <c r="E990" s="202"/>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row>
    <row r="991" ht="15.75" customHeight="1">
      <c r="A991" s="122"/>
      <c r="B991" s="123"/>
      <c r="C991" s="122"/>
      <c r="D991" s="122"/>
      <c r="E991" s="202"/>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row>
    <row r="992" ht="15.75" customHeight="1">
      <c r="A992" s="122"/>
      <c r="B992" s="123"/>
      <c r="C992" s="122"/>
      <c r="D992" s="122"/>
      <c r="E992" s="202"/>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row>
    <row r="993" ht="15.75" customHeight="1">
      <c r="A993" s="122"/>
      <c r="B993" s="123"/>
      <c r="C993" s="122"/>
      <c r="D993" s="122"/>
      <c r="E993" s="202"/>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row>
    <row r="994" ht="15.75" customHeight="1">
      <c r="A994" s="122"/>
      <c r="B994" s="123"/>
      <c r="C994" s="122"/>
      <c r="D994" s="122"/>
      <c r="E994" s="202"/>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row>
    <row r="995" ht="15.75" customHeight="1">
      <c r="A995" s="122"/>
      <c r="B995" s="123"/>
      <c r="C995" s="122"/>
      <c r="D995" s="122"/>
      <c r="E995" s="202"/>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row>
    <row r="996" ht="15.75" customHeight="1">
      <c r="A996" s="122"/>
      <c r="B996" s="123"/>
      <c r="C996" s="122"/>
      <c r="D996" s="122"/>
      <c r="E996" s="202"/>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row>
    <row r="997" ht="15.75" customHeight="1">
      <c r="A997" s="122"/>
      <c r="B997" s="123"/>
      <c r="C997" s="122"/>
      <c r="D997" s="122"/>
      <c r="E997" s="202"/>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row>
    <row r="998" ht="15.75" customHeight="1">
      <c r="A998" s="122"/>
      <c r="B998" s="123"/>
      <c r="C998" s="122"/>
      <c r="D998" s="122"/>
      <c r="E998" s="202"/>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row>
    <row r="999" ht="15.75" customHeight="1">
      <c r="A999" s="122"/>
      <c r="B999" s="123"/>
      <c r="C999" s="122"/>
      <c r="D999" s="122"/>
      <c r="E999" s="202"/>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row>
    <row r="1000" ht="15.75" customHeight="1">
      <c r="A1000" s="122"/>
      <c r="B1000" s="123"/>
      <c r="C1000" s="122"/>
      <c r="D1000" s="122"/>
      <c r="E1000" s="202"/>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row>
    <row r="1001" ht="15.75" customHeight="1">
      <c r="A1001" s="122"/>
      <c r="B1001" s="123"/>
      <c r="C1001" s="122"/>
      <c r="D1001" s="122"/>
      <c r="E1001" s="202"/>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row>
    <row r="1002" ht="15.75" customHeight="1">
      <c r="A1002" s="122"/>
      <c r="B1002" s="123"/>
      <c r="C1002" s="122"/>
      <c r="D1002" s="122"/>
      <c r="E1002" s="202"/>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row>
    <row r="1003" ht="15.75" customHeight="1">
      <c r="A1003" s="122"/>
      <c r="B1003" s="123"/>
      <c r="C1003" s="122"/>
      <c r="D1003" s="122"/>
      <c r="E1003" s="202"/>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row>
    <row r="1004" ht="15.75" customHeight="1">
      <c r="A1004" s="122"/>
      <c r="B1004" s="123"/>
      <c r="C1004" s="122"/>
      <c r="D1004" s="122"/>
      <c r="E1004" s="202"/>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row>
    <row r="1005" ht="15.75" customHeight="1">
      <c r="A1005" s="122"/>
      <c r="B1005" s="123"/>
      <c r="C1005" s="122"/>
      <c r="D1005" s="122"/>
      <c r="E1005" s="202"/>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row>
    <row r="1006" ht="15.75" customHeight="1">
      <c r="A1006" s="122"/>
      <c r="B1006" s="123"/>
      <c r="C1006" s="122"/>
      <c r="D1006" s="122"/>
      <c r="E1006" s="202"/>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row>
    <row r="1007" ht="15.75" customHeight="1">
      <c r="A1007" s="122"/>
      <c r="B1007" s="123"/>
      <c r="C1007" s="122"/>
      <c r="D1007" s="122"/>
      <c r="E1007" s="202"/>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row>
    <row r="1008" ht="15.75" customHeight="1">
      <c r="A1008" s="122"/>
      <c r="B1008" s="123"/>
      <c r="C1008" s="122"/>
      <c r="D1008" s="122"/>
      <c r="E1008" s="202"/>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row>
    <row r="1009" ht="15.75" customHeight="1">
      <c r="A1009" s="122"/>
      <c r="B1009" s="123"/>
      <c r="C1009" s="122"/>
      <c r="D1009" s="122"/>
      <c r="E1009" s="202"/>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row>
    <row r="1010" ht="15.75" customHeight="1">
      <c r="A1010" s="122"/>
      <c r="B1010" s="123"/>
      <c r="C1010" s="122"/>
      <c r="D1010" s="122"/>
      <c r="E1010" s="202"/>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row>
    <row r="1011" ht="15.75" customHeight="1">
      <c r="A1011" s="122"/>
      <c r="B1011" s="123"/>
      <c r="C1011" s="122"/>
      <c r="D1011" s="122"/>
      <c r="E1011" s="202"/>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row>
    <row r="1012" ht="15.75" customHeight="1">
      <c r="A1012" s="122"/>
      <c r="B1012" s="123"/>
      <c r="C1012" s="122"/>
      <c r="D1012" s="122"/>
      <c r="E1012" s="202"/>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row>
    <row r="1013" ht="15.75" customHeight="1">
      <c r="A1013" s="122"/>
      <c r="B1013" s="123"/>
      <c r="C1013" s="122"/>
      <c r="D1013" s="122"/>
      <c r="E1013" s="202"/>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row>
    <row r="1014" ht="15.75" customHeight="1">
      <c r="A1014" s="122"/>
      <c r="B1014" s="123"/>
      <c r="C1014" s="122"/>
      <c r="D1014" s="122"/>
      <c r="E1014" s="202"/>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row>
    <row r="1015" ht="15.75" customHeight="1">
      <c r="A1015" s="122"/>
      <c r="B1015" s="123"/>
      <c r="C1015" s="122"/>
      <c r="D1015" s="122"/>
      <c r="E1015" s="202"/>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row>
    <row r="1016" ht="15.75" customHeight="1">
      <c r="A1016" s="122"/>
      <c r="B1016" s="123"/>
      <c r="C1016" s="122"/>
      <c r="D1016" s="122"/>
      <c r="E1016" s="202"/>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row>
    <row r="1017" ht="15.75" customHeight="1">
      <c r="A1017" s="122"/>
      <c r="B1017" s="123"/>
      <c r="C1017" s="122"/>
      <c r="D1017" s="122"/>
      <c r="E1017" s="202"/>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row>
    <row r="1018" ht="15.75" customHeight="1">
      <c r="A1018" s="122"/>
      <c r="B1018" s="123"/>
      <c r="C1018" s="122"/>
      <c r="D1018" s="122"/>
      <c r="E1018" s="202"/>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row>
    <row r="1019" ht="15.75" customHeight="1">
      <c r="A1019" s="122"/>
      <c r="B1019" s="123"/>
      <c r="C1019" s="122"/>
      <c r="D1019" s="122"/>
      <c r="E1019" s="202"/>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row>
    <row r="1020" ht="15.75" customHeight="1">
      <c r="A1020" s="122"/>
      <c r="B1020" s="123"/>
      <c r="C1020" s="122"/>
      <c r="D1020" s="122"/>
      <c r="E1020" s="202"/>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row>
    <row r="1021" ht="15.75" customHeight="1">
      <c r="A1021" s="122"/>
      <c r="B1021" s="123"/>
      <c r="C1021" s="122"/>
      <c r="D1021" s="122"/>
      <c r="E1021" s="202"/>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row>
    <row r="1022" ht="15.75" customHeight="1">
      <c r="A1022" s="122"/>
      <c r="B1022" s="123"/>
      <c r="C1022" s="122"/>
      <c r="D1022" s="122"/>
      <c r="E1022" s="202"/>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row>
    <row r="1023" ht="15.75" customHeight="1">
      <c r="A1023" s="122"/>
      <c r="B1023" s="123"/>
      <c r="C1023" s="122"/>
      <c r="D1023" s="122"/>
      <c r="E1023" s="202"/>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row>
    <row r="1024" ht="15.75" customHeight="1">
      <c r="A1024" s="122"/>
      <c r="B1024" s="123"/>
      <c r="C1024" s="122"/>
      <c r="D1024" s="122"/>
      <c r="E1024" s="202"/>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row>
    <row r="1025" ht="15.75" customHeight="1">
      <c r="A1025" s="122"/>
      <c r="B1025" s="123"/>
      <c r="C1025" s="122"/>
      <c r="D1025" s="122"/>
      <c r="E1025" s="202"/>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row>
    <row r="1026" ht="15.75" customHeight="1">
      <c r="A1026" s="122"/>
      <c r="B1026" s="123"/>
      <c r="C1026" s="122"/>
      <c r="D1026" s="122"/>
      <c r="E1026" s="202"/>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row>
    <row r="1027" ht="15.75" customHeight="1">
      <c r="A1027" s="122"/>
      <c r="B1027" s="123"/>
      <c r="C1027" s="122"/>
      <c r="D1027" s="122"/>
      <c r="E1027" s="202"/>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row>
    <row r="1028" ht="15.75" customHeight="1">
      <c r="A1028" s="122"/>
      <c r="B1028" s="123"/>
      <c r="C1028" s="122"/>
      <c r="D1028" s="122"/>
      <c r="E1028" s="202"/>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row>
    <row r="1029" ht="15.75" customHeight="1">
      <c r="A1029" s="122"/>
      <c r="B1029" s="123"/>
      <c r="C1029" s="122"/>
      <c r="D1029" s="122"/>
      <c r="E1029" s="202"/>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row>
    <row r="1030" ht="15.75" customHeight="1">
      <c r="A1030" s="122"/>
      <c r="B1030" s="123"/>
      <c r="C1030" s="122"/>
      <c r="D1030" s="122"/>
      <c r="E1030" s="202"/>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row>
    <row r="1031" ht="15.75" customHeight="1">
      <c r="A1031" s="122"/>
      <c r="B1031" s="123"/>
      <c r="C1031" s="122"/>
      <c r="D1031" s="122"/>
      <c r="E1031" s="202"/>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row>
    <row r="1032" ht="15.75" customHeight="1">
      <c r="A1032" s="122"/>
      <c r="B1032" s="123"/>
      <c r="C1032" s="122"/>
      <c r="D1032" s="122"/>
      <c r="E1032" s="202"/>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row>
    <row r="1033" ht="15.75" customHeight="1">
      <c r="A1033" s="122"/>
      <c r="B1033" s="123"/>
      <c r="C1033" s="122"/>
      <c r="D1033" s="122"/>
      <c r="E1033" s="202"/>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row>
    <row r="1034" ht="15.75" customHeight="1">
      <c r="A1034" s="122"/>
      <c r="B1034" s="123"/>
      <c r="C1034" s="122"/>
      <c r="D1034" s="122"/>
      <c r="E1034" s="202"/>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row>
    <row r="1035" ht="15.75" customHeight="1">
      <c r="A1035" s="122"/>
      <c r="B1035" s="123"/>
      <c r="C1035" s="122"/>
      <c r="D1035" s="122"/>
      <c r="E1035" s="202"/>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row>
    <row r="1036" ht="15.75" customHeight="1">
      <c r="A1036" s="122"/>
      <c r="B1036" s="123"/>
      <c r="C1036" s="122"/>
      <c r="D1036" s="122"/>
      <c r="E1036" s="202"/>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row>
    <row r="1037" ht="15.75" customHeight="1">
      <c r="A1037" s="122"/>
      <c r="B1037" s="123"/>
      <c r="C1037" s="122"/>
      <c r="D1037" s="122"/>
      <c r="E1037" s="202"/>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row>
    <row r="1038" ht="15.75" customHeight="1">
      <c r="A1038" s="122"/>
      <c r="B1038" s="123"/>
      <c r="C1038" s="122"/>
      <c r="D1038" s="122"/>
      <c r="E1038" s="202"/>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c r="AE1038" s="37"/>
      <c r="AF1038" s="37"/>
    </row>
    <row r="1039" ht="15.75" customHeight="1">
      <c r="A1039" s="122"/>
      <c r="B1039" s="123"/>
      <c r="C1039" s="122"/>
      <c r="D1039" s="122"/>
      <c r="E1039" s="202"/>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c r="AE1039" s="37"/>
      <c r="AF1039" s="37"/>
    </row>
    <row r="1040" ht="15.75" customHeight="1">
      <c r="A1040" s="122"/>
      <c r="B1040" s="123"/>
      <c r="C1040" s="122"/>
      <c r="D1040" s="122"/>
      <c r="E1040" s="202"/>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c r="AE1040" s="37"/>
      <c r="AF1040" s="37"/>
    </row>
    <row r="1041" ht="15.75" customHeight="1">
      <c r="A1041" s="122"/>
      <c r="B1041" s="123"/>
      <c r="C1041" s="122"/>
      <c r="D1041" s="122"/>
      <c r="E1041" s="202"/>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c r="AE1041" s="37"/>
      <c r="AF1041" s="37"/>
    </row>
    <row r="1042" ht="15.75" customHeight="1">
      <c r="A1042" s="122"/>
      <c r="B1042" s="123"/>
      <c r="C1042" s="122"/>
      <c r="D1042" s="122"/>
      <c r="E1042" s="202"/>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c r="AE1042" s="37"/>
      <c r="AF1042" s="37"/>
    </row>
    <row r="1043" ht="15.75" customHeight="1">
      <c r="A1043" s="122"/>
      <c r="B1043" s="123"/>
      <c r="C1043" s="122"/>
      <c r="D1043" s="122"/>
      <c r="E1043" s="202"/>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row>
    <row r="1044" ht="15.75" customHeight="1">
      <c r="A1044" s="122"/>
      <c r="B1044" s="123"/>
      <c r="C1044" s="122"/>
      <c r="D1044" s="122"/>
      <c r="E1044" s="202"/>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c r="AE1044" s="37"/>
      <c r="AF1044" s="37"/>
    </row>
    <row r="1045" ht="15.75" customHeight="1">
      <c r="A1045" s="122"/>
      <c r="B1045" s="123"/>
      <c r="C1045" s="122"/>
      <c r="D1045" s="122"/>
      <c r="E1045" s="202"/>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c r="AE1045" s="37"/>
      <c r="AF1045" s="37"/>
    </row>
    <row r="1046" ht="15.75" customHeight="1">
      <c r="A1046" s="122"/>
      <c r="B1046" s="123"/>
      <c r="C1046" s="122"/>
      <c r="D1046" s="122"/>
      <c r="E1046" s="202"/>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c r="AE1046" s="37"/>
      <c r="AF1046" s="37"/>
    </row>
    <row r="1047" ht="15.75" customHeight="1">
      <c r="A1047" s="122"/>
      <c r="B1047" s="123"/>
      <c r="C1047" s="122"/>
      <c r="D1047" s="122"/>
      <c r="E1047" s="202"/>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c r="AE1047" s="37"/>
      <c r="AF1047" s="37"/>
    </row>
    <row r="1048" ht="15.75" customHeight="1">
      <c r="A1048" s="122"/>
      <c r="B1048" s="123"/>
      <c r="C1048" s="122"/>
      <c r="D1048" s="122"/>
      <c r="E1048" s="202"/>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c r="AE1048" s="37"/>
      <c r="AF1048" s="37"/>
    </row>
    <row r="1049" ht="15.75" customHeight="1">
      <c r="A1049" s="122"/>
      <c r="B1049" s="123"/>
      <c r="C1049" s="122"/>
      <c r="D1049" s="122"/>
      <c r="E1049" s="202"/>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row>
    <row r="1050" ht="15.75" customHeight="1">
      <c r="A1050" s="122"/>
      <c r="B1050" s="123"/>
      <c r="C1050" s="122"/>
      <c r="D1050" s="122"/>
      <c r="E1050" s="202"/>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c r="AE1050" s="37"/>
      <c r="AF1050" s="37"/>
    </row>
    <row r="1051" ht="15.75" customHeight="1">
      <c r="A1051" s="122"/>
      <c r="B1051" s="123"/>
      <c r="C1051" s="122"/>
      <c r="D1051" s="122"/>
      <c r="E1051" s="202"/>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c r="AE1051" s="37"/>
      <c r="AF1051" s="37"/>
    </row>
    <row r="1052" ht="15.75" customHeight="1">
      <c r="A1052" s="122"/>
      <c r="B1052" s="123"/>
      <c r="C1052" s="122"/>
      <c r="D1052" s="122"/>
      <c r="E1052" s="202"/>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c r="AE1052" s="37"/>
      <c r="AF1052" s="37"/>
    </row>
    <row r="1053" ht="15.75" customHeight="1">
      <c r="A1053" s="122"/>
      <c r="B1053" s="123"/>
      <c r="C1053" s="122"/>
      <c r="D1053" s="122"/>
      <c r="E1053" s="202"/>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c r="AE1053" s="37"/>
      <c r="AF1053" s="37"/>
    </row>
    <row r="1054" ht="15.75" customHeight="1">
      <c r="A1054" s="122"/>
      <c r="B1054" s="123"/>
      <c r="C1054" s="122"/>
      <c r="D1054" s="122"/>
      <c r="E1054" s="202"/>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c r="AE1054" s="37"/>
      <c r="AF1054" s="37"/>
    </row>
    <row r="1055" ht="15.75" customHeight="1">
      <c r="A1055" s="122"/>
      <c r="B1055" s="123"/>
      <c r="C1055" s="122"/>
      <c r="D1055" s="122"/>
      <c r="E1055" s="202"/>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row>
    <row r="1056" ht="15.75" customHeight="1">
      <c r="A1056" s="122"/>
      <c r="B1056" s="123"/>
      <c r="C1056" s="122"/>
      <c r="D1056" s="122"/>
      <c r="E1056" s="202"/>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c r="AE1056" s="37"/>
      <c r="AF1056" s="37"/>
    </row>
    <row r="1057" ht="15.75" customHeight="1">
      <c r="A1057" s="122"/>
      <c r="B1057" s="123"/>
      <c r="C1057" s="122"/>
      <c r="D1057" s="122"/>
      <c r="E1057" s="202"/>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c r="AE1057" s="37"/>
      <c r="AF1057" s="37"/>
    </row>
    <row r="1058" ht="15.75" customHeight="1">
      <c r="A1058" s="122"/>
      <c r="B1058" s="123"/>
      <c r="C1058" s="122"/>
      <c r="D1058" s="122"/>
      <c r="E1058" s="202"/>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row>
    <row r="1059" ht="15.75" customHeight="1">
      <c r="A1059" s="122"/>
      <c r="B1059" s="123"/>
      <c r="C1059" s="122"/>
      <c r="D1059" s="122"/>
      <c r="E1059" s="202"/>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c r="AE1059" s="37"/>
      <c r="AF1059" s="37"/>
    </row>
    <row r="1060" ht="15.75" customHeight="1">
      <c r="A1060" s="122"/>
      <c r="B1060" s="123"/>
      <c r="C1060" s="122"/>
      <c r="D1060" s="122"/>
      <c r="E1060" s="202"/>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c r="AE1060" s="37"/>
      <c r="AF1060" s="37"/>
    </row>
    <row r="1061" ht="15.75" customHeight="1">
      <c r="A1061" s="122"/>
      <c r="B1061" s="123"/>
      <c r="C1061" s="122"/>
      <c r="D1061" s="122"/>
      <c r="E1061" s="202"/>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c r="AE1061" s="37"/>
      <c r="AF1061" s="37"/>
    </row>
    <row r="1062" ht="15.75" customHeight="1">
      <c r="A1062" s="122"/>
      <c r="B1062" s="123"/>
      <c r="C1062" s="122"/>
      <c r="D1062" s="122"/>
      <c r="E1062" s="202"/>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c r="AE1062" s="37"/>
      <c r="AF1062" s="37"/>
    </row>
    <row r="1063" ht="15.75" customHeight="1">
      <c r="A1063" s="122"/>
      <c r="B1063" s="123"/>
      <c r="C1063" s="122"/>
      <c r="D1063" s="122"/>
      <c r="E1063" s="202"/>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row>
    <row r="1064" ht="15.75" customHeight="1">
      <c r="A1064" s="122"/>
      <c r="B1064" s="123"/>
      <c r="C1064" s="122"/>
      <c r="D1064" s="122"/>
      <c r="E1064" s="202"/>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c r="AE1064" s="37"/>
      <c r="AF1064" s="37"/>
    </row>
    <row r="1065" ht="15.75" customHeight="1">
      <c r="A1065" s="122"/>
      <c r="B1065" s="123"/>
      <c r="C1065" s="122"/>
      <c r="D1065" s="122"/>
      <c r="E1065" s="202"/>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c r="AE1065" s="37"/>
      <c r="AF1065" s="37"/>
    </row>
    <row r="1066" ht="15.75" customHeight="1">
      <c r="A1066" s="122"/>
      <c r="B1066" s="123"/>
      <c r="C1066" s="122"/>
      <c r="D1066" s="122"/>
      <c r="E1066" s="202"/>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c r="AE1066" s="37"/>
      <c r="AF1066" s="37"/>
    </row>
    <row r="1067" ht="15.75" customHeight="1">
      <c r="A1067" s="122"/>
      <c r="B1067" s="123"/>
      <c r="C1067" s="122"/>
      <c r="D1067" s="122"/>
      <c r="E1067" s="202"/>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row>
    <row r="1068" ht="15.75" customHeight="1">
      <c r="A1068" s="122"/>
      <c r="B1068" s="123"/>
      <c r="C1068" s="122"/>
      <c r="D1068" s="122"/>
      <c r="E1068" s="202"/>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c r="AE1068" s="37"/>
      <c r="AF1068" s="37"/>
    </row>
    <row r="1069" ht="15.75" customHeight="1">
      <c r="A1069" s="122"/>
      <c r="B1069" s="123"/>
      <c r="C1069" s="122"/>
      <c r="D1069" s="122"/>
      <c r="E1069" s="202"/>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c r="AE1069" s="37"/>
      <c r="AF1069" s="37"/>
    </row>
    <row r="1070" ht="15.75" customHeight="1">
      <c r="A1070" s="122"/>
      <c r="B1070" s="123"/>
      <c r="C1070" s="122"/>
      <c r="D1070" s="122"/>
      <c r="E1070" s="202"/>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row>
    <row r="1071" ht="15.75" customHeight="1">
      <c r="A1071" s="122"/>
      <c r="B1071" s="123"/>
      <c r="C1071" s="122"/>
      <c r="D1071" s="122"/>
      <c r="E1071" s="202"/>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c r="AE1071" s="37"/>
      <c r="AF1071" s="37"/>
    </row>
    <row r="1072" ht="15.75" customHeight="1">
      <c r="A1072" s="122"/>
      <c r="B1072" s="123"/>
      <c r="C1072" s="122"/>
      <c r="D1072" s="122"/>
      <c r="E1072" s="202"/>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c r="AE1072" s="37"/>
      <c r="AF1072" s="37"/>
    </row>
    <row r="1073" ht="15.75" customHeight="1">
      <c r="A1073" s="122"/>
      <c r="B1073" s="123"/>
      <c r="C1073" s="122"/>
      <c r="D1073" s="122"/>
      <c r="E1073" s="202"/>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c r="AE1073" s="37"/>
      <c r="AF1073" s="37"/>
    </row>
    <row r="1074" ht="15.75" customHeight="1">
      <c r="A1074" s="122"/>
      <c r="B1074" s="123"/>
      <c r="C1074" s="122"/>
      <c r="D1074" s="122"/>
      <c r="E1074" s="202"/>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c r="AE1074" s="37"/>
      <c r="AF1074" s="37"/>
    </row>
    <row r="1075" ht="15.75" customHeight="1">
      <c r="A1075" s="122"/>
      <c r="B1075" s="123"/>
      <c r="C1075" s="122"/>
      <c r="D1075" s="122"/>
      <c r="E1075" s="202"/>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c r="AE1075" s="37"/>
      <c r="AF1075" s="37"/>
    </row>
    <row r="1076" ht="15.75" customHeight="1">
      <c r="A1076" s="122"/>
      <c r="B1076" s="123"/>
      <c r="C1076" s="122"/>
      <c r="D1076" s="122"/>
      <c r="E1076" s="202"/>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37"/>
    </row>
    <row r="1077" ht="15.75" customHeight="1">
      <c r="A1077" s="122"/>
      <c r="B1077" s="123"/>
      <c r="C1077" s="122"/>
      <c r="D1077" s="122"/>
      <c r="E1077" s="202"/>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c r="AE1077" s="37"/>
      <c r="AF1077" s="37"/>
    </row>
    <row r="1078" ht="15.75" customHeight="1">
      <c r="A1078" s="122"/>
      <c r="B1078" s="123"/>
      <c r="C1078" s="122"/>
      <c r="D1078" s="122"/>
      <c r="E1078" s="202"/>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c r="AE1078" s="37"/>
      <c r="AF1078" s="37"/>
    </row>
    <row r="1079" ht="15.75" customHeight="1">
      <c r="A1079" s="122"/>
      <c r="B1079" s="123"/>
      <c r="C1079" s="122"/>
      <c r="D1079" s="122"/>
      <c r="E1079" s="202"/>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c r="AE1079" s="37"/>
      <c r="AF1079" s="37"/>
    </row>
    <row r="1080" ht="15.75" customHeight="1">
      <c r="A1080" s="122"/>
      <c r="B1080" s="123"/>
      <c r="C1080" s="122"/>
      <c r="D1080" s="122"/>
      <c r="E1080" s="202"/>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c r="AE1080" s="37"/>
      <c r="AF1080" s="37"/>
    </row>
    <row r="1081" ht="15.75" customHeight="1">
      <c r="A1081" s="122"/>
      <c r="B1081" s="123"/>
      <c r="C1081" s="122"/>
      <c r="D1081" s="122"/>
      <c r="E1081" s="202"/>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c r="AE1081" s="37"/>
      <c r="AF1081" s="37"/>
    </row>
    <row r="1082" ht="15.75" customHeight="1">
      <c r="A1082" s="122"/>
      <c r="B1082" s="123"/>
      <c r="C1082" s="122"/>
      <c r="D1082" s="122"/>
      <c r="E1082" s="202"/>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c r="AE1082" s="37"/>
      <c r="AF1082" s="37"/>
    </row>
    <row r="1083" ht="15.75" customHeight="1">
      <c r="A1083" s="122"/>
      <c r="B1083" s="123"/>
      <c r="C1083" s="122"/>
      <c r="D1083" s="122"/>
      <c r="E1083" s="202"/>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c r="AE1083" s="37"/>
      <c r="AF1083" s="37"/>
    </row>
    <row r="1084" ht="15.75" customHeight="1">
      <c r="A1084" s="122"/>
      <c r="B1084" s="123"/>
      <c r="C1084" s="122"/>
      <c r="D1084" s="122"/>
      <c r="E1084" s="202"/>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c r="AE1084" s="37"/>
      <c r="AF1084" s="37"/>
    </row>
    <row r="1085" ht="15.75" customHeight="1">
      <c r="A1085" s="122"/>
      <c r="B1085" s="123"/>
      <c r="C1085" s="122"/>
      <c r="D1085" s="122"/>
      <c r="E1085" s="202"/>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37"/>
    </row>
    <row r="1086" ht="15.75" customHeight="1">
      <c r="A1086" s="122"/>
      <c r="B1086" s="123"/>
      <c r="C1086" s="122"/>
      <c r="D1086" s="122"/>
      <c r="E1086" s="202"/>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c r="AE1086" s="37"/>
      <c r="AF1086" s="37"/>
    </row>
    <row r="1087" ht="15.75" customHeight="1">
      <c r="A1087" s="122"/>
      <c r="B1087" s="123"/>
      <c r="C1087" s="122"/>
      <c r="D1087" s="122"/>
      <c r="E1087" s="202"/>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c r="AE1087" s="37"/>
      <c r="AF1087" s="37"/>
    </row>
    <row r="1088" ht="15.75" customHeight="1">
      <c r="A1088" s="122"/>
      <c r="B1088" s="123"/>
      <c r="C1088" s="122"/>
      <c r="D1088" s="122"/>
      <c r="E1088" s="202"/>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c r="AE1088" s="37"/>
      <c r="AF1088" s="37"/>
    </row>
    <row r="1089" ht="15.75" customHeight="1">
      <c r="A1089" s="122"/>
      <c r="B1089" s="123"/>
      <c r="C1089" s="122"/>
      <c r="D1089" s="122"/>
      <c r="E1089" s="202"/>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c r="AE1089" s="37"/>
      <c r="AF1089" s="37"/>
    </row>
    <row r="1090" ht="15.75" customHeight="1">
      <c r="A1090" s="122"/>
      <c r="B1090" s="123"/>
      <c r="C1090" s="122"/>
      <c r="D1090" s="122"/>
      <c r="E1090" s="202"/>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c r="AE1090" s="37"/>
      <c r="AF1090" s="37"/>
    </row>
    <row r="1091" ht="15.75" customHeight="1">
      <c r="A1091" s="122"/>
      <c r="B1091" s="123"/>
      <c r="C1091" s="122"/>
      <c r="D1091" s="122"/>
      <c r="E1091" s="202"/>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c r="AE1091" s="37"/>
      <c r="AF1091" s="37"/>
    </row>
    <row r="1092" ht="15.75" customHeight="1">
      <c r="A1092" s="122"/>
      <c r="B1092" s="123"/>
      <c r="C1092" s="122"/>
      <c r="D1092" s="122"/>
      <c r="E1092" s="202"/>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c r="AE1092" s="37"/>
      <c r="AF1092" s="37"/>
    </row>
    <row r="1093" ht="15.75" customHeight="1">
      <c r="A1093" s="122"/>
      <c r="B1093" s="123"/>
      <c r="C1093" s="122"/>
      <c r="D1093" s="122"/>
      <c r="E1093" s="202"/>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c r="AE1093" s="37"/>
      <c r="AF1093" s="37"/>
    </row>
    <row r="1094" ht="15.75" customHeight="1">
      <c r="A1094" s="122"/>
      <c r="B1094" s="123"/>
      <c r="C1094" s="122"/>
      <c r="D1094" s="122"/>
      <c r="E1094" s="202"/>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c r="AE1094" s="37"/>
      <c r="AF1094" s="37"/>
    </row>
    <row r="1095" ht="15.75" customHeight="1">
      <c r="A1095" s="122"/>
      <c r="B1095" s="123"/>
      <c r="C1095" s="122"/>
      <c r="D1095" s="122"/>
      <c r="E1095" s="202"/>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c r="AE1095" s="37"/>
      <c r="AF1095" s="37"/>
    </row>
    <row r="1096" ht="15.75" customHeight="1">
      <c r="A1096" s="122"/>
      <c r="B1096" s="123"/>
      <c r="C1096" s="122"/>
      <c r="D1096" s="122"/>
      <c r="E1096" s="202"/>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c r="AE1096" s="37"/>
      <c r="AF1096" s="37"/>
    </row>
    <row r="1097" ht="15.75" customHeight="1">
      <c r="A1097" s="122"/>
      <c r="B1097" s="123"/>
      <c r="C1097" s="122"/>
      <c r="D1097" s="122"/>
      <c r="E1097" s="202"/>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c r="AE1097" s="37"/>
      <c r="AF1097" s="37"/>
    </row>
    <row r="1098" ht="15.75" customHeight="1">
      <c r="A1098" s="122"/>
      <c r="B1098" s="123"/>
      <c r="C1098" s="122"/>
      <c r="D1098" s="122"/>
      <c r="E1098" s="202"/>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c r="AE1098" s="37"/>
      <c r="AF1098" s="37"/>
    </row>
    <row r="1099" ht="15.75" customHeight="1">
      <c r="A1099" s="122"/>
      <c r="B1099" s="123"/>
      <c r="C1099" s="122"/>
      <c r="D1099" s="122"/>
      <c r="E1099" s="202"/>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c r="AE1099" s="37"/>
      <c r="AF1099" s="37"/>
    </row>
    <row r="1100" ht="15.75" customHeight="1">
      <c r="A1100" s="122"/>
      <c r="B1100" s="123"/>
      <c r="C1100" s="122"/>
      <c r="D1100" s="122"/>
      <c r="E1100" s="202"/>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c r="AE1100" s="37"/>
      <c r="AF1100" s="37"/>
    </row>
    <row r="1101" ht="15.75" customHeight="1">
      <c r="A1101" s="122"/>
      <c r="B1101" s="123"/>
      <c r="C1101" s="122"/>
      <c r="D1101" s="122"/>
      <c r="E1101" s="202"/>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c r="AE1101" s="37"/>
      <c r="AF1101" s="37"/>
    </row>
    <row r="1102" ht="15.75" customHeight="1">
      <c r="A1102" s="122"/>
      <c r="B1102" s="123"/>
      <c r="C1102" s="122"/>
      <c r="D1102" s="122"/>
      <c r="E1102" s="202"/>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c r="AE1102" s="37"/>
      <c r="AF1102" s="37"/>
    </row>
    <row r="1103" ht="15.75" customHeight="1">
      <c r="A1103" s="60"/>
      <c r="B1103" s="123"/>
      <c r="C1103" s="122"/>
      <c r="D1103" s="122"/>
      <c r="E1103" s="202"/>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c r="AE1103" s="37"/>
      <c r="AF1103" s="37"/>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2" t="s">
        <v>1</v>
      </c>
      <c r="B1" s="4" t="s">
        <v>5</v>
      </c>
      <c r="C1" s="6" t="s">
        <v>7</v>
      </c>
      <c r="D1" s="4" t="s">
        <v>9</v>
      </c>
      <c r="E1" s="4" t="s">
        <v>11</v>
      </c>
      <c r="F1" s="9" t="s">
        <v>12</v>
      </c>
      <c r="G1" s="11"/>
      <c r="H1" s="11"/>
      <c r="I1" s="11"/>
      <c r="J1" s="11"/>
      <c r="K1" s="11"/>
      <c r="L1" s="11"/>
      <c r="M1" s="11"/>
      <c r="N1" s="11"/>
      <c r="O1" s="11"/>
      <c r="P1" s="11"/>
      <c r="Q1" s="11"/>
      <c r="R1" s="11"/>
      <c r="S1" s="11"/>
      <c r="T1" s="11"/>
      <c r="U1" s="11"/>
      <c r="V1" s="11"/>
      <c r="W1" s="11"/>
      <c r="X1" s="11"/>
      <c r="Y1" s="11"/>
      <c r="Z1" s="11"/>
    </row>
    <row r="2" ht="15.75" customHeight="1">
      <c r="A2" s="19" t="s">
        <v>18</v>
      </c>
      <c r="B2" s="22" t="s">
        <v>41</v>
      </c>
      <c r="C2" s="31" t="str">
        <f>TEXT(YEAR(NOW())-2000, "00") &amp; TEXT(MONTH(NOW()), "00") &amp; TEXT(DAY(NOW()), "00") &amp; TEXT(HOUR(NOW()), "00") &amp; TEXT(MINUTE(NOW()), "00")</f>
        <v>2608031048</v>
      </c>
      <c r="D2" s="34" t="s">
        <v>50</v>
      </c>
      <c r="E2" s="34" t="s">
        <v>50</v>
      </c>
      <c r="F2" s="31" t="s">
        <v>54</v>
      </c>
      <c r="G2" s="36"/>
      <c r="H2" s="36"/>
      <c r="I2" s="36"/>
      <c r="J2" s="36"/>
      <c r="K2" s="36"/>
      <c r="L2" s="36"/>
      <c r="M2" s="36"/>
      <c r="N2" s="36"/>
      <c r="O2" s="36"/>
      <c r="P2" s="36"/>
      <c r="Q2" s="36"/>
      <c r="R2" s="36"/>
      <c r="S2" s="36"/>
      <c r="T2" s="36"/>
      <c r="U2" s="36"/>
      <c r="V2" s="36"/>
      <c r="W2" s="36"/>
      <c r="X2" s="36"/>
      <c r="Y2" s="36"/>
      <c r="Z2" s="36"/>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8" t="s">
        <v>2</v>
      </c>
      <c r="B1" s="10"/>
      <c r="C1" s="12"/>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ht="15.75" customHeight="1">
      <c r="A2" s="24"/>
      <c r="B2" s="26"/>
      <c r="C2" s="12"/>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ht="57.75" customHeight="1">
      <c r="A3" s="33" t="s">
        <v>49</v>
      </c>
      <c r="B3" s="26"/>
      <c r="C3" s="12"/>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5.75" customHeight="1">
      <c r="A4" s="38" t="s">
        <v>56</v>
      </c>
      <c r="B4" s="39"/>
      <c r="C4" s="12"/>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ht="15.75" customHeight="1">
      <c r="A5" s="16"/>
      <c r="B5" s="16"/>
      <c r="C5" s="12"/>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ht="18.0" customHeight="1">
      <c r="A6" s="46" t="s">
        <v>3</v>
      </c>
      <c r="B6" s="46" t="s">
        <v>6</v>
      </c>
      <c r="C6" s="47" t="s">
        <v>8</v>
      </c>
      <c r="D6" s="47" t="s">
        <v>64</v>
      </c>
      <c r="E6" s="46" t="s">
        <v>14</v>
      </c>
      <c r="F6" s="46" t="s">
        <v>65</v>
      </c>
      <c r="G6" s="46" t="s">
        <v>17</v>
      </c>
      <c r="H6" s="49" t="s">
        <v>19</v>
      </c>
      <c r="I6" s="46" t="s">
        <v>20</v>
      </c>
      <c r="J6" s="47" t="s">
        <v>21</v>
      </c>
      <c r="K6" s="47" t="s">
        <v>67</v>
      </c>
      <c r="L6" s="46" t="s">
        <v>24</v>
      </c>
      <c r="M6" s="46" t="s">
        <v>25</v>
      </c>
      <c r="N6" s="46" t="s">
        <v>27</v>
      </c>
      <c r="O6" s="46" t="s">
        <v>28</v>
      </c>
      <c r="P6" s="46" t="s">
        <v>70</v>
      </c>
      <c r="Q6" s="46" t="s">
        <v>30</v>
      </c>
      <c r="R6" s="46" t="s">
        <v>31</v>
      </c>
      <c r="S6" s="46" t="s">
        <v>33</v>
      </c>
      <c r="T6" s="46" t="s">
        <v>34</v>
      </c>
      <c r="U6" s="46" t="s">
        <v>35</v>
      </c>
      <c r="V6" s="46" t="s">
        <v>36</v>
      </c>
      <c r="W6" s="46" t="s">
        <v>75</v>
      </c>
      <c r="X6" s="46" t="s">
        <v>76</v>
      </c>
      <c r="Y6" s="46" t="s">
        <v>77</v>
      </c>
      <c r="Z6" s="46" t="s">
        <v>37</v>
      </c>
      <c r="AA6" s="46" t="s">
        <v>38</v>
      </c>
      <c r="AB6" s="46" t="s">
        <v>39</v>
      </c>
      <c r="AC6" s="46" t="s">
        <v>40</v>
      </c>
      <c r="AD6" s="46" t="s">
        <v>42</v>
      </c>
      <c r="AE6" s="55"/>
    </row>
    <row r="7" ht="15.75" customHeight="1">
      <c r="A7" s="56" t="s">
        <v>79</v>
      </c>
      <c r="B7" s="56" t="s">
        <v>81</v>
      </c>
      <c r="C7" s="56" t="s">
        <v>83</v>
      </c>
      <c r="D7" s="56" t="s">
        <v>86</v>
      </c>
      <c r="E7" s="56" t="s">
        <v>87</v>
      </c>
      <c r="F7" s="56" t="s">
        <v>88</v>
      </c>
      <c r="G7" s="62" t="s">
        <v>90</v>
      </c>
      <c r="H7" s="56" t="s">
        <v>93</v>
      </c>
      <c r="I7" s="56" t="s">
        <v>94</v>
      </c>
      <c r="J7" s="56" t="s">
        <v>95</v>
      </c>
      <c r="K7" s="56" t="s">
        <v>96</v>
      </c>
      <c r="L7" s="56" t="s">
        <v>97</v>
      </c>
      <c r="M7" s="56" t="s">
        <v>98</v>
      </c>
      <c r="N7" s="56" t="s">
        <v>99</v>
      </c>
      <c r="O7" s="56" t="s">
        <v>100</v>
      </c>
      <c r="P7" s="56" t="s">
        <v>101</v>
      </c>
      <c r="Q7" s="56" t="s">
        <v>102</v>
      </c>
      <c r="R7" s="56" t="s">
        <v>103</v>
      </c>
      <c r="S7" s="56" t="s">
        <v>106</v>
      </c>
      <c r="T7" s="56" t="s">
        <v>108</v>
      </c>
      <c r="U7" s="56" t="s">
        <v>111</v>
      </c>
      <c r="V7" s="56" t="s">
        <v>112</v>
      </c>
      <c r="W7" s="56" t="s">
        <v>114</v>
      </c>
      <c r="X7" s="56" t="s">
        <v>115</v>
      </c>
      <c r="Y7" s="56" t="s">
        <v>116</v>
      </c>
      <c r="Z7" s="67" t="s">
        <v>117</v>
      </c>
      <c r="AA7" s="56" t="s">
        <v>118</v>
      </c>
      <c r="AB7" s="56" t="s">
        <v>119</v>
      </c>
      <c r="AC7" s="56" t="s">
        <v>120</v>
      </c>
      <c r="AD7" s="56" t="s">
        <v>122</v>
      </c>
      <c r="AE7" s="68"/>
    </row>
    <row r="8" ht="15.75" customHeight="1">
      <c r="A8" s="69"/>
      <c r="B8" s="69"/>
      <c r="C8" s="69"/>
      <c r="D8" s="76" t="s">
        <v>123</v>
      </c>
      <c r="E8" s="69"/>
      <c r="F8" s="76" t="s">
        <v>123</v>
      </c>
      <c r="G8" s="78" t="s">
        <v>131</v>
      </c>
      <c r="H8" s="69"/>
      <c r="I8" s="78" t="s">
        <v>137</v>
      </c>
      <c r="J8" s="78" t="s">
        <v>137</v>
      </c>
      <c r="K8" s="69"/>
      <c r="L8" s="78" t="s">
        <v>140</v>
      </c>
      <c r="M8" s="78" t="s">
        <v>145</v>
      </c>
      <c r="N8" s="78" t="s">
        <v>145</v>
      </c>
      <c r="O8" s="78" t="s">
        <v>145</v>
      </c>
      <c r="P8" s="69"/>
      <c r="Q8" s="78" t="s">
        <v>145</v>
      </c>
      <c r="R8" s="78" t="s">
        <v>152</v>
      </c>
      <c r="S8" s="78" t="s">
        <v>153</v>
      </c>
      <c r="T8" s="78" t="s">
        <v>159</v>
      </c>
      <c r="U8" s="78" t="s">
        <v>145</v>
      </c>
      <c r="V8" s="78" t="s">
        <v>145</v>
      </c>
      <c r="W8" s="76" t="s">
        <v>123</v>
      </c>
      <c r="X8" s="76" t="s">
        <v>123</v>
      </c>
      <c r="Y8" s="76" t="s">
        <v>123</v>
      </c>
      <c r="Z8" s="78" t="s">
        <v>165</v>
      </c>
      <c r="AA8" s="78" t="s">
        <v>172</v>
      </c>
      <c r="AB8" s="78" t="s">
        <v>172</v>
      </c>
      <c r="AC8" s="91" t="s">
        <v>175</v>
      </c>
      <c r="AD8" s="78" t="s">
        <v>179</v>
      </c>
      <c r="AE8" s="68"/>
    </row>
    <row r="9" ht="15.75" customHeight="1">
      <c r="A9" s="16"/>
      <c r="B9" s="16"/>
      <c r="C9" s="12"/>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ht="15.75" customHeight="1">
      <c r="A10" s="95" t="s">
        <v>189</v>
      </c>
      <c r="B10" s="96"/>
      <c r="C10" s="97"/>
      <c r="D10" s="98"/>
      <c r="E10" s="98"/>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101"/>
    </row>
    <row r="11" ht="15.75" customHeight="1">
      <c r="A11" s="16"/>
      <c r="B11" s="16"/>
      <c r="C11" s="12"/>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ht="15.75" customHeight="1">
      <c r="A12" s="108" t="s">
        <v>168</v>
      </c>
      <c r="B12" s="111" t="s">
        <v>212</v>
      </c>
      <c r="C12" s="113" t="s">
        <v>218</v>
      </c>
      <c r="D12" s="111"/>
      <c r="E12" s="111"/>
      <c r="F12" s="111"/>
      <c r="G12" s="111"/>
      <c r="H12" s="111" t="s">
        <v>221</v>
      </c>
      <c r="I12" s="111"/>
      <c r="J12" s="111"/>
      <c r="K12" s="111"/>
      <c r="L12" s="111"/>
      <c r="M12" s="111"/>
      <c r="N12" s="111"/>
      <c r="O12" s="111"/>
      <c r="P12" s="111"/>
      <c r="Q12" s="111"/>
      <c r="R12" s="111"/>
      <c r="S12" s="111"/>
      <c r="T12" s="111"/>
      <c r="U12" s="111"/>
      <c r="V12" s="111"/>
      <c r="W12" s="111"/>
      <c r="X12" s="111"/>
      <c r="Y12" s="111"/>
      <c r="Z12" s="111"/>
      <c r="AA12" s="111"/>
      <c r="AB12" s="111"/>
      <c r="AC12" s="111"/>
      <c r="AD12" s="111"/>
      <c r="AE12" s="101"/>
    </row>
    <row r="13" ht="15.75" customHeight="1">
      <c r="A13" s="108" t="s">
        <v>168</v>
      </c>
      <c r="B13" s="111" t="s">
        <v>212</v>
      </c>
      <c r="C13" s="113" t="s">
        <v>227</v>
      </c>
      <c r="D13" s="111"/>
      <c r="E13" s="111"/>
      <c r="F13" s="111"/>
      <c r="G13" s="111"/>
      <c r="H13" s="113" t="s">
        <v>230</v>
      </c>
      <c r="I13" s="111"/>
      <c r="J13" s="111"/>
      <c r="K13" s="111"/>
      <c r="L13" s="111"/>
      <c r="M13" s="111"/>
      <c r="N13" s="111"/>
      <c r="O13" s="111"/>
      <c r="P13" s="111"/>
      <c r="Q13" s="111"/>
      <c r="R13" s="111"/>
      <c r="S13" s="111"/>
      <c r="T13" s="111"/>
      <c r="U13" s="111"/>
      <c r="V13" s="111"/>
      <c r="W13" s="111"/>
      <c r="X13" s="111"/>
      <c r="Y13" s="111"/>
      <c r="Z13" s="111"/>
      <c r="AA13" s="111"/>
      <c r="AB13" s="111"/>
      <c r="AC13" s="111"/>
      <c r="AD13" s="111"/>
      <c r="AE13" s="101"/>
    </row>
    <row r="14" ht="15.75" customHeight="1">
      <c r="A14" s="108" t="s">
        <v>168</v>
      </c>
      <c r="B14" s="111" t="s">
        <v>212</v>
      </c>
      <c r="C14" s="113" t="s">
        <v>236</v>
      </c>
      <c r="D14" s="111"/>
      <c r="E14" s="111"/>
      <c r="F14" s="111"/>
      <c r="G14" s="111"/>
      <c r="H14" s="111" t="s">
        <v>238</v>
      </c>
      <c r="I14" s="111"/>
      <c r="J14" s="111"/>
      <c r="K14" s="111"/>
      <c r="L14" s="111"/>
      <c r="M14" s="111"/>
      <c r="N14" s="111"/>
      <c r="O14" s="111"/>
      <c r="P14" s="111"/>
      <c r="Q14" s="111"/>
      <c r="R14" s="111"/>
      <c r="S14" s="111"/>
      <c r="T14" s="111"/>
      <c r="U14" s="111"/>
      <c r="V14" s="111"/>
      <c r="W14" s="111"/>
      <c r="X14" s="111"/>
      <c r="Y14" s="111"/>
      <c r="Z14" s="111"/>
      <c r="AA14" s="111"/>
      <c r="AB14" s="111"/>
      <c r="AC14" s="111"/>
      <c r="AD14" s="111"/>
      <c r="AE14" s="101"/>
    </row>
    <row r="15" ht="15.75" customHeight="1">
      <c r="A15" s="108" t="s">
        <v>168</v>
      </c>
      <c r="B15" s="111" t="s">
        <v>212</v>
      </c>
      <c r="C15" s="113" t="s">
        <v>236</v>
      </c>
      <c r="D15" s="111"/>
      <c r="E15" s="111"/>
      <c r="F15" s="111"/>
      <c r="G15" s="111"/>
      <c r="H15" s="111" t="s">
        <v>246</v>
      </c>
      <c r="I15" s="111"/>
      <c r="J15" s="111"/>
      <c r="K15" s="111"/>
      <c r="L15" s="111"/>
      <c r="M15" s="111"/>
      <c r="N15" s="111"/>
      <c r="O15" s="111"/>
      <c r="P15" s="111"/>
      <c r="Q15" s="111"/>
      <c r="R15" s="111"/>
      <c r="S15" s="111"/>
      <c r="T15" s="111"/>
      <c r="U15" s="111"/>
      <c r="V15" s="111"/>
      <c r="W15" s="111"/>
      <c r="X15" s="111"/>
      <c r="Y15" s="111"/>
      <c r="Z15" s="111"/>
      <c r="AA15" s="111"/>
      <c r="AB15" s="111"/>
      <c r="AC15" s="111"/>
      <c r="AD15" s="111"/>
      <c r="AE15" s="101"/>
    </row>
    <row r="16" ht="15.75" customHeight="1">
      <c r="A16" s="108" t="s">
        <v>252</v>
      </c>
      <c r="B16" s="111" t="s">
        <v>212</v>
      </c>
      <c r="C16" s="113" t="s">
        <v>253</v>
      </c>
      <c r="D16" s="108"/>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01"/>
    </row>
    <row r="17" ht="15.75" customHeight="1">
      <c r="A17" s="108" t="s">
        <v>252</v>
      </c>
      <c r="B17" s="111" t="s">
        <v>212</v>
      </c>
      <c r="C17" s="113" t="s">
        <v>257</v>
      </c>
      <c r="D17" s="111"/>
      <c r="E17" s="111"/>
      <c r="F17" s="111"/>
      <c r="G17" s="111"/>
      <c r="H17" s="111" t="s">
        <v>261</v>
      </c>
      <c r="I17" s="111"/>
      <c r="J17" s="111"/>
      <c r="K17" s="111"/>
      <c r="L17" s="111"/>
      <c r="M17" s="111"/>
      <c r="N17" s="111"/>
      <c r="O17" s="111"/>
      <c r="P17" s="111"/>
      <c r="Q17" s="111"/>
      <c r="R17" s="111"/>
      <c r="S17" s="111"/>
      <c r="T17" s="111"/>
      <c r="U17" s="111"/>
      <c r="V17" s="111"/>
      <c r="W17" s="111"/>
      <c r="X17" s="111"/>
      <c r="Y17" s="111"/>
      <c r="Z17" s="111"/>
      <c r="AA17" s="111"/>
      <c r="AB17" s="111"/>
      <c r="AC17" s="111"/>
      <c r="AD17" s="111"/>
      <c r="AE17" s="101"/>
    </row>
    <row r="18" ht="15.75" customHeight="1">
      <c r="A18" s="108" t="s">
        <v>268</v>
      </c>
      <c r="B18" s="111" t="s">
        <v>212</v>
      </c>
      <c r="C18" s="113" t="s">
        <v>271</v>
      </c>
      <c r="D18" s="108"/>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01"/>
    </row>
    <row r="19" ht="15.75" customHeight="1">
      <c r="A19" s="108" t="s">
        <v>280</v>
      </c>
      <c r="B19" s="111" t="s">
        <v>212</v>
      </c>
      <c r="C19" s="113" t="s">
        <v>288</v>
      </c>
      <c r="D19" s="108"/>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01"/>
    </row>
    <row r="20" ht="15.75" customHeight="1">
      <c r="A20" s="108" t="s">
        <v>299</v>
      </c>
      <c r="B20" s="111" t="s">
        <v>212</v>
      </c>
      <c r="C20" s="113" t="s">
        <v>300</v>
      </c>
      <c r="D20" s="108"/>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01"/>
    </row>
    <row r="21" ht="15.75" customHeight="1">
      <c r="A21" s="108" t="s">
        <v>299</v>
      </c>
      <c r="B21" s="111" t="s">
        <v>212</v>
      </c>
      <c r="C21" s="113" t="s">
        <v>318</v>
      </c>
      <c r="D21" s="111"/>
      <c r="E21" s="111"/>
      <c r="F21" s="111"/>
      <c r="G21" s="111"/>
      <c r="H21" s="111" t="s">
        <v>319</v>
      </c>
      <c r="I21" s="111"/>
      <c r="J21" s="111"/>
      <c r="K21" s="111"/>
      <c r="L21" s="111"/>
      <c r="M21" s="111"/>
      <c r="N21" s="111"/>
      <c r="O21" s="111"/>
      <c r="P21" s="111"/>
      <c r="Q21" s="111"/>
      <c r="R21" s="111"/>
      <c r="S21" s="111"/>
      <c r="T21" s="111"/>
      <c r="U21" s="111"/>
      <c r="V21" s="111"/>
      <c r="W21" s="111"/>
      <c r="X21" s="111"/>
      <c r="Y21" s="111"/>
      <c r="Z21" s="111"/>
      <c r="AA21" s="111"/>
      <c r="AB21" s="111"/>
      <c r="AC21" s="111"/>
      <c r="AD21" s="111"/>
      <c r="AE21" s="101"/>
    </row>
    <row r="22" ht="15.75" customHeight="1">
      <c r="A22" s="108" t="s">
        <v>299</v>
      </c>
      <c r="B22" s="111" t="s">
        <v>212</v>
      </c>
      <c r="C22" s="113" t="s">
        <v>333</v>
      </c>
      <c r="D22" s="111"/>
      <c r="E22" s="111"/>
      <c r="F22" s="111"/>
      <c r="G22" s="111"/>
      <c r="H22" s="111" t="s">
        <v>334</v>
      </c>
      <c r="I22" s="111"/>
      <c r="J22" s="111"/>
      <c r="K22" s="111"/>
      <c r="L22" s="111"/>
      <c r="M22" s="111"/>
      <c r="N22" s="111"/>
      <c r="O22" s="111"/>
      <c r="P22" s="111"/>
      <c r="Q22" s="111"/>
      <c r="R22" s="111"/>
      <c r="S22" s="111"/>
      <c r="T22" s="111"/>
      <c r="U22" s="111"/>
      <c r="V22" s="111"/>
      <c r="W22" s="111"/>
      <c r="X22" s="111"/>
      <c r="Y22" s="111"/>
      <c r="Z22" s="111"/>
      <c r="AA22" s="111"/>
      <c r="AB22" s="111"/>
      <c r="AC22" s="111"/>
      <c r="AD22" s="111"/>
      <c r="AE22" s="101"/>
    </row>
    <row r="23" ht="15.75" customHeight="1">
      <c r="A23" s="108" t="s">
        <v>299</v>
      </c>
      <c r="B23" s="111" t="s">
        <v>212</v>
      </c>
      <c r="C23" s="113" t="s">
        <v>343</v>
      </c>
      <c r="D23" s="111"/>
      <c r="E23" s="111"/>
      <c r="F23" s="111"/>
      <c r="G23" s="111"/>
      <c r="H23" s="111" t="s">
        <v>345</v>
      </c>
      <c r="I23" s="111"/>
      <c r="J23" s="111"/>
      <c r="K23" s="111"/>
      <c r="L23" s="111"/>
      <c r="M23" s="111"/>
      <c r="N23" s="111"/>
      <c r="O23" s="111"/>
      <c r="P23" s="111"/>
      <c r="Q23" s="111"/>
      <c r="R23" s="111"/>
      <c r="S23" s="111"/>
      <c r="T23" s="111"/>
      <c r="U23" s="111"/>
      <c r="V23" s="111"/>
      <c r="W23" s="111"/>
      <c r="X23" s="111"/>
      <c r="Y23" s="111"/>
      <c r="Z23" s="111"/>
      <c r="AA23" s="111"/>
      <c r="AB23" s="111"/>
      <c r="AC23" s="111"/>
      <c r="AD23" s="111"/>
      <c r="AE23" s="101"/>
    </row>
    <row r="24" ht="15.75" customHeight="1">
      <c r="A24" s="108" t="s">
        <v>299</v>
      </c>
      <c r="B24" s="111" t="s">
        <v>212</v>
      </c>
      <c r="C24" s="113" t="s">
        <v>357</v>
      </c>
      <c r="D24" s="111"/>
      <c r="E24" s="111"/>
      <c r="F24" s="111"/>
      <c r="G24" s="111"/>
      <c r="H24" s="111" t="s">
        <v>359</v>
      </c>
      <c r="I24" s="111"/>
      <c r="J24" s="111"/>
      <c r="K24" s="111"/>
      <c r="L24" s="111"/>
      <c r="M24" s="111"/>
      <c r="N24" s="111"/>
      <c r="O24" s="111"/>
      <c r="P24" s="111"/>
      <c r="Q24" s="111"/>
      <c r="R24" s="111"/>
      <c r="S24" s="111"/>
      <c r="T24" s="111"/>
      <c r="U24" s="111"/>
      <c r="V24" s="111"/>
      <c r="W24" s="111"/>
      <c r="X24" s="111"/>
      <c r="Y24" s="111"/>
      <c r="Z24" s="111"/>
      <c r="AA24" s="111"/>
      <c r="AB24" s="111"/>
      <c r="AC24" s="111"/>
      <c r="AD24" s="111"/>
      <c r="AE24" s="101"/>
    </row>
    <row r="25" ht="15.75" customHeight="1">
      <c r="A25" s="108" t="s">
        <v>299</v>
      </c>
      <c r="B25" s="111" t="s">
        <v>212</v>
      </c>
      <c r="C25" s="113" t="s">
        <v>371</v>
      </c>
      <c r="D25" s="111"/>
      <c r="E25" s="111"/>
      <c r="F25" s="111"/>
      <c r="G25" s="111"/>
      <c r="H25" s="111" t="s">
        <v>373</v>
      </c>
      <c r="I25" s="111"/>
      <c r="J25" s="111"/>
      <c r="K25" s="111"/>
      <c r="L25" s="111"/>
      <c r="M25" s="111"/>
      <c r="N25" s="111"/>
      <c r="O25" s="111"/>
      <c r="P25" s="111"/>
      <c r="Q25" s="111"/>
      <c r="R25" s="111"/>
      <c r="S25" s="111"/>
      <c r="T25" s="111"/>
      <c r="U25" s="111"/>
      <c r="V25" s="111"/>
      <c r="W25" s="111"/>
      <c r="X25" s="111"/>
      <c r="Y25" s="111"/>
      <c r="Z25" s="111"/>
      <c r="AA25" s="111"/>
      <c r="AB25" s="111"/>
      <c r="AC25" s="111"/>
      <c r="AD25" s="111"/>
      <c r="AE25" s="101"/>
    </row>
    <row r="26" ht="15.75" customHeight="1">
      <c r="A26" s="108" t="s">
        <v>299</v>
      </c>
      <c r="B26" s="111" t="s">
        <v>212</v>
      </c>
      <c r="C26" s="113" t="s">
        <v>381</v>
      </c>
      <c r="D26" s="111"/>
      <c r="E26" s="111"/>
      <c r="F26" s="111"/>
      <c r="G26" s="111"/>
      <c r="H26" s="111" t="s">
        <v>382</v>
      </c>
      <c r="I26" s="111"/>
      <c r="J26" s="111"/>
      <c r="K26" s="111"/>
      <c r="L26" s="111"/>
      <c r="M26" s="111"/>
      <c r="N26" s="111"/>
      <c r="O26" s="111"/>
      <c r="P26" s="111"/>
      <c r="Q26" s="111"/>
      <c r="R26" s="111"/>
      <c r="S26" s="111"/>
      <c r="T26" s="111"/>
      <c r="U26" s="111"/>
      <c r="V26" s="111"/>
      <c r="W26" s="111"/>
      <c r="X26" s="111"/>
      <c r="Y26" s="111"/>
      <c r="Z26" s="111"/>
      <c r="AA26" s="111"/>
      <c r="AB26" s="111"/>
      <c r="AC26" s="111"/>
      <c r="AD26" s="111"/>
      <c r="AE26" s="101"/>
    </row>
    <row r="27" ht="15.75" customHeight="1">
      <c r="A27" s="108" t="s">
        <v>299</v>
      </c>
      <c r="B27" s="111" t="s">
        <v>212</v>
      </c>
      <c r="C27" s="113" t="s">
        <v>393</v>
      </c>
      <c r="D27" s="111"/>
      <c r="E27" s="111"/>
      <c r="F27" s="111"/>
      <c r="G27" s="111"/>
      <c r="H27" s="111" t="s">
        <v>395</v>
      </c>
      <c r="I27" s="111"/>
      <c r="J27" s="111"/>
      <c r="K27" s="111"/>
      <c r="L27" s="111"/>
      <c r="M27" s="111"/>
      <c r="N27" s="111"/>
      <c r="O27" s="111"/>
      <c r="P27" s="111"/>
      <c r="Q27" s="111"/>
      <c r="R27" s="111"/>
      <c r="S27" s="111"/>
      <c r="T27" s="111"/>
      <c r="U27" s="111"/>
      <c r="V27" s="111"/>
      <c r="W27" s="111"/>
      <c r="X27" s="111"/>
      <c r="Y27" s="111"/>
      <c r="Z27" s="111"/>
      <c r="AA27" s="111"/>
      <c r="AB27" s="111"/>
      <c r="AC27" s="111"/>
      <c r="AD27" s="111"/>
      <c r="AE27" s="101"/>
    </row>
    <row r="28" ht="15.75" customHeight="1">
      <c r="A28" s="108" t="s">
        <v>299</v>
      </c>
      <c r="B28" s="111" t="s">
        <v>212</v>
      </c>
      <c r="C28" s="113" t="s">
        <v>404</v>
      </c>
      <c r="D28" s="111"/>
      <c r="E28" s="111"/>
      <c r="F28" s="111"/>
      <c r="G28" s="111"/>
      <c r="H28" s="111" t="s">
        <v>409</v>
      </c>
      <c r="I28" s="111"/>
      <c r="J28" s="111"/>
      <c r="K28" s="111"/>
      <c r="L28" s="111"/>
      <c r="M28" s="111"/>
      <c r="N28" s="111"/>
      <c r="O28" s="111"/>
      <c r="P28" s="111"/>
      <c r="Q28" s="111"/>
      <c r="R28" s="111"/>
      <c r="S28" s="111"/>
      <c r="T28" s="111"/>
      <c r="U28" s="111"/>
      <c r="V28" s="111"/>
      <c r="W28" s="111"/>
      <c r="X28" s="111"/>
      <c r="Y28" s="111"/>
      <c r="Z28" s="111"/>
      <c r="AA28" s="111"/>
      <c r="AB28" s="111"/>
      <c r="AC28" s="111"/>
      <c r="AD28" s="111"/>
      <c r="AE28" s="101"/>
    </row>
    <row r="29" ht="15.75" customHeight="1">
      <c r="A29" s="108" t="s">
        <v>299</v>
      </c>
      <c r="B29" s="111" t="s">
        <v>212</v>
      </c>
      <c r="C29" s="113" t="s">
        <v>423</v>
      </c>
      <c r="D29" s="111"/>
      <c r="E29" s="111"/>
      <c r="F29" s="111"/>
      <c r="G29" s="111"/>
      <c r="H29" s="111" t="s">
        <v>424</v>
      </c>
      <c r="I29" s="111"/>
      <c r="J29" s="111"/>
      <c r="K29" s="111"/>
      <c r="L29" s="111"/>
      <c r="M29" s="111"/>
      <c r="N29" s="111"/>
      <c r="O29" s="111"/>
      <c r="P29" s="111"/>
      <c r="Q29" s="111"/>
      <c r="R29" s="111"/>
      <c r="S29" s="111"/>
      <c r="T29" s="111"/>
      <c r="U29" s="111"/>
      <c r="V29" s="111"/>
      <c r="W29" s="111"/>
      <c r="X29" s="111"/>
      <c r="Y29" s="111"/>
      <c r="Z29" s="111"/>
      <c r="AA29" s="111"/>
      <c r="AB29" s="111"/>
      <c r="AC29" s="111"/>
      <c r="AD29" s="111"/>
      <c r="AE29" s="101"/>
    </row>
    <row r="30" ht="15.75" customHeight="1">
      <c r="A30" s="108" t="s">
        <v>299</v>
      </c>
      <c r="B30" s="111" t="s">
        <v>212</v>
      </c>
      <c r="C30" s="113" t="s">
        <v>432</v>
      </c>
      <c r="D30" s="111"/>
      <c r="E30" s="111"/>
      <c r="F30" s="111"/>
      <c r="G30" s="111"/>
      <c r="H30" s="111" t="s">
        <v>435</v>
      </c>
      <c r="I30" s="111"/>
      <c r="J30" s="111"/>
      <c r="K30" s="111"/>
      <c r="L30" s="111"/>
      <c r="M30" s="111"/>
      <c r="N30" s="111"/>
      <c r="O30" s="111"/>
      <c r="P30" s="111"/>
      <c r="Q30" s="111"/>
      <c r="R30" s="111"/>
      <c r="S30" s="111"/>
      <c r="T30" s="111"/>
      <c r="U30" s="111"/>
      <c r="V30" s="111"/>
      <c r="W30" s="111"/>
      <c r="X30" s="111"/>
      <c r="Y30" s="111"/>
      <c r="Z30" s="111"/>
      <c r="AA30" s="111"/>
      <c r="AB30" s="111"/>
      <c r="AC30" s="111"/>
      <c r="AD30" s="111"/>
      <c r="AE30" s="101"/>
    </row>
    <row r="31" ht="15.75" customHeight="1">
      <c r="A31" s="108" t="s">
        <v>299</v>
      </c>
      <c r="B31" s="111" t="s">
        <v>212</v>
      </c>
      <c r="C31" s="113" t="s">
        <v>441</v>
      </c>
      <c r="D31" s="111"/>
      <c r="E31" s="111"/>
      <c r="F31" s="111"/>
      <c r="G31" s="111"/>
      <c r="H31" s="111" t="s">
        <v>446</v>
      </c>
      <c r="I31" s="111"/>
      <c r="J31" s="111"/>
      <c r="K31" s="111"/>
      <c r="L31" s="111"/>
      <c r="M31" s="111"/>
      <c r="N31" s="111"/>
      <c r="O31" s="111"/>
      <c r="P31" s="111"/>
      <c r="Q31" s="111"/>
      <c r="R31" s="111"/>
      <c r="S31" s="111"/>
      <c r="T31" s="111"/>
      <c r="U31" s="111"/>
      <c r="V31" s="111"/>
      <c r="W31" s="111"/>
      <c r="X31" s="111"/>
      <c r="Y31" s="111"/>
      <c r="Z31" s="111"/>
      <c r="AA31" s="111"/>
      <c r="AB31" s="111"/>
      <c r="AC31" s="111"/>
      <c r="AD31" s="111"/>
      <c r="AE31" s="101"/>
    </row>
    <row r="32" ht="15.75" customHeight="1">
      <c r="A32" s="108" t="s">
        <v>299</v>
      </c>
      <c r="B32" s="111" t="s">
        <v>212</v>
      </c>
      <c r="C32" s="178" t="s">
        <v>453</v>
      </c>
      <c r="D32" s="111"/>
      <c r="E32" s="111"/>
      <c r="F32" s="111"/>
      <c r="G32" s="111"/>
      <c r="H32" s="111" t="s">
        <v>455</v>
      </c>
      <c r="I32" s="111"/>
      <c r="J32" s="111"/>
      <c r="K32" s="111"/>
      <c r="L32" s="111"/>
      <c r="M32" s="111"/>
      <c r="N32" s="111"/>
      <c r="O32" s="111"/>
      <c r="P32" s="111"/>
      <c r="Q32" s="111"/>
      <c r="R32" s="111"/>
      <c r="S32" s="111"/>
      <c r="T32" s="111"/>
      <c r="U32" s="111"/>
      <c r="V32" s="111"/>
      <c r="W32" s="111"/>
      <c r="X32" s="111"/>
      <c r="Y32" s="111"/>
      <c r="Z32" s="111"/>
      <c r="AA32" s="111"/>
      <c r="AB32" s="111"/>
      <c r="AC32" s="111"/>
      <c r="AD32" s="111"/>
      <c r="AE32" s="101"/>
    </row>
    <row r="33" ht="15.75" customHeight="1">
      <c r="A33" s="108" t="s">
        <v>299</v>
      </c>
      <c r="B33" s="111" t="s">
        <v>212</v>
      </c>
      <c r="C33" s="113" t="s">
        <v>464</v>
      </c>
      <c r="D33" s="111"/>
      <c r="E33" s="111"/>
      <c r="F33" s="111"/>
      <c r="G33" s="111"/>
      <c r="H33" s="111" t="s">
        <v>466</v>
      </c>
      <c r="I33" s="111"/>
      <c r="J33" s="111"/>
      <c r="K33" s="111"/>
      <c r="L33" s="111"/>
      <c r="M33" s="111"/>
      <c r="N33" s="111"/>
      <c r="O33" s="111"/>
      <c r="P33" s="111"/>
      <c r="Q33" s="111"/>
      <c r="R33" s="111"/>
      <c r="S33" s="111"/>
      <c r="T33" s="111"/>
      <c r="U33" s="111"/>
      <c r="V33" s="111"/>
      <c r="W33" s="111"/>
      <c r="X33" s="111"/>
      <c r="Y33" s="111"/>
      <c r="Z33" s="111"/>
      <c r="AA33" s="111"/>
      <c r="AB33" s="111"/>
      <c r="AC33" s="111"/>
      <c r="AD33" s="111"/>
      <c r="AE33" s="101"/>
    </row>
    <row r="34" ht="15.75" customHeight="1">
      <c r="A34" s="108" t="s">
        <v>299</v>
      </c>
      <c r="B34" s="111" t="s">
        <v>212</v>
      </c>
      <c r="C34" s="113" t="s">
        <v>472</v>
      </c>
      <c r="D34" s="111"/>
      <c r="E34" s="111"/>
      <c r="F34" s="111"/>
      <c r="G34" s="111"/>
      <c r="H34" s="111" t="s">
        <v>474</v>
      </c>
      <c r="I34" s="111"/>
      <c r="J34" s="111"/>
      <c r="K34" s="111"/>
      <c r="L34" s="111"/>
      <c r="M34" s="111"/>
      <c r="N34" s="111"/>
      <c r="O34" s="111"/>
      <c r="P34" s="111"/>
      <c r="Q34" s="111"/>
      <c r="R34" s="111"/>
      <c r="S34" s="111"/>
      <c r="T34" s="111"/>
      <c r="U34" s="111"/>
      <c r="V34" s="111"/>
      <c r="W34" s="111"/>
      <c r="X34" s="111"/>
      <c r="Y34" s="111"/>
      <c r="Z34" s="111"/>
      <c r="AA34" s="111"/>
      <c r="AB34" s="111"/>
      <c r="AC34" s="111"/>
      <c r="AD34" s="111"/>
      <c r="AE34" s="101"/>
    </row>
    <row r="35" ht="15.75" customHeight="1">
      <c r="A35" s="108" t="s">
        <v>486</v>
      </c>
      <c r="B35" s="111" t="s">
        <v>212</v>
      </c>
      <c r="C35" s="113" t="s">
        <v>488</v>
      </c>
      <c r="D35" s="108"/>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01"/>
    </row>
    <row r="36" ht="15.75" customHeight="1">
      <c r="A36" s="108" t="s">
        <v>486</v>
      </c>
      <c r="B36" s="111" t="s">
        <v>212</v>
      </c>
      <c r="C36" s="113" t="s">
        <v>496</v>
      </c>
      <c r="D36" s="111"/>
      <c r="E36" s="111"/>
      <c r="F36" s="111"/>
      <c r="G36" s="111"/>
      <c r="H36" s="111" t="s">
        <v>373</v>
      </c>
      <c r="I36" s="111"/>
      <c r="J36" s="111"/>
      <c r="K36" s="111"/>
      <c r="L36" s="111"/>
      <c r="M36" s="111"/>
      <c r="N36" s="111"/>
      <c r="O36" s="111"/>
      <c r="P36" s="111"/>
      <c r="Q36" s="111"/>
      <c r="R36" s="111"/>
      <c r="S36" s="111"/>
      <c r="T36" s="111"/>
      <c r="U36" s="111"/>
      <c r="V36" s="111"/>
      <c r="W36" s="111"/>
      <c r="X36" s="111"/>
      <c r="Y36" s="111"/>
      <c r="Z36" s="111"/>
      <c r="AA36" s="111"/>
      <c r="AB36" s="111"/>
      <c r="AC36" s="111"/>
      <c r="AD36" s="111"/>
      <c r="AE36" s="101"/>
    </row>
    <row r="37" ht="15.75" customHeight="1">
      <c r="A37" s="108" t="s">
        <v>486</v>
      </c>
      <c r="B37" s="111" t="s">
        <v>212</v>
      </c>
      <c r="C37" s="113" t="s">
        <v>505</v>
      </c>
      <c r="D37" s="111"/>
      <c r="E37" s="111"/>
      <c r="F37" s="111"/>
      <c r="G37" s="111"/>
      <c r="H37" s="111" t="s">
        <v>382</v>
      </c>
      <c r="I37" s="111"/>
      <c r="J37" s="111"/>
      <c r="K37" s="111"/>
      <c r="L37" s="111"/>
      <c r="M37" s="111"/>
      <c r="N37" s="111"/>
      <c r="O37" s="111"/>
      <c r="P37" s="111"/>
      <c r="Q37" s="111"/>
      <c r="R37" s="111"/>
      <c r="S37" s="111"/>
      <c r="T37" s="111"/>
      <c r="U37" s="111"/>
      <c r="V37" s="111"/>
      <c r="W37" s="111"/>
      <c r="X37" s="111"/>
      <c r="Y37" s="111"/>
      <c r="Z37" s="111"/>
      <c r="AA37" s="111"/>
      <c r="AB37" s="111"/>
      <c r="AC37" s="111"/>
      <c r="AD37" s="111"/>
      <c r="AE37" s="101"/>
    </row>
    <row r="38" ht="15.75" customHeight="1">
      <c r="A38" s="108" t="s">
        <v>486</v>
      </c>
      <c r="B38" s="111" t="s">
        <v>212</v>
      </c>
      <c r="C38" s="113" t="s">
        <v>511</v>
      </c>
      <c r="D38" s="111"/>
      <c r="E38" s="111"/>
      <c r="F38" s="111"/>
      <c r="G38" s="111"/>
      <c r="H38" s="111" t="s">
        <v>395</v>
      </c>
      <c r="I38" s="111"/>
      <c r="J38" s="111"/>
      <c r="K38" s="111"/>
      <c r="L38" s="111"/>
      <c r="M38" s="111"/>
      <c r="N38" s="111"/>
      <c r="O38" s="111"/>
      <c r="P38" s="111"/>
      <c r="Q38" s="111"/>
      <c r="R38" s="111"/>
      <c r="S38" s="111"/>
      <c r="T38" s="111"/>
      <c r="U38" s="111"/>
      <c r="V38" s="111"/>
      <c r="W38" s="111"/>
      <c r="X38" s="111"/>
      <c r="Y38" s="111"/>
      <c r="Z38" s="111"/>
      <c r="AA38" s="111"/>
      <c r="AB38" s="111"/>
      <c r="AC38" s="111"/>
      <c r="AD38" s="111"/>
      <c r="AE38" s="101"/>
    </row>
    <row r="39" ht="15.75" customHeight="1">
      <c r="A39" s="108" t="s">
        <v>486</v>
      </c>
      <c r="B39" s="111" t="s">
        <v>212</v>
      </c>
      <c r="C39" s="113" t="s">
        <v>521</v>
      </c>
      <c r="D39" s="111"/>
      <c r="E39" s="111"/>
      <c r="F39" s="111"/>
      <c r="G39" s="111"/>
      <c r="H39" s="111" t="s">
        <v>435</v>
      </c>
      <c r="I39" s="111"/>
      <c r="J39" s="111"/>
      <c r="K39" s="111"/>
      <c r="L39" s="111"/>
      <c r="M39" s="111"/>
      <c r="N39" s="111"/>
      <c r="O39" s="111"/>
      <c r="P39" s="111"/>
      <c r="Q39" s="111"/>
      <c r="R39" s="111"/>
      <c r="S39" s="111"/>
      <c r="T39" s="111"/>
      <c r="U39" s="111"/>
      <c r="V39" s="111"/>
      <c r="W39" s="111"/>
      <c r="X39" s="111"/>
      <c r="Y39" s="111"/>
      <c r="Z39" s="111"/>
      <c r="AA39" s="111"/>
      <c r="AB39" s="111"/>
      <c r="AC39" s="111"/>
      <c r="AD39" s="111"/>
      <c r="AE39" s="101"/>
    </row>
    <row r="40" ht="15.75" customHeight="1">
      <c r="A40" s="108" t="s">
        <v>486</v>
      </c>
      <c r="B40" s="111" t="s">
        <v>212</v>
      </c>
      <c r="C40" s="113" t="s">
        <v>534</v>
      </c>
      <c r="D40" s="111"/>
      <c r="E40" s="111"/>
      <c r="F40" s="111"/>
      <c r="G40" s="111"/>
      <c r="H40" s="111" t="s">
        <v>446</v>
      </c>
      <c r="I40" s="111"/>
      <c r="J40" s="111"/>
      <c r="K40" s="111"/>
      <c r="L40" s="111"/>
      <c r="M40" s="111"/>
      <c r="N40" s="111"/>
      <c r="O40" s="111"/>
      <c r="P40" s="111"/>
      <c r="Q40" s="111"/>
      <c r="R40" s="111"/>
      <c r="S40" s="111"/>
      <c r="T40" s="111"/>
      <c r="U40" s="111"/>
      <c r="V40" s="111"/>
      <c r="W40" s="111"/>
      <c r="X40" s="111"/>
      <c r="Y40" s="111"/>
      <c r="Z40" s="111"/>
      <c r="AA40" s="111"/>
      <c r="AB40" s="111"/>
      <c r="AC40" s="111"/>
      <c r="AD40" s="111"/>
      <c r="AE40" s="101"/>
    </row>
    <row r="41" ht="15.75" customHeight="1">
      <c r="A41" s="108" t="s">
        <v>486</v>
      </c>
      <c r="B41" s="111" t="s">
        <v>212</v>
      </c>
      <c r="C41" s="178" t="s">
        <v>542</v>
      </c>
      <c r="D41" s="111"/>
      <c r="E41" s="111"/>
      <c r="F41" s="111"/>
      <c r="G41" s="111"/>
      <c r="H41" s="111" t="s">
        <v>455</v>
      </c>
      <c r="I41" s="111"/>
      <c r="J41" s="111"/>
      <c r="K41" s="111"/>
      <c r="L41" s="111"/>
      <c r="M41" s="111"/>
      <c r="N41" s="111"/>
      <c r="O41" s="111"/>
      <c r="P41" s="111"/>
      <c r="Q41" s="111"/>
      <c r="R41" s="111"/>
      <c r="S41" s="111"/>
      <c r="T41" s="111"/>
      <c r="U41" s="111"/>
      <c r="V41" s="111"/>
      <c r="W41" s="111"/>
      <c r="X41" s="111"/>
      <c r="Y41" s="111"/>
      <c r="Z41" s="111"/>
      <c r="AA41" s="111"/>
      <c r="AB41" s="111"/>
      <c r="AC41" s="111"/>
      <c r="AD41" s="111"/>
      <c r="AE41" s="101"/>
    </row>
    <row r="42" ht="15.75" customHeight="1">
      <c r="A42" s="108" t="s">
        <v>486</v>
      </c>
      <c r="B42" s="111" t="s">
        <v>212</v>
      </c>
      <c r="C42" s="113" t="s">
        <v>552</v>
      </c>
      <c r="D42" s="111"/>
      <c r="E42" s="111"/>
      <c r="F42" s="111"/>
      <c r="G42" s="111"/>
      <c r="H42" s="111" t="s">
        <v>466</v>
      </c>
      <c r="I42" s="111"/>
      <c r="J42" s="111"/>
      <c r="K42" s="111"/>
      <c r="L42" s="111"/>
      <c r="M42" s="111"/>
      <c r="N42" s="111"/>
      <c r="O42" s="111"/>
      <c r="P42" s="111"/>
      <c r="Q42" s="111"/>
      <c r="R42" s="111"/>
      <c r="S42" s="111"/>
      <c r="T42" s="111"/>
      <c r="U42" s="111"/>
      <c r="V42" s="111"/>
      <c r="W42" s="111"/>
      <c r="X42" s="111"/>
      <c r="Y42" s="111"/>
      <c r="Z42" s="111"/>
      <c r="AA42" s="111"/>
      <c r="AB42" s="111"/>
      <c r="AC42" s="111"/>
      <c r="AD42" s="111"/>
      <c r="AE42" s="101"/>
    </row>
    <row r="43" ht="15.75" customHeight="1">
      <c r="A43" s="108" t="s">
        <v>486</v>
      </c>
      <c r="B43" s="111" t="s">
        <v>212</v>
      </c>
      <c r="C43" s="113" t="s">
        <v>569</v>
      </c>
      <c r="D43" s="111"/>
      <c r="E43" s="111"/>
      <c r="F43" s="111"/>
      <c r="G43" s="111"/>
      <c r="H43" s="111" t="s">
        <v>474</v>
      </c>
      <c r="I43" s="111"/>
      <c r="J43" s="111"/>
      <c r="K43" s="111"/>
      <c r="L43" s="111"/>
      <c r="M43" s="111"/>
      <c r="N43" s="111"/>
      <c r="O43" s="111"/>
      <c r="P43" s="111"/>
      <c r="Q43" s="111"/>
      <c r="R43" s="111"/>
      <c r="S43" s="111"/>
      <c r="T43" s="111"/>
      <c r="U43" s="111"/>
      <c r="V43" s="111"/>
      <c r="W43" s="111"/>
      <c r="X43" s="111"/>
      <c r="Y43" s="111"/>
      <c r="Z43" s="111"/>
      <c r="AA43" s="111"/>
      <c r="AB43" s="111"/>
      <c r="AC43" s="111"/>
      <c r="AD43" s="111"/>
      <c r="AE43" s="101"/>
    </row>
    <row r="44" ht="15.75" customHeight="1">
      <c r="A44" s="108" t="s">
        <v>583</v>
      </c>
      <c r="B44" s="111" t="s">
        <v>212</v>
      </c>
      <c r="C44" s="113" t="s">
        <v>591</v>
      </c>
      <c r="D44" s="108"/>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01"/>
    </row>
    <row r="45" ht="15.75" customHeight="1">
      <c r="A45" s="108" t="s">
        <v>600</v>
      </c>
      <c r="B45" s="111" t="s">
        <v>212</v>
      </c>
      <c r="C45" s="113" t="s">
        <v>609</v>
      </c>
      <c r="D45" s="20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01"/>
    </row>
    <row r="46" ht="15.75" customHeight="1">
      <c r="A46" s="108" t="s">
        <v>616</v>
      </c>
      <c r="B46" s="111" t="s">
        <v>212</v>
      </c>
      <c r="C46" s="113" t="s">
        <v>624</v>
      </c>
      <c r="D46" s="108"/>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01"/>
    </row>
    <row r="47" ht="15.75" customHeight="1">
      <c r="A47" s="108" t="s">
        <v>640</v>
      </c>
      <c r="B47" s="111" t="s">
        <v>212</v>
      </c>
      <c r="C47" s="113" t="s">
        <v>643</v>
      </c>
      <c r="D47" s="108"/>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c r="AD47" s="111"/>
      <c r="AE47" s="101"/>
    </row>
    <row r="48" ht="15.75" customHeight="1">
      <c r="A48" s="108" t="s">
        <v>657</v>
      </c>
      <c r="B48" s="111" t="s">
        <v>212</v>
      </c>
      <c r="C48" s="113" t="s">
        <v>662</v>
      </c>
      <c r="D48" s="108"/>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01"/>
    </row>
    <row r="49" ht="15.75" customHeight="1">
      <c r="A49" s="108" t="s">
        <v>657</v>
      </c>
      <c r="B49" s="111" t="s">
        <v>212</v>
      </c>
      <c r="C49" s="113" t="s">
        <v>673</v>
      </c>
      <c r="D49" s="111"/>
      <c r="E49" s="111"/>
      <c r="F49" s="111"/>
      <c r="G49" s="111"/>
      <c r="H49" s="111" t="s">
        <v>675</v>
      </c>
      <c r="I49" s="111"/>
      <c r="J49" s="111"/>
      <c r="K49" s="111"/>
      <c r="L49" s="111"/>
      <c r="M49" s="111"/>
      <c r="N49" s="111"/>
      <c r="O49" s="111"/>
      <c r="P49" s="111"/>
      <c r="Q49" s="111"/>
      <c r="R49" s="111"/>
      <c r="S49" s="111"/>
      <c r="T49" s="111"/>
      <c r="U49" s="111"/>
      <c r="V49" s="111"/>
      <c r="W49" s="111"/>
      <c r="X49" s="111"/>
      <c r="Y49" s="111"/>
      <c r="Z49" s="111"/>
      <c r="AA49" s="111"/>
      <c r="AB49" s="111"/>
      <c r="AC49" s="111"/>
      <c r="AD49" s="111"/>
      <c r="AE49" s="101"/>
    </row>
    <row r="50" ht="15.75" customHeight="1">
      <c r="A50" s="108" t="s">
        <v>684</v>
      </c>
      <c r="B50" s="111" t="s">
        <v>212</v>
      </c>
      <c r="C50" s="113" t="s">
        <v>688</v>
      </c>
      <c r="D50" s="108"/>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01"/>
    </row>
    <row r="51" ht="15.75" customHeight="1">
      <c r="A51" s="108" t="s">
        <v>684</v>
      </c>
      <c r="B51" s="111" t="s">
        <v>212</v>
      </c>
      <c r="C51" s="113" t="s">
        <v>715</v>
      </c>
      <c r="D51" s="111"/>
      <c r="E51" s="111"/>
      <c r="F51" s="111"/>
      <c r="G51" s="111"/>
      <c r="H51" s="111" t="s">
        <v>675</v>
      </c>
      <c r="I51" s="111"/>
      <c r="J51" s="111"/>
      <c r="K51" s="111"/>
      <c r="L51" s="111"/>
      <c r="M51" s="111"/>
      <c r="N51" s="111"/>
      <c r="O51" s="111"/>
      <c r="P51" s="111"/>
      <c r="Q51" s="111"/>
      <c r="R51" s="111"/>
      <c r="S51" s="111"/>
      <c r="T51" s="111"/>
      <c r="U51" s="111"/>
      <c r="V51" s="111"/>
      <c r="W51" s="111"/>
      <c r="X51" s="111"/>
      <c r="Y51" s="111"/>
      <c r="Z51" s="111"/>
      <c r="AA51" s="111"/>
      <c r="AB51" s="111"/>
      <c r="AC51" s="111"/>
      <c r="AD51" s="111"/>
      <c r="AE51" s="101"/>
    </row>
    <row r="52" ht="15.75" customHeight="1">
      <c r="A52" s="108" t="s">
        <v>734</v>
      </c>
      <c r="B52" s="111" t="s">
        <v>212</v>
      </c>
      <c r="C52" s="113" t="s">
        <v>738</v>
      </c>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01"/>
    </row>
    <row r="53" ht="15.75" customHeight="1">
      <c r="A53" s="108" t="s">
        <v>26</v>
      </c>
      <c r="B53" s="111" t="s">
        <v>212</v>
      </c>
      <c r="C53" s="113" t="s">
        <v>760</v>
      </c>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01"/>
    </row>
    <row r="54" ht="15.75" customHeight="1">
      <c r="A54" s="108" t="s">
        <v>26</v>
      </c>
      <c r="B54" s="111" t="s">
        <v>212</v>
      </c>
      <c r="C54" s="113" t="s">
        <v>775</v>
      </c>
      <c r="D54" s="111"/>
      <c r="E54" s="111"/>
      <c r="F54" s="111"/>
      <c r="G54" s="111"/>
      <c r="H54" s="111" t="s">
        <v>782</v>
      </c>
      <c r="I54" s="111"/>
      <c r="J54" s="111"/>
      <c r="K54" s="111"/>
      <c r="L54" s="111"/>
      <c r="M54" s="111"/>
      <c r="N54" s="111"/>
      <c r="O54" s="111"/>
      <c r="P54" s="111"/>
      <c r="Q54" s="111"/>
      <c r="R54" s="111"/>
      <c r="S54" s="111"/>
      <c r="T54" s="111"/>
      <c r="U54" s="111"/>
      <c r="V54" s="111"/>
      <c r="W54" s="111"/>
      <c r="X54" s="111"/>
      <c r="Y54" s="111"/>
      <c r="Z54" s="111"/>
      <c r="AA54" s="111"/>
      <c r="AB54" s="111"/>
      <c r="AC54" s="111"/>
      <c r="AD54" s="111"/>
      <c r="AE54" s="101"/>
    </row>
    <row r="55" ht="15.75" customHeight="1">
      <c r="A55" s="108" t="s">
        <v>26</v>
      </c>
      <c r="B55" s="111" t="s">
        <v>212</v>
      </c>
      <c r="C55" s="113" t="s">
        <v>800</v>
      </c>
      <c r="D55" s="111"/>
      <c r="E55" s="111"/>
      <c r="F55" s="111"/>
      <c r="G55" s="111"/>
      <c r="H55" s="111" t="s">
        <v>804</v>
      </c>
      <c r="I55" s="111"/>
      <c r="J55" s="111"/>
      <c r="K55" s="111"/>
      <c r="L55" s="111"/>
      <c r="M55" s="111"/>
      <c r="N55" s="111"/>
      <c r="O55" s="111"/>
      <c r="P55" s="111"/>
      <c r="Q55" s="111"/>
      <c r="R55" s="111"/>
      <c r="S55" s="111"/>
      <c r="T55" s="111"/>
      <c r="U55" s="111"/>
      <c r="V55" s="111"/>
      <c r="W55" s="111"/>
      <c r="X55" s="111"/>
      <c r="Y55" s="111"/>
      <c r="Z55" s="111"/>
      <c r="AA55" s="111"/>
      <c r="AB55" s="111"/>
      <c r="AC55" s="111"/>
      <c r="AD55" s="111"/>
      <c r="AE55" s="101"/>
    </row>
    <row r="56" ht="15.75" customHeight="1">
      <c r="A56" s="108" t="s">
        <v>26</v>
      </c>
      <c r="B56" s="111" t="s">
        <v>212</v>
      </c>
      <c r="C56" s="113" t="s">
        <v>816</v>
      </c>
      <c r="D56" s="111"/>
      <c r="E56" s="111"/>
      <c r="F56" s="111"/>
      <c r="G56" s="111"/>
      <c r="H56" s="111" t="s">
        <v>821</v>
      </c>
      <c r="I56" s="111"/>
      <c r="J56" s="111"/>
      <c r="K56" s="111"/>
      <c r="L56" s="111"/>
      <c r="M56" s="111"/>
      <c r="N56" s="111"/>
      <c r="O56" s="111"/>
      <c r="P56" s="111"/>
      <c r="Q56" s="111"/>
      <c r="R56" s="111"/>
      <c r="S56" s="111"/>
      <c r="T56" s="111"/>
      <c r="U56" s="111"/>
      <c r="V56" s="111"/>
      <c r="W56" s="111"/>
      <c r="X56" s="111"/>
      <c r="Y56" s="111"/>
      <c r="Z56" s="111"/>
      <c r="AA56" s="111"/>
      <c r="AB56" s="111"/>
      <c r="AC56" s="111"/>
      <c r="AD56" s="111"/>
      <c r="AE56" s="101"/>
    </row>
    <row r="57" ht="15.75" customHeight="1">
      <c r="A57" s="108" t="s">
        <v>835</v>
      </c>
      <c r="B57" s="111" t="s">
        <v>212</v>
      </c>
      <c r="C57" s="113" t="s">
        <v>846</v>
      </c>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01"/>
    </row>
    <row r="58" ht="15.75" customHeight="1">
      <c r="A58" s="108" t="s">
        <v>859</v>
      </c>
      <c r="B58" s="111" t="s">
        <v>212</v>
      </c>
      <c r="C58" s="113" t="s">
        <v>865</v>
      </c>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01"/>
    </row>
    <row r="59" ht="15.75" customHeight="1">
      <c r="A59" s="108" t="s">
        <v>881</v>
      </c>
      <c r="B59" s="111" t="s">
        <v>212</v>
      </c>
      <c r="C59" s="113" t="s">
        <v>890</v>
      </c>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01"/>
    </row>
    <row r="60" ht="15.75" customHeight="1">
      <c r="A60" s="108" t="s">
        <v>38</v>
      </c>
      <c r="B60" s="111" t="s">
        <v>212</v>
      </c>
      <c r="C60" s="113" t="s">
        <v>915</v>
      </c>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01"/>
    </row>
    <row r="61" ht="15.75" customHeight="1">
      <c r="A61" s="108" t="s">
        <v>45</v>
      </c>
      <c r="B61" s="111" t="s">
        <v>212</v>
      </c>
      <c r="C61" s="113"/>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01"/>
    </row>
    <row r="62" ht="15.75" customHeight="1">
      <c r="A62" s="108" t="s">
        <v>52</v>
      </c>
      <c r="B62" s="111" t="s">
        <v>212</v>
      </c>
      <c r="C62" s="113"/>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01"/>
    </row>
    <row r="63" ht="15.75" customHeight="1">
      <c r="A63" s="108" t="s">
        <v>57</v>
      </c>
      <c r="B63" s="111" t="s">
        <v>212</v>
      </c>
      <c r="C63" s="113"/>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01"/>
    </row>
    <row r="64" ht="15.75" customHeight="1">
      <c r="A64" s="108" t="s">
        <v>1021</v>
      </c>
      <c r="B64" s="111" t="s">
        <v>212</v>
      </c>
      <c r="C64" s="113"/>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01"/>
    </row>
    <row r="65" ht="15.75" customHeight="1">
      <c r="A65" s="108" t="s">
        <v>1047</v>
      </c>
      <c r="B65" s="111" t="s">
        <v>212</v>
      </c>
      <c r="C65" s="113"/>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01"/>
    </row>
    <row r="66" ht="15.75" customHeight="1">
      <c r="A66" s="216" t="s">
        <v>251</v>
      </c>
      <c r="B66" s="111" t="s">
        <v>212</v>
      </c>
      <c r="C66" s="113"/>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01"/>
    </row>
    <row r="67" ht="15.75" customHeight="1">
      <c r="A67" s="108" t="s">
        <v>61</v>
      </c>
      <c r="B67" s="111" t="s">
        <v>212</v>
      </c>
      <c r="C67" s="113"/>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c r="AD67" s="111"/>
      <c r="AE67" s="101"/>
    </row>
    <row r="68" ht="15.75" customHeight="1">
      <c r="A68" s="108" t="s">
        <v>1126</v>
      </c>
      <c r="B68" s="111" t="s">
        <v>212</v>
      </c>
      <c r="C68" s="113"/>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01"/>
    </row>
    <row r="69" ht="15.75" customHeight="1">
      <c r="A69" s="108" t="s">
        <v>68</v>
      </c>
      <c r="B69" s="111" t="s">
        <v>212</v>
      </c>
      <c r="C69" s="113"/>
      <c r="D69" s="111"/>
      <c r="E69" s="111"/>
      <c r="F69" s="111"/>
      <c r="G69" s="111"/>
      <c r="H69" s="111"/>
      <c r="I69" s="111"/>
      <c r="J69" s="111"/>
      <c r="K69" s="111"/>
      <c r="L69" s="111"/>
      <c r="M69" s="111"/>
      <c r="N69" s="111"/>
      <c r="O69" s="111"/>
      <c r="P69" s="111"/>
      <c r="Q69" s="111"/>
      <c r="R69" s="111" t="s">
        <v>1178</v>
      </c>
      <c r="S69" s="111"/>
      <c r="T69" s="111"/>
      <c r="U69" s="111"/>
      <c r="V69" s="111"/>
      <c r="W69" s="111"/>
      <c r="X69" s="111"/>
      <c r="Y69" s="111"/>
      <c r="Z69" s="111"/>
      <c r="AA69" s="111"/>
      <c r="AB69" s="111"/>
      <c r="AC69" s="111"/>
      <c r="AD69" s="111"/>
      <c r="AE69" s="101"/>
    </row>
    <row r="70" ht="15.75" customHeight="1">
      <c r="A70" s="108" t="s">
        <v>127</v>
      </c>
      <c r="B70" s="111" t="s">
        <v>212</v>
      </c>
      <c r="C70" s="113"/>
      <c r="D70" s="111"/>
      <c r="E70" s="111"/>
      <c r="F70" s="111"/>
      <c r="G70" s="111"/>
      <c r="H70" s="111"/>
      <c r="I70" s="111"/>
      <c r="J70" s="111"/>
      <c r="K70" s="111"/>
      <c r="L70" s="111"/>
      <c r="M70" s="111"/>
      <c r="N70" s="111"/>
      <c r="O70" s="111"/>
      <c r="P70" s="111"/>
      <c r="Q70" s="111"/>
      <c r="R70" s="111" t="s">
        <v>1210</v>
      </c>
      <c r="S70" s="111"/>
      <c r="T70" s="111"/>
      <c r="U70" s="111"/>
      <c r="V70" s="111"/>
      <c r="W70" s="111"/>
      <c r="X70" s="111"/>
      <c r="Y70" s="111"/>
      <c r="Z70" s="111"/>
      <c r="AA70" s="111"/>
      <c r="AB70" s="111"/>
      <c r="AC70" s="111"/>
      <c r="AD70" s="111"/>
      <c r="AE70" s="101"/>
    </row>
    <row r="71" ht="15.75" customHeight="1">
      <c r="A71" s="108" t="s">
        <v>89</v>
      </c>
      <c r="B71" s="111" t="s">
        <v>212</v>
      </c>
      <c r="C71" s="113"/>
      <c r="D71" s="111"/>
      <c r="E71" s="111"/>
      <c r="F71" s="111"/>
      <c r="G71" s="111"/>
      <c r="H71" s="111" t="s">
        <v>1237</v>
      </c>
      <c r="I71" s="111"/>
      <c r="J71" s="111"/>
      <c r="K71" s="111"/>
      <c r="L71" s="111"/>
      <c r="M71" s="111"/>
      <c r="N71" s="111"/>
      <c r="O71" s="111"/>
      <c r="P71" s="111"/>
      <c r="Q71" s="111"/>
      <c r="R71" s="111"/>
      <c r="S71" s="111"/>
      <c r="T71" s="111"/>
      <c r="U71" s="111"/>
      <c r="V71" s="111"/>
      <c r="W71" s="111"/>
      <c r="X71" s="111"/>
      <c r="Y71" s="111"/>
      <c r="Z71" s="111"/>
      <c r="AA71" s="111"/>
      <c r="AB71" s="111"/>
      <c r="AC71" s="111"/>
      <c r="AD71" s="111"/>
      <c r="AE71" s="101"/>
    </row>
    <row r="72" ht="15.75" customHeight="1">
      <c r="A72" s="111" t="s">
        <v>89</v>
      </c>
      <c r="B72" s="111" t="s">
        <v>212</v>
      </c>
      <c r="C72" s="113"/>
      <c r="D72" s="111"/>
      <c r="E72" s="111"/>
      <c r="F72" s="111"/>
      <c r="G72" s="111"/>
      <c r="H72" s="111" t="s">
        <v>1261</v>
      </c>
      <c r="I72" s="111"/>
      <c r="J72" s="111"/>
      <c r="K72" s="111"/>
      <c r="L72" s="111"/>
      <c r="M72" s="111"/>
      <c r="N72" s="111"/>
      <c r="O72" s="111"/>
      <c r="P72" s="111"/>
      <c r="Q72" s="111"/>
      <c r="R72" s="111"/>
      <c r="S72" s="111"/>
      <c r="T72" s="111"/>
      <c r="U72" s="111"/>
      <c r="V72" s="111"/>
      <c r="W72" s="111"/>
      <c r="X72" s="111"/>
      <c r="Y72" s="111"/>
      <c r="Z72" s="111"/>
      <c r="AA72" s="111"/>
      <c r="AB72" s="111"/>
      <c r="AC72" s="111"/>
      <c r="AD72" s="111"/>
      <c r="AE72" s="101"/>
    </row>
    <row r="73" ht="15.75" customHeight="1">
      <c r="A73" s="108" t="s">
        <v>1283</v>
      </c>
      <c r="B73" s="111" t="s">
        <v>212</v>
      </c>
      <c r="C73" s="113"/>
      <c r="D73" s="111"/>
      <c r="E73" s="111"/>
      <c r="F73" s="111"/>
      <c r="G73" s="111"/>
      <c r="H73" s="111" t="s">
        <v>1287</v>
      </c>
      <c r="I73" s="111"/>
      <c r="J73" s="111"/>
      <c r="K73" s="111"/>
      <c r="L73" s="111"/>
      <c r="M73" s="111"/>
      <c r="N73" s="111"/>
      <c r="O73" s="111"/>
      <c r="P73" s="111"/>
      <c r="Q73" s="111"/>
      <c r="R73" s="111"/>
      <c r="S73" s="111"/>
      <c r="T73" s="111"/>
      <c r="U73" s="111"/>
      <c r="V73" s="111"/>
      <c r="W73" s="111"/>
      <c r="X73" s="111"/>
      <c r="Y73" s="111"/>
      <c r="Z73" s="111"/>
      <c r="AA73" s="111"/>
      <c r="AB73" s="111"/>
      <c r="AC73" s="111"/>
      <c r="AD73" s="111"/>
      <c r="AE73" s="101"/>
    </row>
    <row r="74" ht="15.75" customHeight="1">
      <c r="A74" s="108" t="s">
        <v>1283</v>
      </c>
      <c r="B74" s="111" t="s">
        <v>212</v>
      </c>
      <c r="C74" s="113"/>
      <c r="D74" s="111"/>
      <c r="E74" s="111"/>
      <c r="F74" s="111"/>
      <c r="G74" s="111"/>
      <c r="H74" s="111" t="s">
        <v>1302</v>
      </c>
      <c r="I74" s="111"/>
      <c r="J74" s="111"/>
      <c r="K74" s="111"/>
      <c r="L74" s="111"/>
      <c r="M74" s="111"/>
      <c r="N74" s="111"/>
      <c r="O74" s="111"/>
      <c r="P74" s="111"/>
      <c r="Q74" s="111"/>
      <c r="R74" s="111"/>
      <c r="S74" s="111"/>
      <c r="T74" s="111"/>
      <c r="U74" s="111"/>
      <c r="V74" s="111"/>
      <c r="W74" s="111"/>
      <c r="X74" s="111"/>
      <c r="Y74" s="111"/>
      <c r="Z74" s="111"/>
      <c r="AA74" s="111"/>
      <c r="AB74" s="111"/>
      <c r="AC74" s="111"/>
      <c r="AD74" s="111"/>
      <c r="AE74" s="101"/>
    </row>
    <row r="75" ht="15.75" customHeight="1">
      <c r="A75" s="108" t="s">
        <v>1283</v>
      </c>
      <c r="B75" s="111" t="s">
        <v>212</v>
      </c>
      <c r="C75" s="113"/>
      <c r="D75" s="111"/>
      <c r="E75" s="111"/>
      <c r="F75" s="111"/>
      <c r="G75" s="111"/>
      <c r="H75" s="111" t="s">
        <v>1322</v>
      </c>
      <c r="I75" s="111"/>
      <c r="J75" s="111"/>
      <c r="K75" s="111"/>
      <c r="L75" s="111"/>
      <c r="M75" s="111"/>
      <c r="N75" s="111"/>
      <c r="O75" s="111"/>
      <c r="P75" s="111"/>
      <c r="Q75" s="111"/>
      <c r="R75" s="111"/>
      <c r="S75" s="111"/>
      <c r="T75" s="111"/>
      <c r="U75" s="111"/>
      <c r="V75" s="111"/>
      <c r="W75" s="111"/>
      <c r="X75" s="111"/>
      <c r="Y75" s="111"/>
      <c r="Z75" s="111"/>
      <c r="AA75" s="111"/>
      <c r="AB75" s="111"/>
      <c r="AC75" s="111"/>
      <c r="AD75" s="111"/>
      <c r="AE75" s="101"/>
    </row>
    <row r="76" ht="15.75" customHeight="1">
      <c r="A76" s="108" t="s">
        <v>133</v>
      </c>
      <c r="B76" s="111" t="s">
        <v>1341</v>
      </c>
      <c r="C76" s="113" t="s">
        <v>1343</v>
      </c>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01"/>
    </row>
    <row r="77" ht="15.75" customHeight="1">
      <c r="A77" s="111" t="s">
        <v>1359</v>
      </c>
      <c r="B77" s="111"/>
      <c r="C77" s="113"/>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01"/>
    </row>
    <row r="78" ht="15.75" customHeight="1">
      <c r="A78" s="111" t="s">
        <v>237</v>
      </c>
      <c r="B78" s="111" t="s">
        <v>1341</v>
      </c>
      <c r="C78" s="113"/>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01"/>
    </row>
    <row r="79" ht="15.75" customHeight="1">
      <c r="A79" s="108" t="s">
        <v>426</v>
      </c>
      <c r="B79" s="111" t="s">
        <v>1403</v>
      </c>
      <c r="C79" s="113" t="s">
        <v>1404</v>
      </c>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01"/>
    </row>
    <row r="80" ht="15.75" customHeight="1">
      <c r="A80" s="111" t="s">
        <v>1359</v>
      </c>
      <c r="B80" s="111"/>
      <c r="C80" s="113"/>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01"/>
    </row>
    <row r="81" ht="15.75" customHeight="1">
      <c r="A81" s="111" t="s">
        <v>468</v>
      </c>
      <c r="B81" s="111" t="s">
        <v>1403</v>
      </c>
      <c r="C81" s="113"/>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01"/>
    </row>
    <row r="82" ht="15.75" customHeight="1">
      <c r="A82" s="108" t="s">
        <v>426</v>
      </c>
      <c r="B82" s="111" t="s">
        <v>1403</v>
      </c>
      <c r="C82" s="113" t="s">
        <v>1478</v>
      </c>
      <c r="D82" s="111"/>
      <c r="E82" s="111"/>
      <c r="F82" s="111"/>
      <c r="G82" s="111"/>
      <c r="H82" s="111"/>
      <c r="I82" s="111"/>
      <c r="J82" s="111"/>
      <c r="K82" s="111"/>
      <c r="L82" s="111"/>
      <c r="M82" s="111"/>
      <c r="N82" s="111"/>
      <c r="O82" s="111"/>
      <c r="P82" s="111"/>
      <c r="Q82" s="111"/>
      <c r="R82" s="111"/>
      <c r="S82" s="222">
        <v>3.0</v>
      </c>
      <c r="T82" s="111"/>
      <c r="U82" s="111"/>
      <c r="V82" s="111"/>
      <c r="W82" s="111"/>
      <c r="X82" s="111"/>
      <c r="Y82" s="111"/>
      <c r="Z82" s="111"/>
      <c r="AA82" s="111"/>
      <c r="AB82" s="111"/>
      <c r="AC82" s="111"/>
      <c r="AD82" s="111"/>
      <c r="AE82" s="101"/>
    </row>
    <row r="83" ht="15.75" customHeight="1">
      <c r="A83" s="111" t="s">
        <v>1359</v>
      </c>
      <c r="B83" s="111"/>
      <c r="C83" s="113"/>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01"/>
    </row>
    <row r="84" ht="15.75" customHeight="1">
      <c r="A84" s="111" t="s">
        <v>468</v>
      </c>
      <c r="B84" s="111" t="s">
        <v>1403</v>
      </c>
      <c r="C84" s="113"/>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01"/>
    </row>
    <row r="85" ht="15.75" customHeight="1">
      <c r="A85" s="108" t="s">
        <v>1520</v>
      </c>
      <c r="B85" s="111" t="s">
        <v>212</v>
      </c>
      <c r="C85" s="113"/>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01"/>
    </row>
    <row r="86" ht="15.75" customHeight="1">
      <c r="A86" s="108" t="s">
        <v>1533</v>
      </c>
      <c r="B86" s="111" t="s">
        <v>212</v>
      </c>
      <c r="C86" s="113"/>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01"/>
    </row>
    <row r="87" ht="15.75" customHeight="1">
      <c r="A87" s="108" t="s">
        <v>1537</v>
      </c>
      <c r="B87" s="111" t="s">
        <v>212</v>
      </c>
      <c r="C87" s="113"/>
      <c r="D87" s="111"/>
      <c r="E87" s="111"/>
      <c r="F87" s="111"/>
      <c r="G87" s="111"/>
      <c r="H87" s="111" t="s">
        <v>1538</v>
      </c>
      <c r="I87" s="111"/>
      <c r="J87" s="111"/>
      <c r="K87" s="111"/>
      <c r="L87" s="111"/>
      <c r="M87" s="111"/>
      <c r="N87" s="111"/>
      <c r="O87" s="111"/>
      <c r="P87" s="111"/>
      <c r="Q87" s="111"/>
      <c r="R87" s="111"/>
      <c r="S87" s="111"/>
      <c r="T87" s="111"/>
      <c r="U87" s="111"/>
      <c r="V87" s="111"/>
      <c r="W87" s="111"/>
      <c r="X87" s="111"/>
      <c r="Y87" s="111"/>
      <c r="Z87" s="111"/>
      <c r="AA87" s="111"/>
      <c r="AB87" s="111"/>
      <c r="AC87" s="111"/>
      <c r="AD87" s="111"/>
      <c r="AE87" s="101"/>
    </row>
    <row r="88" ht="15.75" customHeight="1">
      <c r="A88" s="108" t="s">
        <v>1541</v>
      </c>
      <c r="B88" s="111" t="s">
        <v>212</v>
      </c>
      <c r="C88" s="113"/>
      <c r="D88" s="111"/>
      <c r="E88" s="111"/>
      <c r="F88" s="111"/>
      <c r="G88" s="111"/>
      <c r="H88" s="111" t="s">
        <v>1548</v>
      </c>
      <c r="I88" s="111"/>
      <c r="J88" s="111"/>
      <c r="K88" s="111"/>
      <c r="L88" s="111"/>
      <c r="M88" s="111"/>
      <c r="N88" s="111"/>
      <c r="O88" s="111"/>
      <c r="P88" s="111"/>
      <c r="Q88" s="111"/>
      <c r="R88" s="111"/>
      <c r="S88" s="111"/>
      <c r="T88" s="111"/>
      <c r="U88" s="111"/>
      <c r="V88" s="111"/>
      <c r="W88" s="111"/>
      <c r="X88" s="111"/>
      <c r="Y88" s="111"/>
      <c r="Z88" s="111"/>
      <c r="AA88" s="111"/>
      <c r="AB88" s="111"/>
      <c r="AC88" s="111"/>
      <c r="AD88" s="111"/>
      <c r="AE88" s="101"/>
    </row>
    <row r="89" ht="15.75" customHeight="1">
      <c r="A89" s="108" t="s">
        <v>1550</v>
      </c>
      <c r="B89" s="111" t="s">
        <v>212</v>
      </c>
      <c r="C89" s="113"/>
      <c r="D89" s="111"/>
      <c r="E89" s="111"/>
      <c r="F89" s="111"/>
      <c r="G89" s="111"/>
      <c r="H89" s="111" t="s">
        <v>1555</v>
      </c>
      <c r="I89" s="111"/>
      <c r="J89" s="111"/>
      <c r="K89" s="111"/>
      <c r="L89" s="111"/>
      <c r="M89" s="111"/>
      <c r="N89" s="111"/>
      <c r="O89" s="111"/>
      <c r="P89" s="111"/>
      <c r="Q89" s="111"/>
      <c r="R89" s="111"/>
      <c r="S89" s="111"/>
      <c r="T89" s="111"/>
      <c r="U89" s="111"/>
      <c r="V89" s="111"/>
      <c r="W89" s="111"/>
      <c r="X89" s="111"/>
      <c r="Y89" s="111"/>
      <c r="Z89" s="111"/>
      <c r="AA89" s="111"/>
      <c r="AB89" s="111"/>
      <c r="AC89" s="111"/>
      <c r="AD89" s="111"/>
      <c r="AE89" s="101"/>
    </row>
    <row r="90" ht="15.75" customHeight="1">
      <c r="C90" s="12"/>
    </row>
    <row r="91" ht="15.75" customHeight="1">
      <c r="A91" s="229" t="s">
        <v>1564</v>
      </c>
      <c r="B91" s="230"/>
      <c r="C91" s="231"/>
      <c r="D91" s="232"/>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5.75" customHeight="1">
      <c r="A92" s="233" t="s">
        <v>1585</v>
      </c>
      <c r="B92" s="234"/>
      <c r="C92" s="230"/>
      <c r="D92" s="232"/>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5.75" customHeight="1">
      <c r="C93" s="12"/>
    </row>
    <row r="94" ht="15.75" customHeight="1">
      <c r="A94" s="239" t="s">
        <v>1603</v>
      </c>
      <c r="B94" s="239" t="s">
        <v>1604</v>
      </c>
      <c r="C94" s="239" t="s">
        <v>1606</v>
      </c>
      <c r="D94" s="239" t="s">
        <v>1608</v>
      </c>
    </row>
    <row r="95" ht="15.75" customHeight="1">
      <c r="A95" s="241" t="s">
        <v>1610</v>
      </c>
      <c r="B95" s="241" t="s">
        <v>1611</v>
      </c>
      <c r="C95" s="241" t="s">
        <v>1612</v>
      </c>
      <c r="D95" s="241">
        <v>2.0</v>
      </c>
    </row>
    <row r="96" ht="15.75" customHeight="1">
      <c r="A96" s="241" t="s">
        <v>1614</v>
      </c>
      <c r="B96" s="241" t="s">
        <v>1615</v>
      </c>
      <c r="C96" s="242" t="str">
        <f>"3 - 2"</f>
        <v>3 - 2</v>
      </c>
      <c r="D96" s="241">
        <v>1.0</v>
      </c>
    </row>
    <row r="97" ht="15.75" customHeight="1">
      <c r="A97" s="241" t="s">
        <v>1618</v>
      </c>
      <c r="B97" s="241" t="s">
        <v>1619</v>
      </c>
      <c r="C97" s="241" t="s">
        <v>1620</v>
      </c>
      <c r="D97" s="241">
        <v>6.0</v>
      </c>
    </row>
    <row r="98" ht="15.75" customHeight="1">
      <c r="A98" s="241" t="s">
        <v>1621</v>
      </c>
      <c r="B98" s="241" t="s">
        <v>1622</v>
      </c>
      <c r="C98" s="241" t="s">
        <v>1623</v>
      </c>
      <c r="D98" s="241">
        <v>5.0</v>
      </c>
    </row>
    <row r="99" ht="15.75" customHeight="1">
      <c r="A99" s="241" t="s">
        <v>1625</v>
      </c>
      <c r="B99" s="241" t="s">
        <v>1628</v>
      </c>
      <c r="C99" s="241" t="s">
        <v>1633</v>
      </c>
      <c r="D99" s="241">
        <v>1.0</v>
      </c>
    </row>
    <row r="100" ht="15.75" customHeight="1">
      <c r="A100" s="241" t="s">
        <v>1638</v>
      </c>
      <c r="B100" s="241" t="s">
        <v>1640</v>
      </c>
      <c r="C100" s="241" t="s">
        <v>1642</v>
      </c>
      <c r="D100" s="241" t="s">
        <v>1643</v>
      </c>
    </row>
    <row r="101" ht="15.75" customHeight="1">
      <c r="A101" s="241" t="s">
        <v>1644</v>
      </c>
      <c r="B101" s="241" t="s">
        <v>1645</v>
      </c>
      <c r="C101" s="241" t="s">
        <v>1648</v>
      </c>
      <c r="D101" s="241" t="s">
        <v>1643</v>
      </c>
    </row>
    <row r="102" ht="15.75" customHeight="1">
      <c r="A102" s="241" t="s">
        <v>1649</v>
      </c>
      <c r="B102" s="241" t="s">
        <v>1650</v>
      </c>
      <c r="C102" s="241" t="s">
        <v>1651</v>
      </c>
      <c r="D102" s="241" t="s">
        <v>1643</v>
      </c>
    </row>
    <row r="103" ht="15.75" customHeight="1">
      <c r="A103" s="241" t="s">
        <v>1655</v>
      </c>
      <c r="B103" s="241" t="s">
        <v>1656</v>
      </c>
      <c r="C103" s="241" t="s">
        <v>1657</v>
      </c>
      <c r="D103" s="241" t="s">
        <v>1643</v>
      </c>
    </row>
    <row r="104" ht="15.75" customHeight="1">
      <c r="A104" s="241" t="s">
        <v>1658</v>
      </c>
      <c r="B104" s="241" t="s">
        <v>1659</v>
      </c>
      <c r="C104" s="241" t="s">
        <v>1662</v>
      </c>
      <c r="D104" s="241" t="s">
        <v>1643</v>
      </c>
    </row>
    <row r="105" ht="15.75" customHeight="1">
      <c r="A105" s="241" t="s">
        <v>1665</v>
      </c>
      <c r="B105" s="241" t="s">
        <v>1666</v>
      </c>
      <c r="C105" s="241" t="s">
        <v>1667</v>
      </c>
      <c r="D105" s="241" t="s">
        <v>1643</v>
      </c>
    </row>
    <row r="106" ht="15.75" customHeight="1">
      <c r="A106" s="241" t="s">
        <v>1672</v>
      </c>
      <c r="B106" s="241" t="s">
        <v>1673</v>
      </c>
      <c r="C106" s="241" t="s">
        <v>1675</v>
      </c>
      <c r="D106" s="241" t="s">
        <v>1643</v>
      </c>
    </row>
    <row r="107" ht="15.75" customHeight="1">
      <c r="A107" s="241" t="s">
        <v>1680</v>
      </c>
      <c r="B107" s="241" t="s">
        <v>1681</v>
      </c>
      <c r="C107" s="241" t="s">
        <v>1683</v>
      </c>
      <c r="D107" s="241" t="s">
        <v>1643</v>
      </c>
    </row>
    <row r="108" ht="15.75" customHeight="1">
      <c r="A108" s="241" t="s">
        <v>1684</v>
      </c>
      <c r="B108" s="241" t="s">
        <v>1685</v>
      </c>
      <c r="C108" s="241" t="s">
        <v>1686</v>
      </c>
      <c r="D108" s="241" t="s">
        <v>1687</v>
      </c>
    </row>
    <row r="109" ht="15.75" customHeight="1">
      <c r="A109" s="243"/>
      <c r="B109" s="243"/>
      <c r="C109" s="244"/>
      <c r="D109" s="243"/>
    </row>
    <row r="110" ht="15.75" customHeight="1">
      <c r="A110" s="243"/>
      <c r="B110" s="239" t="s">
        <v>1698</v>
      </c>
      <c r="C110" s="239" t="s">
        <v>1606</v>
      </c>
      <c r="D110" s="243"/>
    </row>
    <row r="111" ht="15.75" customHeight="1">
      <c r="A111" s="243"/>
      <c r="B111" s="241" t="s">
        <v>1702</v>
      </c>
      <c r="C111" s="241" t="s">
        <v>1704</v>
      </c>
      <c r="D111" s="243"/>
    </row>
    <row r="112" ht="15.75" customHeight="1">
      <c r="A112" s="243"/>
      <c r="B112" s="241" t="s">
        <v>1705</v>
      </c>
      <c r="C112" s="245" t="s">
        <v>1707</v>
      </c>
      <c r="D112" s="243"/>
    </row>
    <row r="113" ht="15.75" customHeight="1">
      <c r="A113" s="243"/>
      <c r="B113" s="246" t="s">
        <v>1714</v>
      </c>
      <c r="C113" s="247" t="s">
        <v>1715</v>
      </c>
      <c r="D113" s="243"/>
    </row>
    <row r="114" ht="15.75" customHeight="1">
      <c r="A114" s="243"/>
      <c r="B114" s="247" t="s">
        <v>1715</v>
      </c>
      <c r="C114" s="247" t="s">
        <v>1715</v>
      </c>
      <c r="D114" s="243"/>
    </row>
    <row r="115" ht="15.75" customHeight="1">
      <c r="A115" s="243"/>
      <c r="B115" s="247" t="s">
        <v>1723</v>
      </c>
      <c r="C115" s="247" t="s">
        <v>1724</v>
      </c>
      <c r="D115" s="243"/>
    </row>
    <row r="116" ht="15.75" customHeight="1">
      <c r="A116" s="243"/>
      <c r="B116" s="247" t="s">
        <v>1725</v>
      </c>
      <c r="C116" s="247" t="s">
        <v>1726</v>
      </c>
      <c r="D116" s="243"/>
    </row>
    <row r="117" ht="15.75" customHeight="1">
      <c r="A117" s="243"/>
      <c r="B117" s="247" t="s">
        <v>1728</v>
      </c>
      <c r="C117" s="247" t="s">
        <v>1731</v>
      </c>
      <c r="D117" s="243"/>
    </row>
    <row r="118" ht="15.75" customHeight="1">
      <c r="A118" s="243"/>
      <c r="B118" s="247" t="s">
        <v>1737</v>
      </c>
      <c r="C118" s="247" t="s">
        <v>1738</v>
      </c>
      <c r="D118" s="243"/>
    </row>
    <row r="119" ht="15.75" customHeight="1">
      <c r="A119" s="243"/>
      <c r="B119" s="247" t="s">
        <v>1739</v>
      </c>
      <c r="C119" s="247" t="s">
        <v>1740</v>
      </c>
      <c r="D119" s="243"/>
    </row>
    <row r="120" ht="15.75" customHeight="1">
      <c r="A120" s="243"/>
      <c r="B120" s="247" t="s">
        <v>1741</v>
      </c>
      <c r="C120" s="247" t="s">
        <v>1742</v>
      </c>
      <c r="D120" s="243"/>
    </row>
    <row r="121" ht="15.75" customHeight="1">
      <c r="A121" s="243"/>
      <c r="B121" s="247" t="s">
        <v>1746</v>
      </c>
      <c r="C121" s="247" t="s">
        <v>1747</v>
      </c>
      <c r="D121" s="243"/>
    </row>
    <row r="122" ht="15.75" customHeight="1">
      <c r="A122" s="243"/>
      <c r="B122" s="247" t="s">
        <v>440</v>
      </c>
      <c r="C122" s="247" t="s">
        <v>440</v>
      </c>
      <c r="D122" s="243"/>
    </row>
    <row r="123" ht="15.75" customHeight="1">
      <c r="A123" s="243"/>
      <c r="B123" s="247" t="s">
        <v>1748</v>
      </c>
      <c r="C123" s="247" t="s">
        <v>1749</v>
      </c>
      <c r="D123" s="243"/>
    </row>
    <row r="124" ht="15.75" customHeight="1">
      <c r="A124" s="243"/>
      <c r="B124" s="247" t="s">
        <v>1753</v>
      </c>
      <c r="C124" s="247" t="s">
        <v>1754</v>
      </c>
      <c r="D124" s="243"/>
    </row>
    <row r="125" ht="15.75" customHeight="1">
      <c r="A125" s="243"/>
      <c r="B125" s="247" t="s">
        <v>1758</v>
      </c>
      <c r="C125" s="247" t="s">
        <v>1759</v>
      </c>
      <c r="D125" s="243"/>
    </row>
    <row r="126" ht="15.75" customHeight="1">
      <c r="A126" s="243"/>
      <c r="B126" s="247" t="s">
        <v>1762</v>
      </c>
      <c r="C126" s="247" t="s">
        <v>1764</v>
      </c>
      <c r="D126" s="243"/>
    </row>
    <row r="127" ht="15.75" customHeight="1">
      <c r="A127" s="243"/>
      <c r="B127" s="247" t="s">
        <v>1766</v>
      </c>
      <c r="C127" s="247" t="s">
        <v>1769</v>
      </c>
      <c r="D127" s="243"/>
    </row>
    <row r="128" ht="15.75" customHeight="1">
      <c r="A128" s="243"/>
      <c r="B128" s="247" t="s">
        <v>1770</v>
      </c>
      <c r="C128" s="247" t="s">
        <v>1771</v>
      </c>
      <c r="D128" s="243"/>
    </row>
    <row r="129" ht="15.75" customHeight="1">
      <c r="A129" s="243"/>
      <c r="B129" s="247" t="s">
        <v>1775</v>
      </c>
      <c r="C129" s="247" t="s">
        <v>1777</v>
      </c>
      <c r="D129" s="243"/>
    </row>
    <row r="130" ht="15.75" customHeight="1">
      <c r="A130" s="243"/>
      <c r="B130" s="247" t="s">
        <v>1783</v>
      </c>
      <c r="C130" s="247" t="s">
        <v>1784</v>
      </c>
      <c r="D130" s="243"/>
    </row>
    <row r="131" ht="15.75" customHeight="1">
      <c r="A131" s="243"/>
      <c r="B131" s="247" t="s">
        <v>1785</v>
      </c>
      <c r="C131" s="247" t="s">
        <v>1786</v>
      </c>
      <c r="D131" s="243"/>
    </row>
    <row r="132" ht="15.75" customHeight="1">
      <c r="A132" s="243"/>
      <c r="B132" s="247" t="s">
        <v>1788</v>
      </c>
      <c r="C132" s="247" t="s">
        <v>1791</v>
      </c>
      <c r="D132" s="243"/>
    </row>
    <row r="133" ht="15.75" customHeight="1">
      <c r="A133" s="243"/>
      <c r="B133" s="247" t="s">
        <v>1795</v>
      </c>
      <c r="C133" s="247" t="s">
        <v>1796</v>
      </c>
      <c r="D133" s="243"/>
    </row>
    <row r="134" ht="15.75" customHeight="1">
      <c r="A134" s="243"/>
      <c r="B134" s="253" t="s">
        <v>1801</v>
      </c>
      <c r="C134" s="253" t="s">
        <v>1805</v>
      </c>
      <c r="D134" s="243"/>
    </row>
    <row r="135" ht="15.75" customHeight="1">
      <c r="A135" s="243"/>
      <c r="B135" s="253" t="s">
        <v>1808</v>
      </c>
      <c r="C135" s="253" t="s">
        <v>1210</v>
      </c>
      <c r="D135" s="243"/>
    </row>
    <row r="136" ht="15.75" customHeight="1">
      <c r="A136" s="243"/>
      <c r="B136" s="253" t="s">
        <v>1810</v>
      </c>
      <c r="C136" s="253" t="s">
        <v>1810</v>
      </c>
      <c r="D136" s="243"/>
    </row>
    <row r="137" ht="15.75" customHeight="1">
      <c r="A137" s="243"/>
      <c r="B137" s="253" t="s">
        <v>80</v>
      </c>
      <c r="C137" s="253" t="s">
        <v>80</v>
      </c>
      <c r="D137" s="243"/>
    </row>
    <row r="138" ht="15.75" customHeight="1">
      <c r="A138" s="243"/>
      <c r="B138" s="253" t="s">
        <v>1815</v>
      </c>
      <c r="C138" s="253" t="s">
        <v>1816</v>
      </c>
      <c r="D138" s="243"/>
    </row>
    <row r="139" ht="15.75" customHeight="1">
      <c r="A139" s="243"/>
      <c r="B139" s="253" t="s">
        <v>1817</v>
      </c>
      <c r="C139" s="253" t="s">
        <v>1818</v>
      </c>
      <c r="D139" s="243"/>
    </row>
    <row r="140" ht="15.75" customHeight="1">
      <c r="A140" s="243"/>
      <c r="B140" s="253" t="s">
        <v>1820</v>
      </c>
      <c r="C140" s="253" t="s">
        <v>1821</v>
      </c>
      <c r="D140" s="243"/>
    </row>
    <row r="141" ht="15.75" customHeight="1">
      <c r="A141" s="243"/>
      <c r="B141" s="253" t="s">
        <v>1822</v>
      </c>
      <c r="C141" s="253" t="s">
        <v>1823</v>
      </c>
      <c r="D141" s="243"/>
    </row>
    <row r="142" ht="15.75" customHeight="1">
      <c r="A142" s="243"/>
      <c r="B142" s="253" t="s">
        <v>1824</v>
      </c>
      <c r="C142" s="253" t="s">
        <v>1825</v>
      </c>
      <c r="D142" s="243"/>
    </row>
    <row r="143" ht="15.75" customHeight="1">
      <c r="A143" s="243"/>
      <c r="B143" s="253" t="s">
        <v>1826</v>
      </c>
      <c r="C143" s="253" t="s">
        <v>1826</v>
      </c>
      <c r="D143" s="243"/>
    </row>
    <row r="144" ht="15.75" customHeight="1">
      <c r="A144" s="255"/>
      <c r="B144" s="256" t="s">
        <v>1828</v>
      </c>
      <c r="C144" s="256" t="s">
        <v>1829</v>
      </c>
      <c r="D144" s="255"/>
    </row>
    <row r="145" ht="15.75" customHeight="1">
      <c r="A145" s="16"/>
      <c r="B145" s="257"/>
      <c r="C145" s="257"/>
      <c r="D145" s="16"/>
      <c r="E145" s="16"/>
    </row>
    <row r="146" ht="15.75" customHeight="1">
      <c r="A146" s="16"/>
      <c r="B146" s="257"/>
      <c r="C146" s="257"/>
      <c r="D146" s="16"/>
      <c r="E146" s="16"/>
    </row>
    <row r="147" ht="15.75" customHeight="1">
      <c r="A147" s="16"/>
      <c r="B147" s="257"/>
      <c r="C147" s="257"/>
      <c r="D147" s="16"/>
      <c r="E147" s="16"/>
    </row>
    <row r="148" ht="15.75" customHeight="1">
      <c r="A148" s="16"/>
      <c r="B148" s="257"/>
      <c r="C148" s="257"/>
      <c r="D148" s="16"/>
      <c r="E148" s="16"/>
    </row>
    <row r="149" ht="15.75" customHeight="1">
      <c r="A149" s="16"/>
      <c r="B149" s="257"/>
      <c r="C149" s="257"/>
      <c r="D149" s="16"/>
      <c r="E149" s="16"/>
    </row>
    <row r="150" ht="15.75" customHeight="1">
      <c r="A150" s="16"/>
      <c r="B150" s="257"/>
      <c r="C150" s="257"/>
      <c r="D150" s="16"/>
      <c r="E150" s="16"/>
    </row>
    <row r="151" ht="15.75" customHeight="1">
      <c r="A151" s="16"/>
      <c r="B151" s="257"/>
      <c r="C151" s="257"/>
      <c r="D151" s="16"/>
      <c r="E151" s="16"/>
    </row>
    <row r="152" ht="15.75" customHeight="1">
      <c r="A152" s="16"/>
      <c r="B152" s="257"/>
      <c r="C152" s="257"/>
      <c r="D152" s="16"/>
      <c r="E152" s="16"/>
    </row>
    <row r="153" ht="15.75" customHeight="1">
      <c r="A153" s="16"/>
      <c r="B153" s="257"/>
      <c r="C153" s="257"/>
      <c r="D153" s="16"/>
      <c r="E153" s="16"/>
    </row>
    <row r="154" ht="15.75" customHeight="1">
      <c r="A154" s="16"/>
      <c r="B154" s="257"/>
      <c r="C154" s="257"/>
      <c r="D154" s="16"/>
      <c r="E154" s="16"/>
    </row>
    <row r="155" ht="15.75" customHeight="1">
      <c r="A155" s="16"/>
      <c r="B155" s="257"/>
      <c r="C155" s="257"/>
      <c r="D155" s="16"/>
      <c r="E155" s="16"/>
    </row>
    <row r="156" ht="15.75" customHeight="1">
      <c r="A156" s="16"/>
      <c r="B156" s="16"/>
      <c r="C156" s="12"/>
      <c r="D156" s="16"/>
      <c r="E156" s="16"/>
    </row>
    <row r="157" ht="15.75" customHeight="1">
      <c r="A157" s="16"/>
      <c r="B157" s="16"/>
      <c r="C157" s="12"/>
      <c r="D157" s="16"/>
      <c r="E157" s="16"/>
    </row>
    <row r="158" ht="15.75" customHeight="1">
      <c r="A158" s="16"/>
      <c r="B158" s="16"/>
      <c r="C158" s="12"/>
      <c r="D158" s="16"/>
      <c r="E158" s="16"/>
    </row>
    <row r="159" ht="15.75" customHeight="1">
      <c r="A159" s="16"/>
      <c r="B159" s="16"/>
      <c r="C159" s="12"/>
      <c r="D159" s="16"/>
      <c r="E159" s="16"/>
    </row>
    <row r="160" ht="15.75" customHeight="1">
      <c r="A160" s="16"/>
      <c r="B160" s="16"/>
      <c r="C160" s="12"/>
      <c r="D160" s="16"/>
      <c r="E160" s="16"/>
    </row>
    <row r="161" ht="15.75" customHeight="1">
      <c r="C161" s="12"/>
    </row>
    <row r="162" ht="15.75" customHeight="1">
      <c r="C162" s="12"/>
    </row>
    <row r="163" ht="15.75" customHeight="1">
      <c r="C163" s="12"/>
    </row>
    <row r="164" ht="15.75" customHeight="1">
      <c r="C164" s="12"/>
    </row>
    <row r="165" ht="15.75" customHeight="1">
      <c r="C165" s="12"/>
    </row>
    <row r="166" ht="15.75" customHeight="1">
      <c r="C166" s="12"/>
    </row>
    <row r="167" ht="15.75" customHeight="1">
      <c r="C167" s="12"/>
    </row>
    <row r="168" ht="15.75" customHeight="1">
      <c r="C168" s="12"/>
    </row>
    <row r="169" ht="15.75" customHeight="1">
      <c r="C169" s="12"/>
    </row>
    <row r="170" ht="15.75" customHeight="1">
      <c r="C170" s="12"/>
    </row>
    <row r="171" ht="15.75" customHeight="1">
      <c r="C171" s="12"/>
    </row>
    <row r="172" ht="15.75" customHeight="1">
      <c r="C172" s="12"/>
    </row>
    <row r="173" ht="15.75" customHeight="1">
      <c r="C173" s="12"/>
    </row>
    <row r="174" ht="15.75" customHeight="1">
      <c r="C174" s="12"/>
    </row>
    <row r="175" ht="15.75" customHeight="1">
      <c r="C175" s="12"/>
    </row>
    <row r="176" ht="15.75" customHeight="1">
      <c r="C176" s="12"/>
    </row>
    <row r="177" ht="15.75" customHeight="1">
      <c r="C177" s="12"/>
    </row>
    <row r="178" ht="15.75" customHeight="1">
      <c r="C178" s="12"/>
    </row>
    <row r="179" ht="15.75" customHeight="1">
      <c r="C179" s="12"/>
    </row>
    <row r="180" ht="15.75" customHeight="1">
      <c r="C180" s="12"/>
    </row>
    <row r="181" ht="15.75" customHeight="1">
      <c r="C181" s="12"/>
    </row>
    <row r="182" ht="15.75" customHeight="1">
      <c r="C182" s="12"/>
    </row>
    <row r="183" ht="15.75" customHeight="1">
      <c r="C183" s="12"/>
    </row>
    <row r="184" ht="15.75" customHeight="1">
      <c r="C184" s="12"/>
    </row>
    <row r="185" ht="15.75" customHeight="1">
      <c r="C185" s="12"/>
    </row>
    <row r="186" ht="15.75" customHeight="1">
      <c r="C186" s="12"/>
    </row>
    <row r="187" ht="15.75" customHeight="1">
      <c r="C187" s="12"/>
    </row>
    <row r="188" ht="15.75" customHeight="1">
      <c r="C188" s="12"/>
    </row>
    <row r="189" ht="15.75" customHeight="1">
      <c r="C189" s="12"/>
    </row>
    <row r="190" ht="15.75" customHeight="1">
      <c r="C190" s="12"/>
    </row>
    <row r="191" ht="15.75" customHeight="1">
      <c r="C191" s="12"/>
    </row>
    <row r="192" ht="15.75" customHeight="1">
      <c r="C192" s="12"/>
    </row>
    <row r="193" ht="15.75" customHeight="1">
      <c r="C193" s="12"/>
    </row>
    <row r="194" ht="15.75" customHeight="1">
      <c r="C194" s="12"/>
    </row>
    <row r="195" ht="15.75" customHeight="1">
      <c r="C195" s="12"/>
    </row>
    <row r="196" ht="15.75" customHeight="1">
      <c r="C196" s="12"/>
    </row>
    <row r="197" ht="15.75" customHeight="1">
      <c r="C197" s="12"/>
    </row>
    <row r="198" ht="15.75" customHeight="1">
      <c r="C198" s="12"/>
    </row>
    <row r="199" ht="15.75" customHeight="1">
      <c r="C199" s="12"/>
    </row>
    <row r="200" ht="15.75" customHeight="1">
      <c r="C200" s="12"/>
    </row>
    <row r="201" ht="15.75" customHeight="1">
      <c r="C201" s="12"/>
    </row>
    <row r="202" ht="15.75" customHeight="1">
      <c r="C202" s="12"/>
    </row>
    <row r="203" ht="15.75" customHeight="1">
      <c r="C203" s="12"/>
    </row>
    <row r="204" ht="15.75" customHeight="1">
      <c r="C204" s="12"/>
    </row>
    <row r="205" ht="15.75" customHeight="1">
      <c r="C205" s="12"/>
    </row>
    <row r="206" ht="15.75" customHeight="1">
      <c r="C206" s="12"/>
    </row>
    <row r="207" ht="15.75" customHeight="1">
      <c r="C207" s="12"/>
    </row>
    <row r="208" ht="15.75" customHeight="1">
      <c r="C208" s="12"/>
    </row>
    <row r="209" ht="15.75" customHeight="1">
      <c r="C209" s="12"/>
    </row>
    <row r="210" ht="15.75" customHeight="1">
      <c r="C210" s="12"/>
    </row>
    <row r="211" ht="15.75" customHeight="1">
      <c r="C211" s="12"/>
    </row>
    <row r="212" ht="15.75" customHeight="1">
      <c r="C212" s="12"/>
    </row>
    <row r="213" ht="15.75" customHeight="1">
      <c r="C213" s="12"/>
    </row>
    <row r="214" ht="15.75" customHeight="1">
      <c r="C214" s="12"/>
    </row>
    <row r="215" ht="15.75" customHeight="1">
      <c r="C215" s="12"/>
    </row>
    <row r="216" ht="15.75" customHeight="1">
      <c r="C216" s="12"/>
    </row>
    <row r="217" ht="15.75" customHeight="1">
      <c r="C217" s="12"/>
    </row>
    <row r="218" ht="15.75" customHeight="1">
      <c r="C218" s="12"/>
    </row>
    <row r="219" ht="15.75" customHeight="1">
      <c r="C219" s="12"/>
    </row>
    <row r="220" ht="15.75" customHeight="1">
      <c r="C220" s="12"/>
    </row>
    <row r="221" ht="15.75" customHeight="1">
      <c r="C221" s="12"/>
    </row>
    <row r="222" ht="15.75" customHeight="1">
      <c r="C222" s="12"/>
    </row>
    <row r="223" ht="15.75" customHeight="1">
      <c r="C223" s="12"/>
    </row>
    <row r="224" ht="15.75" customHeight="1">
      <c r="C224" s="12"/>
    </row>
    <row r="225" ht="15.75" customHeight="1">
      <c r="C225" s="12"/>
    </row>
    <row r="226" ht="15.75" customHeight="1">
      <c r="C226" s="12"/>
    </row>
    <row r="227" ht="15.75" customHeight="1">
      <c r="C227" s="12"/>
    </row>
    <row r="228" ht="15.75" customHeight="1">
      <c r="C228" s="12"/>
    </row>
    <row r="229" ht="15.75" customHeight="1">
      <c r="C229" s="12"/>
    </row>
    <row r="230" ht="15.75" customHeight="1">
      <c r="C230" s="12"/>
    </row>
    <row r="231" ht="15.75" customHeight="1">
      <c r="C231" s="12"/>
    </row>
    <row r="232" ht="15.75" customHeight="1">
      <c r="C232" s="12"/>
    </row>
    <row r="233" ht="15.75" customHeight="1">
      <c r="C233" s="12"/>
    </row>
    <row r="234" ht="15.75" customHeight="1">
      <c r="C234" s="12"/>
    </row>
    <row r="235" ht="15.75" customHeight="1">
      <c r="C235" s="12"/>
    </row>
    <row r="236" ht="15.75" customHeight="1">
      <c r="C236" s="12"/>
    </row>
    <row r="237" ht="15.75" customHeight="1">
      <c r="C237" s="12"/>
    </row>
    <row r="238" ht="15.75" customHeight="1">
      <c r="C238" s="12"/>
    </row>
    <row r="239" ht="15.75" customHeight="1">
      <c r="C239" s="12"/>
    </row>
    <row r="240" ht="15.75" customHeight="1">
      <c r="C240" s="12"/>
    </row>
    <row r="241" ht="15.75" customHeight="1">
      <c r="C241" s="12"/>
    </row>
    <row r="242" ht="15.75" customHeight="1">
      <c r="C242" s="12"/>
    </row>
    <row r="243" ht="15.75" customHeight="1">
      <c r="C243" s="12"/>
    </row>
    <row r="244" ht="15.75" customHeight="1">
      <c r="C244" s="12"/>
    </row>
    <row r="245" ht="15.75" customHeight="1">
      <c r="C245" s="12"/>
    </row>
    <row r="246" ht="15.75" customHeight="1">
      <c r="C246" s="12"/>
    </row>
    <row r="247" ht="15.75" customHeight="1">
      <c r="C247" s="12"/>
    </row>
    <row r="248" ht="15.75" customHeight="1">
      <c r="C248" s="12"/>
    </row>
    <row r="249" ht="15.75" customHeight="1">
      <c r="C249" s="12"/>
    </row>
    <row r="250" ht="15.75" customHeight="1">
      <c r="C250" s="12"/>
    </row>
    <row r="251" ht="15.75" customHeight="1">
      <c r="C251" s="12"/>
    </row>
    <row r="252" ht="15.75" customHeight="1">
      <c r="C252" s="12"/>
    </row>
    <row r="253" ht="15.75" customHeight="1">
      <c r="C253" s="12"/>
    </row>
    <row r="254" ht="15.75" customHeight="1">
      <c r="C254" s="12"/>
    </row>
    <row r="255" ht="15.75" customHeight="1">
      <c r="C255" s="12"/>
    </row>
    <row r="256" ht="15.75" customHeight="1">
      <c r="C256" s="12"/>
    </row>
    <row r="257" ht="15.75" customHeight="1">
      <c r="C257" s="12"/>
    </row>
    <row r="258" ht="15.75" customHeight="1">
      <c r="C258" s="12"/>
    </row>
    <row r="259" ht="15.75" customHeight="1">
      <c r="C259" s="12"/>
    </row>
    <row r="260" ht="15.75" customHeight="1">
      <c r="C260" s="12"/>
    </row>
    <row r="261" ht="15.75" customHeight="1">
      <c r="C261" s="12"/>
    </row>
    <row r="262" ht="15.75" customHeight="1">
      <c r="C262" s="12"/>
    </row>
    <row r="263" ht="15.75" customHeight="1">
      <c r="C263" s="12"/>
    </row>
    <row r="264" ht="15.75" customHeight="1">
      <c r="C264" s="12"/>
    </row>
    <row r="265" ht="15.75" customHeight="1">
      <c r="C265" s="12"/>
    </row>
    <row r="266" ht="15.75" customHeight="1">
      <c r="C266" s="12"/>
    </row>
    <row r="267" ht="15.75" customHeight="1">
      <c r="C267" s="12"/>
    </row>
    <row r="268" ht="15.75" customHeight="1">
      <c r="C268" s="12"/>
    </row>
    <row r="269" ht="15.75" customHeight="1">
      <c r="C269" s="12"/>
    </row>
    <row r="270" ht="15.75" customHeight="1">
      <c r="C270" s="12"/>
    </row>
    <row r="271" ht="15.75" customHeight="1">
      <c r="C271" s="12"/>
    </row>
    <row r="272" ht="15.75" customHeight="1">
      <c r="C272" s="12"/>
    </row>
    <row r="273" ht="15.75" customHeight="1">
      <c r="C273" s="12"/>
    </row>
    <row r="274" ht="15.75" customHeight="1">
      <c r="C274" s="12"/>
    </row>
    <row r="275" ht="15.75" customHeight="1">
      <c r="C275" s="12"/>
    </row>
    <row r="276" ht="15.75" customHeight="1">
      <c r="C276" s="12"/>
    </row>
    <row r="277" ht="15.75" customHeight="1">
      <c r="C277" s="12"/>
    </row>
    <row r="278" ht="15.75" customHeight="1">
      <c r="C278" s="12"/>
    </row>
    <row r="279" ht="15.75" customHeight="1">
      <c r="C279" s="12"/>
    </row>
    <row r="280" ht="15.75" customHeight="1">
      <c r="C280" s="12"/>
    </row>
    <row r="281" ht="15.75" customHeight="1">
      <c r="C281" s="12"/>
    </row>
    <row r="282" ht="15.75" customHeight="1">
      <c r="C282" s="12"/>
    </row>
    <row r="283" ht="15.75" customHeight="1">
      <c r="C283" s="12"/>
    </row>
    <row r="284" ht="15.75" customHeight="1">
      <c r="C284" s="12"/>
    </row>
    <row r="285" ht="15.75" customHeight="1">
      <c r="C285" s="12"/>
    </row>
    <row r="286" ht="15.75" customHeight="1">
      <c r="C286" s="12"/>
    </row>
    <row r="287" ht="15.75" customHeight="1">
      <c r="C287" s="12"/>
    </row>
    <row r="288" ht="15.75" customHeight="1">
      <c r="C288" s="12"/>
    </row>
    <row r="289" ht="15.75" customHeight="1">
      <c r="C289" s="12"/>
    </row>
    <row r="290" ht="15.75" customHeight="1">
      <c r="C290" s="12"/>
    </row>
    <row r="291" ht="15.75" customHeight="1">
      <c r="C291" s="12"/>
    </row>
    <row r="292" ht="15.75" customHeight="1">
      <c r="C292" s="12"/>
    </row>
    <row r="293" ht="15.75" customHeight="1">
      <c r="C293" s="12"/>
    </row>
    <row r="294" ht="15.75" customHeight="1">
      <c r="C294" s="12"/>
    </row>
    <row r="295" ht="15.75" customHeight="1">
      <c r="C295" s="12"/>
    </row>
    <row r="296" ht="15.75" customHeight="1">
      <c r="C296" s="12"/>
    </row>
    <row r="297" ht="15.75" customHeight="1">
      <c r="C297" s="12"/>
    </row>
    <row r="298" ht="15.75" customHeight="1">
      <c r="C298" s="12"/>
    </row>
    <row r="299" ht="15.75" customHeight="1">
      <c r="C299" s="12"/>
    </row>
    <row r="300" ht="15.75" customHeight="1">
      <c r="C300" s="12"/>
    </row>
    <row r="301" ht="15.75" customHeight="1">
      <c r="C301" s="12"/>
    </row>
    <row r="302" ht="15.75" customHeight="1">
      <c r="C302" s="12"/>
    </row>
    <row r="303" ht="15.75" customHeight="1">
      <c r="C303" s="12"/>
    </row>
    <row r="304" ht="15.75" customHeight="1">
      <c r="C304" s="12"/>
    </row>
    <row r="305" ht="15.75" customHeight="1">
      <c r="C305" s="12"/>
    </row>
    <row r="306" ht="15.75" customHeight="1">
      <c r="C306" s="12"/>
    </row>
    <row r="307" ht="15.75" customHeight="1">
      <c r="C307" s="12"/>
    </row>
    <row r="308" ht="15.75" customHeight="1">
      <c r="C308" s="12"/>
    </row>
    <row r="309" ht="15.75" customHeight="1">
      <c r="C309" s="12"/>
    </row>
    <row r="310" ht="15.75" customHeight="1">
      <c r="C310" s="12"/>
    </row>
    <row r="311" ht="15.75" customHeight="1">
      <c r="C311" s="12"/>
    </row>
    <row r="312" ht="15.75" customHeight="1">
      <c r="C312" s="12"/>
    </row>
    <row r="313" ht="15.75" customHeight="1">
      <c r="C313" s="12"/>
    </row>
    <row r="314" ht="15.75" customHeight="1">
      <c r="C314" s="12"/>
    </row>
    <row r="315" ht="15.75" customHeight="1">
      <c r="C315" s="12"/>
    </row>
    <row r="316" ht="15.75" customHeight="1">
      <c r="C316" s="12"/>
    </row>
    <row r="317" ht="15.75" customHeight="1">
      <c r="C317" s="12"/>
    </row>
    <row r="318" ht="15.75" customHeight="1">
      <c r="C318" s="12"/>
    </row>
    <row r="319" ht="15.75" customHeight="1">
      <c r="C319" s="12"/>
    </row>
    <row r="320" ht="15.75" customHeight="1">
      <c r="C320" s="12"/>
    </row>
    <row r="321" ht="15.75" customHeight="1">
      <c r="C321" s="12"/>
    </row>
    <row r="322" ht="15.75" customHeight="1">
      <c r="C322" s="12"/>
    </row>
    <row r="323" ht="15.75" customHeight="1">
      <c r="C323" s="12"/>
    </row>
    <row r="324" ht="15.75" customHeight="1">
      <c r="C324" s="12"/>
    </row>
    <row r="325" ht="15.75" customHeight="1">
      <c r="C325" s="12"/>
    </row>
    <row r="326" ht="15.75" customHeight="1">
      <c r="C326" s="12"/>
    </row>
    <row r="327" ht="15.75" customHeight="1">
      <c r="C327" s="12"/>
    </row>
    <row r="328" ht="15.75" customHeight="1">
      <c r="C328" s="12"/>
    </row>
    <row r="329" ht="15.75" customHeight="1">
      <c r="C329" s="12"/>
    </row>
    <row r="330" ht="15.75" customHeight="1">
      <c r="C330" s="12"/>
    </row>
    <row r="331" ht="15.75" customHeight="1">
      <c r="C331" s="12"/>
    </row>
    <row r="332" ht="15.75" customHeight="1">
      <c r="C332" s="12"/>
    </row>
    <row r="333" ht="15.75" customHeight="1">
      <c r="C333" s="12"/>
    </row>
    <row r="334" ht="15.75" customHeight="1">
      <c r="C334" s="12"/>
    </row>
    <row r="335" ht="15.75" customHeight="1">
      <c r="C335" s="12"/>
    </row>
    <row r="336" ht="15.75" customHeight="1">
      <c r="C336" s="12"/>
    </row>
    <row r="337" ht="15.75" customHeight="1">
      <c r="C337" s="12"/>
    </row>
    <row r="338" ht="15.75" customHeight="1">
      <c r="C338" s="12"/>
    </row>
    <row r="339" ht="15.75" customHeight="1">
      <c r="C339" s="12"/>
    </row>
    <row r="340" ht="15.75" customHeight="1">
      <c r="C340" s="12"/>
    </row>
    <row r="341" ht="15.75" customHeight="1">
      <c r="C341" s="12"/>
    </row>
    <row r="342" ht="15.75" customHeight="1">
      <c r="C342" s="12"/>
    </row>
    <row r="343" ht="15.75" customHeight="1">
      <c r="C343" s="12"/>
    </row>
    <row r="344" ht="15.75" customHeight="1">
      <c r="C344" s="12"/>
    </row>
    <row r="345" ht="15.75" customHeight="1">
      <c r="C345" s="12"/>
    </row>
    <row r="346" ht="15.75" customHeight="1">
      <c r="C346" s="12"/>
    </row>
    <row r="347" ht="15.75" customHeight="1">
      <c r="C347" s="12"/>
    </row>
    <row r="348" ht="15.75" customHeight="1">
      <c r="C348" s="12"/>
    </row>
    <row r="349" ht="15.75" customHeight="1">
      <c r="C349" s="12"/>
    </row>
    <row r="350" ht="15.75" customHeight="1">
      <c r="C350" s="12"/>
    </row>
    <row r="351" ht="15.75" customHeight="1">
      <c r="C351" s="12"/>
    </row>
    <row r="352" ht="15.75" customHeight="1">
      <c r="C352" s="12"/>
    </row>
    <row r="353" ht="15.75" customHeight="1">
      <c r="C353" s="12"/>
    </row>
    <row r="354" ht="15.75" customHeight="1">
      <c r="C354" s="12"/>
    </row>
    <row r="355" ht="15.75" customHeight="1">
      <c r="C355" s="12"/>
    </row>
    <row r="356" ht="15.75" customHeight="1">
      <c r="C356" s="12"/>
    </row>
    <row r="357" ht="15.75" customHeight="1">
      <c r="C357" s="12"/>
    </row>
    <row r="358" ht="15.75" customHeight="1">
      <c r="C358" s="12"/>
    </row>
    <row r="359" ht="15.75" customHeight="1">
      <c r="C359" s="12"/>
    </row>
    <row r="360" ht="15.75" customHeight="1">
      <c r="C360" s="12"/>
    </row>
    <row r="361" ht="15.75" customHeight="1">
      <c r="C361" s="12"/>
    </row>
    <row r="362" ht="15.75" customHeight="1">
      <c r="C362" s="12"/>
    </row>
    <row r="363" ht="15.75" customHeight="1">
      <c r="C363" s="12"/>
    </row>
    <row r="364" ht="15.75" customHeight="1">
      <c r="C364" s="12"/>
    </row>
    <row r="365" ht="15.75" customHeight="1">
      <c r="C365" s="12"/>
    </row>
    <row r="366" ht="15.75" customHeight="1">
      <c r="C366" s="12"/>
    </row>
    <row r="367" ht="15.75" customHeight="1">
      <c r="C367" s="12"/>
    </row>
    <row r="368" ht="15.75" customHeight="1">
      <c r="C368" s="12"/>
    </row>
    <row r="369" ht="15.75" customHeight="1">
      <c r="C369" s="12"/>
    </row>
    <row r="370" ht="15.75" customHeight="1">
      <c r="C370" s="12"/>
    </row>
    <row r="371" ht="15.75" customHeight="1">
      <c r="C371" s="12"/>
    </row>
    <row r="372" ht="15.75" customHeight="1">
      <c r="C372" s="12"/>
    </row>
    <row r="373" ht="15.75" customHeight="1">
      <c r="C373" s="12"/>
    </row>
    <row r="374" ht="15.75" customHeight="1">
      <c r="C374" s="12"/>
    </row>
    <row r="375" ht="15.75" customHeight="1">
      <c r="C375" s="12"/>
    </row>
    <row r="376" ht="15.75" customHeight="1">
      <c r="C376" s="12"/>
    </row>
    <row r="377" ht="15.75" customHeight="1">
      <c r="C377" s="12"/>
    </row>
    <row r="378" ht="15.75" customHeight="1">
      <c r="C378" s="12"/>
    </row>
    <row r="379" ht="15.75" customHeight="1">
      <c r="C379" s="12"/>
    </row>
    <row r="380" ht="15.75" customHeight="1">
      <c r="C380" s="12"/>
    </row>
    <row r="381" ht="15.75" customHeight="1">
      <c r="C381" s="12"/>
    </row>
    <row r="382" ht="15.75" customHeight="1">
      <c r="C382" s="12"/>
    </row>
    <row r="383" ht="15.75" customHeight="1">
      <c r="C383" s="12"/>
    </row>
    <row r="384" ht="15.75" customHeight="1">
      <c r="C384" s="12"/>
    </row>
    <row r="385" ht="15.75" customHeight="1">
      <c r="C385" s="12"/>
    </row>
    <row r="386" ht="15.75" customHeight="1">
      <c r="C386" s="12"/>
    </row>
    <row r="387" ht="15.75" customHeight="1">
      <c r="C387" s="12"/>
    </row>
    <row r="388" ht="15.75" customHeight="1">
      <c r="C388" s="12"/>
    </row>
    <row r="389" ht="15.75" customHeight="1">
      <c r="C389" s="12"/>
    </row>
    <row r="390" ht="15.75" customHeight="1">
      <c r="C390" s="12"/>
    </row>
    <row r="391" ht="15.75" customHeight="1">
      <c r="C391" s="12"/>
    </row>
    <row r="392" ht="15.75" customHeight="1">
      <c r="C392" s="12"/>
    </row>
    <row r="393" ht="15.75" customHeight="1">
      <c r="C393" s="12"/>
    </row>
    <row r="394" ht="15.75" customHeight="1">
      <c r="C394" s="12"/>
    </row>
    <row r="395" ht="15.75" customHeight="1">
      <c r="C395" s="12"/>
    </row>
    <row r="396" ht="15.75" customHeight="1">
      <c r="C396" s="12"/>
    </row>
    <row r="397" ht="15.75" customHeight="1">
      <c r="C397" s="12"/>
    </row>
    <row r="398" ht="15.75" customHeight="1">
      <c r="C398" s="12"/>
    </row>
    <row r="399" ht="15.75" customHeight="1">
      <c r="C399" s="12"/>
    </row>
    <row r="400" ht="15.75" customHeight="1">
      <c r="C400" s="12"/>
    </row>
    <row r="401" ht="15.75" customHeight="1">
      <c r="C401" s="12"/>
    </row>
    <row r="402" ht="15.75" customHeight="1">
      <c r="C402" s="12"/>
    </row>
    <row r="403" ht="15.75" customHeight="1">
      <c r="C403" s="12"/>
    </row>
    <row r="404" ht="15.75" customHeight="1">
      <c r="C404" s="12"/>
    </row>
    <row r="405" ht="15.75" customHeight="1">
      <c r="C405" s="12"/>
    </row>
    <row r="406" ht="15.75" customHeight="1">
      <c r="C406" s="12"/>
    </row>
    <row r="407" ht="15.75" customHeight="1">
      <c r="C407" s="12"/>
    </row>
    <row r="408" ht="15.75" customHeight="1">
      <c r="C408" s="12"/>
    </row>
    <row r="409" ht="15.75" customHeight="1">
      <c r="C409" s="12"/>
    </row>
    <row r="410" ht="15.75" customHeight="1">
      <c r="C410" s="12"/>
    </row>
    <row r="411" ht="15.75" customHeight="1">
      <c r="C411" s="12"/>
    </row>
    <row r="412" ht="15.75" customHeight="1">
      <c r="C412" s="12"/>
    </row>
    <row r="413" ht="15.75" customHeight="1">
      <c r="C413" s="12"/>
    </row>
    <row r="414" ht="15.75" customHeight="1">
      <c r="C414" s="12"/>
    </row>
    <row r="415" ht="15.75" customHeight="1">
      <c r="C415" s="12"/>
    </row>
    <row r="416" ht="15.75" customHeight="1">
      <c r="C416" s="12"/>
    </row>
    <row r="417" ht="15.75" customHeight="1">
      <c r="C417" s="12"/>
    </row>
    <row r="418" ht="15.75" customHeight="1">
      <c r="C418" s="12"/>
    </row>
    <row r="419" ht="15.75" customHeight="1">
      <c r="C419" s="12"/>
    </row>
    <row r="420" ht="15.75" customHeight="1">
      <c r="C420" s="12"/>
    </row>
    <row r="421" ht="15.75" customHeight="1">
      <c r="C421" s="12"/>
    </row>
    <row r="422" ht="15.75" customHeight="1">
      <c r="C422" s="12"/>
    </row>
    <row r="423" ht="15.75" customHeight="1">
      <c r="C423" s="12"/>
    </row>
    <row r="424" ht="15.75" customHeight="1">
      <c r="C424" s="12"/>
    </row>
    <row r="425" ht="15.75" customHeight="1">
      <c r="C425" s="12"/>
    </row>
    <row r="426" ht="15.75" customHeight="1">
      <c r="C426" s="12"/>
    </row>
    <row r="427" ht="15.75" customHeight="1">
      <c r="C427" s="12"/>
    </row>
    <row r="428" ht="15.75" customHeight="1">
      <c r="C428" s="12"/>
    </row>
    <row r="429" ht="15.75" customHeight="1">
      <c r="C429" s="12"/>
    </row>
    <row r="430" ht="15.75" customHeight="1">
      <c r="C430" s="12"/>
    </row>
    <row r="431" ht="15.75" customHeight="1">
      <c r="C431" s="12"/>
    </row>
    <row r="432" ht="15.75" customHeight="1">
      <c r="C432" s="12"/>
    </row>
    <row r="433" ht="15.75" customHeight="1">
      <c r="C433" s="12"/>
    </row>
    <row r="434" ht="15.75" customHeight="1">
      <c r="C434" s="12"/>
    </row>
    <row r="435" ht="15.75" customHeight="1">
      <c r="C435" s="12"/>
    </row>
    <row r="436" ht="15.75" customHeight="1">
      <c r="C436" s="12"/>
    </row>
    <row r="437" ht="15.75" customHeight="1">
      <c r="C437" s="12"/>
    </row>
    <row r="438" ht="15.75" customHeight="1">
      <c r="C438" s="12"/>
    </row>
    <row r="439" ht="15.75" customHeight="1">
      <c r="C439" s="12"/>
    </row>
    <row r="440" ht="15.75" customHeight="1">
      <c r="C440" s="12"/>
    </row>
    <row r="441" ht="15.75" customHeight="1">
      <c r="C441" s="12"/>
    </row>
    <row r="442" ht="15.75" customHeight="1">
      <c r="C442" s="12"/>
    </row>
    <row r="443" ht="15.75" customHeight="1">
      <c r="C443" s="12"/>
    </row>
    <row r="444" ht="15.75" customHeight="1">
      <c r="C444" s="12"/>
    </row>
    <row r="445" ht="15.75" customHeight="1">
      <c r="C445" s="12"/>
    </row>
    <row r="446" ht="15.75" customHeight="1">
      <c r="C446" s="12"/>
    </row>
    <row r="447" ht="15.75" customHeight="1">
      <c r="C447" s="12"/>
    </row>
    <row r="448" ht="15.75" customHeight="1">
      <c r="C448" s="12"/>
    </row>
    <row r="449" ht="15.75" customHeight="1">
      <c r="C449" s="12"/>
    </row>
    <row r="450" ht="15.75" customHeight="1">
      <c r="C450" s="12"/>
    </row>
    <row r="451" ht="15.75" customHeight="1">
      <c r="C451" s="12"/>
    </row>
    <row r="452" ht="15.75" customHeight="1">
      <c r="C452" s="12"/>
    </row>
    <row r="453" ht="15.75" customHeight="1">
      <c r="C453" s="12"/>
    </row>
    <row r="454" ht="15.75" customHeight="1">
      <c r="C454" s="12"/>
    </row>
    <row r="455" ht="15.75" customHeight="1">
      <c r="C455" s="12"/>
    </row>
    <row r="456" ht="15.75" customHeight="1">
      <c r="C456" s="12"/>
    </row>
    <row r="457" ht="15.75" customHeight="1">
      <c r="C457" s="12"/>
    </row>
    <row r="458" ht="15.75" customHeight="1">
      <c r="C458" s="12"/>
    </row>
    <row r="459" ht="15.75" customHeight="1">
      <c r="C459" s="12"/>
    </row>
    <row r="460" ht="15.75" customHeight="1">
      <c r="C460" s="12"/>
    </row>
    <row r="461" ht="15.75" customHeight="1">
      <c r="C461" s="12"/>
    </row>
    <row r="462" ht="15.75" customHeight="1">
      <c r="C462" s="12"/>
    </row>
    <row r="463" ht="15.75" customHeight="1">
      <c r="C463" s="12"/>
    </row>
    <row r="464" ht="15.75" customHeight="1">
      <c r="C464" s="12"/>
    </row>
    <row r="465" ht="15.75" customHeight="1">
      <c r="C465" s="12"/>
    </row>
    <row r="466" ht="15.75" customHeight="1">
      <c r="C466" s="12"/>
    </row>
    <row r="467" ht="15.75" customHeight="1">
      <c r="C467" s="12"/>
    </row>
    <row r="468" ht="15.75" customHeight="1">
      <c r="C468" s="12"/>
    </row>
    <row r="469" ht="15.75" customHeight="1">
      <c r="C469" s="12"/>
    </row>
    <row r="470" ht="15.75" customHeight="1">
      <c r="C470" s="12"/>
    </row>
    <row r="471" ht="15.75" customHeight="1">
      <c r="C471" s="12"/>
    </row>
    <row r="472" ht="15.75" customHeight="1">
      <c r="C472" s="12"/>
    </row>
    <row r="473" ht="15.75" customHeight="1">
      <c r="C473" s="12"/>
    </row>
    <row r="474" ht="15.75" customHeight="1">
      <c r="C474" s="12"/>
    </row>
    <row r="475" ht="15.75" customHeight="1">
      <c r="C475" s="12"/>
    </row>
    <row r="476" ht="15.75" customHeight="1">
      <c r="C476" s="12"/>
    </row>
    <row r="477" ht="15.75" customHeight="1">
      <c r="C477" s="12"/>
    </row>
    <row r="478" ht="15.75" customHeight="1">
      <c r="C478" s="12"/>
    </row>
    <row r="479" ht="15.75" customHeight="1">
      <c r="C479" s="12"/>
    </row>
    <row r="480" ht="15.75" customHeight="1">
      <c r="C480" s="12"/>
    </row>
    <row r="481" ht="15.75" customHeight="1">
      <c r="C481" s="12"/>
    </row>
    <row r="482" ht="15.75" customHeight="1">
      <c r="C482" s="12"/>
    </row>
    <row r="483" ht="15.75" customHeight="1">
      <c r="C483" s="12"/>
    </row>
    <row r="484" ht="15.75" customHeight="1">
      <c r="C484" s="12"/>
    </row>
    <row r="485" ht="15.75" customHeight="1">
      <c r="C485" s="12"/>
    </row>
    <row r="486" ht="15.75" customHeight="1">
      <c r="C486" s="12"/>
    </row>
    <row r="487" ht="15.75" customHeight="1">
      <c r="C487" s="12"/>
    </row>
    <row r="488" ht="15.75" customHeight="1">
      <c r="C488" s="12"/>
    </row>
    <row r="489" ht="15.75" customHeight="1">
      <c r="C489" s="12"/>
    </row>
    <row r="490" ht="15.75" customHeight="1">
      <c r="C490" s="12"/>
    </row>
    <row r="491" ht="15.75" customHeight="1">
      <c r="C491" s="12"/>
    </row>
    <row r="492" ht="15.75" customHeight="1">
      <c r="C492" s="12"/>
    </row>
    <row r="493" ht="15.75" customHeight="1">
      <c r="C493" s="12"/>
    </row>
    <row r="494" ht="15.75" customHeight="1">
      <c r="C494" s="12"/>
    </row>
    <row r="495" ht="15.75" customHeight="1">
      <c r="C495" s="12"/>
    </row>
    <row r="496" ht="15.75" customHeight="1">
      <c r="C496" s="12"/>
    </row>
    <row r="497" ht="15.75" customHeight="1">
      <c r="C497" s="12"/>
    </row>
    <row r="498" ht="15.75" customHeight="1">
      <c r="C498" s="12"/>
    </row>
    <row r="499" ht="15.75" customHeight="1">
      <c r="C499" s="12"/>
    </row>
    <row r="500" ht="15.75" customHeight="1">
      <c r="C500" s="12"/>
    </row>
    <row r="501" ht="15.75" customHeight="1">
      <c r="C501" s="12"/>
    </row>
    <row r="502" ht="15.75" customHeight="1">
      <c r="C502" s="12"/>
    </row>
    <row r="503" ht="15.75" customHeight="1">
      <c r="C503" s="12"/>
    </row>
    <row r="504" ht="15.75" customHeight="1">
      <c r="C504" s="12"/>
    </row>
    <row r="505" ht="15.75" customHeight="1">
      <c r="C505" s="12"/>
    </row>
    <row r="506" ht="15.75" customHeight="1">
      <c r="C506" s="12"/>
    </row>
    <row r="507" ht="15.75" customHeight="1">
      <c r="C507" s="12"/>
    </row>
    <row r="508" ht="15.75" customHeight="1">
      <c r="C508" s="12"/>
    </row>
    <row r="509" ht="15.75" customHeight="1">
      <c r="C509" s="12"/>
    </row>
    <row r="510" ht="15.75" customHeight="1">
      <c r="C510" s="12"/>
    </row>
    <row r="511" ht="15.75" customHeight="1">
      <c r="C511" s="12"/>
    </row>
    <row r="512" ht="15.75" customHeight="1">
      <c r="C512" s="12"/>
    </row>
    <row r="513" ht="15.75" customHeight="1">
      <c r="C513" s="12"/>
    </row>
    <row r="514" ht="15.75" customHeight="1">
      <c r="C514" s="12"/>
    </row>
    <row r="515" ht="15.75" customHeight="1">
      <c r="C515" s="12"/>
    </row>
    <row r="516" ht="15.75" customHeight="1">
      <c r="C516" s="12"/>
    </row>
    <row r="517" ht="15.75" customHeight="1">
      <c r="C517" s="12"/>
    </row>
    <row r="518" ht="15.75" customHeight="1">
      <c r="C518" s="12"/>
    </row>
    <row r="519" ht="15.75" customHeight="1">
      <c r="C519" s="12"/>
    </row>
    <row r="520" ht="15.75" customHeight="1">
      <c r="C520" s="12"/>
    </row>
    <row r="521" ht="15.75" customHeight="1">
      <c r="C521" s="12"/>
    </row>
    <row r="522" ht="15.75" customHeight="1">
      <c r="C522" s="12"/>
    </row>
    <row r="523" ht="15.75" customHeight="1">
      <c r="C523" s="12"/>
    </row>
    <row r="524" ht="15.75" customHeight="1">
      <c r="C524" s="12"/>
    </row>
    <row r="525" ht="15.75" customHeight="1">
      <c r="C525" s="12"/>
    </row>
    <row r="526" ht="15.75" customHeight="1">
      <c r="C526" s="12"/>
    </row>
    <row r="527" ht="15.75" customHeight="1">
      <c r="C527" s="12"/>
    </row>
    <row r="528" ht="15.75" customHeight="1">
      <c r="C528" s="12"/>
    </row>
    <row r="529" ht="15.75" customHeight="1">
      <c r="C529" s="12"/>
    </row>
    <row r="530" ht="15.75" customHeight="1">
      <c r="C530" s="12"/>
    </row>
    <row r="531" ht="15.75" customHeight="1">
      <c r="C531" s="12"/>
    </row>
    <row r="532" ht="15.75" customHeight="1">
      <c r="C532" s="12"/>
    </row>
    <row r="533" ht="15.75" customHeight="1">
      <c r="C533" s="12"/>
    </row>
    <row r="534" ht="15.75" customHeight="1">
      <c r="C534" s="12"/>
    </row>
    <row r="535" ht="15.75" customHeight="1">
      <c r="C535" s="12"/>
    </row>
    <row r="536" ht="15.75" customHeight="1">
      <c r="C536" s="12"/>
    </row>
    <row r="537" ht="15.75" customHeight="1">
      <c r="C537" s="12"/>
    </row>
    <row r="538" ht="15.75" customHeight="1">
      <c r="C538" s="12"/>
    </row>
    <row r="539" ht="15.75" customHeight="1">
      <c r="C539" s="12"/>
    </row>
    <row r="540" ht="15.75" customHeight="1">
      <c r="C540" s="12"/>
    </row>
    <row r="541" ht="15.75" customHeight="1">
      <c r="C541" s="12"/>
    </row>
    <row r="542" ht="15.75" customHeight="1">
      <c r="C542" s="12"/>
    </row>
    <row r="543" ht="15.75" customHeight="1">
      <c r="C543" s="12"/>
    </row>
    <row r="544" ht="15.75" customHeight="1">
      <c r="C544" s="12"/>
    </row>
    <row r="545" ht="15.75" customHeight="1">
      <c r="C545" s="12"/>
    </row>
    <row r="546" ht="15.75" customHeight="1">
      <c r="C546" s="12"/>
    </row>
    <row r="547" ht="15.75" customHeight="1">
      <c r="C547" s="12"/>
    </row>
    <row r="548" ht="15.75" customHeight="1">
      <c r="C548" s="12"/>
    </row>
    <row r="549" ht="15.75" customHeight="1">
      <c r="C549" s="12"/>
    </row>
    <row r="550" ht="15.75" customHeight="1">
      <c r="C550" s="12"/>
    </row>
    <row r="551" ht="15.75" customHeight="1">
      <c r="C551" s="12"/>
    </row>
    <row r="552" ht="15.75" customHeight="1">
      <c r="C552" s="12"/>
    </row>
    <row r="553" ht="15.75" customHeight="1">
      <c r="C553" s="12"/>
    </row>
    <row r="554" ht="15.75" customHeight="1">
      <c r="C554" s="12"/>
    </row>
    <row r="555" ht="15.75" customHeight="1">
      <c r="C555" s="12"/>
    </row>
    <row r="556" ht="15.75" customHeight="1">
      <c r="C556" s="12"/>
    </row>
    <row r="557" ht="15.75" customHeight="1">
      <c r="C557" s="12"/>
    </row>
    <row r="558" ht="15.75" customHeight="1">
      <c r="C558" s="12"/>
    </row>
    <row r="559" ht="15.75" customHeight="1">
      <c r="C559" s="12"/>
    </row>
    <row r="560" ht="15.75" customHeight="1">
      <c r="C560" s="12"/>
    </row>
    <row r="561" ht="15.75" customHeight="1">
      <c r="C561" s="12"/>
    </row>
    <row r="562" ht="15.75" customHeight="1">
      <c r="C562" s="12"/>
    </row>
    <row r="563" ht="15.75" customHeight="1">
      <c r="C563" s="12"/>
    </row>
    <row r="564" ht="15.75" customHeight="1">
      <c r="C564" s="12"/>
    </row>
    <row r="565" ht="15.75" customHeight="1">
      <c r="C565" s="12"/>
    </row>
    <row r="566" ht="15.75" customHeight="1">
      <c r="C566" s="12"/>
    </row>
    <row r="567" ht="15.75" customHeight="1">
      <c r="C567" s="12"/>
    </row>
    <row r="568" ht="15.75" customHeight="1">
      <c r="C568" s="12"/>
    </row>
    <row r="569" ht="15.75" customHeight="1">
      <c r="C569" s="12"/>
    </row>
    <row r="570" ht="15.75" customHeight="1">
      <c r="C570" s="12"/>
    </row>
    <row r="571" ht="15.75" customHeight="1">
      <c r="C571" s="12"/>
    </row>
    <row r="572" ht="15.75" customHeight="1">
      <c r="C572" s="12"/>
    </row>
    <row r="573" ht="15.75" customHeight="1">
      <c r="C573" s="12"/>
    </row>
    <row r="574" ht="15.75" customHeight="1">
      <c r="C574" s="12"/>
    </row>
    <row r="575" ht="15.75" customHeight="1">
      <c r="C575" s="12"/>
    </row>
    <row r="576" ht="15.75" customHeight="1">
      <c r="C576" s="12"/>
    </row>
    <row r="577" ht="15.75" customHeight="1">
      <c r="C577" s="12"/>
    </row>
    <row r="578" ht="15.75" customHeight="1">
      <c r="C578" s="12"/>
    </row>
    <row r="579" ht="15.75" customHeight="1">
      <c r="C579" s="12"/>
    </row>
    <row r="580" ht="15.75" customHeight="1">
      <c r="C580" s="12"/>
    </row>
    <row r="581" ht="15.75" customHeight="1">
      <c r="C581" s="12"/>
    </row>
    <row r="582" ht="15.75" customHeight="1">
      <c r="C582" s="12"/>
    </row>
    <row r="583" ht="15.75" customHeight="1">
      <c r="C583" s="12"/>
    </row>
    <row r="584" ht="15.75" customHeight="1">
      <c r="C584" s="12"/>
    </row>
    <row r="585" ht="15.75" customHeight="1">
      <c r="C585" s="12"/>
    </row>
    <row r="586" ht="15.75" customHeight="1">
      <c r="C586" s="12"/>
    </row>
    <row r="587" ht="15.75" customHeight="1">
      <c r="C587" s="12"/>
    </row>
    <row r="588" ht="15.75" customHeight="1">
      <c r="C588" s="12"/>
    </row>
    <row r="589" ht="15.75" customHeight="1">
      <c r="C589" s="12"/>
    </row>
    <row r="590" ht="15.75" customHeight="1">
      <c r="C590" s="12"/>
    </row>
    <row r="591" ht="15.75" customHeight="1">
      <c r="C591" s="12"/>
    </row>
    <row r="592" ht="15.75" customHeight="1">
      <c r="C592" s="12"/>
    </row>
    <row r="593" ht="15.75" customHeight="1">
      <c r="C593" s="12"/>
    </row>
    <row r="594" ht="15.75" customHeight="1">
      <c r="C594" s="12"/>
    </row>
    <row r="595" ht="15.75" customHeight="1">
      <c r="C595" s="12"/>
    </row>
    <row r="596" ht="15.75" customHeight="1">
      <c r="C596" s="12"/>
    </row>
    <row r="597" ht="15.75" customHeight="1">
      <c r="C597" s="12"/>
    </row>
    <row r="598" ht="15.75" customHeight="1">
      <c r="C598" s="12"/>
    </row>
    <row r="599" ht="15.75" customHeight="1">
      <c r="C599" s="12"/>
    </row>
    <row r="600" ht="15.75" customHeight="1">
      <c r="C600" s="12"/>
    </row>
    <row r="601" ht="15.75" customHeight="1">
      <c r="C601" s="12"/>
    </row>
    <row r="602" ht="15.75" customHeight="1">
      <c r="C602" s="12"/>
    </row>
    <row r="603" ht="15.75" customHeight="1">
      <c r="C603" s="12"/>
    </row>
    <row r="604" ht="15.75" customHeight="1">
      <c r="C604" s="12"/>
    </row>
    <row r="605" ht="15.75" customHeight="1">
      <c r="C605" s="12"/>
    </row>
    <row r="606" ht="15.75" customHeight="1">
      <c r="C606" s="12"/>
    </row>
    <row r="607" ht="15.75" customHeight="1">
      <c r="C607" s="12"/>
    </row>
    <row r="608" ht="15.75" customHeight="1">
      <c r="C608" s="12"/>
    </row>
    <row r="609" ht="15.75" customHeight="1">
      <c r="C609" s="12"/>
    </row>
    <row r="610" ht="15.75" customHeight="1">
      <c r="C610" s="12"/>
    </row>
    <row r="611" ht="15.75" customHeight="1">
      <c r="C611" s="12"/>
    </row>
    <row r="612" ht="15.75" customHeight="1">
      <c r="C612" s="12"/>
    </row>
    <row r="613" ht="15.75" customHeight="1">
      <c r="C613" s="12"/>
    </row>
    <row r="614" ht="15.75" customHeight="1">
      <c r="C614" s="12"/>
    </row>
    <row r="615" ht="15.75" customHeight="1">
      <c r="C615" s="12"/>
    </row>
    <row r="616" ht="15.75" customHeight="1">
      <c r="C616" s="12"/>
    </row>
    <row r="617" ht="15.75" customHeight="1">
      <c r="C617" s="12"/>
    </row>
    <row r="618" ht="15.75" customHeight="1">
      <c r="C618" s="12"/>
    </row>
    <row r="619" ht="15.75" customHeight="1">
      <c r="C619" s="12"/>
    </row>
    <row r="620" ht="15.75" customHeight="1">
      <c r="C620" s="12"/>
    </row>
    <row r="621" ht="15.75" customHeight="1">
      <c r="C621" s="12"/>
    </row>
    <row r="622" ht="15.75" customHeight="1">
      <c r="C622" s="12"/>
    </row>
    <row r="623" ht="15.75" customHeight="1">
      <c r="C623" s="12"/>
    </row>
    <row r="624" ht="15.75" customHeight="1">
      <c r="C624" s="12"/>
    </row>
    <row r="625" ht="15.75" customHeight="1">
      <c r="C625" s="12"/>
    </row>
    <row r="626" ht="15.75" customHeight="1">
      <c r="C626" s="12"/>
    </row>
    <row r="627" ht="15.75" customHeight="1">
      <c r="C627" s="12"/>
    </row>
    <row r="628" ht="15.75" customHeight="1">
      <c r="C628" s="12"/>
    </row>
    <row r="629" ht="15.75" customHeight="1">
      <c r="C629" s="12"/>
    </row>
    <row r="630" ht="15.75" customHeight="1">
      <c r="C630" s="12"/>
    </row>
    <row r="631" ht="15.75" customHeight="1">
      <c r="C631" s="12"/>
    </row>
    <row r="632" ht="15.75" customHeight="1">
      <c r="C632" s="12"/>
    </row>
    <row r="633" ht="15.75" customHeight="1">
      <c r="C633" s="12"/>
    </row>
    <row r="634" ht="15.75" customHeight="1">
      <c r="C634" s="12"/>
    </row>
    <row r="635" ht="15.75" customHeight="1">
      <c r="C635" s="12"/>
    </row>
    <row r="636" ht="15.75" customHeight="1">
      <c r="C636" s="12"/>
    </row>
    <row r="637" ht="15.75" customHeight="1">
      <c r="C637" s="12"/>
    </row>
    <row r="638" ht="15.75" customHeight="1">
      <c r="C638" s="12"/>
    </row>
    <row r="639" ht="15.75" customHeight="1">
      <c r="C639" s="12"/>
    </row>
    <row r="640" ht="15.75" customHeight="1">
      <c r="C640" s="12"/>
    </row>
    <row r="641" ht="15.75" customHeight="1">
      <c r="C641" s="12"/>
    </row>
    <row r="642" ht="15.75" customHeight="1">
      <c r="C642" s="12"/>
    </row>
    <row r="643" ht="15.75" customHeight="1">
      <c r="C643" s="12"/>
    </row>
    <row r="644" ht="15.75" customHeight="1">
      <c r="C644" s="12"/>
    </row>
    <row r="645" ht="15.75" customHeight="1">
      <c r="C645" s="12"/>
    </row>
    <row r="646" ht="15.75" customHeight="1">
      <c r="C646" s="12"/>
    </row>
    <row r="647" ht="15.75" customHeight="1">
      <c r="C647" s="12"/>
    </row>
    <row r="648" ht="15.75" customHeight="1">
      <c r="C648" s="12"/>
    </row>
    <row r="649" ht="15.75" customHeight="1">
      <c r="C649" s="12"/>
    </row>
    <row r="650" ht="15.75" customHeight="1">
      <c r="C650" s="12"/>
    </row>
    <row r="651" ht="15.75" customHeight="1">
      <c r="C651" s="12"/>
    </row>
    <row r="652" ht="15.75" customHeight="1">
      <c r="C652" s="12"/>
    </row>
    <row r="653" ht="15.75" customHeight="1">
      <c r="C653" s="12"/>
    </row>
    <row r="654" ht="15.75" customHeight="1">
      <c r="C654" s="12"/>
    </row>
    <row r="655" ht="15.75" customHeight="1">
      <c r="C655" s="12"/>
    </row>
    <row r="656" ht="15.75" customHeight="1">
      <c r="C656" s="12"/>
    </row>
    <row r="657" ht="15.75" customHeight="1">
      <c r="C657" s="12"/>
    </row>
    <row r="658" ht="15.75" customHeight="1">
      <c r="C658" s="12"/>
    </row>
    <row r="659" ht="15.75" customHeight="1">
      <c r="C659" s="12"/>
    </row>
    <row r="660" ht="15.75" customHeight="1">
      <c r="C660" s="12"/>
    </row>
    <row r="661" ht="15.75" customHeight="1">
      <c r="C661" s="12"/>
    </row>
    <row r="662" ht="15.75" customHeight="1">
      <c r="C662" s="12"/>
    </row>
    <row r="663" ht="15.75" customHeight="1">
      <c r="C663" s="12"/>
    </row>
    <row r="664" ht="15.75" customHeight="1">
      <c r="C664" s="12"/>
    </row>
    <row r="665" ht="15.75" customHeight="1">
      <c r="C665" s="12"/>
    </row>
    <row r="666" ht="15.75" customHeight="1">
      <c r="C666" s="12"/>
    </row>
    <row r="667" ht="15.75" customHeight="1">
      <c r="C667" s="12"/>
    </row>
    <row r="668" ht="15.75" customHeight="1">
      <c r="C668" s="12"/>
    </row>
    <row r="669" ht="15.75" customHeight="1">
      <c r="C669" s="12"/>
    </row>
    <row r="670" ht="15.75" customHeight="1">
      <c r="C670" s="12"/>
    </row>
    <row r="671" ht="15.75" customHeight="1">
      <c r="C671" s="12"/>
    </row>
    <row r="672" ht="15.75" customHeight="1">
      <c r="C672" s="12"/>
    </row>
    <row r="673" ht="15.75" customHeight="1">
      <c r="C673" s="12"/>
    </row>
    <row r="674" ht="15.75" customHeight="1">
      <c r="C674" s="12"/>
    </row>
    <row r="675" ht="15.75" customHeight="1">
      <c r="C675" s="12"/>
    </row>
    <row r="676" ht="15.75" customHeight="1">
      <c r="C676" s="12"/>
    </row>
    <row r="677" ht="15.75" customHeight="1">
      <c r="C677" s="12"/>
    </row>
    <row r="678" ht="15.75" customHeight="1">
      <c r="C678" s="12"/>
    </row>
    <row r="679" ht="15.75" customHeight="1">
      <c r="C679" s="12"/>
    </row>
    <row r="680" ht="15.75" customHeight="1">
      <c r="C680" s="12"/>
    </row>
    <row r="681" ht="15.75" customHeight="1">
      <c r="C681" s="12"/>
    </row>
    <row r="682" ht="15.75" customHeight="1">
      <c r="C682" s="12"/>
    </row>
    <row r="683" ht="15.75" customHeight="1">
      <c r="C683" s="12"/>
    </row>
    <row r="684" ht="15.75" customHeight="1">
      <c r="C684" s="12"/>
    </row>
    <row r="685" ht="15.75" customHeight="1">
      <c r="C685" s="12"/>
    </row>
    <row r="686" ht="15.75" customHeight="1">
      <c r="C686" s="12"/>
    </row>
    <row r="687" ht="15.75" customHeight="1">
      <c r="C687" s="12"/>
    </row>
    <row r="688" ht="15.75" customHeight="1">
      <c r="C688" s="12"/>
    </row>
    <row r="689" ht="15.75" customHeight="1">
      <c r="C689" s="12"/>
    </row>
    <row r="690" ht="15.75" customHeight="1">
      <c r="C690" s="12"/>
    </row>
    <row r="691" ht="15.75" customHeight="1">
      <c r="C691" s="12"/>
    </row>
    <row r="692" ht="15.75" customHeight="1">
      <c r="C692" s="12"/>
    </row>
    <row r="693" ht="15.75" customHeight="1">
      <c r="C693" s="12"/>
    </row>
    <row r="694" ht="15.75" customHeight="1">
      <c r="C694" s="12"/>
    </row>
    <row r="695" ht="15.75" customHeight="1">
      <c r="C695" s="12"/>
    </row>
    <row r="696" ht="15.75" customHeight="1">
      <c r="C696" s="12"/>
    </row>
    <row r="697" ht="15.75" customHeight="1">
      <c r="C697" s="12"/>
    </row>
    <row r="698" ht="15.75" customHeight="1">
      <c r="C698" s="12"/>
    </row>
    <row r="699" ht="15.75" customHeight="1">
      <c r="C699" s="12"/>
    </row>
    <row r="700" ht="15.75" customHeight="1">
      <c r="C700" s="12"/>
    </row>
    <row r="701" ht="15.75" customHeight="1">
      <c r="C701" s="12"/>
    </row>
    <row r="702" ht="15.75" customHeight="1">
      <c r="C702" s="12"/>
    </row>
    <row r="703" ht="15.75" customHeight="1">
      <c r="C703" s="12"/>
    </row>
    <row r="704" ht="15.75" customHeight="1">
      <c r="C704" s="12"/>
    </row>
    <row r="705" ht="15.75" customHeight="1">
      <c r="C705" s="12"/>
    </row>
    <row r="706" ht="15.75" customHeight="1">
      <c r="C706" s="12"/>
    </row>
    <row r="707" ht="15.75" customHeight="1">
      <c r="C707" s="12"/>
    </row>
    <row r="708" ht="15.75" customHeight="1">
      <c r="C708" s="12"/>
    </row>
    <row r="709" ht="15.75" customHeight="1">
      <c r="C709" s="12"/>
    </row>
    <row r="710" ht="15.75" customHeight="1">
      <c r="C710" s="12"/>
    </row>
    <row r="711" ht="15.75" customHeight="1">
      <c r="C711" s="12"/>
    </row>
    <row r="712" ht="15.75" customHeight="1">
      <c r="C712" s="12"/>
    </row>
    <row r="713" ht="15.75" customHeight="1">
      <c r="C713" s="12"/>
    </row>
    <row r="714" ht="15.75" customHeight="1">
      <c r="C714" s="12"/>
    </row>
    <row r="715" ht="15.75" customHeight="1">
      <c r="C715" s="12"/>
    </row>
    <row r="716" ht="15.75" customHeight="1">
      <c r="C716" s="12"/>
    </row>
    <row r="717" ht="15.75" customHeight="1">
      <c r="C717" s="12"/>
    </row>
    <row r="718" ht="15.75" customHeight="1">
      <c r="C718" s="12"/>
    </row>
    <row r="719" ht="15.75" customHeight="1">
      <c r="C719" s="12"/>
    </row>
    <row r="720" ht="15.75" customHeight="1">
      <c r="C720" s="12"/>
    </row>
    <row r="721" ht="15.75" customHeight="1">
      <c r="C721" s="12"/>
    </row>
    <row r="722" ht="15.75" customHeight="1">
      <c r="C722" s="12"/>
    </row>
    <row r="723" ht="15.75" customHeight="1">
      <c r="C723" s="12"/>
    </row>
    <row r="724" ht="15.75" customHeight="1">
      <c r="C724" s="12"/>
    </row>
    <row r="725" ht="15.75" customHeight="1">
      <c r="C725" s="12"/>
    </row>
    <row r="726" ht="15.75" customHeight="1">
      <c r="C726" s="12"/>
    </row>
    <row r="727" ht="15.75" customHeight="1">
      <c r="C727" s="12"/>
    </row>
    <row r="728" ht="15.75" customHeight="1">
      <c r="C728" s="12"/>
    </row>
    <row r="729" ht="15.75" customHeight="1">
      <c r="C729" s="12"/>
    </row>
    <row r="730" ht="15.75" customHeight="1">
      <c r="C730" s="12"/>
    </row>
    <row r="731" ht="15.75" customHeight="1">
      <c r="C731" s="12"/>
    </row>
    <row r="732" ht="15.75" customHeight="1">
      <c r="C732" s="12"/>
    </row>
    <row r="733" ht="15.75" customHeight="1">
      <c r="C733" s="12"/>
    </row>
    <row r="734" ht="15.75" customHeight="1">
      <c r="C734" s="12"/>
    </row>
    <row r="735" ht="15.75" customHeight="1">
      <c r="C735" s="12"/>
    </row>
    <row r="736" ht="15.75" customHeight="1">
      <c r="C736" s="12"/>
    </row>
    <row r="737" ht="15.75" customHeight="1">
      <c r="C737" s="12"/>
    </row>
    <row r="738" ht="15.75" customHeight="1">
      <c r="C738" s="12"/>
    </row>
    <row r="739" ht="15.75" customHeight="1">
      <c r="C739" s="12"/>
    </row>
    <row r="740" ht="15.75" customHeight="1">
      <c r="C740" s="12"/>
    </row>
    <row r="741" ht="15.75" customHeight="1">
      <c r="C741" s="12"/>
    </row>
    <row r="742" ht="15.75" customHeight="1">
      <c r="C742" s="12"/>
    </row>
    <row r="743" ht="15.75" customHeight="1">
      <c r="C743" s="12"/>
    </row>
    <row r="744" ht="15.75" customHeight="1">
      <c r="C744" s="12"/>
    </row>
    <row r="745" ht="15.75" customHeight="1">
      <c r="C745" s="12"/>
    </row>
    <row r="746" ht="15.75" customHeight="1">
      <c r="C746" s="12"/>
    </row>
    <row r="747" ht="15.75" customHeight="1">
      <c r="C747" s="12"/>
    </row>
    <row r="748" ht="15.75" customHeight="1">
      <c r="C748" s="12"/>
    </row>
    <row r="749" ht="15.75" customHeight="1">
      <c r="C749" s="12"/>
    </row>
    <row r="750" ht="15.75" customHeight="1">
      <c r="C750" s="12"/>
    </row>
    <row r="751" ht="15.75" customHeight="1">
      <c r="C751" s="12"/>
    </row>
    <row r="752" ht="15.75" customHeight="1">
      <c r="C752" s="12"/>
    </row>
    <row r="753" ht="15.75" customHeight="1">
      <c r="C753" s="12"/>
    </row>
    <row r="754" ht="15.75" customHeight="1">
      <c r="C754" s="12"/>
    </row>
    <row r="755" ht="15.75" customHeight="1">
      <c r="C755" s="12"/>
    </row>
    <row r="756" ht="15.75" customHeight="1">
      <c r="C756" s="12"/>
    </row>
    <row r="757" ht="15.75" customHeight="1">
      <c r="C757" s="12"/>
    </row>
    <row r="758" ht="15.75" customHeight="1">
      <c r="C758" s="12"/>
    </row>
    <row r="759" ht="15.75" customHeight="1">
      <c r="C759" s="12"/>
    </row>
    <row r="760" ht="15.75" customHeight="1">
      <c r="C760" s="12"/>
    </row>
    <row r="761" ht="15.75" customHeight="1">
      <c r="C761" s="12"/>
    </row>
    <row r="762" ht="15.75" customHeight="1">
      <c r="C762" s="12"/>
    </row>
    <row r="763" ht="15.75" customHeight="1">
      <c r="C763" s="12"/>
    </row>
    <row r="764" ht="15.75" customHeight="1">
      <c r="C764" s="12"/>
    </row>
    <row r="765" ht="15.75" customHeight="1">
      <c r="C765" s="12"/>
    </row>
    <row r="766" ht="15.75" customHeight="1">
      <c r="C766" s="12"/>
    </row>
    <row r="767" ht="15.75" customHeight="1">
      <c r="C767" s="12"/>
    </row>
    <row r="768" ht="15.75" customHeight="1">
      <c r="C768" s="12"/>
    </row>
    <row r="769" ht="15.75" customHeight="1">
      <c r="C769" s="12"/>
    </row>
    <row r="770" ht="15.75" customHeight="1">
      <c r="C770" s="12"/>
    </row>
    <row r="771" ht="15.75" customHeight="1">
      <c r="C771" s="12"/>
    </row>
    <row r="772" ht="15.75" customHeight="1">
      <c r="C772" s="12"/>
    </row>
    <row r="773" ht="15.75" customHeight="1">
      <c r="C773" s="12"/>
    </row>
    <row r="774" ht="15.75" customHeight="1">
      <c r="C774" s="12"/>
    </row>
    <row r="775" ht="15.75" customHeight="1">
      <c r="C775" s="12"/>
    </row>
    <row r="776" ht="15.75" customHeight="1">
      <c r="C776" s="12"/>
    </row>
    <row r="777" ht="15.75" customHeight="1">
      <c r="C777" s="12"/>
    </row>
    <row r="778" ht="15.75" customHeight="1">
      <c r="C778" s="12"/>
    </row>
    <row r="779" ht="15.75" customHeight="1">
      <c r="C779" s="12"/>
    </row>
    <row r="780" ht="15.75" customHeight="1">
      <c r="C780" s="12"/>
    </row>
    <row r="781" ht="15.75" customHeight="1">
      <c r="C781" s="12"/>
    </row>
    <row r="782" ht="15.75" customHeight="1">
      <c r="C782" s="12"/>
    </row>
    <row r="783" ht="15.75" customHeight="1">
      <c r="C783" s="12"/>
    </row>
    <row r="784" ht="15.75" customHeight="1">
      <c r="C784" s="12"/>
    </row>
    <row r="785" ht="15.75" customHeight="1">
      <c r="C785" s="12"/>
    </row>
    <row r="786" ht="15.75" customHeight="1">
      <c r="C786" s="12"/>
    </row>
    <row r="787" ht="15.75" customHeight="1">
      <c r="C787" s="12"/>
    </row>
    <row r="788" ht="15.75" customHeight="1">
      <c r="C788" s="12"/>
    </row>
    <row r="789" ht="15.75" customHeight="1">
      <c r="C789" s="12"/>
    </row>
    <row r="790" ht="15.75" customHeight="1">
      <c r="C790" s="12"/>
    </row>
    <row r="791" ht="15.75" customHeight="1">
      <c r="C791" s="12"/>
    </row>
    <row r="792" ht="15.75" customHeight="1">
      <c r="C792" s="12"/>
    </row>
    <row r="793" ht="15.75" customHeight="1">
      <c r="C793" s="12"/>
    </row>
    <row r="794" ht="15.75" customHeight="1">
      <c r="C794" s="12"/>
    </row>
    <row r="795" ht="15.75" customHeight="1">
      <c r="C795" s="12"/>
    </row>
    <row r="796" ht="15.75" customHeight="1">
      <c r="C796" s="12"/>
    </row>
    <row r="797" ht="15.75" customHeight="1">
      <c r="C797" s="12"/>
    </row>
    <row r="798" ht="15.75" customHeight="1">
      <c r="C798" s="12"/>
    </row>
    <row r="799" ht="15.75" customHeight="1">
      <c r="C799" s="12"/>
    </row>
    <row r="800" ht="15.75" customHeight="1">
      <c r="C800" s="12"/>
    </row>
    <row r="801" ht="15.75" customHeight="1">
      <c r="C801" s="12"/>
    </row>
    <row r="802" ht="15.75" customHeight="1">
      <c r="C802" s="12"/>
    </row>
    <row r="803" ht="15.75" customHeight="1">
      <c r="C803" s="12"/>
    </row>
    <row r="804" ht="15.75" customHeight="1">
      <c r="C804" s="12"/>
    </row>
    <row r="805" ht="15.75" customHeight="1">
      <c r="C805" s="12"/>
    </row>
    <row r="806" ht="15.75" customHeight="1">
      <c r="C806" s="12"/>
    </row>
    <row r="807" ht="15.75" customHeight="1">
      <c r="C807" s="12"/>
    </row>
    <row r="808" ht="15.75" customHeight="1">
      <c r="C808" s="12"/>
    </row>
    <row r="809" ht="15.75" customHeight="1">
      <c r="C809" s="12"/>
    </row>
    <row r="810" ht="15.75" customHeight="1">
      <c r="C810" s="12"/>
    </row>
    <row r="811" ht="15.75" customHeight="1">
      <c r="C811" s="12"/>
    </row>
    <row r="812" ht="15.75" customHeight="1">
      <c r="C812" s="12"/>
    </row>
    <row r="813" ht="15.75" customHeight="1">
      <c r="C813" s="12"/>
    </row>
    <row r="814" ht="15.75" customHeight="1">
      <c r="C814" s="12"/>
    </row>
    <row r="815" ht="15.75" customHeight="1">
      <c r="C815" s="12"/>
    </row>
    <row r="816" ht="15.75" customHeight="1">
      <c r="C816" s="12"/>
    </row>
    <row r="817" ht="15.75" customHeight="1">
      <c r="C817" s="12"/>
    </row>
    <row r="818" ht="15.75" customHeight="1">
      <c r="C818" s="12"/>
    </row>
    <row r="819" ht="15.75" customHeight="1">
      <c r="C819" s="12"/>
    </row>
    <row r="820" ht="15.75" customHeight="1">
      <c r="C820" s="12"/>
    </row>
    <row r="821" ht="15.75" customHeight="1">
      <c r="C821" s="12"/>
    </row>
    <row r="822" ht="15.75" customHeight="1">
      <c r="C822" s="12"/>
    </row>
    <row r="823" ht="15.75" customHeight="1">
      <c r="C823" s="12"/>
    </row>
    <row r="824" ht="15.75" customHeight="1">
      <c r="C824" s="12"/>
    </row>
    <row r="825" ht="15.75" customHeight="1">
      <c r="C825" s="12"/>
    </row>
    <row r="826" ht="15.75" customHeight="1">
      <c r="C826" s="12"/>
    </row>
    <row r="827" ht="15.75" customHeight="1">
      <c r="C827" s="12"/>
    </row>
    <row r="828" ht="15.75" customHeight="1">
      <c r="C828" s="12"/>
    </row>
    <row r="829" ht="15.75" customHeight="1">
      <c r="C829" s="12"/>
    </row>
    <row r="830" ht="15.75" customHeight="1">
      <c r="C830" s="12"/>
    </row>
    <row r="831" ht="15.75" customHeight="1">
      <c r="C831" s="12"/>
    </row>
    <row r="832" ht="15.75" customHeight="1">
      <c r="C832" s="12"/>
    </row>
    <row r="833" ht="15.75" customHeight="1">
      <c r="C833" s="12"/>
    </row>
    <row r="834" ht="15.75" customHeight="1">
      <c r="C834" s="12"/>
    </row>
    <row r="835" ht="15.75" customHeight="1">
      <c r="C835" s="12"/>
    </row>
    <row r="836" ht="15.75" customHeight="1">
      <c r="C836" s="12"/>
    </row>
    <row r="837" ht="15.75" customHeight="1">
      <c r="C837" s="12"/>
    </row>
    <row r="838" ht="15.75" customHeight="1">
      <c r="C838" s="12"/>
    </row>
    <row r="839" ht="15.75" customHeight="1">
      <c r="C839" s="12"/>
    </row>
    <row r="840" ht="15.75" customHeight="1">
      <c r="C840" s="12"/>
    </row>
    <row r="841" ht="15.75" customHeight="1">
      <c r="C841" s="12"/>
    </row>
    <row r="842" ht="15.75" customHeight="1">
      <c r="C842" s="12"/>
    </row>
    <row r="843" ht="15.75" customHeight="1">
      <c r="C843" s="12"/>
    </row>
    <row r="844" ht="15.75" customHeight="1">
      <c r="C844" s="12"/>
    </row>
    <row r="845" ht="15.75" customHeight="1">
      <c r="C845" s="12"/>
    </row>
    <row r="846" ht="15.75" customHeight="1">
      <c r="C846" s="12"/>
    </row>
    <row r="847" ht="15.75" customHeight="1">
      <c r="C847" s="12"/>
    </row>
    <row r="848" ht="15.75" customHeight="1">
      <c r="C848" s="12"/>
    </row>
    <row r="849" ht="15.75" customHeight="1">
      <c r="C849" s="12"/>
    </row>
    <row r="850" ht="15.75" customHeight="1">
      <c r="C850" s="12"/>
    </row>
    <row r="851" ht="15.75" customHeight="1">
      <c r="C851" s="12"/>
    </row>
    <row r="852" ht="15.75" customHeight="1">
      <c r="C852" s="12"/>
    </row>
    <row r="853" ht="15.75" customHeight="1">
      <c r="C853" s="12"/>
    </row>
    <row r="854" ht="15.75" customHeight="1">
      <c r="C854" s="12"/>
    </row>
    <row r="855" ht="15.75" customHeight="1">
      <c r="C855" s="12"/>
    </row>
    <row r="856" ht="15.75" customHeight="1">
      <c r="C856" s="12"/>
    </row>
    <row r="857" ht="15.75" customHeight="1">
      <c r="C857" s="12"/>
    </row>
    <row r="858" ht="15.75" customHeight="1">
      <c r="C858" s="12"/>
    </row>
    <row r="859" ht="15.75" customHeight="1">
      <c r="C859" s="12"/>
    </row>
    <row r="860" ht="15.75" customHeight="1">
      <c r="C860" s="12"/>
    </row>
    <row r="861" ht="15.75" customHeight="1">
      <c r="C861" s="12"/>
    </row>
    <row r="862" ht="15.75" customHeight="1">
      <c r="C862" s="12"/>
    </row>
    <row r="863" ht="15.75" customHeight="1">
      <c r="C863" s="12"/>
    </row>
    <row r="864" ht="15.75" customHeight="1">
      <c r="C864" s="12"/>
    </row>
    <row r="865" ht="15.75" customHeight="1">
      <c r="C865" s="12"/>
    </row>
    <row r="866" ht="15.75" customHeight="1">
      <c r="C866" s="12"/>
    </row>
    <row r="867" ht="15.75" customHeight="1">
      <c r="C867" s="12"/>
    </row>
    <row r="868" ht="15.75" customHeight="1">
      <c r="C868" s="12"/>
    </row>
    <row r="869" ht="15.75" customHeight="1">
      <c r="C869" s="12"/>
    </row>
    <row r="870" ht="15.75" customHeight="1">
      <c r="C870" s="12"/>
    </row>
    <row r="871" ht="15.75" customHeight="1">
      <c r="C871" s="12"/>
    </row>
    <row r="872" ht="15.75" customHeight="1">
      <c r="C872" s="12"/>
    </row>
    <row r="873" ht="15.75" customHeight="1">
      <c r="C873" s="12"/>
    </row>
    <row r="874" ht="15.75" customHeight="1">
      <c r="C874" s="12"/>
    </row>
    <row r="875" ht="15.75" customHeight="1">
      <c r="C875" s="12"/>
    </row>
    <row r="876" ht="15.75" customHeight="1">
      <c r="C876" s="12"/>
    </row>
    <row r="877" ht="15.75" customHeight="1">
      <c r="C877" s="12"/>
    </row>
    <row r="878" ht="15.75" customHeight="1">
      <c r="C878" s="12"/>
    </row>
    <row r="879" ht="15.75" customHeight="1">
      <c r="C879" s="12"/>
    </row>
    <row r="880" ht="15.75" customHeight="1">
      <c r="C880" s="12"/>
    </row>
    <row r="881" ht="15.75" customHeight="1">
      <c r="C881" s="12"/>
    </row>
    <row r="882" ht="15.75" customHeight="1">
      <c r="C882" s="12"/>
    </row>
    <row r="883" ht="15.75" customHeight="1">
      <c r="C883" s="12"/>
    </row>
    <row r="884" ht="15.75" customHeight="1">
      <c r="C884" s="12"/>
    </row>
    <row r="885" ht="15.75" customHeight="1">
      <c r="C885" s="12"/>
    </row>
    <row r="886" ht="15.75" customHeight="1">
      <c r="C886" s="12"/>
    </row>
    <row r="887" ht="15.75" customHeight="1">
      <c r="C887" s="12"/>
    </row>
    <row r="888" ht="15.75" customHeight="1">
      <c r="C888" s="12"/>
    </row>
    <row r="889" ht="15.75" customHeight="1">
      <c r="C889" s="12"/>
    </row>
    <row r="890" ht="15.75" customHeight="1">
      <c r="C890" s="12"/>
    </row>
    <row r="891" ht="15.75" customHeight="1">
      <c r="C891" s="12"/>
    </row>
    <row r="892" ht="15.75" customHeight="1">
      <c r="C892" s="12"/>
    </row>
    <row r="893" ht="15.75" customHeight="1">
      <c r="C893" s="12"/>
    </row>
    <row r="894" ht="15.75" customHeight="1">
      <c r="C894" s="12"/>
    </row>
    <row r="895" ht="15.75" customHeight="1">
      <c r="C895" s="12"/>
    </row>
    <row r="896" ht="15.75" customHeight="1">
      <c r="C896" s="12"/>
    </row>
    <row r="897" ht="15.75" customHeight="1">
      <c r="C897" s="12"/>
    </row>
    <row r="898" ht="15.75" customHeight="1">
      <c r="C898" s="12"/>
    </row>
    <row r="899" ht="15.75" customHeight="1">
      <c r="C899" s="12"/>
    </row>
    <row r="900" ht="15.75" customHeight="1">
      <c r="C900" s="12"/>
    </row>
    <row r="901" ht="15.75" customHeight="1">
      <c r="C901" s="12"/>
    </row>
    <row r="902" ht="15.75" customHeight="1">
      <c r="C902" s="12"/>
    </row>
    <row r="903" ht="15.75" customHeight="1">
      <c r="C903" s="12"/>
    </row>
    <row r="904" ht="15.75" customHeight="1">
      <c r="C904" s="12"/>
    </row>
    <row r="905" ht="15.75" customHeight="1">
      <c r="C905" s="12"/>
    </row>
    <row r="906" ht="15.75" customHeight="1">
      <c r="C906" s="12"/>
    </row>
    <row r="907" ht="15.75" customHeight="1">
      <c r="C907" s="12"/>
    </row>
    <row r="908" ht="15.75" customHeight="1">
      <c r="C908" s="12"/>
    </row>
    <row r="909" ht="15.75" customHeight="1">
      <c r="C909" s="12"/>
    </row>
    <row r="910" ht="15.75" customHeight="1">
      <c r="C910" s="12"/>
    </row>
    <row r="911" ht="15.75" customHeight="1">
      <c r="C911" s="12"/>
    </row>
    <row r="912" ht="15.75" customHeight="1">
      <c r="C912" s="12"/>
    </row>
    <row r="913" ht="15.75" customHeight="1">
      <c r="C913" s="12"/>
    </row>
    <row r="914" ht="15.75" customHeight="1">
      <c r="C914" s="12"/>
    </row>
    <row r="915" ht="15.75" customHeight="1">
      <c r="C915" s="12"/>
    </row>
    <row r="916" ht="15.75" customHeight="1">
      <c r="C916" s="12"/>
    </row>
    <row r="917" ht="15.75" customHeight="1">
      <c r="C917" s="12"/>
    </row>
    <row r="918" ht="15.75" customHeight="1">
      <c r="C918" s="12"/>
    </row>
    <row r="919" ht="15.75" customHeight="1">
      <c r="C919" s="12"/>
    </row>
    <row r="920" ht="15.75" customHeight="1">
      <c r="C920" s="12"/>
    </row>
    <row r="921" ht="15.75" customHeight="1">
      <c r="C921" s="12"/>
    </row>
    <row r="922" ht="15.75" customHeight="1">
      <c r="C922" s="12"/>
    </row>
    <row r="923" ht="15.75" customHeight="1">
      <c r="C923" s="12"/>
    </row>
    <row r="924" ht="15.75" customHeight="1">
      <c r="C924" s="12"/>
    </row>
    <row r="925" ht="15.75" customHeight="1">
      <c r="C925" s="12"/>
    </row>
    <row r="926" ht="15.75" customHeight="1">
      <c r="C926" s="12"/>
    </row>
    <row r="927" ht="15.75" customHeight="1">
      <c r="C927" s="12"/>
    </row>
    <row r="928" ht="15.75" customHeight="1">
      <c r="C928" s="12"/>
    </row>
    <row r="929" ht="15.75" customHeight="1">
      <c r="C929" s="12"/>
    </row>
    <row r="930" ht="15.75" customHeight="1">
      <c r="C930" s="12"/>
    </row>
    <row r="931" ht="15.75" customHeight="1">
      <c r="C931" s="12"/>
    </row>
    <row r="932" ht="15.75" customHeight="1">
      <c r="C932" s="12"/>
    </row>
    <row r="933" ht="15.75" customHeight="1">
      <c r="C933" s="12"/>
    </row>
    <row r="934" ht="15.75" customHeight="1">
      <c r="C934" s="12"/>
    </row>
    <row r="935" ht="15.75" customHeight="1">
      <c r="C935" s="12"/>
    </row>
    <row r="936" ht="15.75" customHeight="1">
      <c r="C936" s="12"/>
    </row>
    <row r="937" ht="15.75" customHeight="1">
      <c r="C937" s="12"/>
    </row>
    <row r="938" ht="15.75" customHeight="1">
      <c r="C938" s="12"/>
    </row>
    <row r="939" ht="15.75" customHeight="1">
      <c r="C939" s="12"/>
    </row>
    <row r="940" ht="15.75" customHeight="1">
      <c r="C940" s="12"/>
    </row>
    <row r="941" ht="15.75" customHeight="1">
      <c r="C941" s="12"/>
    </row>
    <row r="942" ht="15.75" customHeight="1">
      <c r="C942" s="12"/>
    </row>
    <row r="943" ht="15.75" customHeight="1">
      <c r="C943" s="12"/>
    </row>
    <row r="944" ht="15.75" customHeight="1">
      <c r="C944" s="12"/>
    </row>
    <row r="945" ht="15.75" customHeight="1">
      <c r="C945" s="12"/>
    </row>
    <row r="946" ht="15.75" customHeight="1">
      <c r="C946" s="12"/>
    </row>
    <row r="947" ht="15.75" customHeight="1">
      <c r="C947" s="12"/>
    </row>
    <row r="948" ht="15.75" customHeight="1">
      <c r="C948" s="12"/>
    </row>
    <row r="949" ht="15.75" customHeight="1">
      <c r="C949" s="12"/>
    </row>
    <row r="950" ht="15.75" customHeight="1">
      <c r="C950" s="12"/>
    </row>
    <row r="951" ht="15.75" customHeight="1">
      <c r="C951" s="12"/>
    </row>
    <row r="952" ht="15.75" customHeight="1">
      <c r="C952" s="12"/>
    </row>
    <row r="953" ht="15.75" customHeight="1">
      <c r="C953" s="12"/>
    </row>
    <row r="954" ht="15.75" customHeight="1">
      <c r="C954" s="12"/>
    </row>
    <row r="955" ht="15.75" customHeight="1">
      <c r="C955" s="12"/>
    </row>
    <row r="956" ht="15.75" customHeight="1">
      <c r="C956" s="12"/>
    </row>
    <row r="957" ht="15.75" customHeight="1">
      <c r="C957" s="12"/>
    </row>
    <row r="958" ht="15.75" customHeight="1">
      <c r="C958" s="12"/>
    </row>
    <row r="959" ht="15.75" customHeight="1">
      <c r="C959" s="12"/>
    </row>
    <row r="960" ht="15.75" customHeight="1">
      <c r="C960" s="12"/>
    </row>
    <row r="961" ht="15.75" customHeight="1">
      <c r="C961" s="12"/>
    </row>
    <row r="962" ht="15.75" customHeight="1">
      <c r="C962" s="12"/>
    </row>
    <row r="963" ht="15.75" customHeight="1">
      <c r="C963" s="12"/>
    </row>
    <row r="964" ht="15.75" customHeight="1">
      <c r="C964" s="12"/>
    </row>
    <row r="965" ht="15.75" customHeight="1">
      <c r="C965" s="12"/>
    </row>
    <row r="966" ht="15.75" customHeight="1">
      <c r="C966" s="12"/>
    </row>
    <row r="967" ht="15.75" customHeight="1">
      <c r="C967" s="12"/>
    </row>
    <row r="968" ht="15.75" customHeight="1">
      <c r="C968" s="12"/>
    </row>
    <row r="969" ht="15.75" customHeight="1">
      <c r="C969" s="12"/>
    </row>
    <row r="970" ht="15.75" customHeight="1">
      <c r="C970" s="12"/>
    </row>
    <row r="971" ht="15.75" customHeight="1">
      <c r="C971" s="12"/>
    </row>
    <row r="972" ht="15.75" customHeight="1">
      <c r="C972" s="12"/>
    </row>
    <row r="973" ht="15.75" customHeight="1">
      <c r="C973" s="12"/>
    </row>
    <row r="974" ht="15.75" customHeight="1">
      <c r="C974" s="12"/>
    </row>
    <row r="975" ht="15.75" customHeight="1">
      <c r="C975" s="12"/>
    </row>
    <row r="976" ht="15.75" customHeight="1">
      <c r="C976" s="12"/>
    </row>
    <row r="977" ht="15.75" customHeight="1">
      <c r="C977" s="12"/>
    </row>
    <row r="978" ht="15.75" customHeight="1">
      <c r="C978" s="12"/>
    </row>
    <row r="979" ht="15.75" customHeight="1">
      <c r="C979" s="12"/>
    </row>
    <row r="980" ht="15.75" customHeight="1">
      <c r="C980" s="12"/>
    </row>
    <row r="981" ht="15.75" customHeight="1">
      <c r="C981" s="12"/>
    </row>
    <row r="982" ht="15.75" customHeight="1">
      <c r="C982" s="12"/>
    </row>
    <row r="983" ht="15.75" customHeight="1">
      <c r="C983" s="12"/>
    </row>
    <row r="984" ht="15.75" customHeight="1">
      <c r="C984" s="12"/>
    </row>
    <row r="985" ht="15.75" customHeight="1">
      <c r="C985" s="12"/>
    </row>
    <row r="986" ht="15.75" customHeight="1">
      <c r="C986" s="12"/>
    </row>
    <row r="987" ht="15.75" customHeight="1">
      <c r="C987" s="12"/>
    </row>
    <row r="988" ht="15.75" customHeight="1">
      <c r="C988" s="12"/>
    </row>
    <row r="989" ht="15.75" customHeight="1">
      <c r="C989" s="12"/>
    </row>
    <row r="990" ht="15.75" customHeight="1">
      <c r="C990" s="12"/>
    </row>
    <row r="991" ht="15.75" customHeight="1">
      <c r="C991" s="12"/>
    </row>
    <row r="992" ht="15.75" customHeight="1">
      <c r="C992" s="12"/>
    </row>
    <row r="993" ht="15.75" customHeight="1">
      <c r="C993" s="12"/>
    </row>
    <row r="994" ht="15.75" customHeight="1">
      <c r="C994" s="12"/>
    </row>
    <row r="995" ht="15.75" customHeight="1">
      <c r="C995" s="12"/>
    </row>
    <row r="996" ht="15.75" customHeight="1">
      <c r="C996" s="12"/>
    </row>
    <row r="997" ht="15.75" customHeight="1">
      <c r="C997" s="12"/>
    </row>
    <row r="998" ht="15.75" customHeight="1">
      <c r="C998" s="12"/>
    </row>
    <row r="999" ht="15.75" customHeight="1">
      <c r="C999" s="12"/>
    </row>
    <row r="1000" ht="15.75" customHeight="1">
      <c r="C1000" s="12"/>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8" t="s">
        <v>141</v>
      </c>
      <c r="B1" s="10"/>
      <c r="C1" s="16"/>
      <c r="D1" s="16"/>
      <c r="E1" s="16"/>
      <c r="F1" s="16"/>
      <c r="G1" s="16"/>
      <c r="H1" s="16"/>
      <c r="I1" s="16"/>
      <c r="J1" s="16"/>
      <c r="K1" s="16"/>
      <c r="L1" s="16"/>
      <c r="M1" s="16"/>
      <c r="N1" s="16"/>
      <c r="O1" s="16"/>
      <c r="P1" s="16"/>
      <c r="Q1" s="16"/>
      <c r="R1" s="16"/>
      <c r="S1" s="16"/>
      <c r="T1" s="16"/>
      <c r="U1" s="16"/>
      <c r="V1" s="16"/>
      <c r="W1" s="16"/>
      <c r="X1" s="16"/>
      <c r="Y1" s="16"/>
      <c r="Z1" s="16"/>
    </row>
    <row r="2" ht="18.0" customHeight="1">
      <c r="A2" s="86"/>
      <c r="B2" s="87"/>
      <c r="C2" s="16"/>
      <c r="D2" s="16"/>
      <c r="E2" s="16"/>
      <c r="F2" s="16"/>
      <c r="G2" s="16"/>
      <c r="H2" s="16"/>
      <c r="I2" s="16"/>
      <c r="J2" s="16"/>
      <c r="K2" s="16"/>
      <c r="L2" s="16"/>
      <c r="M2" s="16"/>
      <c r="N2" s="16"/>
      <c r="O2" s="16"/>
      <c r="P2" s="16"/>
      <c r="Q2" s="16"/>
      <c r="R2" s="16"/>
      <c r="S2" s="16"/>
      <c r="T2" s="16"/>
      <c r="U2" s="16"/>
      <c r="V2" s="16"/>
      <c r="W2" s="16"/>
      <c r="X2" s="16"/>
      <c r="Y2" s="16"/>
      <c r="Z2" s="16"/>
    </row>
    <row r="3" ht="36.0" customHeight="1">
      <c r="A3" s="33" t="s">
        <v>155</v>
      </c>
      <c r="B3" s="26"/>
      <c r="C3" s="16"/>
      <c r="D3" s="16"/>
      <c r="E3" s="16"/>
      <c r="F3" s="16"/>
      <c r="G3" s="16"/>
      <c r="H3" s="16"/>
      <c r="I3" s="16"/>
      <c r="J3" s="16"/>
      <c r="K3" s="16"/>
      <c r="L3" s="16"/>
      <c r="M3" s="16"/>
      <c r="N3" s="16"/>
      <c r="O3" s="16"/>
      <c r="P3" s="16"/>
      <c r="Q3" s="16"/>
      <c r="R3" s="16"/>
      <c r="S3" s="16"/>
      <c r="T3" s="16"/>
      <c r="U3" s="16"/>
      <c r="V3" s="16"/>
      <c r="W3" s="16"/>
      <c r="X3" s="16"/>
      <c r="Y3" s="16"/>
      <c r="Z3" s="16"/>
    </row>
    <row r="4" ht="18.75" customHeight="1">
      <c r="A4" s="89" t="s">
        <v>161</v>
      </c>
      <c r="B4" s="26"/>
      <c r="C4" s="16"/>
      <c r="D4" s="16"/>
      <c r="E4" s="16"/>
      <c r="F4" s="16"/>
      <c r="G4" s="16"/>
      <c r="H4" s="16"/>
      <c r="I4" s="16"/>
      <c r="J4" s="16"/>
      <c r="K4" s="16"/>
      <c r="L4" s="16"/>
      <c r="M4" s="16"/>
      <c r="N4" s="16"/>
      <c r="O4" s="16"/>
      <c r="P4" s="16"/>
      <c r="Q4" s="16"/>
      <c r="R4" s="16"/>
      <c r="S4" s="16"/>
      <c r="T4" s="16"/>
      <c r="U4" s="16"/>
      <c r="V4" s="16"/>
      <c r="W4" s="16"/>
      <c r="X4" s="16"/>
      <c r="Y4" s="16"/>
      <c r="Z4" s="16"/>
    </row>
    <row r="5" ht="18.75" customHeight="1">
      <c r="A5" s="89" t="s">
        <v>166</v>
      </c>
      <c r="B5" s="26"/>
      <c r="C5" s="16"/>
      <c r="D5" s="16"/>
      <c r="E5" s="16"/>
      <c r="F5" s="16"/>
      <c r="G5" s="16"/>
      <c r="H5" s="16"/>
      <c r="I5" s="16"/>
      <c r="J5" s="16"/>
      <c r="K5" s="16"/>
      <c r="L5" s="16"/>
      <c r="M5" s="16"/>
      <c r="N5" s="16"/>
      <c r="O5" s="16"/>
      <c r="P5" s="16"/>
      <c r="Q5" s="16"/>
      <c r="R5" s="16"/>
      <c r="S5" s="16"/>
      <c r="T5" s="16"/>
      <c r="U5" s="16"/>
      <c r="V5" s="16"/>
      <c r="W5" s="16"/>
      <c r="X5" s="16"/>
      <c r="Y5" s="16"/>
      <c r="Z5" s="16"/>
    </row>
    <row r="6" ht="19.5" customHeight="1">
      <c r="A6" s="38" t="s">
        <v>174</v>
      </c>
      <c r="B6" s="39"/>
      <c r="C6" s="16"/>
      <c r="D6" s="16"/>
      <c r="E6" s="16"/>
      <c r="F6" s="16"/>
      <c r="G6" s="16"/>
      <c r="H6" s="16"/>
      <c r="I6" s="16"/>
      <c r="J6" s="16"/>
      <c r="K6" s="16"/>
      <c r="L6" s="16"/>
      <c r="M6" s="16"/>
      <c r="N6" s="16"/>
      <c r="O6" s="16"/>
      <c r="P6" s="16"/>
      <c r="Q6" s="16"/>
      <c r="R6" s="16"/>
      <c r="S6" s="16"/>
      <c r="T6" s="16"/>
      <c r="U6" s="16"/>
      <c r="V6" s="16"/>
      <c r="W6" s="16"/>
      <c r="X6" s="16"/>
      <c r="Y6" s="16"/>
      <c r="Z6" s="16"/>
    </row>
    <row r="7" ht="15.7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ht="18.0" customHeight="1">
      <c r="A8" s="93" t="s">
        <v>0</v>
      </c>
      <c r="B8" s="93" t="s">
        <v>4</v>
      </c>
      <c r="C8" s="94" t="s">
        <v>8</v>
      </c>
      <c r="D8" s="94" t="s">
        <v>64</v>
      </c>
      <c r="E8" s="93" t="s">
        <v>26</v>
      </c>
      <c r="F8" s="93" t="s">
        <v>188</v>
      </c>
      <c r="G8" s="93" t="s">
        <v>29</v>
      </c>
      <c r="H8" s="55"/>
      <c r="I8" s="55"/>
      <c r="J8" s="55"/>
      <c r="K8" s="55"/>
      <c r="L8" s="55"/>
      <c r="M8" s="55"/>
      <c r="N8" s="55"/>
      <c r="O8" s="55"/>
      <c r="P8" s="55"/>
      <c r="Q8" s="55"/>
      <c r="R8" s="55"/>
      <c r="S8" s="55"/>
      <c r="T8" s="55"/>
      <c r="U8" s="55"/>
      <c r="V8" s="55"/>
      <c r="W8" s="55"/>
      <c r="X8" s="55"/>
      <c r="Y8" s="55"/>
      <c r="Z8" s="55"/>
    </row>
    <row r="9" ht="15.75" customHeight="1">
      <c r="A9" s="99" t="s">
        <v>196</v>
      </c>
      <c r="B9" s="99" t="s">
        <v>197</v>
      </c>
      <c r="C9" s="99" t="s">
        <v>198</v>
      </c>
      <c r="D9" s="99" t="s">
        <v>200</v>
      </c>
      <c r="E9" s="99" t="s">
        <v>201</v>
      </c>
      <c r="F9" s="99" t="s">
        <v>202</v>
      </c>
      <c r="G9" s="99" t="s">
        <v>206</v>
      </c>
      <c r="H9" s="99"/>
      <c r="I9" s="100"/>
      <c r="J9" s="100"/>
      <c r="K9" s="100"/>
      <c r="L9" s="100"/>
      <c r="M9" s="100"/>
      <c r="N9" s="100"/>
      <c r="O9" s="100"/>
      <c r="P9" s="100"/>
      <c r="Q9" s="100"/>
      <c r="R9" s="100"/>
      <c r="S9" s="100"/>
      <c r="T9" s="100"/>
      <c r="U9" s="100"/>
      <c r="V9" s="100"/>
      <c r="W9" s="100"/>
      <c r="X9" s="100"/>
      <c r="Y9" s="100"/>
      <c r="Z9" s="100"/>
    </row>
    <row r="10" ht="15.75" customHeight="1">
      <c r="A10" s="105"/>
      <c r="B10" s="105"/>
      <c r="C10" s="105"/>
      <c r="D10" s="107" t="s">
        <v>123</v>
      </c>
      <c r="E10" s="110" t="s">
        <v>159</v>
      </c>
      <c r="F10" s="105"/>
      <c r="G10" s="110" t="s">
        <v>165</v>
      </c>
      <c r="H10" s="105"/>
      <c r="I10" s="105"/>
      <c r="J10" s="105"/>
      <c r="K10" s="105"/>
      <c r="L10" s="105"/>
      <c r="M10" s="105"/>
      <c r="N10" s="105"/>
      <c r="O10" s="105"/>
      <c r="P10" s="105"/>
      <c r="Q10" s="105"/>
      <c r="R10" s="105"/>
      <c r="S10" s="105"/>
      <c r="T10" s="105"/>
      <c r="U10" s="105"/>
      <c r="V10" s="105"/>
      <c r="W10" s="105"/>
      <c r="X10" s="105"/>
      <c r="Y10" s="105"/>
      <c r="Z10" s="10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41" t="s">
        <v>310</v>
      </c>
      <c r="B1" s="143"/>
      <c r="C1" s="145"/>
      <c r="D1" s="145"/>
      <c r="E1" s="145"/>
      <c r="F1" s="145"/>
      <c r="G1" s="16"/>
      <c r="H1" s="16"/>
      <c r="I1" s="16"/>
      <c r="J1" s="16"/>
      <c r="K1" s="16"/>
      <c r="L1" s="16"/>
      <c r="M1" s="16"/>
      <c r="N1" s="16"/>
      <c r="O1" s="16"/>
      <c r="P1" s="16"/>
      <c r="Q1" s="16"/>
      <c r="R1" s="16"/>
      <c r="S1" s="16"/>
      <c r="T1" s="16"/>
      <c r="U1" s="16"/>
      <c r="V1" s="16"/>
      <c r="W1" s="16"/>
      <c r="X1" s="16"/>
      <c r="Y1" s="16"/>
      <c r="Z1" s="16"/>
    </row>
    <row r="2" ht="15.75" customHeight="1">
      <c r="A2" s="152"/>
      <c r="B2" s="154"/>
      <c r="C2" s="145"/>
      <c r="D2" s="145"/>
      <c r="E2" s="145"/>
      <c r="F2" s="145"/>
      <c r="G2" s="16"/>
      <c r="H2" s="16"/>
      <c r="I2" s="16"/>
      <c r="J2" s="16"/>
      <c r="K2" s="16"/>
      <c r="L2" s="16"/>
      <c r="M2" s="16"/>
      <c r="N2" s="16"/>
      <c r="O2" s="16"/>
      <c r="P2" s="16"/>
      <c r="Q2" s="16"/>
      <c r="R2" s="16"/>
      <c r="S2" s="16"/>
      <c r="T2" s="16"/>
      <c r="U2" s="16"/>
      <c r="V2" s="16"/>
      <c r="W2" s="16"/>
      <c r="X2" s="16"/>
      <c r="Y2" s="16"/>
      <c r="Z2" s="16"/>
    </row>
    <row r="3" ht="54.75" customHeight="1">
      <c r="A3" s="155" t="s">
        <v>327</v>
      </c>
      <c r="B3" s="156"/>
      <c r="C3" s="145"/>
      <c r="D3" s="145"/>
      <c r="E3" s="145"/>
      <c r="F3" s="145"/>
      <c r="G3" s="16"/>
      <c r="H3" s="16"/>
      <c r="I3" s="16"/>
      <c r="J3" s="16"/>
      <c r="K3" s="16"/>
      <c r="L3" s="16"/>
      <c r="M3" s="16"/>
      <c r="N3" s="16"/>
      <c r="O3" s="16"/>
      <c r="P3" s="16"/>
      <c r="Q3" s="16"/>
      <c r="R3" s="16"/>
      <c r="S3" s="16"/>
      <c r="T3" s="16"/>
      <c r="U3" s="16"/>
      <c r="V3" s="16"/>
      <c r="W3" s="16"/>
      <c r="X3" s="16"/>
      <c r="Y3" s="16"/>
      <c r="Z3" s="16"/>
    </row>
    <row r="4" ht="15.75" customHeight="1">
      <c r="A4" s="145"/>
      <c r="B4" s="145"/>
      <c r="C4" s="145"/>
      <c r="D4" s="145"/>
      <c r="E4" s="145"/>
      <c r="F4" s="145"/>
      <c r="G4" s="16"/>
      <c r="H4" s="16"/>
      <c r="I4" s="16"/>
      <c r="J4" s="16"/>
      <c r="K4" s="16"/>
      <c r="L4" s="16"/>
      <c r="M4" s="16"/>
      <c r="N4" s="16"/>
      <c r="O4" s="16"/>
      <c r="P4" s="16"/>
      <c r="Q4" s="16"/>
      <c r="R4" s="16"/>
      <c r="S4" s="16"/>
      <c r="T4" s="16"/>
      <c r="U4" s="16"/>
      <c r="V4" s="16"/>
      <c r="W4" s="16"/>
      <c r="X4" s="16"/>
      <c r="Y4" s="16"/>
      <c r="Z4" s="16"/>
    </row>
    <row r="5" ht="18.0" customHeight="1">
      <c r="A5" s="157" t="s">
        <v>1</v>
      </c>
      <c r="B5" s="157" t="s">
        <v>5</v>
      </c>
      <c r="C5" s="157" t="s">
        <v>7</v>
      </c>
      <c r="D5" s="157" t="s">
        <v>9</v>
      </c>
      <c r="E5" s="157" t="s">
        <v>11</v>
      </c>
      <c r="F5" s="159" t="s">
        <v>12</v>
      </c>
      <c r="G5" s="160"/>
      <c r="H5" s="161"/>
      <c r="I5" s="160"/>
      <c r="J5" s="160"/>
      <c r="K5" s="160"/>
      <c r="L5" s="160"/>
      <c r="M5" s="160"/>
      <c r="N5" s="160"/>
      <c r="O5" s="160"/>
      <c r="P5" s="160"/>
      <c r="Q5" s="160"/>
      <c r="R5" s="160"/>
      <c r="S5" s="160"/>
      <c r="T5" s="160"/>
      <c r="U5" s="160"/>
      <c r="V5" s="160"/>
      <c r="W5" s="160"/>
      <c r="X5" s="160"/>
      <c r="Y5" s="160"/>
      <c r="Z5" s="160"/>
    </row>
    <row r="6" ht="15.75" customHeight="1">
      <c r="A6" s="56" t="s">
        <v>346</v>
      </c>
      <c r="B6" s="56" t="s">
        <v>347</v>
      </c>
      <c r="C6" s="56" t="s">
        <v>348</v>
      </c>
      <c r="D6" s="56" t="s">
        <v>351</v>
      </c>
      <c r="E6" s="56" t="s">
        <v>353</v>
      </c>
      <c r="F6" s="56" t="s">
        <v>354</v>
      </c>
      <c r="G6" s="68"/>
      <c r="H6" s="68"/>
      <c r="I6" s="68"/>
      <c r="J6" s="68"/>
      <c r="K6" s="68"/>
      <c r="L6" s="68"/>
      <c r="M6" s="68"/>
      <c r="N6" s="68"/>
      <c r="O6" s="68"/>
      <c r="P6" s="68"/>
      <c r="Q6" s="68"/>
      <c r="R6" s="68"/>
      <c r="S6" s="68"/>
      <c r="T6" s="68"/>
      <c r="U6" s="68"/>
      <c r="V6" s="68"/>
      <c r="W6" s="68"/>
      <c r="X6" s="68"/>
      <c r="Y6" s="68"/>
      <c r="Z6" s="68"/>
    </row>
    <row r="7" ht="15.75" customHeight="1">
      <c r="A7" s="91" t="s">
        <v>356</v>
      </c>
      <c r="B7" s="163"/>
      <c r="C7" s="91" t="s">
        <v>365</v>
      </c>
      <c r="D7" s="91" t="s">
        <v>175</v>
      </c>
      <c r="E7" s="91" t="s">
        <v>175</v>
      </c>
      <c r="F7" s="91" t="s">
        <v>123</v>
      </c>
      <c r="G7" s="68"/>
      <c r="H7" s="68"/>
      <c r="I7" s="68"/>
      <c r="J7" s="68"/>
      <c r="K7" s="68"/>
      <c r="L7" s="68"/>
      <c r="M7" s="68"/>
      <c r="N7" s="68"/>
      <c r="O7" s="68"/>
      <c r="P7" s="68"/>
      <c r="Q7" s="68"/>
      <c r="R7" s="68"/>
      <c r="S7" s="68"/>
      <c r="T7" s="68"/>
      <c r="U7" s="68"/>
      <c r="V7" s="68"/>
      <c r="W7" s="68"/>
      <c r="X7" s="68"/>
      <c r="Y7" s="68"/>
      <c r="Z7" s="68"/>
    </row>
    <row r="8" ht="15.75" customHeight="1">
      <c r="A8" s="164"/>
      <c r="B8" s="164"/>
      <c r="C8" s="164"/>
      <c r="D8" s="164"/>
      <c r="E8" s="164"/>
      <c r="F8" s="16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5" width="36.89"/>
  </cols>
  <sheetData>
    <row r="1">
      <c r="A1" s="3" t="s">
        <v>3</v>
      </c>
      <c r="B1" s="5" t="s">
        <v>6</v>
      </c>
      <c r="C1" s="179" t="s">
        <v>8</v>
      </c>
      <c r="D1" s="3" t="s">
        <v>10</v>
      </c>
      <c r="E1" s="3" t="s">
        <v>13</v>
      </c>
      <c r="F1" s="180"/>
      <c r="G1" s="180"/>
      <c r="H1" s="180"/>
      <c r="I1" s="180"/>
      <c r="J1" s="180"/>
      <c r="K1" s="180"/>
      <c r="L1" s="180"/>
    </row>
    <row r="2" hidden="1">
      <c r="A2" s="180"/>
      <c r="B2" s="180"/>
      <c r="C2" s="181"/>
      <c r="D2" s="182"/>
      <c r="E2" s="182"/>
      <c r="F2" s="183"/>
      <c r="G2" s="180" t="str">
        <f>IFERROR(__xludf.DUMMYFUNCTION("TRIM(REGEXREPLACE(C2, ""[0-9]+[a-f]?\."", """"))"),"")</f>
        <v/>
      </c>
      <c r="H2" s="180" t="str">
        <f>IFERROR(__xludf.DUMMYFUNCTION("TRIM(REGEXREPLACE(D2, ""[0-9]+[a-f]?\."", """"))"),"")</f>
        <v/>
      </c>
      <c r="I2" s="180" t="str">
        <f>IFERROR(__xludf.DUMMYFUNCTION("TRIM(REGEXREPLACE(E2, ""[0-9]+[a-f]?\."", """"))"),"")</f>
        <v/>
      </c>
      <c r="J2" s="180"/>
      <c r="K2" s="180"/>
      <c r="L2" s="180"/>
    </row>
    <row r="3" hidden="1">
      <c r="A3" s="180"/>
      <c r="B3" s="182"/>
      <c r="C3" s="182"/>
      <c r="D3" s="182"/>
      <c r="E3" s="182"/>
      <c r="F3" s="183"/>
      <c r="G3" s="180" t="str">
        <f>IFERROR(__xludf.DUMMYFUNCTION("TRIM(REGEXREPLACE(C3, ""[0-9]+[a-f]?\."", """"))"),"")</f>
        <v/>
      </c>
      <c r="H3" s="180" t="str">
        <f>IFERROR(__xludf.DUMMYFUNCTION("TRIM(REGEXREPLACE(D3, ""[0-9]+[a-f]?\."", """"))"),"")</f>
        <v/>
      </c>
      <c r="I3" s="180" t="str">
        <f>IFERROR(__xludf.DUMMYFUNCTION("TRIM(REGEXREPLACE(E3, ""[0-9]+[a-f]?\."", """"))"),"")</f>
        <v/>
      </c>
      <c r="J3" s="180"/>
      <c r="K3" s="180"/>
      <c r="L3" s="184"/>
    </row>
    <row r="4" hidden="1">
      <c r="A4" s="180"/>
      <c r="B4" s="182"/>
      <c r="C4" s="182"/>
      <c r="D4" s="181"/>
      <c r="E4" s="182"/>
      <c r="F4" s="183"/>
      <c r="G4" s="180" t="str">
        <f>IFERROR(__xludf.DUMMYFUNCTION("TRIM(REGEXREPLACE(C4, ""[0-9]+[a-f]?\."", """"))"),"")</f>
        <v/>
      </c>
      <c r="H4" s="180" t="str">
        <f>IFERROR(__xludf.DUMMYFUNCTION("TRIM(REGEXREPLACE(D4, ""[0-9]+[a-f]?\."", """"))"),"")</f>
        <v/>
      </c>
      <c r="I4" s="180" t="str">
        <f>IFERROR(__xludf.DUMMYFUNCTION("TRIM(REGEXREPLACE(E4, ""[0-9]+[a-f]?\."", """"))"),"")</f>
        <v/>
      </c>
      <c r="J4" s="180"/>
      <c r="K4" s="180"/>
      <c r="L4" s="180"/>
    </row>
    <row r="5" hidden="1">
      <c r="A5" s="180"/>
      <c r="B5" s="182"/>
      <c r="C5" s="182"/>
      <c r="D5" s="182"/>
      <c r="E5" s="182"/>
      <c r="F5" s="183"/>
      <c r="G5" s="180" t="str">
        <f>IFERROR(__xludf.DUMMYFUNCTION("TRIM(REGEXREPLACE(C5, ""[0-9]+[a-f]?\."", """"))"),"")</f>
        <v/>
      </c>
      <c r="H5" s="180" t="str">
        <f>IFERROR(__xludf.DUMMYFUNCTION("TRIM(REGEXREPLACE(D5, ""[0-9]+[a-f]?\."", """"))"),"")</f>
        <v/>
      </c>
      <c r="I5" s="180" t="str">
        <f>IFERROR(__xludf.DUMMYFUNCTION("TRIM(REGEXREPLACE(E5, ""[0-9]+[a-f]?\."", """"))"),"")</f>
        <v/>
      </c>
      <c r="J5" s="180"/>
      <c r="K5" s="180"/>
      <c r="L5" s="184"/>
    </row>
    <row r="6" hidden="1">
      <c r="A6" s="180"/>
      <c r="B6" s="182"/>
      <c r="C6" s="182"/>
      <c r="D6" s="182"/>
      <c r="E6" s="182"/>
      <c r="F6" s="183"/>
      <c r="G6" s="180" t="str">
        <f>IFERROR(__xludf.DUMMYFUNCTION("TRIM(REGEXREPLACE(C6, ""[0-9]+[a-f]?\."", """"))"),"")</f>
        <v/>
      </c>
      <c r="H6" s="180" t="str">
        <f>IFERROR(__xludf.DUMMYFUNCTION("TRIM(REGEXREPLACE(D6, ""[0-9]+[a-f]?\."", """"))"),"")</f>
        <v/>
      </c>
      <c r="I6" s="180" t="str">
        <f>IFERROR(__xludf.DUMMYFUNCTION("TRIM(REGEXREPLACE(E6, ""[0-9]+[a-f]?\."", """"))"),"")</f>
        <v/>
      </c>
      <c r="J6" s="180"/>
      <c r="K6" s="180"/>
      <c r="L6" s="184"/>
    </row>
    <row r="7" hidden="1">
      <c r="A7" s="180"/>
      <c r="B7" s="182"/>
      <c r="C7" s="182"/>
      <c r="D7" s="182"/>
      <c r="E7" s="182"/>
      <c r="F7" s="183"/>
      <c r="G7" s="180" t="str">
        <f>IFERROR(__xludf.DUMMYFUNCTION("TRIM(REGEXREPLACE(C7, ""[0-9]+[a-f]?\."", """"))"),"")</f>
        <v/>
      </c>
      <c r="H7" s="180" t="str">
        <f>IFERROR(__xludf.DUMMYFUNCTION("TRIM(REGEXREPLACE(D7, ""[0-9]+[a-f]?\."", """"))"),"")</f>
        <v/>
      </c>
      <c r="I7" s="180" t="str">
        <f>IFERROR(__xludf.DUMMYFUNCTION("TRIM(REGEXREPLACE(E7, ""[0-9]+[a-f]?\."", """"))"),"")</f>
        <v/>
      </c>
      <c r="J7" s="180"/>
      <c r="K7" s="180"/>
      <c r="L7" s="184"/>
    </row>
    <row r="8" hidden="1">
      <c r="A8" s="180"/>
      <c r="B8" s="182"/>
      <c r="C8" s="182"/>
      <c r="D8" s="182"/>
      <c r="E8" s="182"/>
      <c r="F8" s="183"/>
      <c r="G8" s="180" t="str">
        <f>IFERROR(__xludf.DUMMYFUNCTION("TRIM(REGEXREPLACE(C8, ""[0-9]+[a-f]?\."", """"))"),"")</f>
        <v/>
      </c>
      <c r="H8" s="180" t="str">
        <f>IFERROR(__xludf.DUMMYFUNCTION("TRIM(REGEXREPLACE(D8, ""[0-9]+[a-f]?\."", """"))"),"")</f>
        <v/>
      </c>
      <c r="I8" s="180" t="str">
        <f>IFERROR(__xludf.DUMMYFUNCTION("TRIM(REGEXREPLACE(E8, ""[0-9]+[a-f]?\."", """"))"),"")</f>
        <v/>
      </c>
      <c r="J8" s="180"/>
      <c r="K8" s="180"/>
      <c r="L8" s="184"/>
    </row>
    <row r="9" hidden="1">
      <c r="A9" s="180"/>
      <c r="B9" s="182"/>
      <c r="C9" s="181"/>
      <c r="D9" s="182"/>
      <c r="E9" s="182"/>
      <c r="F9" s="183"/>
      <c r="G9" s="180" t="str">
        <f>IFERROR(__xludf.DUMMYFUNCTION("TRIM(REGEXREPLACE(C9, ""[0-9]+[a-f]?\."", """"))"),"")</f>
        <v/>
      </c>
      <c r="H9" s="180" t="str">
        <f>IFERROR(__xludf.DUMMYFUNCTION("TRIM(REGEXREPLACE(D9, ""[0-9]+[a-f]?\."", """"))"),"")</f>
        <v/>
      </c>
      <c r="I9" s="180" t="str">
        <f>IFERROR(__xludf.DUMMYFUNCTION("TRIM(REGEXREPLACE(E9, ""[0-9]+[a-f]?\."", """"))"),"")</f>
        <v/>
      </c>
      <c r="J9" s="180"/>
      <c r="K9" s="180"/>
      <c r="L9" s="180"/>
    </row>
    <row r="10" hidden="1">
      <c r="A10" s="25" t="s">
        <v>45</v>
      </c>
      <c r="B10" s="25" t="s">
        <v>46</v>
      </c>
      <c r="C10" s="45"/>
      <c r="D10" s="25"/>
      <c r="E10" s="25"/>
      <c r="F10" s="187">
        <v>1.0</v>
      </c>
      <c r="G10" s="180" t="str">
        <f>IFERROR(__xludf.DUMMYFUNCTION("TRIM(REGEXREPLACE(C10, ""[0-9]+[a-f]?\."", """"))"),"")</f>
        <v/>
      </c>
      <c r="H10" s="180" t="str">
        <f>IFERROR(__xludf.DUMMYFUNCTION("TRIM(REGEXREPLACE(D10, ""[0-9]+[a-f]?\."", """"))"),"")</f>
        <v/>
      </c>
      <c r="I10" s="180" t="str">
        <f>IFERROR(__xludf.DUMMYFUNCTION("TRIM(REGEXREPLACE(E10, ""[0-9]+[a-f]?\."", """"))"),"")</f>
        <v/>
      </c>
      <c r="J10" s="180" t="s">
        <v>480</v>
      </c>
      <c r="K10" s="180" t="s">
        <v>481</v>
      </c>
      <c r="L10" s="180" t="s">
        <v>482</v>
      </c>
    </row>
    <row r="11" hidden="1">
      <c r="A11" s="180"/>
      <c r="B11" s="182"/>
      <c r="C11" s="182"/>
      <c r="D11" s="182"/>
      <c r="E11" s="182"/>
      <c r="F11" s="183"/>
      <c r="G11" s="180" t="str">
        <f>IFERROR(__xludf.DUMMYFUNCTION("TRIM(REGEXREPLACE(C11, ""[0-9]+[a-f]?\."", """"))"),"")</f>
        <v/>
      </c>
      <c r="H11" s="180" t="str">
        <f>IFERROR(__xludf.DUMMYFUNCTION("TRIM(REGEXREPLACE(D11, ""[0-9]+[a-f]?\."", """"))"),"")</f>
        <v/>
      </c>
      <c r="I11" s="180" t="str">
        <f>IFERROR(__xludf.DUMMYFUNCTION("TRIM(REGEXREPLACE(E11, ""[0-9]+[a-f]?\."", """"))"),"")</f>
        <v/>
      </c>
      <c r="J11" s="180"/>
      <c r="K11" s="180"/>
      <c r="L11" s="184"/>
    </row>
    <row r="12" hidden="1">
      <c r="A12" s="180"/>
      <c r="B12" s="182"/>
      <c r="C12" s="181"/>
      <c r="D12" s="182"/>
      <c r="E12" s="182"/>
      <c r="F12" s="183"/>
      <c r="G12" s="180" t="str">
        <f>IFERROR(__xludf.DUMMYFUNCTION("TRIM(REGEXREPLACE(C12, ""[0-9]+[a-f]?\."", """"))"),"")</f>
        <v/>
      </c>
      <c r="H12" s="180" t="str">
        <f>IFERROR(__xludf.DUMMYFUNCTION("TRIM(REGEXREPLACE(D12, ""[0-9]+[a-f]?\."", """"))"),"")</f>
        <v/>
      </c>
      <c r="I12" s="180" t="str">
        <f>IFERROR(__xludf.DUMMYFUNCTION("TRIM(REGEXREPLACE(E12, ""[0-9]+[a-f]?\."", """"))"),"")</f>
        <v/>
      </c>
      <c r="J12" s="180"/>
      <c r="K12" s="180"/>
      <c r="L12" s="180"/>
    </row>
    <row r="13" hidden="1">
      <c r="A13" s="180"/>
      <c r="B13" s="182"/>
      <c r="C13" s="182"/>
      <c r="D13" s="182"/>
      <c r="E13" s="182"/>
      <c r="F13" s="187">
        <v>2.0</v>
      </c>
      <c r="G13" s="180" t="str">
        <f>IFERROR(__xludf.DUMMYFUNCTION("TRIM(REGEXREPLACE(C13, ""[0-9]+[a-f]?\."", """"))"),"")</f>
        <v/>
      </c>
      <c r="H13" s="180" t="str">
        <f>IFERROR(__xludf.DUMMYFUNCTION("TRIM(REGEXREPLACE(D13, ""[0-9]+[a-f]?\."", """"))"),"")</f>
        <v/>
      </c>
      <c r="I13" s="180" t="str">
        <f>IFERROR(__xludf.DUMMYFUNCTION("TRIM(REGEXREPLACE(E13, ""[0-9]+[a-f]?\."", """"))"),"")</f>
        <v/>
      </c>
      <c r="J13" s="180" t="s">
        <v>142</v>
      </c>
      <c r="K13" s="180" t="s">
        <v>143</v>
      </c>
      <c r="L13" s="180" t="s">
        <v>144</v>
      </c>
    </row>
    <row r="14" hidden="1">
      <c r="A14" s="25" t="s">
        <v>52</v>
      </c>
      <c r="B14" s="25" t="s">
        <v>53</v>
      </c>
      <c r="C14" s="45"/>
      <c r="D14" s="25"/>
      <c r="E14" s="25"/>
      <c r="F14" s="187">
        <v>2.0</v>
      </c>
      <c r="G14" s="180" t="str">
        <f>IFERROR(__xludf.DUMMYFUNCTION("TRIM(REGEXREPLACE(C14, ""[0-9]+[a-f]?\."", """"))"),"")</f>
        <v/>
      </c>
      <c r="H14" s="180" t="str">
        <f>IFERROR(__xludf.DUMMYFUNCTION("TRIM(REGEXREPLACE(D14, ""[0-9]+[a-f]?\."", """"))"),"")</f>
        <v/>
      </c>
      <c r="I14" s="180" t="str">
        <f>IFERROR(__xludf.DUMMYFUNCTION("TRIM(REGEXREPLACE(E14, ""[0-9]+[a-f]?\."", """"))"),"")</f>
        <v/>
      </c>
      <c r="J14" s="180" t="s">
        <v>142</v>
      </c>
      <c r="K14" s="180" t="s">
        <v>143</v>
      </c>
      <c r="L14" s="180" t="s">
        <v>144</v>
      </c>
    </row>
    <row r="15" hidden="1">
      <c r="A15" s="25" t="s">
        <v>57</v>
      </c>
      <c r="B15" s="25" t="s">
        <v>57</v>
      </c>
      <c r="C15" s="45"/>
      <c r="D15" s="25"/>
      <c r="E15" s="25"/>
      <c r="F15" s="187">
        <v>3.0</v>
      </c>
      <c r="G15" s="180" t="str">
        <f>IFERROR(__xludf.DUMMYFUNCTION("TRIM(REGEXREPLACE(C15, ""[0-9]+[a-f]?\."", """"))"),"")</f>
        <v/>
      </c>
      <c r="H15" s="180" t="str">
        <f>IFERROR(__xludf.DUMMYFUNCTION("TRIM(REGEXREPLACE(D15, ""[0-9]+[a-f]?\."", """"))"),"")</f>
        <v/>
      </c>
      <c r="I15" s="180" t="str">
        <f>IFERROR(__xludf.DUMMYFUNCTION("TRIM(REGEXREPLACE(E15, ""[0-9]+[a-f]?\."", """"))"),"")</f>
        <v/>
      </c>
      <c r="J15" s="180" t="s">
        <v>156</v>
      </c>
      <c r="K15" s="180" t="s">
        <v>157</v>
      </c>
      <c r="L15" s="180" t="s">
        <v>158</v>
      </c>
    </row>
    <row r="16" hidden="1">
      <c r="A16" s="25" t="s">
        <v>61</v>
      </c>
      <c r="B16" s="25" t="s">
        <v>62</v>
      </c>
      <c r="C16" s="45"/>
      <c r="D16" s="45"/>
      <c r="E16" s="25"/>
      <c r="F16" s="187">
        <v>4.0</v>
      </c>
      <c r="G16" s="180" t="str">
        <f>IFERROR(__xludf.DUMMYFUNCTION("TRIM(REGEXREPLACE(C16, ""[0-9]+[a-f]?\."", """"))"),"")</f>
        <v/>
      </c>
      <c r="H16" s="180" t="str">
        <f>IFERROR(__xludf.DUMMYFUNCTION("TRIM(REGEXREPLACE(D16, ""[0-9]+[a-f]?\."", """"))"),"")</f>
        <v/>
      </c>
      <c r="I16" s="180" t="str">
        <f>IFERROR(__xludf.DUMMYFUNCTION("TRIM(REGEXREPLACE(E16, ""[0-9]+[a-f]?\."", """"))"),"")</f>
        <v/>
      </c>
      <c r="J16" s="180" t="s">
        <v>169</v>
      </c>
      <c r="K16" s="180" t="s">
        <v>170</v>
      </c>
      <c r="L16" s="180" t="s">
        <v>171</v>
      </c>
    </row>
    <row r="17" hidden="1">
      <c r="A17" s="180"/>
      <c r="B17" s="182"/>
      <c r="C17" s="182"/>
      <c r="D17" s="182"/>
      <c r="E17" s="182"/>
      <c r="F17" s="187">
        <v>5.0</v>
      </c>
      <c r="G17" s="180" t="str">
        <f>IFERROR(__xludf.DUMMYFUNCTION("TRIM(REGEXREPLACE(C17, ""[0-9]+[a-f]?\."", """"))"),"")</f>
        <v/>
      </c>
      <c r="H17" s="180" t="str">
        <f>IFERROR(__xludf.DUMMYFUNCTION("TRIM(REGEXREPLACE(D17, ""[0-9]+[a-f]?\."", """"))"),"")</f>
        <v/>
      </c>
      <c r="I17" s="180" t="str">
        <f>IFERROR(__xludf.DUMMYFUNCTION("TRIM(REGEXREPLACE(E17, ""[0-9]+[a-f]?\."", """"))"),"")</f>
        <v/>
      </c>
      <c r="J17" s="180" t="s">
        <v>184</v>
      </c>
      <c r="K17" s="180" t="s">
        <v>185</v>
      </c>
      <c r="L17" s="180" t="s">
        <v>186</v>
      </c>
    </row>
    <row r="18" hidden="1">
      <c r="A18" s="25" t="s">
        <v>63</v>
      </c>
      <c r="B18" s="25" t="s">
        <v>63</v>
      </c>
      <c r="C18" s="45"/>
      <c r="D18" s="25"/>
      <c r="E18" s="25"/>
      <c r="F18" s="187">
        <v>5.0</v>
      </c>
      <c r="G18" s="180" t="str">
        <f>IFERROR(__xludf.DUMMYFUNCTION("TRIM(REGEXREPLACE(C18, ""[0-9]+[a-f]?\."", """"))"),"")</f>
        <v/>
      </c>
      <c r="H18" s="180" t="str">
        <f>IFERROR(__xludf.DUMMYFUNCTION("TRIM(REGEXREPLACE(D18, ""[0-9]+[a-f]?\."", """"))"),"")</f>
        <v/>
      </c>
      <c r="I18" s="180" t="str">
        <f>IFERROR(__xludf.DUMMYFUNCTION("TRIM(REGEXREPLACE(E18, ""[0-9]+[a-f]?\."", """"))"),"")</f>
        <v/>
      </c>
      <c r="J18" s="180" t="s">
        <v>184</v>
      </c>
      <c r="K18" s="180" t="s">
        <v>185</v>
      </c>
      <c r="L18" s="180" t="s">
        <v>186</v>
      </c>
    </row>
    <row r="19" hidden="1">
      <c r="A19" s="180"/>
      <c r="B19" s="182"/>
      <c r="C19" s="182"/>
      <c r="D19" s="182"/>
      <c r="E19" s="182"/>
      <c r="F19" s="187">
        <v>6.0</v>
      </c>
      <c r="G19" s="180" t="str">
        <f>IFERROR(__xludf.DUMMYFUNCTION("TRIM(REGEXREPLACE(C19, ""[0-9]+[a-f]?\."", """"))"),"")</f>
        <v/>
      </c>
      <c r="H19" s="180" t="str">
        <f>IFERROR(__xludf.DUMMYFUNCTION("TRIM(REGEXREPLACE(D19, ""[0-9]+[a-f]?\."", """"))"),"")</f>
        <v/>
      </c>
      <c r="I19" s="180" t="str">
        <f>IFERROR(__xludf.DUMMYFUNCTION("TRIM(REGEXREPLACE(E19, ""[0-9]+[a-f]?\."", """"))"),"")</f>
        <v/>
      </c>
      <c r="J19" s="180" t="s">
        <v>192</v>
      </c>
      <c r="K19" s="180" t="s">
        <v>193</v>
      </c>
      <c r="L19" s="180" t="s">
        <v>194</v>
      </c>
    </row>
    <row r="20" hidden="1">
      <c r="A20" s="25" t="s">
        <v>68</v>
      </c>
      <c r="B20" s="25" t="s">
        <v>69</v>
      </c>
      <c r="C20" s="45"/>
      <c r="D20" s="25"/>
      <c r="E20" s="25"/>
      <c r="F20" s="187">
        <v>6.0</v>
      </c>
      <c r="G20" s="180" t="str">
        <f>IFERROR(__xludf.DUMMYFUNCTION("TRIM(REGEXREPLACE(C20, ""[0-9]+[a-f]?\."", """"))"),"")</f>
        <v/>
      </c>
      <c r="H20" s="180" t="str">
        <f>IFERROR(__xludf.DUMMYFUNCTION("TRIM(REGEXREPLACE(D20, ""[0-9]+[a-f]?\."", """"))"),"")</f>
        <v/>
      </c>
      <c r="I20" s="180" t="str">
        <f>IFERROR(__xludf.DUMMYFUNCTION("TRIM(REGEXREPLACE(E20, ""[0-9]+[a-f]?\."", """"))"),"")</f>
        <v/>
      </c>
      <c r="J20" s="180" t="s">
        <v>192</v>
      </c>
      <c r="K20" s="180" t="s">
        <v>193</v>
      </c>
      <c r="L20" s="180" t="s">
        <v>194</v>
      </c>
    </row>
    <row r="21" hidden="1">
      <c r="A21" s="180"/>
      <c r="B21" s="182"/>
      <c r="C21" s="182"/>
      <c r="D21" s="182"/>
      <c r="E21" s="182"/>
      <c r="F21" s="183"/>
      <c r="G21" s="180" t="str">
        <f>IFERROR(__xludf.DUMMYFUNCTION("TRIM(REGEXREPLACE(C21, ""[0-9]+[a-f]?\."", """"))"),"")</f>
        <v/>
      </c>
      <c r="H21" s="180" t="str">
        <f>IFERROR(__xludf.DUMMYFUNCTION("TRIM(REGEXREPLACE(D21, ""[0-9]+[a-f]?\."", """"))"),"")</f>
        <v/>
      </c>
      <c r="I21" s="180" t="str">
        <f>IFERROR(__xludf.DUMMYFUNCTION("TRIM(REGEXREPLACE(E21, ""[0-9]+[a-f]?\."", """"))"),"")</f>
        <v/>
      </c>
      <c r="J21" s="180"/>
      <c r="K21" s="180"/>
      <c r="L21" s="184"/>
    </row>
    <row r="22" hidden="1">
      <c r="A22" s="180"/>
      <c r="B22" s="182"/>
      <c r="C22" s="182"/>
      <c r="D22" s="182"/>
      <c r="E22" s="182"/>
      <c r="F22" s="183"/>
      <c r="G22" s="180" t="str">
        <f>IFERROR(__xludf.DUMMYFUNCTION("TRIM(REGEXREPLACE(C22, ""[0-9]+[a-f]?\."", """"))"),"")</f>
        <v/>
      </c>
      <c r="H22" s="180" t="str">
        <f>IFERROR(__xludf.DUMMYFUNCTION("TRIM(REGEXREPLACE(D22, ""[0-9]+[a-f]?\."", """"))"),"")</f>
        <v/>
      </c>
      <c r="I22" s="180" t="str">
        <f>IFERROR(__xludf.DUMMYFUNCTION("TRIM(REGEXREPLACE(E22, ""[0-9]+[a-f]?\."", """"))"),"")</f>
        <v/>
      </c>
      <c r="J22" s="180"/>
      <c r="K22" s="180"/>
      <c r="L22" s="184"/>
    </row>
    <row r="23" hidden="1">
      <c r="A23" s="180"/>
      <c r="B23" s="182"/>
      <c r="C23" s="182"/>
      <c r="D23" s="182"/>
      <c r="E23" s="182"/>
      <c r="F23" s="187">
        <v>7.0</v>
      </c>
      <c r="G23" s="180" t="str">
        <f>IFERROR(__xludf.DUMMYFUNCTION("TRIM(REGEXREPLACE(C23, ""[0-9]+[a-f]?\."", """"))"),"")</f>
        <v/>
      </c>
      <c r="H23" s="180" t="str">
        <f>IFERROR(__xludf.DUMMYFUNCTION("TRIM(REGEXREPLACE(D23, ""[0-9]+[a-f]?\."", """"))"),"")</f>
        <v/>
      </c>
      <c r="I23" s="180" t="str">
        <f>IFERROR(__xludf.DUMMYFUNCTION("TRIM(REGEXREPLACE(E23, ""[0-9]+[a-f]?\."", """"))"),"")</f>
        <v/>
      </c>
      <c r="J23" s="180" t="s">
        <v>214</v>
      </c>
      <c r="K23" s="180" t="s">
        <v>215</v>
      </c>
      <c r="L23" s="180" t="s">
        <v>216</v>
      </c>
    </row>
    <row r="24" hidden="1">
      <c r="A24" s="25" t="s">
        <v>68</v>
      </c>
      <c r="B24" s="25" t="s">
        <v>78</v>
      </c>
      <c r="C24" s="45"/>
      <c r="D24" s="25"/>
      <c r="E24" s="25"/>
      <c r="F24" s="187">
        <v>7.0</v>
      </c>
      <c r="G24" s="180" t="str">
        <f>IFERROR(__xludf.DUMMYFUNCTION("TRIM(REGEXREPLACE(C24, ""[0-9]+[a-f]?\."", """"))"),"")</f>
        <v/>
      </c>
      <c r="H24" s="180" t="str">
        <f>IFERROR(__xludf.DUMMYFUNCTION("TRIM(REGEXREPLACE(D24, ""[0-9]+[a-f]?\."", """"))"),"")</f>
        <v/>
      </c>
      <c r="I24" s="180" t="str">
        <f>IFERROR(__xludf.DUMMYFUNCTION("TRIM(REGEXREPLACE(E24, ""[0-9]+[a-f]?\."", """"))"),"")</f>
        <v/>
      </c>
      <c r="J24" s="180" t="s">
        <v>214</v>
      </c>
      <c r="K24" s="180" t="s">
        <v>215</v>
      </c>
      <c r="L24" s="180" t="s">
        <v>216</v>
      </c>
    </row>
    <row r="25" hidden="1">
      <c r="A25" s="180"/>
      <c r="B25" s="182"/>
      <c r="C25" s="182"/>
      <c r="D25" s="182"/>
      <c r="E25" s="182"/>
      <c r="F25" s="183"/>
      <c r="G25" s="180" t="str">
        <f>IFERROR(__xludf.DUMMYFUNCTION("TRIM(REGEXREPLACE(C25, ""[0-9]+[a-f]?\."", """"))"),"")</f>
        <v/>
      </c>
      <c r="H25" s="180" t="str">
        <f>IFERROR(__xludf.DUMMYFUNCTION("TRIM(REGEXREPLACE(D25, ""[0-9]+[a-f]?\."", """"))"),"")</f>
        <v/>
      </c>
      <c r="I25" s="180" t="str">
        <f>IFERROR(__xludf.DUMMYFUNCTION("TRIM(REGEXREPLACE(E25, ""[0-9]+[a-f]?\."", """"))"),"")</f>
        <v/>
      </c>
      <c r="J25" s="180"/>
      <c r="K25" s="180"/>
      <c r="L25" s="184"/>
    </row>
    <row r="26" hidden="1">
      <c r="A26" s="180"/>
      <c r="B26" s="182"/>
      <c r="C26" s="182"/>
      <c r="D26" s="182"/>
      <c r="E26" s="182"/>
      <c r="F26" s="183"/>
      <c r="G26" s="180" t="str">
        <f>IFERROR(__xludf.DUMMYFUNCTION("TRIM(REGEXREPLACE(C26, ""[0-9]+[a-f]?\."", """"))"),"")</f>
        <v/>
      </c>
      <c r="H26" s="180" t="str">
        <f>IFERROR(__xludf.DUMMYFUNCTION("TRIM(REGEXREPLACE(D26, ""[0-9]+[a-f]?\."", """"))"),"")</f>
        <v/>
      </c>
      <c r="I26" s="180" t="str">
        <f>IFERROR(__xludf.DUMMYFUNCTION("TRIM(REGEXREPLACE(E26, ""[0-9]+[a-f]?\."", """"))"),"")</f>
        <v/>
      </c>
      <c r="J26" s="180"/>
      <c r="K26" s="180"/>
      <c r="L26" s="184"/>
    </row>
    <row r="27" hidden="1">
      <c r="A27" s="180"/>
      <c r="B27" s="182"/>
      <c r="C27" s="182"/>
      <c r="D27" s="182"/>
      <c r="E27" s="182"/>
      <c r="F27" s="183"/>
      <c r="G27" s="180" t="str">
        <f>IFERROR(__xludf.DUMMYFUNCTION("TRIM(REGEXREPLACE(C27, ""[0-9]+[a-f]?\."", """"))"),"")</f>
        <v/>
      </c>
      <c r="H27" s="180" t="str">
        <f>IFERROR(__xludf.DUMMYFUNCTION("TRIM(REGEXREPLACE(D27, ""[0-9]+[a-f]?\."", """"))"),"")</f>
        <v/>
      </c>
      <c r="I27" s="180" t="str">
        <f>IFERROR(__xludf.DUMMYFUNCTION("TRIM(REGEXREPLACE(E27, ""[0-9]+[a-f]?\."", """"))"),"")</f>
        <v/>
      </c>
      <c r="J27" s="180"/>
      <c r="K27" s="180"/>
      <c r="L27" s="184"/>
    </row>
    <row r="28" hidden="1">
      <c r="A28" s="180"/>
      <c r="B28" s="182"/>
      <c r="C28" s="182"/>
      <c r="D28" s="182"/>
      <c r="E28" s="182"/>
      <c r="F28" s="183"/>
      <c r="G28" s="180" t="str">
        <f>IFERROR(__xludf.DUMMYFUNCTION("TRIM(REGEXREPLACE(C28, ""[0-9]+[a-f]?\."", """"))"),"")</f>
        <v/>
      </c>
      <c r="H28" s="180" t="str">
        <f>IFERROR(__xludf.DUMMYFUNCTION("TRIM(REGEXREPLACE(D28, ""[0-9]+[a-f]?\."", """"))"),"")</f>
        <v/>
      </c>
      <c r="I28" s="180" t="str">
        <f>IFERROR(__xludf.DUMMYFUNCTION("TRIM(REGEXREPLACE(E28, ""[0-9]+[a-f]?\."", """"))"),"")</f>
        <v/>
      </c>
      <c r="J28" s="180"/>
      <c r="K28" s="180"/>
      <c r="L28" s="184"/>
    </row>
    <row r="29" hidden="1">
      <c r="A29" s="180"/>
      <c r="B29" s="182"/>
      <c r="C29" s="182"/>
      <c r="D29" s="182"/>
      <c r="E29" s="182"/>
      <c r="F29" s="183"/>
      <c r="G29" s="180" t="str">
        <f>IFERROR(__xludf.DUMMYFUNCTION("TRIM(REGEXREPLACE(C29, ""[0-9]+[a-f]?\."", """"))"),"")</f>
        <v/>
      </c>
      <c r="H29" s="180" t="str">
        <f>IFERROR(__xludf.DUMMYFUNCTION("TRIM(REGEXREPLACE(D29, ""[0-9]+[a-f]?\."", """"))"),"")</f>
        <v/>
      </c>
      <c r="I29" s="180" t="str">
        <f>IFERROR(__xludf.DUMMYFUNCTION("TRIM(REGEXREPLACE(E29, ""[0-9]+[a-f]?\."", """"))"),"")</f>
        <v/>
      </c>
      <c r="J29" s="180"/>
      <c r="K29" s="180"/>
      <c r="L29" s="184"/>
    </row>
    <row r="30" hidden="1">
      <c r="A30" s="180"/>
      <c r="B30" s="182"/>
      <c r="C30" s="182"/>
      <c r="D30" s="182"/>
      <c r="E30" s="182"/>
      <c r="F30" s="183"/>
      <c r="G30" s="180" t="str">
        <f>IFERROR(__xludf.DUMMYFUNCTION("TRIM(REGEXREPLACE(C30, ""[0-9]+[a-f]?\."", """"))"),"")</f>
        <v/>
      </c>
      <c r="H30" s="180" t="str">
        <f>IFERROR(__xludf.DUMMYFUNCTION("TRIM(REGEXREPLACE(D30, ""[0-9]+[a-f]?\."", """"))"),"")</f>
        <v/>
      </c>
      <c r="I30" s="180" t="str">
        <f>IFERROR(__xludf.DUMMYFUNCTION("TRIM(REGEXREPLACE(E30, ""[0-9]+[a-f]?\."", """"))"),"")</f>
        <v/>
      </c>
      <c r="J30" s="180"/>
      <c r="K30" s="180"/>
      <c r="L30" s="184"/>
    </row>
    <row r="31" hidden="1">
      <c r="A31" s="180"/>
      <c r="B31" s="182"/>
      <c r="C31" s="182"/>
      <c r="D31" s="182"/>
      <c r="E31" s="182"/>
      <c r="F31" s="183"/>
      <c r="G31" s="180" t="str">
        <f>IFERROR(__xludf.DUMMYFUNCTION("TRIM(REGEXREPLACE(C31, ""[0-9]+[a-f]?\."", """"))"),"")</f>
        <v/>
      </c>
      <c r="H31" s="180" t="str">
        <f>IFERROR(__xludf.DUMMYFUNCTION("TRIM(REGEXREPLACE(D31, ""[0-9]+[a-f]?\."", """"))"),"")</f>
        <v/>
      </c>
      <c r="I31" s="180" t="str">
        <f>IFERROR(__xludf.DUMMYFUNCTION("TRIM(REGEXREPLACE(E31, ""[0-9]+[a-f]?\."", """"))"),"")</f>
        <v/>
      </c>
      <c r="J31" s="180"/>
      <c r="K31" s="180"/>
      <c r="L31" s="184"/>
    </row>
    <row r="32" hidden="1">
      <c r="A32" s="180"/>
      <c r="B32" s="182"/>
      <c r="C32" s="182"/>
      <c r="D32" s="182"/>
      <c r="E32" s="182"/>
      <c r="F32" s="183"/>
      <c r="G32" s="180" t="str">
        <f>IFERROR(__xludf.DUMMYFUNCTION("TRIM(REGEXREPLACE(C32, ""[0-9]+[a-f]?\."", """"))"),"")</f>
        <v/>
      </c>
      <c r="H32" s="180" t="str">
        <f>IFERROR(__xludf.DUMMYFUNCTION("TRIM(REGEXREPLACE(D32, ""[0-9]+[a-f]?\."", """"))"),"")</f>
        <v/>
      </c>
      <c r="I32" s="180" t="str">
        <f>IFERROR(__xludf.DUMMYFUNCTION("TRIM(REGEXREPLACE(E32, ""[0-9]+[a-f]?\."", """"))"),"")</f>
        <v/>
      </c>
      <c r="J32" s="180"/>
      <c r="K32" s="180"/>
      <c r="L32" s="180"/>
    </row>
    <row r="33" hidden="1">
      <c r="A33" s="180"/>
      <c r="B33" s="182"/>
      <c r="C33" s="182"/>
      <c r="D33" s="182"/>
      <c r="E33" s="182"/>
      <c r="F33" s="187">
        <v>8.0</v>
      </c>
      <c r="G33" s="180" t="str">
        <f>IFERROR(__xludf.DUMMYFUNCTION("TRIM(REGEXREPLACE(C33, ""[0-9]+[a-f]?\."", """"))"),"")</f>
        <v/>
      </c>
      <c r="H33" s="180" t="str">
        <f>IFERROR(__xludf.DUMMYFUNCTION("TRIM(REGEXREPLACE(D33, ""[0-9]+[a-f]?\."", """"))"),"")</f>
        <v/>
      </c>
      <c r="I33" s="180" t="str">
        <f>IFERROR(__xludf.DUMMYFUNCTION("TRIM(REGEXREPLACE(E33, ""[0-9]+[a-f]?\."", """"))"),"")</f>
        <v/>
      </c>
      <c r="J33" s="180" t="s">
        <v>305</v>
      </c>
      <c r="K33" s="180" t="s">
        <v>522</v>
      </c>
      <c r="L33" s="180" t="s">
        <v>522</v>
      </c>
    </row>
    <row r="34" hidden="1">
      <c r="A34" s="61" t="s">
        <v>89</v>
      </c>
      <c r="B34" s="61" t="s">
        <v>91</v>
      </c>
      <c r="C34" s="198" t="s">
        <v>92</v>
      </c>
      <c r="D34" s="25"/>
      <c r="E34" s="25"/>
      <c r="F34" s="187">
        <v>8.0</v>
      </c>
      <c r="G34" s="180" t="str">
        <f>IFERROR(__xludf.DUMMYFUNCTION("TRIM(REGEXREPLACE(C34, ""[0-9]+[a-f]?\."", """"))"),"Question Durations")</f>
        <v>Question Durations</v>
      </c>
      <c r="H34" s="180" t="str">
        <f>IFERROR(__xludf.DUMMYFUNCTION("TRIM(REGEXREPLACE(D34, ""[0-9]+[a-f]?\."", """"))"),"")</f>
        <v/>
      </c>
      <c r="I34" s="180" t="str">
        <f>IFERROR(__xludf.DUMMYFUNCTION("TRIM(REGEXREPLACE(E34, ""[0-9]+[a-f]?\."", """"))"),"")</f>
        <v/>
      </c>
      <c r="J34" s="180" t="s">
        <v>305</v>
      </c>
      <c r="K34" s="180" t="s">
        <v>306</v>
      </c>
      <c r="L34" s="180" t="s">
        <v>307</v>
      </c>
    </row>
    <row r="35" hidden="1">
      <c r="A35" s="180"/>
      <c r="B35" s="182"/>
      <c r="C35" s="182"/>
      <c r="D35" s="182"/>
      <c r="E35" s="182"/>
      <c r="F35" s="183"/>
      <c r="G35" s="180" t="str">
        <f>IFERROR(__xludf.DUMMYFUNCTION("TRIM(REGEXREPLACE(C35, ""[0-9]+[a-f]?\."", """"))"),"")</f>
        <v/>
      </c>
      <c r="H35" s="180" t="str">
        <f>IFERROR(__xludf.DUMMYFUNCTION("TRIM(REGEXREPLACE(D35, ""[0-9]+[a-f]?\."", """"))"),"")</f>
        <v/>
      </c>
      <c r="I35" s="180" t="str">
        <f>IFERROR(__xludf.DUMMYFUNCTION("TRIM(REGEXREPLACE(E35, ""[0-9]+[a-f]?\."", """"))"),"")</f>
        <v/>
      </c>
      <c r="J35" s="180"/>
      <c r="K35" s="180"/>
      <c r="L35" s="184"/>
    </row>
    <row r="36" hidden="1">
      <c r="A36" s="180"/>
      <c r="B36" s="182"/>
      <c r="C36" s="182"/>
      <c r="D36" s="182"/>
      <c r="E36" s="182"/>
      <c r="F36" s="183"/>
      <c r="G36" s="180" t="str">
        <f>IFERROR(__xludf.DUMMYFUNCTION("TRIM(REGEXREPLACE(C36, ""[0-9]+[a-f]?\."", """"))"),"")</f>
        <v/>
      </c>
      <c r="H36" s="180" t="str">
        <f>IFERROR(__xludf.DUMMYFUNCTION("TRIM(REGEXREPLACE(D36, ""[0-9]+[a-f]?\."", """"))"),"")</f>
        <v/>
      </c>
      <c r="I36" s="180" t="str">
        <f>IFERROR(__xludf.DUMMYFUNCTION("TRIM(REGEXREPLACE(E36, ""[0-9]+[a-f]?\."", """"))"),"")</f>
        <v/>
      </c>
      <c r="J36" s="180"/>
      <c r="K36" s="180"/>
      <c r="L36" s="184"/>
    </row>
    <row r="37" hidden="1">
      <c r="A37" s="180"/>
      <c r="B37" s="182"/>
      <c r="C37" s="182"/>
      <c r="D37" s="182"/>
      <c r="E37" s="182"/>
      <c r="F37" s="183"/>
      <c r="G37" s="180" t="str">
        <f>IFERROR(__xludf.DUMMYFUNCTION("TRIM(REGEXREPLACE(C37, ""[0-9]+[a-f]?\."", """"))"),"")</f>
        <v/>
      </c>
      <c r="H37" s="180" t="str">
        <f>IFERROR(__xludf.DUMMYFUNCTION("TRIM(REGEXREPLACE(D37, ""[0-9]+[a-f]?\."", """"))"),"")</f>
        <v/>
      </c>
      <c r="I37" s="180" t="str">
        <f>IFERROR(__xludf.DUMMYFUNCTION("TRIM(REGEXREPLACE(E37, ""[0-9]+[a-f]?\."", """"))"),"")</f>
        <v/>
      </c>
      <c r="J37" s="180"/>
      <c r="K37" s="180"/>
      <c r="L37" s="184"/>
    </row>
    <row r="38" hidden="1">
      <c r="A38" s="180"/>
      <c r="B38" s="182"/>
      <c r="C38" s="182"/>
      <c r="D38" s="182"/>
      <c r="E38" s="182"/>
      <c r="F38" s="183"/>
      <c r="G38" s="180" t="str">
        <f>IFERROR(__xludf.DUMMYFUNCTION("TRIM(REGEXREPLACE(C38, ""[0-9]+[a-f]?\."", """"))"),"")</f>
        <v/>
      </c>
      <c r="H38" s="180" t="str">
        <f>IFERROR(__xludf.DUMMYFUNCTION("TRIM(REGEXREPLACE(D38, ""[0-9]+[a-f]?\."", """"))"),"")</f>
        <v/>
      </c>
      <c r="I38" s="180" t="str">
        <f>IFERROR(__xludf.DUMMYFUNCTION("TRIM(REGEXREPLACE(E38, ""[0-9]+[a-f]?\."", """"))"),"")</f>
        <v/>
      </c>
      <c r="J38" s="180"/>
      <c r="K38" s="180"/>
      <c r="L38" s="184"/>
    </row>
    <row r="39" hidden="1">
      <c r="A39" s="180"/>
      <c r="B39" s="182"/>
      <c r="C39" s="182"/>
      <c r="D39" s="182"/>
      <c r="E39" s="182"/>
      <c r="F39" s="183"/>
      <c r="G39" s="180" t="str">
        <f>IFERROR(__xludf.DUMMYFUNCTION("TRIM(REGEXREPLACE(C39, ""[0-9]+[a-f]?\."", """"))"),"")</f>
        <v/>
      </c>
      <c r="H39" s="180" t="str">
        <f>IFERROR(__xludf.DUMMYFUNCTION("TRIM(REGEXREPLACE(D39, ""[0-9]+[a-f]?\."", """"))"),"")</f>
        <v/>
      </c>
      <c r="I39" s="180" t="str">
        <f>IFERROR(__xludf.DUMMYFUNCTION("TRIM(REGEXREPLACE(E39, ""[0-9]+[a-f]?\."", """"))"),"")</f>
        <v/>
      </c>
      <c r="J39" s="180"/>
      <c r="K39" s="180"/>
      <c r="L39" s="184"/>
    </row>
    <row r="40" hidden="1">
      <c r="A40" s="180"/>
      <c r="B40" s="182"/>
      <c r="C40" s="182"/>
      <c r="D40" s="182"/>
      <c r="E40" s="182"/>
      <c r="F40" s="183"/>
      <c r="G40" s="180" t="str">
        <f>IFERROR(__xludf.DUMMYFUNCTION("TRIM(REGEXREPLACE(C40, ""[0-9]+[a-f]?\."", """"))"),"")</f>
        <v/>
      </c>
      <c r="H40" s="180" t="str">
        <f>IFERROR(__xludf.DUMMYFUNCTION("TRIM(REGEXREPLACE(D40, ""[0-9]+[a-f]?\."", """"))"),"")</f>
        <v/>
      </c>
      <c r="I40" s="180" t="str">
        <f>IFERROR(__xludf.DUMMYFUNCTION("TRIM(REGEXREPLACE(E40, ""[0-9]+[a-f]?\."", """"))"),"")</f>
        <v/>
      </c>
      <c r="J40" s="180"/>
      <c r="K40" s="180"/>
      <c r="L40" s="184"/>
    </row>
    <row r="41" hidden="1">
      <c r="A41" s="180"/>
      <c r="B41" s="182"/>
      <c r="C41" s="182"/>
      <c r="D41" s="182"/>
      <c r="E41" s="182"/>
      <c r="F41" s="183"/>
      <c r="G41" s="180" t="str">
        <f>IFERROR(__xludf.DUMMYFUNCTION("TRIM(REGEXREPLACE(C41, ""[0-9]+[a-f]?\."", """"))"),"")</f>
        <v/>
      </c>
      <c r="H41" s="180" t="str">
        <f>IFERROR(__xludf.DUMMYFUNCTION("TRIM(REGEXREPLACE(D41, ""[0-9]+[a-f]?\."", """"))"),"")</f>
        <v/>
      </c>
      <c r="I41" s="180" t="str">
        <f>IFERROR(__xludf.DUMMYFUNCTION("TRIM(REGEXREPLACE(E41, ""[0-9]+[a-f]?\."", """"))"),"")</f>
        <v/>
      </c>
      <c r="J41" s="180"/>
      <c r="K41" s="180"/>
      <c r="L41" s="184"/>
    </row>
    <row r="42" hidden="1">
      <c r="A42" s="180"/>
      <c r="B42" s="182"/>
      <c r="C42" s="182"/>
      <c r="D42" s="182"/>
      <c r="E42" s="182"/>
      <c r="F42" s="183"/>
      <c r="G42" s="180" t="str">
        <f>IFERROR(__xludf.DUMMYFUNCTION("TRIM(REGEXREPLACE(C42, ""[0-9]+[a-f]?\."", """"))"),"")</f>
        <v/>
      </c>
      <c r="H42" s="180" t="str">
        <f>IFERROR(__xludf.DUMMYFUNCTION("TRIM(REGEXREPLACE(D42, ""[0-9]+[a-f]?\."", """"))"),"")</f>
        <v/>
      </c>
      <c r="I42" s="180" t="str">
        <f>IFERROR(__xludf.DUMMYFUNCTION("TRIM(REGEXREPLACE(E42, ""[0-9]+[a-f]?\."", """"))"),"")</f>
        <v/>
      </c>
      <c r="J42" s="180"/>
      <c r="K42" s="180"/>
      <c r="L42" s="184"/>
    </row>
    <row r="43" hidden="1">
      <c r="A43" s="180"/>
      <c r="B43" s="182"/>
      <c r="C43" s="182"/>
      <c r="D43" s="182"/>
      <c r="E43" s="182"/>
      <c r="F43" s="183"/>
      <c r="G43" s="180" t="str">
        <f>IFERROR(__xludf.DUMMYFUNCTION("TRIM(REGEXREPLACE(C43, ""[0-9]+[a-f]?\."", """"))"),"")</f>
        <v/>
      </c>
      <c r="H43" s="180" t="str">
        <f>IFERROR(__xludf.DUMMYFUNCTION("TRIM(REGEXREPLACE(D43, ""[0-9]+[a-f]?\."", """"))"),"")</f>
        <v/>
      </c>
      <c r="I43" s="180" t="str">
        <f>IFERROR(__xludf.DUMMYFUNCTION("TRIM(REGEXREPLACE(E43, ""[0-9]+[a-f]?\."", """"))"),"")</f>
        <v/>
      </c>
      <c r="J43" s="180"/>
      <c r="K43" s="180"/>
      <c r="L43" s="184"/>
    </row>
    <row r="44" hidden="1">
      <c r="A44" s="180"/>
      <c r="B44" s="182"/>
      <c r="C44" s="182"/>
      <c r="D44" s="182"/>
      <c r="E44" s="182"/>
      <c r="F44" s="183"/>
      <c r="G44" s="180" t="str">
        <f>IFERROR(__xludf.DUMMYFUNCTION("TRIM(REGEXREPLACE(C44, ""[0-9]+[a-f]?\."", """"))"),"")</f>
        <v/>
      </c>
      <c r="H44" s="180" t="str">
        <f>IFERROR(__xludf.DUMMYFUNCTION("TRIM(REGEXREPLACE(D44, ""[0-9]+[a-f]?\."", """"))"),"")</f>
        <v/>
      </c>
      <c r="I44" s="180" t="str">
        <f>IFERROR(__xludf.DUMMYFUNCTION("TRIM(REGEXREPLACE(E44, ""[0-9]+[a-f]?\."", """"))"),"")</f>
        <v/>
      </c>
      <c r="J44" s="180"/>
      <c r="K44" s="180"/>
      <c r="L44" s="184"/>
    </row>
    <row r="45" hidden="1">
      <c r="A45" s="180"/>
      <c r="B45" s="182"/>
      <c r="C45" s="182"/>
      <c r="D45" s="182"/>
      <c r="E45" s="182"/>
      <c r="F45" s="183"/>
      <c r="G45" s="180" t="str">
        <f>IFERROR(__xludf.DUMMYFUNCTION("TRIM(REGEXREPLACE(C45, ""[0-9]+[a-f]?\."", """"))"),"")</f>
        <v/>
      </c>
      <c r="H45" s="180" t="str">
        <f>IFERROR(__xludf.DUMMYFUNCTION("TRIM(REGEXREPLACE(D45, ""[0-9]+[a-f]?\."", """"))"),"")</f>
        <v/>
      </c>
      <c r="I45" s="180" t="str">
        <f>IFERROR(__xludf.DUMMYFUNCTION("TRIM(REGEXREPLACE(E45, ""[0-9]+[a-f]?\."", """"))"),"")</f>
        <v/>
      </c>
      <c r="J45" s="180"/>
      <c r="K45" s="180"/>
      <c r="L45" s="184"/>
    </row>
    <row r="46" hidden="1">
      <c r="A46" s="180"/>
      <c r="B46" s="182"/>
      <c r="C46" s="182"/>
      <c r="D46" s="182"/>
      <c r="E46" s="182"/>
      <c r="F46" s="183"/>
      <c r="G46" s="180" t="str">
        <f>IFERROR(__xludf.DUMMYFUNCTION("TRIM(REGEXREPLACE(C46, ""[0-9]+[a-f]?\."", """"))"),"")</f>
        <v/>
      </c>
      <c r="H46" s="180" t="str">
        <f>IFERROR(__xludf.DUMMYFUNCTION("TRIM(REGEXREPLACE(D46, ""[0-9]+[a-f]?\."", """"))"),"")</f>
        <v/>
      </c>
      <c r="I46" s="180" t="str">
        <f>IFERROR(__xludf.DUMMYFUNCTION("TRIM(REGEXREPLACE(E46, ""[0-9]+[a-f]?\."", """"))"),"")</f>
        <v/>
      </c>
      <c r="J46" s="180"/>
      <c r="K46" s="180"/>
      <c r="L46" s="184"/>
    </row>
    <row r="47" hidden="1">
      <c r="A47" s="180"/>
      <c r="B47" s="182"/>
      <c r="C47" s="182"/>
      <c r="D47" s="182"/>
      <c r="E47" s="182"/>
      <c r="F47" s="187">
        <v>9.0</v>
      </c>
      <c r="G47" s="180" t="str">
        <f>IFERROR(__xludf.DUMMYFUNCTION("TRIM(REGEXREPLACE(C47, ""[0-9]+[a-f]?\."", """"))"),"")</f>
        <v/>
      </c>
      <c r="H47" s="180" t="str">
        <f>IFERROR(__xludf.DUMMYFUNCTION("TRIM(REGEXREPLACE(D47, ""[0-9]+[a-f]?\."", """"))"),"")</f>
        <v/>
      </c>
      <c r="I47" s="180" t="str">
        <f>IFERROR(__xludf.DUMMYFUNCTION("TRIM(REGEXREPLACE(E47, ""[0-9]+[a-f]?\."", """"))"),"")</f>
        <v/>
      </c>
      <c r="J47" s="180" t="s">
        <v>544</v>
      </c>
      <c r="K47" s="180" t="s">
        <v>545</v>
      </c>
      <c r="L47" s="180" t="s">
        <v>545</v>
      </c>
    </row>
    <row r="48">
      <c r="A48" s="61" t="s">
        <v>38</v>
      </c>
      <c r="B48" s="61" t="s">
        <v>104</v>
      </c>
      <c r="C48" s="45" t="s">
        <v>480</v>
      </c>
      <c r="D48" s="45" t="s">
        <v>481</v>
      </c>
      <c r="E48" s="25"/>
      <c r="F48" s="187">
        <v>1.0</v>
      </c>
      <c r="G48" s="180" t="str">
        <f>IFERROR(__xludf.DUMMYFUNCTION("TRIM(REGEXREPLACE(C48, ""[0-9]+[a-f]?\."", """"))"),"Follow-up Round 3")</f>
        <v>Follow-up Round 3</v>
      </c>
      <c r="H48" s="180" t="str">
        <f>IFERROR(__xludf.DUMMYFUNCTION("TRIM(REGEXREPLACE(D48, ""[0-9]+[a-f]?\."", """"))"),"Suivi du troisième tour")</f>
        <v>Suivi du troisième tour</v>
      </c>
      <c r="I48" s="180" t="str">
        <f>IFERROR(__xludf.DUMMYFUNCTION("TRIM(REGEXREPLACE(E48, ""[0-9]+[a-f]?\."", """"))"),"")</f>
        <v/>
      </c>
      <c r="J48" s="180" t="str">
        <f t="shared" ref="J48:L48" si="1">$F48 &amp; ". "&amp;G48</f>
        <v>1. Follow-up Round 3</v>
      </c>
      <c r="K48" s="180" t="str">
        <f t="shared" si="1"/>
        <v>1. Suivi du troisième tour</v>
      </c>
      <c r="L48" s="180" t="str">
        <f t="shared" si="1"/>
        <v>1. </v>
      </c>
    </row>
    <row r="49" hidden="1">
      <c r="A49" s="25"/>
      <c r="B49" s="25"/>
      <c r="C49" s="45"/>
      <c r="D49" s="25"/>
      <c r="E49" s="25"/>
      <c r="F49" s="187">
        <v>10.0</v>
      </c>
      <c r="G49" s="180" t="str">
        <f>IFERROR(__xludf.DUMMYFUNCTION("TRIM(REGEXREPLACE(C49, ""[0-9]+[a-f]?\."", """"))"),"")</f>
        <v/>
      </c>
      <c r="H49" s="180" t="str">
        <f>IFERROR(__xludf.DUMMYFUNCTION("TRIM(REGEXREPLACE(D49, ""[0-9]+[a-f]?\."", """"))"),"")</f>
        <v/>
      </c>
      <c r="I49" s="180" t="str">
        <f>IFERROR(__xludf.DUMMYFUNCTION("TRIM(REGEXREPLACE(E49, ""[0-9]+[a-f]?\."", """"))"),"")</f>
        <v/>
      </c>
      <c r="J49" s="180" t="s">
        <v>548</v>
      </c>
      <c r="K49" s="180" t="s">
        <v>549</v>
      </c>
      <c r="L49" s="180" t="s">
        <v>550</v>
      </c>
    </row>
    <row r="50" hidden="1">
      <c r="A50" s="70" t="s">
        <v>127</v>
      </c>
      <c r="B50" s="71" t="s">
        <v>128</v>
      </c>
      <c r="C50" s="200"/>
      <c r="D50" s="200"/>
      <c r="E50" s="200"/>
      <c r="F50" s="187">
        <v>11.0</v>
      </c>
      <c r="G50" s="180" t="str">
        <f>IFERROR(__xludf.DUMMYFUNCTION("TRIM(REGEXREPLACE(C50, ""[0-9]+[a-f]?\."", """"))"),"")</f>
        <v/>
      </c>
      <c r="H50" s="180" t="str">
        <f>IFERROR(__xludf.DUMMYFUNCTION("TRIM(REGEXREPLACE(D50, ""[0-9]+[a-f]?\."", """"))"),"")</f>
        <v/>
      </c>
      <c r="I50" s="180" t="str">
        <f>IFERROR(__xludf.DUMMYFUNCTION("TRIM(REGEXREPLACE(E50, ""[0-9]+[a-f]?\."", """"))"),"")</f>
        <v/>
      </c>
      <c r="J50" s="180" t="s">
        <v>554</v>
      </c>
      <c r="K50" s="180" t="s">
        <v>555</v>
      </c>
      <c r="L50" s="180" t="s">
        <v>557</v>
      </c>
    </row>
    <row r="51" hidden="1">
      <c r="A51" s="61" t="s">
        <v>133</v>
      </c>
      <c r="B51" s="61" t="s">
        <v>135</v>
      </c>
      <c r="C51" s="198" t="s">
        <v>136</v>
      </c>
      <c r="D51" s="25"/>
      <c r="E51" s="28"/>
      <c r="F51" s="187">
        <v>12.0</v>
      </c>
      <c r="G51" s="180" t="str">
        <f>IFERROR(__xludf.DUMMYFUNCTION("TRIM(REGEXREPLACE(C51, ""[0-9]+[a-f]?\."", """"))"),"Enumerator Questions")</f>
        <v>Enumerator Questions</v>
      </c>
      <c r="H51" s="180" t="str">
        <f>IFERROR(__xludf.DUMMYFUNCTION("TRIM(REGEXREPLACE(D51, ""[0-9]+[a-f]?\."", """"))"),"")</f>
        <v/>
      </c>
      <c r="I51" s="180" t="str">
        <f>IFERROR(__xludf.DUMMYFUNCTION("TRIM(REGEXREPLACE(E51, ""[0-9]+[a-f]?\."", """"))"),"")</f>
        <v/>
      </c>
      <c r="J51" s="180" t="s">
        <v>561</v>
      </c>
      <c r="K51" s="180" t="s">
        <v>562</v>
      </c>
      <c r="L51" s="180" t="s">
        <v>563</v>
      </c>
    </row>
    <row r="52">
      <c r="A52" s="80" t="s">
        <v>138</v>
      </c>
      <c r="B52" s="81" t="s">
        <v>66</v>
      </c>
      <c r="C52" s="45" t="s">
        <v>142</v>
      </c>
      <c r="D52" s="45" t="s">
        <v>143</v>
      </c>
      <c r="E52" s="45" t="s">
        <v>144</v>
      </c>
      <c r="F52" s="187">
        <v>2.0</v>
      </c>
      <c r="G52" s="180" t="str">
        <f>IFERROR(__xludf.DUMMYFUNCTION("TRIM(REGEXREPLACE(C52, ""[0-9]+[a-f]?\."", """"))"),"What round is this?")</f>
        <v>What round is this?</v>
      </c>
      <c r="H52" s="180" t="str">
        <f>IFERROR(__xludf.DUMMYFUNCTION("TRIM(REGEXREPLACE(D52, ""[0-9]+[a-f]?\."", """"))"),"quel tour est-ce ?")</f>
        <v>quel tour est-ce ?</v>
      </c>
      <c r="I52" s="180" t="str">
        <f>IFERROR(__xludf.DUMMYFUNCTION("TRIM(REGEXREPLACE(E52, ""[0-9]+[a-f]?\."", """"))"),"Wane kewaye ne?")</f>
        <v>Wane kewaye ne?</v>
      </c>
      <c r="J52" s="180" t="str">
        <f t="shared" ref="J52:L52" si="2">$F52 &amp; ". "&amp;G52</f>
        <v>2. What round is this?</v>
      </c>
      <c r="K52" s="180" t="str">
        <f t="shared" si="2"/>
        <v>2. quel tour est-ce ?</v>
      </c>
      <c r="L52" s="180" t="str">
        <f t="shared" si="2"/>
        <v>2. Wane kewaye ne?</v>
      </c>
    </row>
    <row r="53" hidden="1">
      <c r="A53" s="180"/>
      <c r="B53" s="182"/>
      <c r="C53" s="182"/>
      <c r="D53" s="182"/>
      <c r="E53" s="182"/>
      <c r="F53" s="187">
        <v>14.0</v>
      </c>
      <c r="G53" s="180" t="str">
        <f>IFERROR(__xludf.DUMMYFUNCTION("TRIM(REGEXREPLACE(C53, ""[0-9]+[a-f]?\."", """"))"),"")</f>
        <v/>
      </c>
      <c r="H53" s="180" t="str">
        <f>IFERROR(__xludf.DUMMYFUNCTION("TRIM(REGEXREPLACE(D53, ""[0-9]+[a-f]?\."", """"))"),"")</f>
        <v/>
      </c>
      <c r="I53" s="180" t="str">
        <f>IFERROR(__xludf.DUMMYFUNCTION("TRIM(REGEXREPLACE(E53, ""[0-9]+[a-f]?\."", """"))"),"")</f>
        <v/>
      </c>
      <c r="J53" s="180" t="s">
        <v>570</v>
      </c>
      <c r="K53" s="180" t="s">
        <v>571</v>
      </c>
      <c r="L53" s="180" t="s">
        <v>571</v>
      </c>
    </row>
    <row r="54">
      <c r="A54" s="80" t="s">
        <v>154</v>
      </c>
      <c r="B54" s="81" t="s">
        <v>134</v>
      </c>
      <c r="C54" s="45" t="s">
        <v>156</v>
      </c>
      <c r="D54" s="45" t="s">
        <v>157</v>
      </c>
      <c r="E54" s="45" t="s">
        <v>158</v>
      </c>
      <c r="F54" s="187">
        <v>3.0</v>
      </c>
      <c r="G54" s="180" t="str">
        <f>IFERROR(__xludf.DUMMYFUNCTION("TRIM(REGEXREPLACE(C54, ""[0-9]+[a-f]?\."", """"))"),"Who is your team leader?")</f>
        <v>Who is your team leader?</v>
      </c>
      <c r="H54" s="180" t="str">
        <f>IFERROR(__xludf.DUMMYFUNCTION("TRIM(REGEXREPLACE(D54, ""[0-9]+[a-f]?\."", """"))"),"Qui est votre chef d'équipe?")</f>
        <v>Qui est votre chef d'équipe?</v>
      </c>
      <c r="I54" s="180" t="str">
        <f>IFERROR(__xludf.DUMMYFUNCTION("TRIM(REGEXREPLACE(E54, ""[0-9]+[a-f]?\."", """"))"),"Wanene shugaban tahiyar ku ?")</f>
        <v>Wanene shugaban tahiyar ku ?</v>
      </c>
      <c r="J54" s="180" t="str">
        <f t="shared" ref="J54:L54" si="3">$F54 &amp; ". "&amp;G54</f>
        <v>3. Who is your team leader?</v>
      </c>
      <c r="K54" s="180" t="str">
        <f t="shared" si="3"/>
        <v>3. Qui est votre chef d'équipe?</v>
      </c>
      <c r="L54" s="180" t="str">
        <f t="shared" si="3"/>
        <v>3. Wanene shugaban tahiyar ku ?</v>
      </c>
    </row>
    <row r="55" hidden="1">
      <c r="A55" s="180"/>
      <c r="B55" s="182"/>
      <c r="C55" s="182"/>
      <c r="D55" s="182"/>
      <c r="E55" s="182"/>
      <c r="F55" s="183"/>
      <c r="G55" s="180" t="str">
        <f>IFERROR(__xludf.DUMMYFUNCTION("TRIM(REGEXREPLACE(C55, ""[0-9]+[a-f]?\."", """"))"),"")</f>
        <v/>
      </c>
      <c r="H55" s="180" t="str">
        <f>IFERROR(__xludf.DUMMYFUNCTION("TRIM(REGEXREPLACE(D55, ""[0-9]+[a-f]?\."", """"))"),"")</f>
        <v/>
      </c>
      <c r="I55" s="180" t="str">
        <f>IFERROR(__xludf.DUMMYFUNCTION("TRIM(REGEXREPLACE(E55, ""[0-9]+[a-f]?\."", """"))"),"")</f>
        <v/>
      </c>
      <c r="J55" s="180"/>
      <c r="K55" s="180"/>
      <c r="L55" s="184"/>
    </row>
    <row r="56" hidden="1">
      <c r="A56" s="180"/>
      <c r="B56" s="182"/>
      <c r="C56" s="182"/>
      <c r="D56" s="182"/>
      <c r="E56" s="182"/>
      <c r="F56" s="183"/>
      <c r="G56" s="180" t="str">
        <f>IFERROR(__xludf.DUMMYFUNCTION("TRIM(REGEXREPLACE(C56, ""[0-9]+[a-f]?\."", """"))"),"")</f>
        <v/>
      </c>
      <c r="H56" s="180" t="str">
        <f>IFERROR(__xludf.DUMMYFUNCTION("TRIM(REGEXREPLACE(D56, ""[0-9]+[a-f]?\."", """"))"),"")</f>
        <v/>
      </c>
      <c r="I56" s="180" t="str">
        <f>IFERROR(__xludf.DUMMYFUNCTION("TRIM(REGEXREPLACE(E56, ""[0-9]+[a-f]?\."", """"))"),"")</f>
        <v/>
      </c>
      <c r="J56" s="180"/>
      <c r="K56" s="180"/>
      <c r="L56" s="184"/>
    </row>
    <row r="57" hidden="1">
      <c r="A57" s="180"/>
      <c r="B57" s="182"/>
      <c r="C57" s="182"/>
      <c r="D57" s="182"/>
      <c r="E57" s="182"/>
      <c r="F57" s="187">
        <v>12.0</v>
      </c>
      <c r="G57" s="180" t="str">
        <f>IFERROR(__xludf.DUMMYFUNCTION("TRIM(REGEXREPLACE(C57, ""[0-9]+[a-f]?\."", """"))"),"")</f>
        <v/>
      </c>
      <c r="H57" s="180" t="str">
        <f>IFERROR(__xludf.DUMMYFUNCTION("TRIM(REGEXREPLACE(D57, ""[0-9]+[a-f]?\."", """"))"),"")</f>
        <v/>
      </c>
      <c r="I57" s="180" t="str">
        <f>IFERROR(__xludf.DUMMYFUNCTION("TRIM(REGEXREPLACE(E57, ""[0-9]+[a-f]?\."", """"))"),"")</f>
        <v/>
      </c>
      <c r="J57" s="180" t="s">
        <v>581</v>
      </c>
      <c r="K57" s="180" t="s">
        <v>584</v>
      </c>
      <c r="L57" s="180" t="s">
        <v>584</v>
      </c>
    </row>
    <row r="58" hidden="1">
      <c r="A58" s="180"/>
      <c r="B58" s="182"/>
      <c r="C58" s="182"/>
      <c r="D58" s="182"/>
      <c r="E58" s="182"/>
      <c r="F58" s="183"/>
      <c r="G58" s="180" t="str">
        <f>IFERROR(__xludf.DUMMYFUNCTION("TRIM(REGEXREPLACE(C58, ""[0-9]+[a-f]?\."", """"))"),"")</f>
        <v/>
      </c>
      <c r="H58" s="180" t="str">
        <f>IFERROR(__xludf.DUMMYFUNCTION("TRIM(REGEXREPLACE(D58, ""[0-9]+[a-f]?\."", """"))"),"")</f>
        <v/>
      </c>
      <c r="I58" s="180" t="str">
        <f>IFERROR(__xludf.DUMMYFUNCTION("TRIM(REGEXREPLACE(E58, ""[0-9]+[a-f]?\."", """"))"),"")</f>
        <v/>
      </c>
      <c r="J58" s="180"/>
      <c r="K58" s="180"/>
      <c r="L58" s="184"/>
    </row>
    <row r="59" hidden="1">
      <c r="A59" s="180"/>
      <c r="B59" s="182"/>
      <c r="C59" s="182"/>
      <c r="D59" s="182"/>
      <c r="E59" s="182"/>
      <c r="F59" s="187">
        <v>13.0</v>
      </c>
      <c r="G59" s="180" t="str">
        <f>IFERROR(__xludf.DUMMYFUNCTION("TRIM(REGEXREPLACE(C59, ""[0-9]+[a-f]?\."", """"))"),"")</f>
        <v/>
      </c>
      <c r="H59" s="180" t="str">
        <f>IFERROR(__xludf.DUMMYFUNCTION("TRIM(REGEXREPLACE(D59, ""[0-9]+[a-f]?\."", """"))"),"")</f>
        <v/>
      </c>
      <c r="I59" s="180" t="str">
        <f>IFERROR(__xludf.DUMMYFUNCTION("TRIM(REGEXREPLACE(E59, ""[0-9]+[a-f]?\."", """"))"),"")</f>
        <v/>
      </c>
      <c r="J59" s="180" t="s">
        <v>585</v>
      </c>
      <c r="K59" s="180" t="s">
        <v>587</v>
      </c>
      <c r="L59" s="180" t="s">
        <v>588</v>
      </c>
    </row>
    <row r="60" hidden="1">
      <c r="A60" s="180"/>
      <c r="B60" s="182"/>
      <c r="C60" s="182"/>
      <c r="D60" s="182"/>
      <c r="E60" s="182"/>
      <c r="F60" s="187">
        <v>15.0</v>
      </c>
      <c r="G60" s="180" t="str">
        <f>IFERROR(__xludf.DUMMYFUNCTION("TRIM(REGEXREPLACE(C60, ""[0-9]+[a-f]?\."", """"))"),"")</f>
        <v/>
      </c>
      <c r="H60" s="180" t="str">
        <f>IFERROR(__xludf.DUMMYFUNCTION("TRIM(REGEXREPLACE(D60, ""[0-9]+[a-f]?\."", """"))"),"")</f>
        <v/>
      </c>
      <c r="I60" s="180" t="str">
        <f>IFERROR(__xludf.DUMMYFUNCTION("TRIM(REGEXREPLACE(E60, ""[0-9]+[a-f]?\."", """"))"),"")</f>
        <v/>
      </c>
      <c r="J60" s="180" t="s">
        <v>589</v>
      </c>
      <c r="K60" s="180" t="s">
        <v>590</v>
      </c>
      <c r="L60" s="180" t="s">
        <v>590</v>
      </c>
    </row>
    <row r="61" hidden="1">
      <c r="A61" s="180"/>
      <c r="B61" s="182"/>
      <c r="C61" s="182"/>
      <c r="D61" s="182"/>
      <c r="E61" s="182"/>
      <c r="F61" s="187">
        <v>15.0</v>
      </c>
      <c r="G61" s="180" t="str">
        <f>IFERROR(__xludf.DUMMYFUNCTION("TRIM(REGEXREPLACE(C61, ""[0-9]+[a-f]?\."", """"))"),"")</f>
        <v/>
      </c>
      <c r="H61" s="180" t="str">
        <f>IFERROR(__xludf.DUMMYFUNCTION("TRIM(REGEXREPLACE(D61, ""[0-9]+[a-f]?\."", """"))"),"")</f>
        <v/>
      </c>
      <c r="I61" s="180" t="str">
        <f>IFERROR(__xludf.DUMMYFUNCTION("TRIM(REGEXREPLACE(E61, ""[0-9]+[a-f]?\."", """"))"),"")</f>
        <v/>
      </c>
      <c r="J61" s="180" t="s">
        <v>593</v>
      </c>
      <c r="K61" s="180" t="s">
        <v>594</v>
      </c>
      <c r="L61" s="180" t="s">
        <v>595</v>
      </c>
    </row>
    <row r="62">
      <c r="A62" s="61" t="s">
        <v>167</v>
      </c>
      <c r="B62" s="61" t="s">
        <v>168</v>
      </c>
      <c r="C62" s="45" t="s">
        <v>169</v>
      </c>
      <c r="D62" s="45" t="s">
        <v>170</v>
      </c>
      <c r="E62" s="45" t="s">
        <v>171</v>
      </c>
      <c r="F62" s="187">
        <v>4.0</v>
      </c>
      <c r="G62" s="180" t="str">
        <f>IFERROR(__xludf.DUMMYFUNCTION("TRIM(REGEXREPLACE(C62, ""[0-9]+[a-f]?\."", """"))"),"What is your name?")</f>
        <v>What is your name?</v>
      </c>
      <c r="H62" s="180" t="str">
        <f>IFERROR(__xludf.DUMMYFUNCTION("TRIM(REGEXREPLACE(D62, ""[0-9]+[a-f]?\."", """"))"),"Quel est votre nom?")</f>
        <v>Quel est votre nom?</v>
      </c>
      <c r="I62" s="180" t="str">
        <f>IFERROR(__xludf.DUMMYFUNCTION("TRIM(REGEXREPLACE(E62, ""[0-9]+[a-f]?\."", """"))"),"Menene sunanka?")</f>
        <v>Menene sunanka?</v>
      </c>
      <c r="J62" s="180" t="str">
        <f t="shared" ref="J62:L62" si="4">$F62 &amp; ". "&amp;G62</f>
        <v>4. What is your name?</v>
      </c>
      <c r="K62" s="180" t="str">
        <f t="shared" si="4"/>
        <v>4. Quel est votre nom?</v>
      </c>
      <c r="L62" s="180" t="str">
        <f t="shared" si="4"/>
        <v>4. Menene sunanka?</v>
      </c>
    </row>
    <row r="63" hidden="1">
      <c r="A63" s="180"/>
      <c r="B63" s="182"/>
      <c r="C63" s="181"/>
      <c r="D63" s="182"/>
      <c r="E63" s="182"/>
      <c r="F63" s="187">
        <v>17.0</v>
      </c>
      <c r="G63" s="180" t="str">
        <f>IFERROR(__xludf.DUMMYFUNCTION("TRIM(REGEXREPLACE(C63, ""[0-9]+[a-f]?\."", """"))"),"")</f>
        <v/>
      </c>
      <c r="H63" s="180" t="str">
        <f>IFERROR(__xludf.DUMMYFUNCTION("TRIM(REGEXREPLACE(D63, ""[0-9]+[a-f]?\."", """"))"),"")</f>
        <v/>
      </c>
      <c r="I63" s="180" t="str">
        <f>IFERROR(__xludf.DUMMYFUNCTION("TRIM(REGEXREPLACE(E63, ""[0-9]+[a-f]?\."", """"))"),"")</f>
        <v/>
      </c>
      <c r="J63" s="180" t="s">
        <v>598</v>
      </c>
      <c r="K63" s="180" t="s">
        <v>599</v>
      </c>
      <c r="L63" s="180" t="s">
        <v>599</v>
      </c>
    </row>
    <row r="64" hidden="1">
      <c r="A64" s="180"/>
      <c r="B64" s="182"/>
      <c r="C64" s="182"/>
      <c r="D64" s="182"/>
      <c r="E64" s="182"/>
      <c r="F64" s="187">
        <v>18.0</v>
      </c>
      <c r="G64" s="180" t="str">
        <f>IFERROR(__xludf.DUMMYFUNCTION("TRIM(REGEXREPLACE(C64, ""[0-9]+[a-f]?\."", """"))"),"")</f>
        <v/>
      </c>
      <c r="H64" s="180" t="str">
        <f>IFERROR(__xludf.DUMMYFUNCTION("TRIM(REGEXREPLACE(D64, ""[0-9]+[a-f]?\."", """"))"),"")</f>
        <v/>
      </c>
      <c r="I64" s="180" t="str">
        <f>IFERROR(__xludf.DUMMYFUNCTION("TRIM(REGEXREPLACE(E64, ""[0-9]+[a-f]?\."", """"))"),"")</f>
        <v/>
      </c>
      <c r="J64" s="180" t="s">
        <v>602</v>
      </c>
      <c r="K64" s="180" t="s">
        <v>603</v>
      </c>
      <c r="L64" s="180" t="s">
        <v>604</v>
      </c>
    </row>
    <row r="65" hidden="1">
      <c r="A65" s="61" t="s">
        <v>68</v>
      </c>
      <c r="B65" s="61" t="s">
        <v>176</v>
      </c>
      <c r="C65" s="198" t="s">
        <v>177</v>
      </c>
      <c r="D65" s="28"/>
      <c r="E65" s="28"/>
      <c r="F65" s="187">
        <v>16.0</v>
      </c>
      <c r="G65" s="180" t="str">
        <f>IFERROR(__xludf.DUMMYFUNCTION("TRIM(REGEXREPLACE(C65, ""[0-9]+[a-f]?\."", """"))"),"CALC: Pull enumerator name")</f>
        <v>CALC: Pull enumerator name</v>
      </c>
      <c r="H65" s="180" t="str">
        <f>IFERROR(__xludf.DUMMYFUNCTION("TRIM(REGEXREPLACE(D65, ""[0-9]+[a-f]?\."", """"))"),"")</f>
        <v/>
      </c>
      <c r="I65" s="180" t="str">
        <f>IFERROR(__xludf.DUMMYFUNCTION("TRIM(REGEXREPLACE(E65, ""[0-9]+[a-f]?\."", """"))"),"")</f>
        <v/>
      </c>
      <c r="J65" s="180" t="s">
        <v>606</v>
      </c>
      <c r="K65" s="180" t="s">
        <v>607</v>
      </c>
      <c r="L65" s="180" t="s">
        <v>608</v>
      </c>
    </row>
    <row r="66">
      <c r="A66" s="61" t="s">
        <v>167</v>
      </c>
      <c r="B66" s="61" t="s">
        <v>183</v>
      </c>
      <c r="C66" s="45" t="s">
        <v>184</v>
      </c>
      <c r="D66" s="45" t="s">
        <v>185</v>
      </c>
      <c r="E66" s="45" t="s">
        <v>186</v>
      </c>
      <c r="F66" s="187">
        <v>5.0</v>
      </c>
      <c r="G66" s="180" t="str">
        <f>IFERROR(__xludf.DUMMYFUNCTION("TRIM(REGEXREPLACE(C66, ""[0-9]+[a-f]?\."", """"))"),"What is your partner's name?")</f>
        <v>What is your partner's name?</v>
      </c>
      <c r="H66" s="180" t="str">
        <f>IFERROR(__xludf.DUMMYFUNCTION("TRIM(REGEXREPLACE(D66, ""[0-9]+[a-f]?\."", """"))"),"Quel est le nom de votre binôme?")</f>
        <v>Quel est le nom de votre binôme?</v>
      </c>
      <c r="I66" s="180" t="str">
        <f>IFERROR(__xludf.DUMMYFUNCTION("TRIM(REGEXREPLACE(E66, ""[0-9]+[a-f]?\."", """"))"),"Menene sunan abokin aikinka")</f>
        <v>Menene sunan abokin aikinka</v>
      </c>
      <c r="J66" s="180" t="str">
        <f t="shared" ref="J66:L66" si="5">$F66 &amp; ". "&amp;G66</f>
        <v>5. What is your partner's name?</v>
      </c>
      <c r="K66" s="180" t="str">
        <f t="shared" si="5"/>
        <v>5. Quel est le nom de votre binôme?</v>
      </c>
      <c r="L66" s="180" t="str">
        <f t="shared" si="5"/>
        <v>5. Menene sunan abokin aikinka</v>
      </c>
    </row>
    <row r="67" hidden="1">
      <c r="A67" s="61" t="s">
        <v>68</v>
      </c>
      <c r="B67" s="61" t="s">
        <v>187</v>
      </c>
      <c r="C67" s="198" t="s">
        <v>177</v>
      </c>
      <c r="D67" s="28"/>
      <c r="E67" s="28"/>
      <c r="F67" s="187">
        <v>18.0</v>
      </c>
      <c r="G67" s="180" t="str">
        <f>IFERROR(__xludf.DUMMYFUNCTION("TRIM(REGEXREPLACE(C67, ""[0-9]+[a-f]?\."", """"))"),"CALC: Pull enumerator name")</f>
        <v>CALC: Pull enumerator name</v>
      </c>
      <c r="H67" s="180" t="str">
        <f>IFERROR(__xludf.DUMMYFUNCTION("TRIM(REGEXREPLACE(D67, ""[0-9]+[a-f]?\."", """"))"),"")</f>
        <v/>
      </c>
      <c r="I67" s="180" t="str">
        <f>IFERROR(__xludf.DUMMYFUNCTION("TRIM(REGEXREPLACE(E67, ""[0-9]+[a-f]?\."", """"))"),"")</f>
        <v/>
      </c>
      <c r="J67" s="180" t="s">
        <v>602</v>
      </c>
      <c r="K67" s="180" t="s">
        <v>603</v>
      </c>
      <c r="L67" s="180" t="s">
        <v>604</v>
      </c>
    </row>
    <row r="68">
      <c r="A68" s="61" t="s">
        <v>191</v>
      </c>
      <c r="B68" s="61" t="s">
        <v>180</v>
      </c>
      <c r="C68" s="45" t="s">
        <v>192</v>
      </c>
      <c r="D68" s="45" t="s">
        <v>193</v>
      </c>
      <c r="E68" s="45" t="s">
        <v>194</v>
      </c>
      <c r="F68" s="187">
        <v>6.0</v>
      </c>
      <c r="G68" s="180" t="str">
        <f>IFERROR(__xludf.DUMMYFUNCTION("TRIM(REGEXREPLACE(C68, ""[0-9]+[a-f]?\."", """"))"),"What commune are you surveying in?")</f>
        <v>What commune are you surveying in?</v>
      </c>
      <c r="H68" s="180" t="str">
        <f>IFERROR(__xludf.DUMMYFUNCTION("TRIM(REGEXREPLACE(D68, ""[0-9]+[a-f]?\."", """"))"),"Quelle est votre commune de travail ?")</f>
        <v>Quelle est votre commune de travail ?</v>
      </c>
      <c r="I68" s="180" t="str">
        <f>IFERROR(__xludf.DUMMYFUNCTION("TRIM(REGEXREPLACE(E68, ""[0-9]+[a-f]?\."", """"))"),"Cikin wane komin kake aiki?")</f>
        <v>Cikin wane komin kake aiki?</v>
      </c>
      <c r="J68" s="180" t="str">
        <f t="shared" ref="J68:L68" si="6">$F68 &amp; ". "&amp;G68</f>
        <v>6. What commune are you surveying in?</v>
      </c>
      <c r="K68" s="180" t="str">
        <f t="shared" si="6"/>
        <v>6. Quelle est votre commune de travail ?</v>
      </c>
      <c r="L68" s="180" t="str">
        <f t="shared" si="6"/>
        <v>6. Cikin wane komin kake aiki?</v>
      </c>
    </row>
    <row r="69" hidden="1">
      <c r="A69" s="61" t="s">
        <v>68</v>
      </c>
      <c r="B69" s="61" t="s">
        <v>182</v>
      </c>
      <c r="C69" s="198" t="s">
        <v>199</v>
      </c>
      <c r="D69" s="28"/>
      <c r="E69" s="28"/>
      <c r="F69" s="187">
        <v>20.0</v>
      </c>
      <c r="G69" s="180" t="str">
        <f>IFERROR(__xludf.DUMMYFUNCTION("TRIM(REGEXREPLACE(C69, ""[0-9]+[a-f]?\."", """"))"),"CALC: Pull commune name")</f>
        <v>CALC: Pull commune name</v>
      </c>
      <c r="H69" s="180" t="str">
        <f>IFERROR(__xludf.DUMMYFUNCTION("TRIM(REGEXREPLACE(D69, ""[0-9]+[a-f]?\."", """"))"),"")</f>
        <v/>
      </c>
      <c r="I69" s="180" t="str">
        <f>IFERROR(__xludf.DUMMYFUNCTION("TRIM(REGEXREPLACE(E69, ""[0-9]+[a-f]?\."", """"))"),"")</f>
        <v/>
      </c>
      <c r="J69" s="180" t="s">
        <v>617</v>
      </c>
      <c r="K69" s="180" t="s">
        <v>618</v>
      </c>
      <c r="L69" s="180" t="s">
        <v>619</v>
      </c>
    </row>
    <row r="70" hidden="1">
      <c r="A70" s="102" t="s">
        <v>68</v>
      </c>
      <c r="B70" s="103" t="s">
        <v>208</v>
      </c>
      <c r="C70" s="72"/>
      <c r="D70" s="72"/>
      <c r="E70" s="72"/>
      <c r="F70" s="187">
        <v>21.0</v>
      </c>
      <c r="G70" s="180" t="str">
        <f>IFERROR(__xludf.DUMMYFUNCTION("TRIM(REGEXREPLACE(C70, ""[0-9]+[a-f]?\."", """"))"),"")</f>
        <v/>
      </c>
      <c r="H70" s="180" t="str">
        <f>IFERROR(__xludf.DUMMYFUNCTION("TRIM(REGEXREPLACE(D70, ""[0-9]+[a-f]?\."", """"))"),"")</f>
        <v/>
      </c>
      <c r="I70" s="180" t="str">
        <f>IFERROR(__xludf.DUMMYFUNCTION("TRIM(REGEXREPLACE(E70, ""[0-9]+[a-f]?\."", """"))"),"")</f>
        <v/>
      </c>
      <c r="J70" s="180" t="s">
        <v>621</v>
      </c>
      <c r="K70" s="180" t="s">
        <v>622</v>
      </c>
      <c r="L70" s="180" t="s">
        <v>623</v>
      </c>
    </row>
    <row r="71" hidden="1">
      <c r="A71" s="61" t="s">
        <v>68</v>
      </c>
      <c r="B71" s="61" t="s">
        <v>181</v>
      </c>
      <c r="C71" s="198"/>
      <c r="D71" s="106"/>
      <c r="E71" s="106"/>
      <c r="F71" s="187">
        <v>22.0</v>
      </c>
      <c r="G71" s="180" t="str">
        <f>IFERROR(__xludf.DUMMYFUNCTION("TRIM(REGEXREPLACE(C71, ""[0-9]+[a-f]?\."", """"))"),"")</f>
        <v/>
      </c>
      <c r="H71" s="180" t="str">
        <f>IFERROR(__xludf.DUMMYFUNCTION("TRIM(REGEXREPLACE(D71, ""[0-9]+[a-f]?\."", """"))"),"")</f>
        <v/>
      </c>
      <c r="I71" s="180" t="str">
        <f>IFERROR(__xludf.DUMMYFUNCTION("TRIM(REGEXREPLACE(E71, ""[0-9]+[a-f]?\."", """"))"),"")</f>
        <v/>
      </c>
      <c r="J71" s="180" t="s">
        <v>626</v>
      </c>
      <c r="K71" s="180" t="s">
        <v>627</v>
      </c>
      <c r="L71" s="180" t="s">
        <v>628</v>
      </c>
    </row>
    <row r="72" hidden="1">
      <c r="A72" s="180"/>
      <c r="B72" s="182"/>
      <c r="C72" s="182"/>
      <c r="D72" s="182"/>
      <c r="E72" s="182"/>
      <c r="F72" s="187">
        <v>23.0</v>
      </c>
      <c r="G72" s="180" t="str">
        <f>IFERROR(__xludf.DUMMYFUNCTION("TRIM(REGEXREPLACE(C72, ""[0-9]+[a-f]?\."", """"))"),"")</f>
        <v/>
      </c>
      <c r="H72" s="180" t="str">
        <f>IFERROR(__xludf.DUMMYFUNCTION("TRIM(REGEXREPLACE(D72, ""[0-9]+[a-f]?\."", """"))"),"")</f>
        <v/>
      </c>
      <c r="I72" s="180" t="str">
        <f>IFERROR(__xludf.DUMMYFUNCTION("TRIM(REGEXREPLACE(E72, ""[0-9]+[a-f]?\."", """"))"),"")</f>
        <v/>
      </c>
      <c r="J72" s="180" t="s">
        <v>629</v>
      </c>
      <c r="K72" s="180" t="s">
        <v>630</v>
      </c>
      <c r="L72" s="180" t="s">
        <v>631</v>
      </c>
    </row>
    <row r="73" hidden="1">
      <c r="A73" s="180"/>
      <c r="B73" s="182"/>
      <c r="C73" s="181"/>
      <c r="D73" s="182"/>
      <c r="E73" s="182"/>
      <c r="F73" s="187">
        <v>24.0</v>
      </c>
      <c r="G73" s="180" t="str">
        <f>IFERROR(__xludf.DUMMYFUNCTION("TRIM(REGEXREPLACE(C73, ""[0-9]+[a-f]?\."", """"))"),"")</f>
        <v/>
      </c>
      <c r="H73" s="180" t="str">
        <f>IFERROR(__xludf.DUMMYFUNCTION("TRIM(REGEXREPLACE(D73, ""[0-9]+[a-f]?\."", """"))"),"")</f>
        <v/>
      </c>
      <c r="I73" s="180" t="str">
        <f>IFERROR(__xludf.DUMMYFUNCTION("TRIM(REGEXREPLACE(E73, ""[0-9]+[a-f]?\."", """"))"),"")</f>
        <v/>
      </c>
      <c r="J73" s="180" t="s">
        <v>633</v>
      </c>
      <c r="K73" s="180" t="s">
        <v>634</v>
      </c>
      <c r="L73" s="180" t="s">
        <v>635</v>
      </c>
    </row>
    <row r="74" hidden="1">
      <c r="A74" s="180"/>
      <c r="B74" s="182"/>
      <c r="C74" s="182"/>
      <c r="D74" s="182"/>
      <c r="E74" s="182"/>
      <c r="F74" s="187">
        <v>23.0</v>
      </c>
      <c r="G74" s="180" t="str">
        <f>IFERROR(__xludf.DUMMYFUNCTION("TRIM(REGEXREPLACE(C74, ""[0-9]+[a-f]?\."", """"))"),"")</f>
        <v/>
      </c>
      <c r="H74" s="180" t="str">
        <f>IFERROR(__xludf.DUMMYFUNCTION("TRIM(REGEXREPLACE(D74, ""[0-9]+[a-f]?\."", """"))"),"")</f>
        <v/>
      </c>
      <c r="I74" s="180" t="str">
        <f>IFERROR(__xludf.DUMMYFUNCTION("TRIM(REGEXREPLACE(E74, ""[0-9]+[a-f]?\."", """"))"),"")</f>
        <v/>
      </c>
      <c r="J74" s="180" t="s">
        <v>637</v>
      </c>
      <c r="K74" s="180" t="s">
        <v>638</v>
      </c>
      <c r="L74" s="180" t="s">
        <v>639</v>
      </c>
    </row>
    <row r="75">
      <c r="A75" s="61" t="s">
        <v>213</v>
      </c>
      <c r="B75" s="61" t="s">
        <v>203</v>
      </c>
      <c r="C75" s="45" t="s">
        <v>214</v>
      </c>
      <c r="D75" s="45" t="s">
        <v>215</v>
      </c>
      <c r="E75" s="45" t="s">
        <v>216</v>
      </c>
      <c r="F75" s="187">
        <v>7.0</v>
      </c>
      <c r="G75" s="180" t="str">
        <f>IFERROR(__xludf.DUMMYFUNCTION("TRIM(REGEXREPLACE(C75, ""[0-9]+[a-f]?\."", """"))"),"What village/neighborhood are you surveying in?")</f>
        <v>What village/neighborhood are you surveying in?</v>
      </c>
      <c r="H75" s="180" t="str">
        <f>IFERROR(__xludf.DUMMYFUNCTION("TRIM(REGEXREPLACE(D75, ""[0-9]+[a-f]?\."", """"))"),"Dans quelle ville/village faites-vous votre enquête ?")</f>
        <v>Dans quelle ville/village faites-vous votre enquête ?</v>
      </c>
      <c r="I75" s="180" t="str">
        <f>IFERROR(__xludf.DUMMYFUNCTION("TRIM(REGEXREPLACE(E75, ""[0-9]+[a-f]?\."", """"))"),"Cikin wane gari kake binciken?")</f>
        <v>Cikin wane gari kake binciken?</v>
      </c>
      <c r="J75" s="180" t="str">
        <f t="shared" ref="J75:L75" si="7">$F75 &amp; ". "&amp;G75</f>
        <v>7. What village/neighborhood are you surveying in?</v>
      </c>
      <c r="K75" s="180" t="str">
        <f t="shared" si="7"/>
        <v>7. Dans quelle ville/village faites-vous votre enquête ?</v>
      </c>
      <c r="L75" s="180" t="str">
        <f t="shared" si="7"/>
        <v>7. Cikin wane gari kake binciken?</v>
      </c>
    </row>
    <row r="76" hidden="1">
      <c r="A76" s="61" t="s">
        <v>68</v>
      </c>
      <c r="B76" s="61" t="s">
        <v>205</v>
      </c>
      <c r="C76" s="198" t="s">
        <v>222</v>
      </c>
      <c r="D76" s="25"/>
      <c r="E76" s="28"/>
      <c r="F76" s="187">
        <v>24.0</v>
      </c>
      <c r="G76" s="180" t="str">
        <f>IFERROR(__xludf.DUMMYFUNCTION("TRIM(REGEXREPLACE(C76, ""[0-9]+[a-f]?\."", """"))"),"CALC: Pull locality name")</f>
        <v>CALC: Pull locality name</v>
      </c>
      <c r="H76" s="180" t="str">
        <f>IFERROR(__xludf.DUMMYFUNCTION("TRIM(REGEXREPLACE(D76, ""[0-9]+[a-f]?\."", """"))"),"")</f>
        <v/>
      </c>
      <c r="I76" s="180" t="str">
        <f>IFERROR(__xludf.DUMMYFUNCTION("TRIM(REGEXREPLACE(E76, ""[0-9]+[a-f]?\."", """"))"),"")</f>
        <v/>
      </c>
      <c r="J76" s="180" t="s">
        <v>633</v>
      </c>
      <c r="K76" s="180" t="s">
        <v>634</v>
      </c>
      <c r="L76" s="180" t="s">
        <v>635</v>
      </c>
    </row>
    <row r="77" hidden="1">
      <c r="A77" s="180"/>
      <c r="B77" s="182"/>
      <c r="C77" s="182"/>
      <c r="D77" s="182"/>
      <c r="E77" s="182"/>
      <c r="F77" s="187">
        <v>26.0</v>
      </c>
      <c r="G77" s="180" t="str">
        <f>IFERROR(__xludf.DUMMYFUNCTION("TRIM(REGEXREPLACE(C77, ""[0-9]+[a-f]?\."", """"))"),"")</f>
        <v/>
      </c>
      <c r="H77" s="180" t="str">
        <f>IFERROR(__xludf.DUMMYFUNCTION("TRIM(REGEXREPLACE(D77, ""[0-9]+[a-f]?\."", """"))"),"")</f>
        <v/>
      </c>
      <c r="I77" s="180" t="str">
        <f>IFERROR(__xludf.DUMMYFUNCTION("TRIM(REGEXREPLACE(E77, ""[0-9]+[a-f]?\."", """"))"),"")</f>
        <v/>
      </c>
      <c r="J77" s="180" t="s">
        <v>646</v>
      </c>
      <c r="K77" s="180" t="s">
        <v>647</v>
      </c>
      <c r="L77" s="180" t="s">
        <v>648</v>
      </c>
    </row>
    <row r="78" hidden="1">
      <c r="A78" s="180"/>
      <c r="B78" s="182"/>
      <c r="C78" s="182"/>
      <c r="D78" s="182"/>
      <c r="E78" s="182"/>
      <c r="F78" s="187">
        <v>27.0</v>
      </c>
      <c r="G78" s="180" t="str">
        <f>IFERROR(__xludf.DUMMYFUNCTION("TRIM(REGEXREPLACE(C78, ""[0-9]+[a-f]?\."", """"))"),"")</f>
        <v/>
      </c>
      <c r="H78" s="180" t="str">
        <f>IFERROR(__xludf.DUMMYFUNCTION("TRIM(REGEXREPLACE(D78, ""[0-9]+[a-f]?\."", """"))"),"")</f>
        <v/>
      </c>
      <c r="I78" s="180" t="str">
        <f>IFERROR(__xludf.DUMMYFUNCTION("TRIM(REGEXREPLACE(E78, ""[0-9]+[a-f]?\."", """"))"),"")</f>
        <v/>
      </c>
      <c r="J78" s="180" t="s">
        <v>650</v>
      </c>
      <c r="K78" s="180" t="s">
        <v>651</v>
      </c>
      <c r="L78" s="180" t="s">
        <v>652</v>
      </c>
    </row>
    <row r="79" hidden="1">
      <c r="A79" s="180"/>
      <c r="B79" s="182"/>
      <c r="C79" s="182"/>
      <c r="D79" s="182"/>
      <c r="E79" s="182"/>
      <c r="F79" s="187">
        <v>28.0</v>
      </c>
      <c r="G79" s="180" t="str">
        <f>IFERROR(__xludf.DUMMYFUNCTION("TRIM(REGEXREPLACE(C79, ""[0-9]+[a-f]?\."", """"))"),"")</f>
        <v/>
      </c>
      <c r="H79" s="180" t="str">
        <f>IFERROR(__xludf.DUMMYFUNCTION("TRIM(REGEXREPLACE(D79, ""[0-9]+[a-f]?\."", """"))"),"")</f>
        <v/>
      </c>
      <c r="I79" s="180" t="str">
        <f>IFERROR(__xludf.DUMMYFUNCTION("TRIM(REGEXREPLACE(E79, ""[0-9]+[a-f]?\."", """"))"),"")</f>
        <v/>
      </c>
      <c r="J79" s="180" t="s">
        <v>654</v>
      </c>
      <c r="K79" s="180" t="s">
        <v>655</v>
      </c>
      <c r="L79" s="180" t="s">
        <v>656</v>
      </c>
    </row>
    <row r="80" hidden="1">
      <c r="A80" s="180"/>
      <c r="B80" s="182"/>
      <c r="C80" s="182"/>
      <c r="D80" s="182"/>
      <c r="E80" s="182"/>
      <c r="F80" s="187">
        <v>29.0</v>
      </c>
      <c r="G80" s="180" t="str">
        <f>IFERROR(__xludf.DUMMYFUNCTION("TRIM(REGEXREPLACE(C80, ""[0-9]+[a-f]?\."", """"))"),"")</f>
        <v/>
      </c>
      <c r="H80" s="180" t="str">
        <f>IFERROR(__xludf.DUMMYFUNCTION("TRIM(REGEXREPLACE(D80, ""[0-9]+[a-f]?\."", """"))"),"")</f>
        <v/>
      </c>
      <c r="I80" s="180" t="str">
        <f>IFERROR(__xludf.DUMMYFUNCTION("TRIM(REGEXREPLACE(E80, ""[0-9]+[a-f]?\."", """"))"),"")</f>
        <v/>
      </c>
      <c r="J80" s="180" t="s">
        <v>658</v>
      </c>
      <c r="K80" s="180" t="s">
        <v>659</v>
      </c>
      <c r="L80" s="180" t="s">
        <v>660</v>
      </c>
    </row>
    <row r="81" hidden="1">
      <c r="A81" s="180"/>
      <c r="B81" s="182"/>
      <c r="C81" s="182"/>
      <c r="D81" s="182"/>
      <c r="E81" s="182"/>
      <c r="F81" s="187">
        <v>30.0</v>
      </c>
      <c r="G81" s="180" t="str">
        <f>IFERROR(__xludf.DUMMYFUNCTION("TRIM(REGEXREPLACE(C81, ""[0-9]+[a-f]?\."", """"))"),"")</f>
        <v/>
      </c>
      <c r="H81" s="180" t="str">
        <f>IFERROR(__xludf.DUMMYFUNCTION("TRIM(REGEXREPLACE(D81, ""[0-9]+[a-f]?\."", """"))"),"")</f>
        <v/>
      </c>
      <c r="I81" s="180" t="str">
        <f>IFERROR(__xludf.DUMMYFUNCTION("TRIM(REGEXREPLACE(E81, ""[0-9]+[a-f]?\."", """"))"),"")</f>
        <v/>
      </c>
      <c r="J81" s="180" t="s">
        <v>663</v>
      </c>
      <c r="K81" s="180" t="s">
        <v>664</v>
      </c>
      <c r="L81" s="180" t="s">
        <v>665</v>
      </c>
    </row>
    <row r="82" hidden="1">
      <c r="A82" s="61" t="s">
        <v>68</v>
      </c>
      <c r="B82" s="61" t="s">
        <v>226</v>
      </c>
      <c r="C82" s="198"/>
      <c r="D82" s="25"/>
      <c r="E82" s="28"/>
      <c r="F82" s="187">
        <v>25.0</v>
      </c>
      <c r="G82" s="180" t="str">
        <f>IFERROR(__xludf.DUMMYFUNCTION("TRIM(REGEXREPLACE(C82, ""[0-9]+[a-f]?\."", """"))"),"")</f>
        <v/>
      </c>
      <c r="H82" s="180" t="str">
        <f>IFERROR(__xludf.DUMMYFUNCTION("TRIM(REGEXREPLACE(D82, ""[0-9]+[a-f]?\."", """"))"),"")</f>
        <v/>
      </c>
      <c r="I82" s="180" t="str">
        <f>IFERROR(__xludf.DUMMYFUNCTION("TRIM(REGEXREPLACE(E82, ""[0-9]+[a-f]?\."", """"))"),"")</f>
        <v/>
      </c>
      <c r="J82" s="180" t="s">
        <v>667</v>
      </c>
      <c r="K82" s="180" t="s">
        <v>668</v>
      </c>
      <c r="L82" s="180" t="s">
        <v>669</v>
      </c>
    </row>
    <row r="83" hidden="1">
      <c r="A83" s="61" t="s">
        <v>68</v>
      </c>
      <c r="B83" s="61" t="s">
        <v>231</v>
      </c>
      <c r="C83" s="198"/>
      <c r="D83" s="25"/>
      <c r="E83" s="28"/>
      <c r="F83" s="187">
        <v>26.0</v>
      </c>
      <c r="G83" s="180" t="str">
        <f>IFERROR(__xludf.DUMMYFUNCTION("TRIM(REGEXREPLACE(C83, ""[0-9]+[a-f]?\."", """"))"),"")</f>
        <v/>
      </c>
      <c r="H83" s="180" t="str">
        <f>IFERROR(__xludf.DUMMYFUNCTION("TRIM(REGEXREPLACE(D83, ""[0-9]+[a-f]?\."", """"))"),"")</f>
        <v/>
      </c>
      <c r="I83" s="180" t="str">
        <f>IFERROR(__xludf.DUMMYFUNCTION("TRIM(REGEXREPLACE(E83, ""[0-9]+[a-f]?\."", """"))"),"")</f>
        <v/>
      </c>
      <c r="J83" s="180" t="s">
        <v>646</v>
      </c>
      <c r="K83" s="180" t="s">
        <v>647</v>
      </c>
      <c r="L83" s="180" t="s">
        <v>648</v>
      </c>
    </row>
    <row r="84" hidden="1">
      <c r="A84" s="61" t="s">
        <v>237</v>
      </c>
      <c r="B84" s="61" t="s">
        <v>135</v>
      </c>
      <c r="C84" s="198" t="s">
        <v>136</v>
      </c>
      <c r="D84" s="25"/>
      <c r="E84" s="28"/>
      <c r="F84" s="187">
        <v>27.0</v>
      </c>
      <c r="G84" s="180" t="str">
        <f>IFERROR(__xludf.DUMMYFUNCTION("TRIM(REGEXREPLACE(C84, ""[0-9]+[a-f]?\."", """"))"),"Enumerator Questions")</f>
        <v>Enumerator Questions</v>
      </c>
      <c r="H84" s="180" t="str">
        <f>IFERROR(__xludf.DUMMYFUNCTION("TRIM(REGEXREPLACE(D84, ""[0-9]+[a-f]?\."", """"))"),"")</f>
        <v/>
      </c>
      <c r="I84" s="180" t="str">
        <f>IFERROR(__xludf.DUMMYFUNCTION("TRIM(REGEXREPLACE(E84, ""[0-9]+[a-f]?\."", """"))"),"")</f>
        <v/>
      </c>
      <c r="J84" s="180" t="s">
        <v>650</v>
      </c>
      <c r="K84" s="180" t="s">
        <v>651</v>
      </c>
      <c r="L84" s="180" t="s">
        <v>652</v>
      </c>
    </row>
    <row r="85" hidden="1">
      <c r="A85" s="25"/>
      <c r="B85" s="25"/>
      <c r="C85" s="45"/>
      <c r="D85" s="61"/>
      <c r="E85" s="25"/>
      <c r="F85" s="187">
        <v>28.0</v>
      </c>
      <c r="G85" s="180" t="str">
        <f>IFERROR(__xludf.DUMMYFUNCTION("TRIM(REGEXREPLACE(C85, ""[0-9]+[a-f]?\."", """"))"),"")</f>
        <v/>
      </c>
      <c r="H85" s="180" t="str">
        <f>IFERROR(__xludf.DUMMYFUNCTION("TRIM(REGEXREPLACE(D85, ""[0-9]+[a-f]?\."", """"))"),"")</f>
        <v/>
      </c>
      <c r="I85" s="180" t="str">
        <f>IFERROR(__xludf.DUMMYFUNCTION("TRIM(REGEXREPLACE(E85, ""[0-9]+[a-f]?\."", """"))"),"")</f>
        <v/>
      </c>
      <c r="J85" s="180" t="s">
        <v>654</v>
      </c>
      <c r="K85" s="180" t="s">
        <v>655</v>
      </c>
      <c r="L85" s="180" t="s">
        <v>656</v>
      </c>
    </row>
    <row r="86" hidden="1">
      <c r="A86" s="61" t="s">
        <v>133</v>
      </c>
      <c r="B86" s="61" t="s">
        <v>113</v>
      </c>
      <c r="C86" s="45"/>
      <c r="D86" s="25"/>
      <c r="E86" s="25"/>
      <c r="F86" s="187">
        <v>29.0</v>
      </c>
      <c r="G86" s="180" t="str">
        <f>IFERROR(__xludf.DUMMYFUNCTION("TRIM(REGEXREPLACE(C86, ""[0-9]+[a-f]?\."", """"))"),"")</f>
        <v/>
      </c>
      <c r="H86" s="180" t="str">
        <f>IFERROR(__xludf.DUMMYFUNCTION("TRIM(REGEXREPLACE(D86, ""[0-9]+[a-f]?\."", """"))"),"")</f>
        <v/>
      </c>
      <c r="I86" s="180" t="str">
        <f>IFERROR(__xludf.DUMMYFUNCTION("TRIM(REGEXREPLACE(E86, ""[0-9]+[a-f]?\."", """"))"),"")</f>
        <v/>
      </c>
      <c r="J86" s="180" t="s">
        <v>658</v>
      </c>
      <c r="K86" s="180" t="s">
        <v>659</v>
      </c>
      <c r="L86" s="180" t="s">
        <v>660</v>
      </c>
    </row>
    <row r="87" hidden="1">
      <c r="A87" s="168" t="s">
        <v>68</v>
      </c>
      <c r="B87" s="177" t="s">
        <v>247</v>
      </c>
      <c r="C87" s="128"/>
      <c r="D87" s="129"/>
      <c r="E87" s="129"/>
      <c r="F87" s="187">
        <v>30.0</v>
      </c>
      <c r="G87" s="180" t="str">
        <f>IFERROR(__xludf.DUMMYFUNCTION("TRIM(REGEXREPLACE(C87, ""[0-9]+[a-f]?\."", """"))"),"")</f>
        <v/>
      </c>
      <c r="H87" s="180" t="str">
        <f>IFERROR(__xludf.DUMMYFUNCTION("TRIM(REGEXREPLACE(D87, ""[0-9]+[a-f]?\."", """"))"),"")</f>
        <v/>
      </c>
      <c r="I87" s="180" t="str">
        <f>IFERROR(__xludf.DUMMYFUNCTION("TRIM(REGEXREPLACE(E87, ""[0-9]+[a-f]?\."", """"))"),"")</f>
        <v/>
      </c>
      <c r="J87" s="180" t="s">
        <v>663</v>
      </c>
      <c r="K87" s="180" t="s">
        <v>664</v>
      </c>
      <c r="L87" s="180" t="s">
        <v>665</v>
      </c>
    </row>
    <row r="88" hidden="1">
      <c r="A88" s="168" t="s">
        <v>68</v>
      </c>
      <c r="B88" s="177" t="s">
        <v>254</v>
      </c>
      <c r="C88" s="128"/>
      <c r="D88" s="131"/>
      <c r="E88" s="131"/>
      <c r="F88" s="187">
        <v>31.0</v>
      </c>
      <c r="G88" s="180" t="str">
        <f>IFERROR(__xludf.DUMMYFUNCTION("TRIM(REGEXREPLACE(C88, ""[0-9]+[a-f]?\."", """"))"),"")</f>
        <v/>
      </c>
      <c r="H88" s="180" t="str">
        <f>IFERROR(__xludf.DUMMYFUNCTION("TRIM(REGEXREPLACE(D88, ""[0-9]+[a-f]?\."", """"))"),"")</f>
        <v/>
      </c>
      <c r="I88" s="180" t="str">
        <f>IFERROR(__xludf.DUMMYFUNCTION("TRIM(REGEXREPLACE(E88, ""[0-9]+[a-f]?\."", """"))"),"")</f>
        <v/>
      </c>
      <c r="J88" s="180" t="s">
        <v>680</v>
      </c>
      <c r="K88" s="180" t="s">
        <v>681</v>
      </c>
      <c r="L88" s="180" t="s">
        <v>682</v>
      </c>
    </row>
    <row r="89" hidden="1">
      <c r="A89" s="168" t="s">
        <v>68</v>
      </c>
      <c r="B89" s="177" t="s">
        <v>258</v>
      </c>
      <c r="C89" s="128"/>
      <c r="D89" s="131"/>
      <c r="E89" s="131"/>
      <c r="F89" s="187">
        <v>32.0</v>
      </c>
      <c r="G89" s="180" t="str">
        <f>IFERROR(__xludf.DUMMYFUNCTION("TRIM(REGEXREPLACE(C89, ""[0-9]+[a-f]?\."", """"))"),"")</f>
        <v/>
      </c>
      <c r="H89" s="180" t="str">
        <f>IFERROR(__xludf.DUMMYFUNCTION("TRIM(REGEXREPLACE(D89, ""[0-9]+[a-f]?\."", """"))"),"")</f>
        <v/>
      </c>
      <c r="I89" s="180" t="str">
        <f>IFERROR(__xludf.DUMMYFUNCTION("TRIM(REGEXREPLACE(E89, ""[0-9]+[a-f]?\."", """"))"),"")</f>
        <v/>
      </c>
      <c r="J89" s="180" t="s">
        <v>685</v>
      </c>
      <c r="K89" s="180" t="s">
        <v>686</v>
      </c>
      <c r="L89" s="180" t="s">
        <v>687</v>
      </c>
    </row>
    <row r="90" hidden="1">
      <c r="A90" s="168" t="s">
        <v>68</v>
      </c>
      <c r="B90" s="177" t="s">
        <v>279</v>
      </c>
      <c r="C90" s="128"/>
      <c r="D90" s="128"/>
      <c r="E90" s="128"/>
      <c r="F90" s="187">
        <v>33.0</v>
      </c>
      <c r="G90" s="180" t="str">
        <f>IFERROR(__xludf.DUMMYFUNCTION("TRIM(REGEXREPLACE(C90, ""[0-9]+[a-f]?\."", """"))"),"")</f>
        <v/>
      </c>
      <c r="H90" s="180" t="str">
        <f>IFERROR(__xludf.DUMMYFUNCTION("TRIM(REGEXREPLACE(D90, ""[0-9]+[a-f]?\."", """"))"),"")</f>
        <v/>
      </c>
      <c r="I90" s="180" t="str">
        <f>IFERROR(__xludf.DUMMYFUNCTION("TRIM(REGEXREPLACE(E90, ""[0-9]+[a-f]?\."", """"))"),"")</f>
        <v/>
      </c>
      <c r="J90" s="180" t="s">
        <v>693</v>
      </c>
      <c r="K90" s="180" t="s">
        <v>694</v>
      </c>
      <c r="L90" s="180" t="s">
        <v>695</v>
      </c>
    </row>
    <row r="91" hidden="1">
      <c r="A91" s="168" t="s">
        <v>68</v>
      </c>
      <c r="B91" s="177" t="s">
        <v>289</v>
      </c>
      <c r="C91" s="128"/>
      <c r="D91" s="128"/>
      <c r="E91" s="128"/>
      <c r="F91" s="187">
        <v>34.0</v>
      </c>
      <c r="G91" s="180" t="str">
        <f>IFERROR(__xludf.DUMMYFUNCTION("TRIM(REGEXREPLACE(C91, ""[0-9]+[a-f]?\."", """"))"),"")</f>
        <v/>
      </c>
      <c r="H91" s="180" t="str">
        <f>IFERROR(__xludf.DUMMYFUNCTION("TRIM(REGEXREPLACE(D91, ""[0-9]+[a-f]?\."", """"))"),"")</f>
        <v/>
      </c>
      <c r="I91" s="180" t="str">
        <f>IFERROR(__xludf.DUMMYFUNCTION("TRIM(REGEXREPLACE(E91, ""[0-9]+[a-f]?\."", """"))"),"")</f>
        <v/>
      </c>
      <c r="J91" s="180" t="s">
        <v>697</v>
      </c>
      <c r="K91" s="180" t="s">
        <v>698</v>
      </c>
      <c r="L91" s="180" t="s">
        <v>699</v>
      </c>
    </row>
    <row r="92" hidden="1">
      <c r="A92" s="168" t="s">
        <v>68</v>
      </c>
      <c r="B92" s="177" t="s">
        <v>294</v>
      </c>
      <c r="C92" s="128"/>
      <c r="D92" s="128"/>
      <c r="E92" s="128"/>
      <c r="F92" s="187">
        <v>35.0</v>
      </c>
      <c r="G92" s="180" t="str">
        <f>IFERROR(__xludf.DUMMYFUNCTION("TRIM(REGEXREPLACE(C92, ""[0-9]+[a-f]?\."", """"))"),"")</f>
        <v/>
      </c>
      <c r="H92" s="180" t="str">
        <f>IFERROR(__xludf.DUMMYFUNCTION("TRIM(REGEXREPLACE(D92, ""[0-9]+[a-f]?\."", """"))"),"")</f>
        <v/>
      </c>
      <c r="I92" s="180" t="str">
        <f>IFERROR(__xludf.DUMMYFUNCTION("TRIM(REGEXREPLACE(E92, ""[0-9]+[a-f]?\."", """"))"),"")</f>
        <v/>
      </c>
      <c r="J92" s="180" t="s">
        <v>704</v>
      </c>
      <c r="K92" s="180" t="s">
        <v>705</v>
      </c>
      <c r="L92" s="180" t="s">
        <v>706</v>
      </c>
    </row>
    <row r="93" hidden="1">
      <c r="A93" s="180"/>
      <c r="B93" s="182"/>
      <c r="C93" s="182"/>
      <c r="D93" s="182"/>
      <c r="E93" s="182"/>
      <c r="F93" s="187">
        <v>41.0</v>
      </c>
      <c r="G93" s="180" t="str">
        <f>IFERROR(__xludf.DUMMYFUNCTION("TRIM(REGEXREPLACE(C93, ""[0-9]+[a-f]?\."", """"))"),"")</f>
        <v/>
      </c>
      <c r="H93" s="180" t="str">
        <f>IFERROR(__xludf.DUMMYFUNCTION("TRIM(REGEXREPLACE(D93, ""[0-9]+[a-f]?\."", """"))"),"")</f>
        <v/>
      </c>
      <c r="I93" s="180" t="str">
        <f>IFERROR(__xludf.DUMMYFUNCTION("TRIM(REGEXREPLACE(E93, ""[0-9]+[a-f]?\."", """"))"),"")</f>
        <v/>
      </c>
      <c r="J93" s="180" t="s">
        <v>708</v>
      </c>
      <c r="K93" s="180" t="s">
        <v>709</v>
      </c>
      <c r="L93" s="180" t="s">
        <v>710</v>
      </c>
    </row>
    <row r="94">
      <c r="A94" s="61" t="s">
        <v>304</v>
      </c>
      <c r="B94" s="61" t="s">
        <v>249</v>
      </c>
      <c r="C94" s="45" t="s">
        <v>305</v>
      </c>
      <c r="D94" s="45" t="s">
        <v>306</v>
      </c>
      <c r="E94" s="45" t="s">
        <v>307</v>
      </c>
      <c r="F94" s="187">
        <v>8.0</v>
      </c>
      <c r="G94" s="180" t="str">
        <f>IFERROR(__xludf.DUMMYFUNCTION("TRIM(REGEXREPLACE(C94, ""[0-9]+[a-f]?\."", """"))"),"Select the Household ID number:")</f>
        <v>Select the Household ID number:</v>
      </c>
      <c r="H94" s="180" t="str">
        <f>IFERROR(__xludf.DUMMYFUNCTION("TRIM(REGEXREPLACE(D94, ""[0-9]+[a-f]?\."", """"))"),"Sélectionnez le numéro d'identification du ménage :")</f>
        <v>Sélectionnez le numéro d'identification du ménage :</v>
      </c>
      <c r="I94" s="180" t="str">
        <f>IFERROR(__xludf.DUMMYFUNCTION("TRIM(REGEXREPLACE(E94, ""[0-9]+[a-f]?\."", """"))"),"Zaɓi lambar ID na Gida:")</f>
        <v>Zaɓi lambar ID na Gida:</v>
      </c>
      <c r="J94" s="180" t="str">
        <f t="shared" ref="J94:L94" si="8">$F94 &amp; ". "&amp;G94</f>
        <v>8. Select the Household ID number:</v>
      </c>
      <c r="K94" s="180" t="str">
        <f t="shared" si="8"/>
        <v>8. Sélectionnez le numéro d'identification du ménage :</v>
      </c>
      <c r="L94" s="180" t="str">
        <f t="shared" si="8"/>
        <v>8. Zaɓi lambar ID na Gida:</v>
      </c>
    </row>
    <row r="95" hidden="1">
      <c r="A95" s="144" t="s">
        <v>68</v>
      </c>
      <c r="B95" s="146" t="s">
        <v>251</v>
      </c>
      <c r="C95" s="147"/>
      <c r="D95" s="148"/>
      <c r="E95" s="148"/>
      <c r="F95" s="187">
        <v>37.0</v>
      </c>
      <c r="G95" s="180" t="str">
        <f>IFERROR(__xludf.DUMMYFUNCTION("TRIM(REGEXREPLACE(C95, ""[0-9]+[a-f]?\."", """"))"),"")</f>
        <v/>
      </c>
      <c r="H95" s="180" t="str">
        <f>IFERROR(__xludf.DUMMYFUNCTION("TRIM(REGEXREPLACE(D95, ""[0-9]+[a-f]?\."", """"))"),"")</f>
        <v/>
      </c>
      <c r="I95" s="180" t="str">
        <f>IFERROR(__xludf.DUMMYFUNCTION("TRIM(REGEXREPLACE(E95, ""[0-9]+[a-f]?\."", """"))"),"")</f>
        <v/>
      </c>
      <c r="J95" s="180" t="s">
        <v>721</v>
      </c>
      <c r="K95" s="180" t="s">
        <v>722</v>
      </c>
      <c r="L95" s="180" t="s">
        <v>723</v>
      </c>
    </row>
    <row r="96" hidden="1">
      <c r="A96" s="144" t="s">
        <v>68</v>
      </c>
      <c r="B96" s="146" t="s">
        <v>328</v>
      </c>
      <c r="C96" s="147"/>
      <c r="D96" s="148"/>
      <c r="E96" s="148"/>
      <c r="F96" s="187">
        <v>38.0</v>
      </c>
      <c r="G96" s="180" t="str">
        <f>IFERROR(__xludf.DUMMYFUNCTION("TRIM(REGEXREPLACE(C96, ""[0-9]+[a-f]?\."", """"))"),"")</f>
        <v/>
      </c>
      <c r="H96" s="180" t="str">
        <f>IFERROR(__xludf.DUMMYFUNCTION("TRIM(REGEXREPLACE(D96, ""[0-9]+[a-f]?\."", """"))"),"")</f>
        <v/>
      </c>
      <c r="I96" s="180" t="str">
        <f>IFERROR(__xludf.DUMMYFUNCTION("TRIM(REGEXREPLACE(E96, ""[0-9]+[a-f]?\."", """"))"),"")</f>
        <v/>
      </c>
      <c r="J96" s="180" t="s">
        <v>727</v>
      </c>
      <c r="K96" s="180" t="s">
        <v>728</v>
      </c>
      <c r="L96" s="180" t="s">
        <v>729</v>
      </c>
    </row>
    <row r="97" hidden="1">
      <c r="A97" s="144" t="s">
        <v>68</v>
      </c>
      <c r="B97" s="146" t="s">
        <v>338</v>
      </c>
      <c r="C97" s="142"/>
      <c r="D97" s="148"/>
      <c r="E97" s="148"/>
      <c r="F97" s="187">
        <v>39.0</v>
      </c>
      <c r="G97" s="180" t="str">
        <f>IFERROR(__xludf.DUMMYFUNCTION("TRIM(REGEXREPLACE(C97, ""[0-9]+[a-f]?\."", """"))"),"")</f>
        <v/>
      </c>
      <c r="H97" s="180" t="str">
        <f>IFERROR(__xludf.DUMMYFUNCTION("TRIM(REGEXREPLACE(D97, ""[0-9]+[a-f]?\."", """"))"),"")</f>
        <v/>
      </c>
      <c r="I97" s="180" t="str">
        <f>IFERROR(__xludf.DUMMYFUNCTION("TRIM(REGEXREPLACE(E97, ""[0-9]+[a-f]?\."", """"))"),"")</f>
        <v/>
      </c>
      <c r="J97" s="180" t="s">
        <v>731</v>
      </c>
      <c r="K97" s="180" t="s">
        <v>731</v>
      </c>
      <c r="L97" s="180" t="s">
        <v>733</v>
      </c>
    </row>
    <row r="98" hidden="1">
      <c r="A98" s="144" t="s">
        <v>68</v>
      </c>
      <c r="B98" s="162" t="s">
        <v>344</v>
      </c>
      <c r="C98" s="147"/>
      <c r="D98" s="148"/>
      <c r="E98" s="148"/>
      <c r="F98" s="187">
        <v>40.0</v>
      </c>
      <c r="G98" s="180" t="str">
        <f>IFERROR(__xludf.DUMMYFUNCTION("TRIM(REGEXREPLACE(C98, ""[0-9]+[a-f]?\."", """"))"),"")</f>
        <v/>
      </c>
      <c r="H98" s="180" t="str">
        <f>IFERROR(__xludf.DUMMYFUNCTION("TRIM(REGEXREPLACE(D98, ""[0-9]+[a-f]?\."", """"))"),"")</f>
        <v/>
      </c>
      <c r="I98" s="180" t="str">
        <f>IFERROR(__xludf.DUMMYFUNCTION("TRIM(REGEXREPLACE(E98, ""[0-9]+[a-f]?\."", """"))"),"")</f>
        <v/>
      </c>
      <c r="J98" s="180" t="s">
        <v>739</v>
      </c>
      <c r="K98" s="180" t="s">
        <v>740</v>
      </c>
      <c r="L98" s="180" t="s">
        <v>741</v>
      </c>
    </row>
    <row r="99" hidden="1">
      <c r="A99" s="144" t="s">
        <v>68</v>
      </c>
      <c r="B99" s="146" t="s">
        <v>358</v>
      </c>
      <c r="C99" s="148"/>
      <c r="D99" s="148"/>
      <c r="E99" s="148"/>
      <c r="F99" s="187">
        <v>41.0</v>
      </c>
      <c r="G99" s="180" t="str">
        <f>IFERROR(__xludf.DUMMYFUNCTION("TRIM(REGEXREPLACE(C99, ""[0-9]+[a-f]?\."", """"))"),"")</f>
        <v/>
      </c>
      <c r="H99" s="180" t="str">
        <f>IFERROR(__xludf.DUMMYFUNCTION("TRIM(REGEXREPLACE(D99, ""[0-9]+[a-f]?\."", """"))"),"")</f>
        <v/>
      </c>
      <c r="I99" s="180" t="str">
        <f>IFERROR(__xludf.DUMMYFUNCTION("TRIM(REGEXREPLACE(E99, ""[0-9]+[a-f]?\."", """"))"),"")</f>
        <v/>
      </c>
      <c r="J99" s="180" t="s">
        <v>708</v>
      </c>
      <c r="K99" s="180" t="s">
        <v>709</v>
      </c>
      <c r="L99" s="180" t="s">
        <v>710</v>
      </c>
    </row>
    <row r="100" hidden="1">
      <c r="A100" s="144" t="s">
        <v>68</v>
      </c>
      <c r="B100" s="146" t="s">
        <v>366</v>
      </c>
      <c r="C100" s="148"/>
      <c r="D100" s="148"/>
      <c r="E100" s="148"/>
      <c r="F100" s="187">
        <v>42.0</v>
      </c>
      <c r="G100" s="180" t="str">
        <f>IFERROR(__xludf.DUMMYFUNCTION("TRIM(REGEXREPLACE(C100, ""[0-9]+[a-f]?\."", """"))"),"")</f>
        <v/>
      </c>
      <c r="H100" s="180" t="str">
        <f>IFERROR(__xludf.DUMMYFUNCTION("TRIM(REGEXREPLACE(D100, ""[0-9]+[a-f]?\."", """"))"),"")</f>
        <v/>
      </c>
      <c r="I100" s="180" t="str">
        <f>IFERROR(__xludf.DUMMYFUNCTION("TRIM(REGEXREPLACE(E100, ""[0-9]+[a-f]?\."", """"))"),"")</f>
        <v/>
      </c>
      <c r="J100" s="180" t="s">
        <v>744</v>
      </c>
      <c r="K100" s="180" t="s">
        <v>745</v>
      </c>
      <c r="L100" s="180" t="s">
        <v>746</v>
      </c>
    </row>
    <row r="101" hidden="1">
      <c r="A101" s="144" t="s">
        <v>68</v>
      </c>
      <c r="B101" s="146" t="s">
        <v>372</v>
      </c>
      <c r="C101" s="148"/>
      <c r="D101" s="148"/>
      <c r="E101" s="148"/>
      <c r="F101" s="187">
        <v>43.0</v>
      </c>
      <c r="G101" s="180" t="str">
        <f>IFERROR(__xludf.DUMMYFUNCTION("TRIM(REGEXREPLACE(C101, ""[0-9]+[a-f]?\."", """"))"),"")</f>
        <v/>
      </c>
      <c r="H101" s="180" t="str">
        <f>IFERROR(__xludf.DUMMYFUNCTION("TRIM(REGEXREPLACE(D101, ""[0-9]+[a-f]?\."", """"))"),"")</f>
        <v/>
      </c>
      <c r="I101" s="180" t="str">
        <f>IFERROR(__xludf.DUMMYFUNCTION("TRIM(REGEXREPLACE(E101, ""[0-9]+[a-f]?\."", """"))"),"")</f>
        <v/>
      </c>
      <c r="J101" s="180" t="s">
        <v>747</v>
      </c>
      <c r="K101" s="180" t="s">
        <v>748</v>
      </c>
      <c r="L101" s="180" t="s">
        <v>749</v>
      </c>
    </row>
    <row r="102" hidden="1">
      <c r="A102" s="180"/>
      <c r="B102" s="182"/>
      <c r="C102" s="182"/>
      <c r="D102" s="182"/>
      <c r="E102" s="182"/>
      <c r="F102" s="187">
        <v>47.0</v>
      </c>
      <c r="G102" s="180" t="str">
        <f>IFERROR(__xludf.DUMMYFUNCTION("TRIM(REGEXREPLACE(C102, ""[0-9]+[a-f]?\."", """"))"),"")</f>
        <v/>
      </c>
      <c r="H102" s="180" t="str">
        <f>IFERROR(__xludf.DUMMYFUNCTION("TRIM(REGEXREPLACE(D102, ""[0-9]+[a-f]?\."", """"))"),"")</f>
        <v/>
      </c>
      <c r="I102" s="180" t="str">
        <f>IFERROR(__xludf.DUMMYFUNCTION("TRIM(REGEXREPLACE(E102, ""[0-9]+[a-f]?\."", """"))"),"")</f>
        <v/>
      </c>
      <c r="J102" s="180" t="s">
        <v>753</v>
      </c>
      <c r="K102" s="180" t="s">
        <v>754</v>
      </c>
      <c r="L102" s="180" t="s">
        <v>755</v>
      </c>
    </row>
    <row r="103" hidden="1">
      <c r="A103" s="180"/>
      <c r="B103" s="182"/>
      <c r="C103" s="182"/>
      <c r="D103" s="182"/>
      <c r="E103" s="182"/>
      <c r="F103" s="187">
        <v>47.0</v>
      </c>
      <c r="G103" s="180" t="str">
        <f>IFERROR(__xludf.DUMMYFUNCTION("TRIM(REGEXREPLACE(C103, ""[0-9]+[a-f]?\."", """"))"),"")</f>
        <v/>
      </c>
      <c r="H103" s="180" t="str">
        <f>IFERROR(__xludf.DUMMYFUNCTION("TRIM(REGEXREPLACE(D103, ""[0-9]+[a-f]?\."", """"))"),"")</f>
        <v/>
      </c>
      <c r="I103" s="180" t="str">
        <f>IFERROR(__xludf.DUMMYFUNCTION("TRIM(REGEXREPLACE(E103, ""[0-9]+[a-f]?\."", """"))"),"")</f>
        <v/>
      </c>
      <c r="J103" s="180" t="s">
        <v>757</v>
      </c>
      <c r="K103" s="180" t="s">
        <v>758</v>
      </c>
      <c r="L103" s="180" t="s">
        <v>759</v>
      </c>
    </row>
    <row r="104" hidden="1">
      <c r="A104" s="144" t="s">
        <v>68</v>
      </c>
      <c r="B104" s="146" t="s">
        <v>378</v>
      </c>
      <c r="C104" s="148"/>
      <c r="D104" s="148"/>
      <c r="E104" s="148"/>
      <c r="F104" s="187">
        <v>44.0</v>
      </c>
      <c r="G104" s="180" t="str">
        <f>IFERROR(__xludf.DUMMYFUNCTION("TRIM(REGEXREPLACE(C104, ""[0-9]+[a-f]?\."", """"))"),"")</f>
        <v/>
      </c>
      <c r="H104" s="180" t="str">
        <f>IFERROR(__xludf.DUMMYFUNCTION("TRIM(REGEXREPLACE(D104, ""[0-9]+[a-f]?\."", """"))"),"")</f>
        <v/>
      </c>
      <c r="I104" s="180" t="str">
        <f>IFERROR(__xludf.DUMMYFUNCTION("TRIM(REGEXREPLACE(E104, ""[0-9]+[a-f]?\."", """"))"),"")</f>
        <v/>
      </c>
      <c r="J104" s="180" t="s">
        <v>761</v>
      </c>
      <c r="K104" s="180" t="s">
        <v>763</v>
      </c>
      <c r="L104" s="180" t="s">
        <v>764</v>
      </c>
    </row>
    <row r="105" hidden="1">
      <c r="A105" s="144" t="s">
        <v>68</v>
      </c>
      <c r="B105" s="146" t="s">
        <v>380</v>
      </c>
      <c r="C105" s="148"/>
      <c r="D105" s="148"/>
      <c r="E105" s="148"/>
      <c r="F105" s="187">
        <v>45.0</v>
      </c>
      <c r="G105" s="180" t="str">
        <f>IFERROR(__xludf.DUMMYFUNCTION("TRIM(REGEXREPLACE(C105, ""[0-9]+[a-f]?\."", """"))"),"")</f>
        <v/>
      </c>
      <c r="H105" s="180" t="str">
        <f>IFERROR(__xludf.DUMMYFUNCTION("TRIM(REGEXREPLACE(D105, ""[0-9]+[a-f]?\."", """"))"),"")</f>
        <v/>
      </c>
      <c r="I105" s="180" t="str">
        <f>IFERROR(__xludf.DUMMYFUNCTION("TRIM(REGEXREPLACE(E105, ""[0-9]+[a-f]?\."", """"))"),"")</f>
        <v/>
      </c>
      <c r="J105" s="180" t="s">
        <v>767</v>
      </c>
      <c r="K105" s="180" t="s">
        <v>768</v>
      </c>
      <c r="L105" s="180" t="s">
        <v>769</v>
      </c>
    </row>
    <row r="106" hidden="1">
      <c r="A106" s="144" t="s">
        <v>68</v>
      </c>
      <c r="B106" s="146" t="s">
        <v>387</v>
      </c>
      <c r="C106" s="148"/>
      <c r="D106" s="148"/>
      <c r="E106" s="148"/>
      <c r="F106" s="187">
        <v>46.0</v>
      </c>
      <c r="G106" s="180" t="str">
        <f>IFERROR(__xludf.DUMMYFUNCTION("TRIM(REGEXREPLACE(C106, ""[0-9]+[a-f]?\."", """"))"),"")</f>
        <v/>
      </c>
      <c r="H106" s="180" t="str">
        <f>IFERROR(__xludf.DUMMYFUNCTION("TRIM(REGEXREPLACE(D106, ""[0-9]+[a-f]?\."", """"))"),"")</f>
        <v/>
      </c>
      <c r="I106" s="180" t="str">
        <f>IFERROR(__xludf.DUMMYFUNCTION("TRIM(REGEXREPLACE(E106, ""[0-9]+[a-f]?\."", """"))"),"")</f>
        <v/>
      </c>
      <c r="J106" s="180" t="s">
        <v>771</v>
      </c>
      <c r="K106" s="180" t="s">
        <v>772</v>
      </c>
      <c r="L106" s="180" t="s">
        <v>773</v>
      </c>
    </row>
    <row r="107" hidden="1">
      <c r="A107" s="180"/>
      <c r="B107" s="182"/>
      <c r="C107" s="182"/>
      <c r="D107" s="182"/>
      <c r="E107" s="182"/>
      <c r="F107" s="187">
        <v>50.0</v>
      </c>
      <c r="G107" s="180" t="str">
        <f>IFERROR(__xludf.DUMMYFUNCTION("TRIM(REGEXREPLACE(C107, ""[0-9]+[a-f]?\."", """"))"),"")</f>
        <v/>
      </c>
      <c r="H107" s="180" t="str">
        <f>IFERROR(__xludf.DUMMYFUNCTION("TRIM(REGEXREPLACE(D107, ""[0-9]+[a-f]?\."", """"))"),"")</f>
        <v/>
      </c>
      <c r="I107" s="180" t="str">
        <f>IFERROR(__xludf.DUMMYFUNCTION("TRIM(REGEXREPLACE(E107, ""[0-9]+[a-f]?\."", """"))"),"")</f>
        <v/>
      </c>
      <c r="J107" s="180" t="s">
        <v>776</v>
      </c>
      <c r="K107" s="180" t="s">
        <v>777</v>
      </c>
      <c r="L107" s="180" t="s">
        <v>778</v>
      </c>
    </row>
    <row r="108" hidden="1">
      <c r="A108" s="180"/>
      <c r="B108" s="182"/>
      <c r="C108" s="182"/>
      <c r="D108" s="182"/>
      <c r="E108" s="182"/>
      <c r="F108" s="187">
        <v>51.0</v>
      </c>
      <c r="G108" s="180" t="str">
        <f>IFERROR(__xludf.DUMMYFUNCTION("TRIM(REGEXREPLACE(C108, ""[0-9]+[a-f]?\."", """"))"),"")</f>
        <v/>
      </c>
      <c r="H108" s="180" t="str">
        <f>IFERROR(__xludf.DUMMYFUNCTION("TRIM(REGEXREPLACE(D108, ""[0-9]+[a-f]?\."", """"))"),"")</f>
        <v/>
      </c>
      <c r="I108" s="180" t="str">
        <f>IFERROR(__xludf.DUMMYFUNCTION("TRIM(REGEXREPLACE(E108, ""[0-9]+[a-f]?\."", """"))"),"")</f>
        <v/>
      </c>
      <c r="J108" s="180" t="s">
        <v>779</v>
      </c>
      <c r="K108" s="180" t="s">
        <v>780</v>
      </c>
      <c r="L108" s="180" t="s">
        <v>781</v>
      </c>
    </row>
    <row r="109" hidden="1">
      <c r="A109" s="144" t="s">
        <v>68</v>
      </c>
      <c r="B109" s="146" t="s">
        <v>394</v>
      </c>
      <c r="C109" s="148"/>
      <c r="D109" s="148"/>
      <c r="E109" s="148"/>
      <c r="F109" s="187">
        <v>47.0</v>
      </c>
      <c r="G109" s="180" t="str">
        <f>IFERROR(__xludf.DUMMYFUNCTION("TRIM(REGEXREPLACE(C109, ""[0-9]+[a-f]?\."", """"))"),"")</f>
        <v/>
      </c>
      <c r="H109" s="180" t="str">
        <f>IFERROR(__xludf.DUMMYFUNCTION("TRIM(REGEXREPLACE(D109, ""[0-9]+[a-f]?\."", """"))"),"")</f>
        <v/>
      </c>
      <c r="I109" s="180" t="str">
        <f>IFERROR(__xludf.DUMMYFUNCTION("TRIM(REGEXREPLACE(E109, ""[0-9]+[a-f]?\."", """"))"),"")</f>
        <v/>
      </c>
      <c r="J109" s="180" t="s">
        <v>784</v>
      </c>
      <c r="K109" s="180" t="s">
        <v>785</v>
      </c>
      <c r="L109" s="180" t="s">
        <v>786</v>
      </c>
    </row>
    <row r="110" hidden="1">
      <c r="A110" s="144" t="s">
        <v>68</v>
      </c>
      <c r="B110" s="146" t="s">
        <v>402</v>
      </c>
      <c r="C110" s="148"/>
      <c r="D110" s="148"/>
      <c r="E110" s="148"/>
      <c r="F110" s="187">
        <v>48.0</v>
      </c>
      <c r="G110" s="180" t="str">
        <f>IFERROR(__xludf.DUMMYFUNCTION("TRIM(REGEXREPLACE(C110, ""[0-9]+[a-f]?\."", """"))"),"")</f>
        <v/>
      </c>
      <c r="H110" s="180" t="str">
        <f>IFERROR(__xludf.DUMMYFUNCTION("TRIM(REGEXREPLACE(D110, ""[0-9]+[a-f]?\."", """"))"),"")</f>
        <v/>
      </c>
      <c r="I110" s="180" t="str">
        <f>IFERROR(__xludf.DUMMYFUNCTION("TRIM(REGEXREPLACE(E110, ""[0-9]+[a-f]?\."", """"))"),"")</f>
        <v/>
      </c>
      <c r="J110" s="180" t="s">
        <v>788</v>
      </c>
      <c r="K110" s="180" t="s">
        <v>789</v>
      </c>
      <c r="L110" s="180" t="s">
        <v>790</v>
      </c>
    </row>
    <row r="111" hidden="1">
      <c r="A111" s="144" t="s">
        <v>68</v>
      </c>
      <c r="B111" s="146" t="s">
        <v>408</v>
      </c>
      <c r="C111" s="148"/>
      <c r="D111" s="148"/>
      <c r="E111" s="148"/>
      <c r="F111" s="187">
        <v>49.0</v>
      </c>
      <c r="G111" s="180" t="str">
        <f>IFERROR(__xludf.DUMMYFUNCTION("TRIM(REGEXREPLACE(C111, ""[0-9]+[a-f]?\."", """"))"),"")</f>
        <v/>
      </c>
      <c r="H111" s="180" t="str">
        <f>IFERROR(__xludf.DUMMYFUNCTION("TRIM(REGEXREPLACE(D111, ""[0-9]+[a-f]?\."", """"))"),"")</f>
        <v/>
      </c>
      <c r="I111" s="180" t="str">
        <f>IFERROR(__xludf.DUMMYFUNCTION("TRIM(REGEXREPLACE(E111, ""[0-9]+[a-f]?\."", """"))"),"")</f>
        <v/>
      </c>
      <c r="J111" s="180" t="s">
        <v>792</v>
      </c>
      <c r="K111" s="180" t="s">
        <v>793</v>
      </c>
      <c r="L111" s="180" t="s">
        <v>794</v>
      </c>
    </row>
    <row r="112" hidden="1">
      <c r="A112" s="102" t="s">
        <v>68</v>
      </c>
      <c r="B112" s="127" t="s">
        <v>414</v>
      </c>
      <c r="C112" s="72"/>
      <c r="D112" s="167"/>
      <c r="E112" s="72"/>
      <c r="F112" s="187">
        <v>50.0</v>
      </c>
      <c r="G112" s="180" t="str">
        <f>IFERROR(__xludf.DUMMYFUNCTION("TRIM(REGEXREPLACE(C112, ""[0-9]+[a-f]?\."", """"))"),"")</f>
        <v/>
      </c>
      <c r="H112" s="180" t="str">
        <f>IFERROR(__xludf.DUMMYFUNCTION("TRIM(REGEXREPLACE(D112, ""[0-9]+[a-f]?\."", """"))"),"")</f>
        <v/>
      </c>
      <c r="I112" s="180" t="str">
        <f>IFERROR(__xludf.DUMMYFUNCTION("TRIM(REGEXREPLACE(E112, ""[0-9]+[a-f]?\."", """"))"),"")</f>
        <v/>
      </c>
      <c r="J112" s="180" t="s">
        <v>796</v>
      </c>
      <c r="K112" s="180" t="s">
        <v>797</v>
      </c>
      <c r="L112" s="180" t="s">
        <v>798</v>
      </c>
    </row>
    <row r="113" hidden="1">
      <c r="A113" s="168" t="s">
        <v>68</v>
      </c>
      <c r="B113" s="71" t="s">
        <v>422</v>
      </c>
      <c r="C113" s="200"/>
      <c r="D113" s="200"/>
      <c r="E113" s="200"/>
      <c r="F113" s="187">
        <v>51.0</v>
      </c>
      <c r="G113" s="180" t="str">
        <f>IFERROR(__xludf.DUMMYFUNCTION("TRIM(REGEXREPLACE(C113, ""[0-9]+[a-f]?\."", """"))"),"")</f>
        <v/>
      </c>
      <c r="H113" s="180" t="str">
        <f>IFERROR(__xludf.DUMMYFUNCTION("TRIM(REGEXREPLACE(D113, ""[0-9]+[a-f]?\."", """"))"),"")</f>
        <v/>
      </c>
      <c r="I113" s="180" t="str">
        <f>IFERROR(__xludf.DUMMYFUNCTION("TRIM(REGEXREPLACE(E113, ""[0-9]+[a-f]?\."", """"))"),"")</f>
        <v/>
      </c>
      <c r="J113" s="180" t="s">
        <v>801</v>
      </c>
      <c r="K113" s="180" t="s">
        <v>802</v>
      </c>
      <c r="L113" s="180" t="s">
        <v>803</v>
      </c>
    </row>
    <row r="114" hidden="1">
      <c r="A114" s="170" t="s">
        <v>426</v>
      </c>
      <c r="B114" s="171" t="s">
        <v>427</v>
      </c>
      <c r="C114" s="171" t="s">
        <v>428</v>
      </c>
      <c r="D114" s="206"/>
      <c r="E114" s="206"/>
      <c r="F114" s="187">
        <v>52.0</v>
      </c>
      <c r="G114" s="180" t="str">
        <f>IFERROR(__xludf.DUMMYFUNCTION("TRIM(REGEXREPLACE(C114, ""[0-9]+[a-f]?\."", """"))"),"Create line separate list of hh members")</f>
        <v>Create line separate list of hh members</v>
      </c>
      <c r="H114" s="180" t="str">
        <f>IFERROR(__xludf.DUMMYFUNCTION("TRIM(REGEXREPLACE(D114, ""[0-9]+[a-f]?\."", """"))"),"")</f>
        <v/>
      </c>
      <c r="I114" s="180" t="str">
        <f>IFERROR(__xludf.DUMMYFUNCTION("TRIM(REGEXREPLACE(E114, ""[0-9]+[a-f]?\."", """"))"),"")</f>
        <v/>
      </c>
      <c r="J114" s="180" t="s">
        <v>808</v>
      </c>
      <c r="K114" s="180" t="s">
        <v>809</v>
      </c>
      <c r="L114" s="180" t="s">
        <v>810</v>
      </c>
    </row>
    <row r="115" hidden="1">
      <c r="A115" s="70" t="s">
        <v>68</v>
      </c>
      <c r="B115" s="71" t="s">
        <v>436</v>
      </c>
      <c r="C115" s="128"/>
      <c r="D115" s="128"/>
      <c r="E115" s="128"/>
      <c r="F115" s="187">
        <v>53.0</v>
      </c>
      <c r="G115" s="180" t="str">
        <f>IFERROR(__xludf.DUMMYFUNCTION("TRIM(REGEXREPLACE(C115, ""[0-9]+[a-f]?\."", """"))"),"")</f>
        <v/>
      </c>
      <c r="H115" s="180" t="str">
        <f>IFERROR(__xludf.DUMMYFUNCTION("TRIM(REGEXREPLACE(D115, ""[0-9]+[a-f]?\."", """"))"),"")</f>
        <v/>
      </c>
      <c r="I115" s="180" t="str">
        <f>IFERROR(__xludf.DUMMYFUNCTION("TRIM(REGEXREPLACE(E115, ""[0-9]+[a-f]?\."", """"))"),"")</f>
        <v/>
      </c>
      <c r="J115" s="180" t="s">
        <v>812</v>
      </c>
      <c r="K115" s="180" t="s">
        <v>813</v>
      </c>
      <c r="L115" s="180" t="s">
        <v>814</v>
      </c>
    </row>
    <row r="116" hidden="1">
      <c r="A116" s="70" t="s">
        <v>68</v>
      </c>
      <c r="B116" s="71" t="s">
        <v>445</v>
      </c>
      <c r="C116" s="128"/>
      <c r="D116" s="128"/>
      <c r="E116" s="128"/>
      <c r="F116" s="187">
        <v>54.0</v>
      </c>
      <c r="G116" s="180" t="str">
        <f>IFERROR(__xludf.DUMMYFUNCTION("TRIM(REGEXREPLACE(C116, ""[0-9]+[a-f]?\."", """"))"),"")</f>
        <v/>
      </c>
      <c r="H116" s="180" t="str">
        <f>IFERROR(__xludf.DUMMYFUNCTION("TRIM(REGEXREPLACE(D116, ""[0-9]+[a-f]?\."", """"))"),"")</f>
        <v/>
      </c>
      <c r="I116" s="180" t="str">
        <f>IFERROR(__xludf.DUMMYFUNCTION("TRIM(REGEXREPLACE(E116, ""[0-9]+[a-f]?\."", """"))"),"")</f>
        <v/>
      </c>
      <c r="J116" s="180" t="s">
        <v>817</v>
      </c>
      <c r="K116" s="180" t="s">
        <v>818</v>
      </c>
      <c r="L116" s="180" t="s">
        <v>820</v>
      </c>
    </row>
    <row r="117" hidden="1">
      <c r="A117" s="70" t="s">
        <v>68</v>
      </c>
      <c r="B117" s="71" t="s">
        <v>449</v>
      </c>
      <c r="C117" s="128"/>
      <c r="D117" s="128"/>
      <c r="E117" s="128"/>
      <c r="F117" s="187">
        <v>55.0</v>
      </c>
      <c r="G117" s="180" t="str">
        <f>IFERROR(__xludf.DUMMYFUNCTION("TRIM(REGEXREPLACE(C117, ""[0-9]+[a-f]?\."", """"))"),"")</f>
        <v/>
      </c>
      <c r="H117" s="180" t="str">
        <f>IFERROR(__xludf.DUMMYFUNCTION("TRIM(REGEXREPLACE(D117, ""[0-9]+[a-f]?\."", """"))"),"")</f>
        <v/>
      </c>
      <c r="I117" s="180" t="str">
        <f>IFERROR(__xludf.DUMMYFUNCTION("TRIM(REGEXREPLACE(E117, ""[0-9]+[a-f]?\."", """"))"),"")</f>
        <v/>
      </c>
      <c r="J117" s="180" t="s">
        <v>823</v>
      </c>
      <c r="K117" s="180" t="s">
        <v>824</v>
      </c>
      <c r="L117" s="180" t="s">
        <v>825</v>
      </c>
    </row>
    <row r="118" hidden="1">
      <c r="A118" s="70" t="s">
        <v>68</v>
      </c>
      <c r="B118" s="71" t="s">
        <v>456</v>
      </c>
      <c r="C118" s="128"/>
      <c r="D118" s="128"/>
      <c r="E118" s="128"/>
      <c r="F118" s="187">
        <v>56.0</v>
      </c>
      <c r="G118" s="180" t="str">
        <f>IFERROR(__xludf.DUMMYFUNCTION("TRIM(REGEXREPLACE(C118, ""[0-9]+[a-f]?\."", """"))"),"")</f>
        <v/>
      </c>
      <c r="H118" s="180" t="str">
        <f>IFERROR(__xludf.DUMMYFUNCTION("TRIM(REGEXREPLACE(D118, ""[0-9]+[a-f]?\."", """"))"),"")</f>
        <v/>
      </c>
      <c r="I118" s="180" t="str">
        <f>IFERROR(__xludf.DUMMYFUNCTION("TRIM(REGEXREPLACE(E118, ""[0-9]+[a-f]?\."", """"))"),"")</f>
        <v/>
      </c>
      <c r="J118" s="180" t="s">
        <v>827</v>
      </c>
      <c r="K118" s="180" t="s">
        <v>828</v>
      </c>
      <c r="L118" s="180" t="s">
        <v>829</v>
      </c>
    </row>
    <row r="119" hidden="1">
      <c r="A119" s="70" t="s">
        <v>68</v>
      </c>
      <c r="B119" s="71" t="s">
        <v>465</v>
      </c>
      <c r="C119" s="128"/>
      <c r="D119" s="128"/>
      <c r="E119" s="128"/>
      <c r="F119" s="187">
        <v>57.0</v>
      </c>
      <c r="G119" s="180" t="str">
        <f>IFERROR(__xludf.DUMMYFUNCTION("TRIM(REGEXREPLACE(C119, ""[0-9]+[a-f]?\."", """"))"),"")</f>
        <v/>
      </c>
      <c r="H119" s="180" t="str">
        <f>IFERROR(__xludf.DUMMYFUNCTION("TRIM(REGEXREPLACE(D119, ""[0-9]+[a-f]?\."", """"))"),"")</f>
        <v/>
      </c>
      <c r="I119" s="180" t="str">
        <f>IFERROR(__xludf.DUMMYFUNCTION("TRIM(REGEXREPLACE(E119, ""[0-9]+[a-f]?\."", """"))"),"")</f>
        <v/>
      </c>
      <c r="J119" s="180" t="s">
        <v>832</v>
      </c>
      <c r="K119" s="180" t="s">
        <v>833</v>
      </c>
      <c r="L119" s="180" t="s">
        <v>834</v>
      </c>
    </row>
    <row r="120" hidden="1">
      <c r="A120" s="170" t="s">
        <v>468</v>
      </c>
      <c r="B120" s="185" t="s">
        <v>427</v>
      </c>
      <c r="C120" s="207"/>
      <c r="D120" s="207"/>
      <c r="E120" s="207"/>
      <c r="F120" s="187">
        <v>58.0</v>
      </c>
      <c r="G120" s="180" t="str">
        <f>IFERROR(__xludf.DUMMYFUNCTION("TRIM(REGEXREPLACE(C120, ""[0-9]+[a-f]?\."", """"))"),"")</f>
        <v/>
      </c>
      <c r="H120" s="180" t="str">
        <f>IFERROR(__xludf.DUMMYFUNCTION("TRIM(REGEXREPLACE(D120, ""[0-9]+[a-f]?\."", """"))"),"")</f>
        <v/>
      </c>
      <c r="I120" s="180" t="str">
        <f>IFERROR(__xludf.DUMMYFUNCTION("TRIM(REGEXREPLACE(E120, ""[0-9]+[a-f]?\."", """"))"),"")</f>
        <v/>
      </c>
      <c r="J120" s="180" t="s">
        <v>839</v>
      </c>
      <c r="K120" s="180" t="s">
        <v>840</v>
      </c>
      <c r="L120" s="180" t="s">
        <v>841</v>
      </c>
    </row>
    <row r="121" hidden="1">
      <c r="A121" s="180"/>
      <c r="B121" s="182"/>
      <c r="C121" s="182"/>
      <c r="D121" s="182"/>
      <c r="E121" s="182"/>
      <c r="F121" s="187">
        <v>59.0</v>
      </c>
      <c r="G121" s="180" t="str">
        <f>IFERROR(__xludf.DUMMYFUNCTION("TRIM(REGEXREPLACE(C121, ""[0-9]+[a-f]?\."", """"))"),"")</f>
        <v/>
      </c>
      <c r="H121" s="180" t="str">
        <f>IFERROR(__xludf.DUMMYFUNCTION("TRIM(REGEXREPLACE(D121, ""[0-9]+[a-f]?\."", """"))"),"")</f>
        <v/>
      </c>
      <c r="I121" s="180" t="str">
        <f>IFERROR(__xludf.DUMMYFUNCTION("TRIM(REGEXREPLACE(E121, ""[0-9]+[a-f]?\."", """"))"),"")</f>
        <v/>
      </c>
      <c r="J121" s="180" t="s">
        <v>842</v>
      </c>
      <c r="K121" s="180" t="s">
        <v>843</v>
      </c>
      <c r="L121" s="180" t="s">
        <v>844</v>
      </c>
    </row>
    <row r="122" hidden="1">
      <c r="A122" s="70" t="s">
        <v>68</v>
      </c>
      <c r="B122" s="71" t="s">
        <v>475</v>
      </c>
      <c r="C122" s="128"/>
      <c r="D122" s="128"/>
      <c r="E122" s="128"/>
      <c r="F122" s="187">
        <v>59.0</v>
      </c>
      <c r="G122" s="180" t="str">
        <f>IFERROR(__xludf.DUMMYFUNCTION("TRIM(REGEXREPLACE(C122, ""[0-9]+[a-f]?\."", """"))"),"")</f>
        <v/>
      </c>
      <c r="H122" s="180" t="str">
        <f>IFERROR(__xludf.DUMMYFUNCTION("TRIM(REGEXREPLACE(D122, ""[0-9]+[a-f]?\."", """"))"),"")</f>
        <v/>
      </c>
      <c r="I122" s="180" t="str">
        <f>IFERROR(__xludf.DUMMYFUNCTION("TRIM(REGEXREPLACE(E122, ""[0-9]+[a-f]?\."", """"))"),"")</f>
        <v/>
      </c>
      <c r="J122" s="180" t="s">
        <v>847</v>
      </c>
      <c r="K122" s="180" t="s">
        <v>848</v>
      </c>
      <c r="L122" s="180" t="s">
        <v>850</v>
      </c>
    </row>
    <row r="123" hidden="1">
      <c r="A123" s="182"/>
      <c r="B123" s="182"/>
      <c r="C123" s="182"/>
      <c r="D123" s="182"/>
      <c r="E123" s="182"/>
      <c r="F123" s="187">
        <v>61.0</v>
      </c>
      <c r="G123" s="180" t="str">
        <f>IFERROR(__xludf.DUMMYFUNCTION("TRIM(REGEXREPLACE(C123, ""[0-9]+[a-f]?\."", """"))"),"")</f>
        <v/>
      </c>
      <c r="H123" s="180" t="str">
        <f>IFERROR(__xludf.DUMMYFUNCTION("TRIM(REGEXREPLACE(D123, ""[0-9]+[a-f]?\."", """"))"),"")</f>
        <v/>
      </c>
      <c r="I123" s="180" t="str">
        <f>IFERROR(__xludf.DUMMYFUNCTION("TRIM(REGEXREPLACE(E123, ""[0-9]+[a-f]?\."", """"))"),"")</f>
        <v/>
      </c>
      <c r="J123" s="180" t="s">
        <v>851</v>
      </c>
      <c r="K123" s="180" t="s">
        <v>852</v>
      </c>
      <c r="L123" s="180" t="s">
        <v>853</v>
      </c>
    </row>
    <row r="124" hidden="1">
      <c r="A124" s="180"/>
      <c r="B124" s="182"/>
      <c r="C124" s="182"/>
      <c r="D124" s="182"/>
      <c r="E124" s="182"/>
      <c r="F124" s="187">
        <v>62.0</v>
      </c>
      <c r="G124" s="180" t="str">
        <f>IFERROR(__xludf.DUMMYFUNCTION("TRIM(REGEXREPLACE(C124, ""[0-9]+[a-f]?\."", """"))"),"")</f>
        <v/>
      </c>
      <c r="H124" s="180" t="str">
        <f>IFERROR(__xludf.DUMMYFUNCTION("TRIM(REGEXREPLACE(D124, ""[0-9]+[a-f]?\."", """"))"),"")</f>
        <v/>
      </c>
      <c r="I124" s="180" t="str">
        <f>IFERROR(__xludf.DUMMYFUNCTION("TRIM(REGEXREPLACE(E124, ""[0-9]+[a-f]?\."", """"))"),"")</f>
        <v/>
      </c>
      <c r="J124" s="180" t="s">
        <v>855</v>
      </c>
      <c r="K124" s="180" t="s">
        <v>856</v>
      </c>
      <c r="L124" s="180" t="s">
        <v>857</v>
      </c>
    </row>
    <row r="125" hidden="1">
      <c r="A125" s="180"/>
      <c r="B125" s="182"/>
      <c r="C125" s="182"/>
      <c r="D125" s="182"/>
      <c r="E125" s="182"/>
      <c r="F125" s="187">
        <v>63.0</v>
      </c>
      <c r="G125" s="180" t="str">
        <f>IFERROR(__xludf.DUMMYFUNCTION("TRIM(REGEXREPLACE(C125, ""[0-9]+[a-f]?\."", """"))"),"")</f>
        <v/>
      </c>
      <c r="H125" s="180" t="str">
        <f>IFERROR(__xludf.DUMMYFUNCTION("TRIM(REGEXREPLACE(D125, ""[0-9]+[a-f]?\."", """"))"),"")</f>
        <v/>
      </c>
      <c r="I125" s="180" t="str">
        <f>IFERROR(__xludf.DUMMYFUNCTION("TRIM(REGEXREPLACE(E125, ""[0-9]+[a-f]?\."", """"))"),"")</f>
        <v/>
      </c>
      <c r="J125" s="180" t="s">
        <v>860</v>
      </c>
      <c r="K125" s="180" t="s">
        <v>861</v>
      </c>
      <c r="L125" s="180" t="s">
        <v>862</v>
      </c>
    </row>
    <row r="126" hidden="1">
      <c r="A126" s="180"/>
      <c r="B126" s="182"/>
      <c r="C126" s="182"/>
      <c r="D126" s="182"/>
      <c r="E126" s="182"/>
      <c r="F126" s="187">
        <v>64.0</v>
      </c>
      <c r="G126" s="180" t="str">
        <f>IFERROR(__xludf.DUMMYFUNCTION("TRIM(REGEXREPLACE(C126, ""[0-9]+[a-f]?\."", """"))"),"")</f>
        <v/>
      </c>
      <c r="H126" s="180" t="str">
        <f>IFERROR(__xludf.DUMMYFUNCTION("TRIM(REGEXREPLACE(D126, ""[0-9]+[a-f]?\."", """"))"),"")</f>
        <v/>
      </c>
      <c r="I126" s="180" t="str">
        <f>IFERROR(__xludf.DUMMYFUNCTION("TRIM(REGEXREPLACE(E126, ""[0-9]+[a-f]?\."", """"))"),"")</f>
        <v/>
      </c>
      <c r="J126" s="180" t="s">
        <v>866</v>
      </c>
      <c r="K126" s="180" t="s">
        <v>867</v>
      </c>
      <c r="L126" s="180" t="s">
        <v>868</v>
      </c>
    </row>
    <row r="127" hidden="1">
      <c r="A127" s="70" t="s">
        <v>68</v>
      </c>
      <c r="B127" s="71" t="s">
        <v>487</v>
      </c>
      <c r="C127" s="128"/>
      <c r="D127" s="128"/>
      <c r="E127" s="128"/>
      <c r="F127" s="187">
        <v>60.0</v>
      </c>
      <c r="G127" s="180" t="str">
        <f>IFERROR(__xludf.DUMMYFUNCTION("TRIM(REGEXREPLACE(C127, ""[0-9]+[a-f]?\."", """"))"),"")</f>
        <v/>
      </c>
      <c r="H127" s="180" t="str">
        <f>IFERROR(__xludf.DUMMYFUNCTION("TRIM(REGEXREPLACE(D127, ""[0-9]+[a-f]?\."", """"))"),"")</f>
        <v/>
      </c>
      <c r="I127" s="180" t="str">
        <f>IFERROR(__xludf.DUMMYFUNCTION("TRIM(REGEXREPLACE(E127, ""[0-9]+[a-f]?\."", """"))"),"")</f>
        <v/>
      </c>
      <c r="J127" s="180" t="s">
        <v>870</v>
      </c>
      <c r="K127" s="180" t="s">
        <v>871</v>
      </c>
      <c r="L127" s="180" t="s">
        <v>872</v>
      </c>
    </row>
    <row r="128" hidden="1">
      <c r="A128" s="70" t="s">
        <v>68</v>
      </c>
      <c r="B128" s="188" t="s">
        <v>490</v>
      </c>
      <c r="C128" s="128"/>
      <c r="D128" s="128"/>
      <c r="E128" s="128"/>
      <c r="F128" s="187">
        <v>61.0</v>
      </c>
      <c r="G128" s="180" t="str">
        <f>IFERROR(__xludf.DUMMYFUNCTION("TRIM(REGEXREPLACE(C128, ""[0-9]+[a-f]?\."", """"))"),"")</f>
        <v/>
      </c>
      <c r="H128" s="180" t="str">
        <f>IFERROR(__xludf.DUMMYFUNCTION("TRIM(REGEXREPLACE(D128, ""[0-9]+[a-f]?\."", """"))"),"")</f>
        <v/>
      </c>
      <c r="I128" s="180" t="str">
        <f>IFERROR(__xludf.DUMMYFUNCTION("TRIM(REGEXREPLACE(E128, ""[0-9]+[a-f]?\."", """"))"),"")</f>
        <v/>
      </c>
      <c r="J128" s="180" t="s">
        <v>874</v>
      </c>
      <c r="K128" s="180" t="s">
        <v>875</v>
      </c>
      <c r="L128" s="180" t="s">
        <v>876</v>
      </c>
    </row>
    <row r="129" hidden="1">
      <c r="A129" s="70" t="s">
        <v>68</v>
      </c>
      <c r="B129" s="188" t="s">
        <v>498</v>
      </c>
      <c r="C129" s="128"/>
      <c r="D129" s="128"/>
      <c r="E129" s="128"/>
      <c r="F129" s="187">
        <v>62.0</v>
      </c>
      <c r="G129" s="180" t="str">
        <f>IFERROR(__xludf.DUMMYFUNCTION("TRIM(REGEXREPLACE(C129, ""[0-9]+[a-f]?\."", """"))"),"")</f>
        <v/>
      </c>
      <c r="H129" s="180" t="str">
        <f>IFERROR(__xludf.DUMMYFUNCTION("TRIM(REGEXREPLACE(D129, ""[0-9]+[a-f]?\."", """"))"),"")</f>
        <v/>
      </c>
      <c r="I129" s="180" t="str">
        <f>IFERROR(__xludf.DUMMYFUNCTION("TRIM(REGEXREPLACE(E129, ""[0-9]+[a-f]?\."", """"))"),"")</f>
        <v/>
      </c>
      <c r="J129" s="180" t="s">
        <v>878</v>
      </c>
      <c r="K129" s="180" t="s">
        <v>879</v>
      </c>
      <c r="L129" s="180" t="s">
        <v>880</v>
      </c>
    </row>
    <row r="130" hidden="1">
      <c r="A130" s="180"/>
      <c r="B130" s="182"/>
      <c r="C130" s="182"/>
      <c r="D130" s="182"/>
      <c r="E130" s="182"/>
      <c r="F130" s="187">
        <v>68.0</v>
      </c>
      <c r="G130" s="180" t="str">
        <f>IFERROR(__xludf.DUMMYFUNCTION("TRIM(REGEXREPLACE(C130, ""[0-9]+[a-f]?\."", """"))"),"")</f>
        <v/>
      </c>
      <c r="H130" s="180" t="str">
        <f>IFERROR(__xludf.DUMMYFUNCTION("TRIM(REGEXREPLACE(D130, ""[0-9]+[a-f]?\."", """"))"),"")</f>
        <v/>
      </c>
      <c r="I130" s="180" t="str">
        <f>IFERROR(__xludf.DUMMYFUNCTION("TRIM(REGEXREPLACE(E130, ""[0-9]+[a-f]?\."", """"))"),"")</f>
        <v/>
      </c>
      <c r="J130" s="180" t="s">
        <v>883</v>
      </c>
      <c r="K130" s="180" t="s">
        <v>884</v>
      </c>
      <c r="L130" s="180" t="s">
        <v>885</v>
      </c>
    </row>
    <row r="131" hidden="1">
      <c r="A131" s="189"/>
      <c r="B131" s="190"/>
      <c r="C131" s="208"/>
      <c r="D131" s="208"/>
      <c r="E131" s="208"/>
      <c r="F131" s="187">
        <v>63.0</v>
      </c>
      <c r="G131" s="180" t="str">
        <f>IFERROR(__xludf.DUMMYFUNCTION("TRIM(REGEXREPLACE(C131, ""[0-9]+[a-f]?\."", """"))"),"")</f>
        <v/>
      </c>
      <c r="H131" s="180" t="str">
        <f>IFERROR(__xludf.DUMMYFUNCTION("TRIM(REGEXREPLACE(D131, ""[0-9]+[a-f]?\."", """"))"),"")</f>
        <v/>
      </c>
      <c r="I131" s="180" t="str">
        <f>IFERROR(__xludf.DUMMYFUNCTION("TRIM(REGEXREPLACE(E131, ""[0-9]+[a-f]?\."", """"))"),"")</f>
        <v/>
      </c>
      <c r="J131" s="180" t="s">
        <v>886</v>
      </c>
      <c r="K131" s="180" t="s">
        <v>887</v>
      </c>
      <c r="L131" s="180" t="s">
        <v>888</v>
      </c>
    </row>
    <row r="132" hidden="1">
      <c r="A132" s="70" t="s">
        <v>68</v>
      </c>
      <c r="B132" s="71" t="s">
        <v>509</v>
      </c>
      <c r="C132" s="209"/>
      <c r="D132" s="209"/>
      <c r="E132" s="209"/>
      <c r="F132" s="187">
        <v>64.0</v>
      </c>
      <c r="G132" s="180" t="str">
        <f>IFERROR(__xludf.DUMMYFUNCTION("TRIM(REGEXREPLACE(C132, ""[0-9]+[a-f]?\."", """"))"),"")</f>
        <v/>
      </c>
      <c r="H132" s="180" t="str">
        <f>IFERROR(__xludf.DUMMYFUNCTION("TRIM(REGEXREPLACE(D132, ""[0-9]+[a-f]?\."", """"))"),"")</f>
        <v/>
      </c>
      <c r="I132" s="180" t="str">
        <f>IFERROR(__xludf.DUMMYFUNCTION("TRIM(REGEXREPLACE(E132, ""[0-9]+[a-f]?\."", """"))"),"")</f>
        <v/>
      </c>
      <c r="J132" s="180" t="s">
        <v>892</v>
      </c>
      <c r="K132" s="180" t="s">
        <v>893</v>
      </c>
      <c r="L132" s="180" t="s">
        <v>894</v>
      </c>
    </row>
    <row r="133" hidden="1">
      <c r="A133" s="70" t="s">
        <v>68</v>
      </c>
      <c r="B133" s="71" t="s">
        <v>516</v>
      </c>
      <c r="C133" s="209"/>
      <c r="D133" s="209"/>
      <c r="E133" s="209"/>
      <c r="F133" s="187">
        <v>65.0</v>
      </c>
      <c r="G133" s="180" t="str">
        <f>IFERROR(__xludf.DUMMYFUNCTION("TRIM(REGEXREPLACE(C133, ""[0-9]+[a-f]?\."", """"))"),"")</f>
        <v/>
      </c>
      <c r="H133" s="180" t="str">
        <f>IFERROR(__xludf.DUMMYFUNCTION("TRIM(REGEXREPLACE(D133, ""[0-9]+[a-f]?\."", """"))"),"")</f>
        <v/>
      </c>
      <c r="I133" s="180" t="str">
        <f>IFERROR(__xludf.DUMMYFUNCTION("TRIM(REGEXREPLACE(E133, ""[0-9]+[a-f]?\."", """"))"),"")</f>
        <v/>
      </c>
      <c r="J133" s="180" t="s">
        <v>895</v>
      </c>
      <c r="K133" s="180" t="s">
        <v>896</v>
      </c>
      <c r="L133" s="180" t="s">
        <v>897</v>
      </c>
    </row>
    <row r="134" hidden="1">
      <c r="A134" s="70" t="s">
        <v>68</v>
      </c>
      <c r="B134" s="71" t="s">
        <v>526</v>
      </c>
      <c r="C134" s="209"/>
      <c r="D134" s="209"/>
      <c r="E134" s="209"/>
      <c r="F134" s="187">
        <v>66.0</v>
      </c>
      <c r="G134" s="180" t="str">
        <f>IFERROR(__xludf.DUMMYFUNCTION("TRIM(REGEXREPLACE(C134, ""[0-9]+[a-f]?\."", """"))"),"")</f>
        <v/>
      </c>
      <c r="H134" s="180" t="str">
        <f>IFERROR(__xludf.DUMMYFUNCTION("TRIM(REGEXREPLACE(D134, ""[0-9]+[a-f]?\."", """"))"),"")</f>
        <v/>
      </c>
      <c r="I134" s="180" t="str">
        <f>IFERROR(__xludf.DUMMYFUNCTION("TRIM(REGEXREPLACE(E134, ""[0-9]+[a-f]?\."", """"))"),"")</f>
        <v/>
      </c>
      <c r="J134" s="180" t="s">
        <v>899</v>
      </c>
      <c r="K134" s="180" t="s">
        <v>900</v>
      </c>
      <c r="L134" s="180" t="s">
        <v>901</v>
      </c>
    </row>
    <row r="135" hidden="1">
      <c r="A135" s="70" t="s">
        <v>68</v>
      </c>
      <c r="B135" s="71" t="s">
        <v>531</v>
      </c>
      <c r="C135" s="209"/>
      <c r="D135" s="209"/>
      <c r="E135" s="209"/>
      <c r="F135" s="187">
        <v>67.0</v>
      </c>
      <c r="G135" s="180" t="str">
        <f>IFERROR(__xludf.DUMMYFUNCTION("TRIM(REGEXREPLACE(C135, ""[0-9]+[a-f]?\."", """"))"),"")</f>
        <v/>
      </c>
      <c r="H135" s="180" t="str">
        <f>IFERROR(__xludf.DUMMYFUNCTION("TRIM(REGEXREPLACE(D135, ""[0-9]+[a-f]?\."", """"))"),"")</f>
        <v/>
      </c>
      <c r="I135" s="180" t="str">
        <f>IFERROR(__xludf.DUMMYFUNCTION("TRIM(REGEXREPLACE(E135, ""[0-9]+[a-f]?\."", """"))"),"")</f>
        <v/>
      </c>
      <c r="J135" s="180" t="s">
        <v>904</v>
      </c>
      <c r="K135" s="180" t="s">
        <v>905</v>
      </c>
      <c r="L135" s="180" t="s">
        <v>906</v>
      </c>
    </row>
    <row r="136" hidden="1">
      <c r="A136" s="180"/>
      <c r="B136" s="182"/>
      <c r="C136" s="182"/>
      <c r="D136" s="182"/>
      <c r="E136" s="182"/>
      <c r="F136" s="187">
        <v>74.0</v>
      </c>
      <c r="G136" s="180" t="str">
        <f>IFERROR(__xludf.DUMMYFUNCTION("TRIM(REGEXREPLACE(C136, ""[0-9]+[a-f]?\."", """"))"),"")</f>
        <v/>
      </c>
      <c r="H136" s="180" t="str">
        <f>IFERROR(__xludf.DUMMYFUNCTION("TRIM(REGEXREPLACE(D136, ""[0-9]+[a-f]?\."", """"))"),"")</f>
        <v/>
      </c>
      <c r="I136" s="180" t="str">
        <f>IFERROR(__xludf.DUMMYFUNCTION("TRIM(REGEXREPLACE(E136, ""[0-9]+[a-f]?\."", """"))"),"")</f>
        <v/>
      </c>
      <c r="J136" s="180" t="s">
        <v>907</v>
      </c>
      <c r="K136" s="180" t="s">
        <v>908</v>
      </c>
      <c r="L136" s="180" t="s">
        <v>909</v>
      </c>
    </row>
    <row r="137" hidden="1">
      <c r="A137" s="180"/>
      <c r="B137" s="182"/>
      <c r="C137" s="182"/>
      <c r="D137" s="182"/>
      <c r="E137" s="182"/>
      <c r="F137" s="187">
        <v>75.0</v>
      </c>
      <c r="G137" s="180" t="str">
        <f>IFERROR(__xludf.DUMMYFUNCTION("TRIM(REGEXREPLACE(C137, ""[0-9]+[a-f]?\."", """"))"),"")</f>
        <v/>
      </c>
      <c r="H137" s="180" t="str">
        <f>IFERROR(__xludf.DUMMYFUNCTION("TRIM(REGEXREPLACE(D137, ""[0-9]+[a-f]?\."", """"))"),"")</f>
        <v/>
      </c>
      <c r="I137" s="180" t="str">
        <f>IFERROR(__xludf.DUMMYFUNCTION("TRIM(REGEXREPLACE(E137, ""[0-9]+[a-f]?\."", """"))"),"")</f>
        <v/>
      </c>
      <c r="J137" s="180" t="s">
        <v>911</v>
      </c>
      <c r="K137" s="180" t="s">
        <v>912</v>
      </c>
      <c r="L137" s="180" t="s">
        <v>913</v>
      </c>
    </row>
    <row r="138" hidden="1">
      <c r="A138" s="70" t="s">
        <v>68</v>
      </c>
      <c r="B138" s="71" t="s">
        <v>537</v>
      </c>
      <c r="C138" s="209"/>
      <c r="D138" s="209"/>
      <c r="E138" s="209"/>
      <c r="F138" s="187">
        <v>68.0</v>
      </c>
      <c r="G138" s="180" t="str">
        <f>IFERROR(__xludf.DUMMYFUNCTION("TRIM(REGEXREPLACE(C138, ""[0-9]+[a-f]?\."", """"))"),"")</f>
        <v/>
      </c>
      <c r="H138" s="180" t="str">
        <f>IFERROR(__xludf.DUMMYFUNCTION("TRIM(REGEXREPLACE(D138, ""[0-9]+[a-f]?\."", """"))"),"")</f>
        <v/>
      </c>
      <c r="I138" s="180" t="str">
        <f>IFERROR(__xludf.DUMMYFUNCTION("TRIM(REGEXREPLACE(E138, ""[0-9]+[a-f]?\."", """"))"),"")</f>
        <v/>
      </c>
      <c r="J138" s="180" t="s">
        <v>916</v>
      </c>
      <c r="K138" s="180" t="s">
        <v>917</v>
      </c>
      <c r="L138" s="180" t="s">
        <v>918</v>
      </c>
    </row>
    <row r="139" hidden="1">
      <c r="A139" s="70" t="s">
        <v>68</v>
      </c>
      <c r="B139" s="71" t="s">
        <v>541</v>
      </c>
      <c r="C139" s="209"/>
      <c r="D139" s="209"/>
      <c r="E139" s="209"/>
      <c r="F139" s="187">
        <v>69.0</v>
      </c>
      <c r="G139" s="180" t="str">
        <f>IFERROR(__xludf.DUMMYFUNCTION("TRIM(REGEXREPLACE(C139, ""[0-9]+[a-f]?\."", """"))"),"")</f>
        <v/>
      </c>
      <c r="H139" s="180" t="str">
        <f>IFERROR(__xludf.DUMMYFUNCTION("TRIM(REGEXREPLACE(D139, ""[0-9]+[a-f]?\."", """"))"),"")</f>
        <v/>
      </c>
      <c r="I139" s="180" t="str">
        <f>IFERROR(__xludf.DUMMYFUNCTION("TRIM(REGEXREPLACE(E139, ""[0-9]+[a-f]?\."", """"))"),"")</f>
        <v/>
      </c>
      <c r="J139" s="180" t="s">
        <v>920</v>
      </c>
      <c r="K139" s="180" t="s">
        <v>922</v>
      </c>
      <c r="L139" s="180" t="s">
        <v>923</v>
      </c>
    </row>
    <row r="140" hidden="1">
      <c r="A140" s="70" t="s">
        <v>68</v>
      </c>
      <c r="B140" s="71" t="s">
        <v>546</v>
      </c>
      <c r="C140" s="209"/>
      <c r="D140" s="209"/>
      <c r="E140" s="209"/>
      <c r="F140" s="187">
        <v>70.0</v>
      </c>
      <c r="G140" s="180" t="str">
        <f>IFERROR(__xludf.DUMMYFUNCTION("TRIM(REGEXREPLACE(C140, ""[0-9]+[a-f]?\."", """"))"),"")</f>
        <v/>
      </c>
      <c r="H140" s="180" t="str">
        <f>IFERROR(__xludf.DUMMYFUNCTION("TRIM(REGEXREPLACE(D140, ""[0-9]+[a-f]?\."", """"))"),"")</f>
        <v/>
      </c>
      <c r="I140" s="180" t="str">
        <f>IFERROR(__xludf.DUMMYFUNCTION("TRIM(REGEXREPLACE(E140, ""[0-9]+[a-f]?\."", """"))"),"")</f>
        <v/>
      </c>
      <c r="J140" s="180" t="s">
        <v>926</v>
      </c>
      <c r="K140" s="180" t="s">
        <v>927</v>
      </c>
      <c r="L140" s="180" t="s">
        <v>928</v>
      </c>
    </row>
    <row r="141" hidden="1">
      <c r="A141" s="70" t="s">
        <v>68</v>
      </c>
      <c r="B141" s="71" t="s">
        <v>551</v>
      </c>
      <c r="C141" s="209"/>
      <c r="D141" s="209"/>
      <c r="E141" s="209"/>
      <c r="F141" s="187">
        <v>71.0</v>
      </c>
      <c r="G141" s="180" t="str">
        <f>IFERROR(__xludf.DUMMYFUNCTION("TRIM(REGEXREPLACE(C141, ""[0-9]+[a-f]?\."", """"))"),"")</f>
        <v/>
      </c>
      <c r="H141" s="180" t="str">
        <f>IFERROR(__xludf.DUMMYFUNCTION("TRIM(REGEXREPLACE(D141, ""[0-9]+[a-f]?\."", """"))"),"")</f>
        <v/>
      </c>
      <c r="I141" s="180" t="str">
        <f>IFERROR(__xludf.DUMMYFUNCTION("TRIM(REGEXREPLACE(E141, ""[0-9]+[a-f]?\."", """"))"),"")</f>
        <v/>
      </c>
      <c r="J141" s="180" t="s">
        <v>929</v>
      </c>
      <c r="K141" s="180" t="s">
        <v>930</v>
      </c>
      <c r="L141" s="180" t="s">
        <v>931</v>
      </c>
    </row>
    <row r="142" hidden="1">
      <c r="A142" s="70" t="s">
        <v>68</v>
      </c>
      <c r="B142" s="71" t="s">
        <v>564</v>
      </c>
      <c r="C142" s="209"/>
      <c r="D142" s="209"/>
      <c r="E142" s="209"/>
      <c r="F142" s="187">
        <v>72.0</v>
      </c>
      <c r="G142" s="180" t="str">
        <f>IFERROR(__xludf.DUMMYFUNCTION("TRIM(REGEXREPLACE(C142, ""[0-9]+[a-f]?\."", """"))"),"")</f>
        <v/>
      </c>
      <c r="H142" s="180" t="str">
        <f>IFERROR(__xludf.DUMMYFUNCTION("TRIM(REGEXREPLACE(D142, ""[0-9]+[a-f]?\."", """"))"),"")</f>
        <v/>
      </c>
      <c r="I142" s="180" t="str">
        <f>IFERROR(__xludf.DUMMYFUNCTION("TRIM(REGEXREPLACE(E142, ""[0-9]+[a-f]?\."", """"))"),"")</f>
        <v/>
      </c>
      <c r="J142" s="180" t="s">
        <v>932</v>
      </c>
      <c r="K142" s="180" t="s">
        <v>933</v>
      </c>
      <c r="L142" s="180" t="s">
        <v>934</v>
      </c>
    </row>
    <row r="143" hidden="1">
      <c r="A143" s="182"/>
      <c r="B143" s="182"/>
      <c r="C143" s="182"/>
      <c r="D143" s="182"/>
      <c r="E143" s="182"/>
      <c r="F143" s="187">
        <v>81.0</v>
      </c>
      <c r="G143" s="180" t="str">
        <f>IFERROR(__xludf.DUMMYFUNCTION("TRIM(REGEXREPLACE(C143, ""[0-9]+[a-f]?\."", """"))"),"")</f>
        <v/>
      </c>
      <c r="H143" s="180" t="str">
        <f>IFERROR(__xludf.DUMMYFUNCTION("TRIM(REGEXREPLACE(D143, ""[0-9]+[a-f]?\."", """"))"),"")</f>
        <v/>
      </c>
      <c r="I143" s="180" t="str">
        <f>IFERROR(__xludf.DUMMYFUNCTION("TRIM(REGEXREPLACE(E143, ""[0-9]+[a-f]?\."", """"))"),"")</f>
        <v/>
      </c>
      <c r="J143" s="180" t="s">
        <v>936</v>
      </c>
      <c r="K143" s="180" t="s">
        <v>937</v>
      </c>
      <c r="L143" s="180" t="s">
        <v>938</v>
      </c>
    </row>
    <row r="144" hidden="1">
      <c r="A144" s="180"/>
      <c r="B144" s="182"/>
      <c r="C144" s="182"/>
      <c r="D144" s="182"/>
      <c r="E144" s="182"/>
      <c r="F144" s="187">
        <v>82.0</v>
      </c>
      <c r="G144" s="180" t="str">
        <f>IFERROR(__xludf.DUMMYFUNCTION("TRIM(REGEXREPLACE(C144, ""[0-9]+[a-f]?\."", """"))"),"")</f>
        <v/>
      </c>
      <c r="H144" s="180" t="str">
        <f>IFERROR(__xludf.DUMMYFUNCTION("TRIM(REGEXREPLACE(D144, ""[0-9]+[a-f]?\."", """"))"),"")</f>
        <v/>
      </c>
      <c r="I144" s="180" t="str">
        <f>IFERROR(__xludf.DUMMYFUNCTION("TRIM(REGEXREPLACE(E144, ""[0-9]+[a-f]?\."", """"))"),"")</f>
        <v/>
      </c>
      <c r="J144" s="180" t="s">
        <v>941</v>
      </c>
      <c r="K144" s="180" t="s">
        <v>942</v>
      </c>
      <c r="L144" s="180" t="s">
        <v>943</v>
      </c>
    </row>
    <row r="145" hidden="1">
      <c r="A145" s="180"/>
      <c r="B145" s="182"/>
      <c r="C145" s="182"/>
      <c r="D145" s="182"/>
      <c r="E145" s="182"/>
      <c r="F145" s="187">
        <v>83.0</v>
      </c>
      <c r="G145" s="180" t="str">
        <f>IFERROR(__xludf.DUMMYFUNCTION("TRIM(REGEXREPLACE(C145, ""[0-9]+[a-f]?\."", """"))"),"")</f>
        <v/>
      </c>
      <c r="H145" s="180" t="str">
        <f>IFERROR(__xludf.DUMMYFUNCTION("TRIM(REGEXREPLACE(D145, ""[0-9]+[a-f]?\."", """"))"),"")</f>
        <v/>
      </c>
      <c r="I145" s="180" t="str">
        <f>IFERROR(__xludf.DUMMYFUNCTION("TRIM(REGEXREPLACE(E145, ""[0-9]+[a-f]?\."", """"))"),"")</f>
        <v/>
      </c>
      <c r="J145" s="180" t="s">
        <v>945</v>
      </c>
      <c r="K145" s="180" t="s">
        <v>946</v>
      </c>
      <c r="L145" s="180" t="s">
        <v>948</v>
      </c>
    </row>
    <row r="146" hidden="1">
      <c r="A146" s="182"/>
      <c r="B146" s="182"/>
      <c r="C146" s="182"/>
      <c r="D146" s="182"/>
      <c r="E146" s="182"/>
      <c r="F146" s="187">
        <v>84.0</v>
      </c>
      <c r="G146" s="180" t="str">
        <f>IFERROR(__xludf.DUMMYFUNCTION("TRIM(REGEXREPLACE(C146, ""[0-9]+[a-f]?\."", """"))"),"")</f>
        <v/>
      </c>
      <c r="H146" s="180" t="str">
        <f>IFERROR(__xludf.DUMMYFUNCTION("TRIM(REGEXREPLACE(D146, ""[0-9]+[a-f]?\."", """"))"),"")</f>
        <v/>
      </c>
      <c r="I146" s="180" t="str">
        <f>IFERROR(__xludf.DUMMYFUNCTION("TRIM(REGEXREPLACE(E146, ""[0-9]+[a-f]?\."", """"))"),"")</f>
        <v/>
      </c>
      <c r="J146" s="180" t="s">
        <v>949</v>
      </c>
      <c r="K146" s="180" t="s">
        <v>950</v>
      </c>
      <c r="L146" s="180" t="s">
        <v>951</v>
      </c>
    </row>
    <row r="147" hidden="1">
      <c r="A147" s="180"/>
      <c r="B147" s="182"/>
      <c r="C147" s="182"/>
      <c r="D147" s="182"/>
      <c r="E147" s="182"/>
      <c r="F147" s="187">
        <v>84.0</v>
      </c>
      <c r="G147" s="180" t="str">
        <f>IFERROR(__xludf.DUMMYFUNCTION("TRIM(REGEXREPLACE(C147, ""[0-9]+[a-f]?\."", """"))"),"")</f>
        <v/>
      </c>
      <c r="H147" s="180" t="str">
        <f>IFERROR(__xludf.DUMMYFUNCTION("TRIM(REGEXREPLACE(D147, ""[0-9]+[a-f]?\."", """"))"),"")</f>
        <v/>
      </c>
      <c r="I147" s="180" t="str">
        <f>IFERROR(__xludf.DUMMYFUNCTION("TRIM(REGEXREPLACE(E147, ""[0-9]+[a-f]?\."", """"))"),"")</f>
        <v/>
      </c>
      <c r="J147" s="180" t="s">
        <v>955</v>
      </c>
      <c r="K147" s="180" t="s">
        <v>956</v>
      </c>
      <c r="L147" s="180" t="s">
        <v>957</v>
      </c>
    </row>
    <row r="148" hidden="1">
      <c r="A148" s="180"/>
      <c r="B148" s="182"/>
      <c r="C148" s="182"/>
      <c r="D148" s="182"/>
      <c r="E148" s="182"/>
      <c r="F148" s="187">
        <v>85.0</v>
      </c>
      <c r="G148" s="180" t="str">
        <f>IFERROR(__xludf.DUMMYFUNCTION("TRIM(REGEXREPLACE(C148, ""[0-9]+[a-f]?\."", """"))"),"")</f>
        <v/>
      </c>
      <c r="H148" s="180" t="str">
        <f>IFERROR(__xludf.DUMMYFUNCTION("TRIM(REGEXREPLACE(D148, ""[0-9]+[a-f]?\."", """"))"),"")</f>
        <v/>
      </c>
      <c r="I148" s="180" t="str">
        <f>IFERROR(__xludf.DUMMYFUNCTION("TRIM(REGEXREPLACE(E148, ""[0-9]+[a-f]?\."", """"))"),"")</f>
        <v/>
      </c>
      <c r="J148" s="180" t="s">
        <v>958</v>
      </c>
      <c r="K148" s="180" t="s">
        <v>959</v>
      </c>
      <c r="L148" s="180" t="s">
        <v>961</v>
      </c>
    </row>
    <row r="149" hidden="1">
      <c r="A149" s="70" t="s">
        <v>68</v>
      </c>
      <c r="B149" s="71" t="s">
        <v>572</v>
      </c>
      <c r="C149" s="209"/>
      <c r="D149" s="209"/>
      <c r="E149" s="209"/>
      <c r="F149" s="187">
        <v>73.0</v>
      </c>
      <c r="G149" s="180" t="str">
        <f>IFERROR(__xludf.DUMMYFUNCTION("TRIM(REGEXREPLACE(C149, ""[0-9]+[a-f]?\."", """"))"),"")</f>
        <v/>
      </c>
      <c r="H149" s="180" t="str">
        <f>IFERROR(__xludf.DUMMYFUNCTION("TRIM(REGEXREPLACE(D149, ""[0-9]+[a-f]?\."", """"))"),"")</f>
        <v/>
      </c>
      <c r="I149" s="180" t="str">
        <f>IFERROR(__xludf.DUMMYFUNCTION("TRIM(REGEXREPLACE(E149, ""[0-9]+[a-f]?\."", """"))"),"")</f>
        <v/>
      </c>
      <c r="J149" s="180" t="s">
        <v>963</v>
      </c>
      <c r="K149" s="180" t="s">
        <v>964</v>
      </c>
      <c r="L149" s="180" t="s">
        <v>965</v>
      </c>
    </row>
    <row r="150" hidden="1">
      <c r="A150" s="70" t="s">
        <v>68</v>
      </c>
      <c r="B150" s="71" t="s">
        <v>580</v>
      </c>
      <c r="C150" s="209"/>
      <c r="D150" s="209"/>
      <c r="E150" s="209"/>
      <c r="F150" s="187">
        <v>74.0</v>
      </c>
      <c r="G150" s="180" t="str">
        <f>IFERROR(__xludf.DUMMYFUNCTION("TRIM(REGEXREPLACE(C150, ""[0-9]+[a-f]?\."", """"))"),"")</f>
        <v/>
      </c>
      <c r="H150" s="180" t="str">
        <f>IFERROR(__xludf.DUMMYFUNCTION("TRIM(REGEXREPLACE(D150, ""[0-9]+[a-f]?\."", """"))"),"")</f>
        <v/>
      </c>
      <c r="I150" s="180" t="str">
        <f>IFERROR(__xludf.DUMMYFUNCTION("TRIM(REGEXREPLACE(E150, ""[0-9]+[a-f]?\."", """"))"),"")</f>
        <v/>
      </c>
      <c r="J150" s="180" t="s">
        <v>967</v>
      </c>
      <c r="K150" s="180" t="s">
        <v>969</v>
      </c>
      <c r="L150" s="180" t="s">
        <v>970</v>
      </c>
    </row>
    <row r="151" hidden="1">
      <c r="A151" s="70" t="s">
        <v>68</v>
      </c>
      <c r="B151" s="71" t="s">
        <v>586</v>
      </c>
      <c r="C151" s="209"/>
      <c r="D151" s="209"/>
      <c r="E151" s="209"/>
      <c r="F151" s="187">
        <v>75.0</v>
      </c>
      <c r="G151" s="180" t="str">
        <f>IFERROR(__xludf.DUMMYFUNCTION("TRIM(REGEXREPLACE(C151, ""[0-9]+[a-f]?\."", """"))"),"")</f>
        <v/>
      </c>
      <c r="H151" s="180" t="str">
        <f>IFERROR(__xludf.DUMMYFUNCTION("TRIM(REGEXREPLACE(D151, ""[0-9]+[a-f]?\."", """"))"),"")</f>
        <v/>
      </c>
      <c r="I151" s="180" t="str">
        <f>IFERROR(__xludf.DUMMYFUNCTION("TRIM(REGEXREPLACE(E151, ""[0-9]+[a-f]?\."", """"))"),"")</f>
        <v/>
      </c>
      <c r="J151" s="180" t="s">
        <v>972</v>
      </c>
      <c r="K151" s="180" t="s">
        <v>973</v>
      </c>
      <c r="L151" s="180" t="s">
        <v>974</v>
      </c>
    </row>
    <row r="152" hidden="1">
      <c r="A152" s="70" t="s">
        <v>68</v>
      </c>
      <c r="B152" s="71" t="s">
        <v>596</v>
      </c>
      <c r="C152" s="209"/>
      <c r="D152" s="209"/>
      <c r="E152" s="209"/>
      <c r="F152" s="187">
        <v>76.0</v>
      </c>
      <c r="G152" s="180" t="str">
        <f>IFERROR(__xludf.DUMMYFUNCTION("TRIM(REGEXREPLACE(C152, ""[0-9]+[a-f]?\."", """"))"),"")</f>
        <v/>
      </c>
      <c r="H152" s="180" t="str">
        <f>IFERROR(__xludf.DUMMYFUNCTION("TRIM(REGEXREPLACE(D152, ""[0-9]+[a-f]?\."", """"))"),"")</f>
        <v/>
      </c>
      <c r="I152" s="180" t="str">
        <f>IFERROR(__xludf.DUMMYFUNCTION("TRIM(REGEXREPLACE(E152, ""[0-9]+[a-f]?\."", """"))"),"")</f>
        <v/>
      </c>
      <c r="J152" s="180" t="s">
        <v>976</v>
      </c>
      <c r="K152" s="180" t="s">
        <v>977</v>
      </c>
      <c r="L152" s="180" t="s">
        <v>978</v>
      </c>
    </row>
    <row r="153" hidden="1">
      <c r="A153" s="70" t="s">
        <v>68</v>
      </c>
      <c r="B153" s="71" t="s">
        <v>601</v>
      </c>
      <c r="C153" s="209"/>
      <c r="D153" s="209"/>
      <c r="E153" s="209"/>
      <c r="F153" s="187">
        <v>77.0</v>
      </c>
      <c r="G153" s="180" t="str">
        <f>IFERROR(__xludf.DUMMYFUNCTION("TRIM(REGEXREPLACE(C153, ""[0-9]+[a-f]?\."", """"))"),"")</f>
        <v/>
      </c>
      <c r="H153" s="180" t="str">
        <f>IFERROR(__xludf.DUMMYFUNCTION("TRIM(REGEXREPLACE(D153, ""[0-9]+[a-f]?\."", """"))"),"")</f>
        <v/>
      </c>
      <c r="I153" s="180" t="str">
        <f>IFERROR(__xludf.DUMMYFUNCTION("TRIM(REGEXREPLACE(E153, ""[0-9]+[a-f]?\."", """"))"),"")</f>
        <v/>
      </c>
      <c r="J153" s="180" t="s">
        <v>983</v>
      </c>
      <c r="K153" s="180" t="s">
        <v>984</v>
      </c>
      <c r="L153" s="180" t="s">
        <v>985</v>
      </c>
    </row>
    <row r="154" hidden="1">
      <c r="A154" s="70" t="s">
        <v>68</v>
      </c>
      <c r="B154" s="71" t="s">
        <v>610</v>
      </c>
      <c r="C154" s="209"/>
      <c r="D154" s="209"/>
      <c r="E154" s="209"/>
      <c r="F154" s="187">
        <v>78.0</v>
      </c>
      <c r="G154" s="180" t="str">
        <f>IFERROR(__xludf.DUMMYFUNCTION("TRIM(REGEXREPLACE(C154, ""[0-9]+[a-f]?\."", """"))"),"")</f>
        <v/>
      </c>
      <c r="H154" s="180" t="str">
        <f>IFERROR(__xludf.DUMMYFUNCTION("TRIM(REGEXREPLACE(D154, ""[0-9]+[a-f]?\."", """"))"),"")</f>
        <v/>
      </c>
      <c r="I154" s="180" t="str">
        <f>IFERROR(__xludf.DUMMYFUNCTION("TRIM(REGEXREPLACE(E154, ""[0-9]+[a-f]?\."", """"))"),"")</f>
        <v/>
      </c>
      <c r="J154" s="180" t="s">
        <v>987</v>
      </c>
      <c r="K154" s="180" t="s">
        <v>988</v>
      </c>
      <c r="L154" s="180" t="s">
        <v>989</v>
      </c>
    </row>
    <row r="155" hidden="1">
      <c r="A155" s="70" t="s">
        <v>68</v>
      </c>
      <c r="B155" s="71" t="s">
        <v>612</v>
      </c>
      <c r="C155" s="209"/>
      <c r="D155" s="209"/>
      <c r="E155" s="209"/>
      <c r="F155" s="187">
        <v>79.0</v>
      </c>
      <c r="G155" s="180" t="str">
        <f>IFERROR(__xludf.DUMMYFUNCTION("TRIM(REGEXREPLACE(C155, ""[0-9]+[a-f]?\."", """"))"),"")</f>
        <v/>
      </c>
      <c r="H155" s="180" t="str">
        <f>IFERROR(__xludf.DUMMYFUNCTION("TRIM(REGEXREPLACE(D155, ""[0-9]+[a-f]?\."", """"))"),"")</f>
        <v/>
      </c>
      <c r="I155" s="180" t="str">
        <f>IFERROR(__xludf.DUMMYFUNCTION("TRIM(REGEXREPLACE(E155, ""[0-9]+[a-f]?\."", """"))"),"")</f>
        <v/>
      </c>
      <c r="J155" s="180" t="s">
        <v>991</v>
      </c>
      <c r="K155" s="180" t="s">
        <v>993</v>
      </c>
      <c r="L155" s="180" t="s">
        <v>994</v>
      </c>
    </row>
    <row r="156" hidden="1">
      <c r="A156" s="70" t="s">
        <v>68</v>
      </c>
      <c r="B156" s="71" t="s">
        <v>614</v>
      </c>
      <c r="C156" s="209"/>
      <c r="D156" s="209"/>
      <c r="E156" s="209"/>
      <c r="F156" s="187">
        <v>80.0</v>
      </c>
      <c r="G156" s="180" t="str">
        <f>IFERROR(__xludf.DUMMYFUNCTION("TRIM(REGEXREPLACE(C156, ""[0-9]+[a-f]?\."", """"))"),"")</f>
        <v/>
      </c>
      <c r="H156" s="180" t="str">
        <f>IFERROR(__xludf.DUMMYFUNCTION("TRIM(REGEXREPLACE(D156, ""[0-9]+[a-f]?\."", """"))"),"")</f>
        <v/>
      </c>
      <c r="I156" s="180" t="str">
        <f>IFERROR(__xludf.DUMMYFUNCTION("TRIM(REGEXREPLACE(E156, ""[0-9]+[a-f]?\."", """"))"),"")</f>
        <v/>
      </c>
      <c r="J156" s="180" t="s">
        <v>996</v>
      </c>
      <c r="K156" s="180" t="s">
        <v>998</v>
      </c>
      <c r="L156" s="180" t="s">
        <v>999</v>
      </c>
    </row>
    <row r="157" hidden="1">
      <c r="A157" s="70" t="s">
        <v>68</v>
      </c>
      <c r="B157" s="71" t="s">
        <v>620</v>
      </c>
      <c r="C157" s="209"/>
      <c r="D157" s="209"/>
      <c r="E157" s="209"/>
      <c r="F157" s="187">
        <v>81.0</v>
      </c>
      <c r="G157" s="180" t="str">
        <f>IFERROR(__xludf.DUMMYFUNCTION("TRIM(REGEXREPLACE(C157, ""[0-9]+[a-f]?\."", """"))"),"")</f>
        <v/>
      </c>
      <c r="H157" s="180" t="str">
        <f>IFERROR(__xludf.DUMMYFUNCTION("TRIM(REGEXREPLACE(D157, ""[0-9]+[a-f]?\."", """"))"),"")</f>
        <v/>
      </c>
      <c r="I157" s="180" t="str">
        <f>IFERROR(__xludf.DUMMYFUNCTION("TRIM(REGEXREPLACE(E157, ""[0-9]+[a-f]?\."", """"))"),"")</f>
        <v/>
      </c>
      <c r="J157" s="180" t="s">
        <v>1000</v>
      </c>
      <c r="K157" s="180" t="s">
        <v>1001</v>
      </c>
      <c r="L157" s="180" t="s">
        <v>1002</v>
      </c>
    </row>
    <row r="158" hidden="1">
      <c r="A158" s="70" t="s">
        <v>68</v>
      </c>
      <c r="B158" s="71" t="s">
        <v>632</v>
      </c>
      <c r="C158" s="209"/>
      <c r="D158" s="209"/>
      <c r="E158" s="209"/>
      <c r="F158" s="187">
        <v>82.0</v>
      </c>
      <c r="G158" s="180" t="str">
        <f>IFERROR(__xludf.DUMMYFUNCTION("TRIM(REGEXREPLACE(C158, ""[0-9]+[a-f]?\."", """"))"),"")</f>
        <v/>
      </c>
      <c r="H158" s="180" t="str">
        <f>IFERROR(__xludf.DUMMYFUNCTION("TRIM(REGEXREPLACE(D158, ""[0-9]+[a-f]?\."", """"))"),"")</f>
        <v/>
      </c>
      <c r="I158" s="180" t="str">
        <f>IFERROR(__xludf.DUMMYFUNCTION("TRIM(REGEXREPLACE(E158, ""[0-9]+[a-f]?\."", """"))"),"")</f>
        <v/>
      </c>
      <c r="J158" s="180" t="s">
        <v>1005</v>
      </c>
      <c r="K158" s="180" t="s">
        <v>1006</v>
      </c>
      <c r="L158" s="180" t="s">
        <v>1007</v>
      </c>
    </row>
    <row r="159" hidden="1">
      <c r="A159" s="70" t="s">
        <v>68</v>
      </c>
      <c r="B159" s="71" t="s">
        <v>641</v>
      </c>
      <c r="C159" s="209"/>
      <c r="D159" s="209"/>
      <c r="E159" s="209"/>
      <c r="F159" s="187">
        <v>83.0</v>
      </c>
      <c r="G159" s="180" t="str">
        <f>IFERROR(__xludf.DUMMYFUNCTION("TRIM(REGEXREPLACE(C159, ""[0-9]+[a-f]?\."", """"))"),"")</f>
        <v/>
      </c>
      <c r="H159" s="180" t="str">
        <f>IFERROR(__xludf.DUMMYFUNCTION("TRIM(REGEXREPLACE(D159, ""[0-9]+[a-f]?\."", """"))"),"")</f>
        <v/>
      </c>
      <c r="I159" s="180" t="str">
        <f>IFERROR(__xludf.DUMMYFUNCTION("TRIM(REGEXREPLACE(E159, ""[0-9]+[a-f]?\."", """"))"),"")</f>
        <v/>
      </c>
      <c r="J159" s="180" t="s">
        <v>1009</v>
      </c>
      <c r="K159" s="180" t="s">
        <v>1010</v>
      </c>
      <c r="L159" s="180" t="s">
        <v>1010</v>
      </c>
    </row>
    <row r="160" hidden="1">
      <c r="A160" s="70" t="s">
        <v>68</v>
      </c>
      <c r="B160" s="71" t="s">
        <v>644</v>
      </c>
      <c r="C160" s="209"/>
      <c r="D160" s="209"/>
      <c r="E160" s="209"/>
      <c r="F160" s="187">
        <v>84.0</v>
      </c>
      <c r="G160" s="180" t="str">
        <f>IFERROR(__xludf.DUMMYFUNCTION("TRIM(REGEXREPLACE(C160, ""[0-9]+[a-f]?\."", """"))"),"")</f>
        <v/>
      </c>
      <c r="H160" s="180" t="str">
        <f>IFERROR(__xludf.DUMMYFUNCTION("TRIM(REGEXREPLACE(D160, ""[0-9]+[a-f]?\."", """"))"),"")</f>
        <v/>
      </c>
      <c r="I160" s="180" t="str">
        <f>IFERROR(__xludf.DUMMYFUNCTION("TRIM(REGEXREPLACE(E160, ""[0-9]+[a-f]?\."", """"))"),"")</f>
        <v/>
      </c>
      <c r="J160" s="180" t="s">
        <v>1013</v>
      </c>
      <c r="K160" s="180" t="s">
        <v>1015</v>
      </c>
      <c r="L160" s="180" t="s">
        <v>1016</v>
      </c>
    </row>
    <row r="161" hidden="1">
      <c r="A161" s="70" t="s">
        <v>68</v>
      </c>
      <c r="B161" s="71" t="s">
        <v>649</v>
      </c>
      <c r="C161" s="209"/>
      <c r="D161" s="209"/>
      <c r="E161" s="209"/>
      <c r="F161" s="187">
        <v>85.0</v>
      </c>
      <c r="G161" s="180" t="str">
        <f>IFERROR(__xludf.DUMMYFUNCTION("TRIM(REGEXREPLACE(C161, ""[0-9]+[a-f]?\."", """"))"),"")</f>
        <v/>
      </c>
      <c r="H161" s="180" t="str">
        <f>IFERROR(__xludf.DUMMYFUNCTION("TRIM(REGEXREPLACE(D161, ""[0-9]+[a-f]?\."", """"))"),"")</f>
        <v/>
      </c>
      <c r="I161" s="180" t="str">
        <f>IFERROR(__xludf.DUMMYFUNCTION("TRIM(REGEXREPLACE(E161, ""[0-9]+[a-f]?\."", """"))"),"")</f>
        <v/>
      </c>
      <c r="J161" s="180" t="s">
        <v>1018</v>
      </c>
      <c r="K161" s="180" t="s">
        <v>1020</v>
      </c>
      <c r="L161" s="180" t="s">
        <v>1022</v>
      </c>
    </row>
    <row r="162" hidden="1">
      <c r="A162" s="70" t="s">
        <v>68</v>
      </c>
      <c r="B162" s="71" t="s">
        <v>661</v>
      </c>
      <c r="C162" s="209"/>
      <c r="D162" s="209"/>
      <c r="E162" s="209"/>
      <c r="F162" s="187">
        <v>86.0</v>
      </c>
      <c r="G162" s="180" t="str">
        <f>IFERROR(__xludf.DUMMYFUNCTION("TRIM(REGEXREPLACE(C162, ""[0-9]+[a-f]?\."", """"))"),"")</f>
        <v/>
      </c>
      <c r="H162" s="180" t="str">
        <f>IFERROR(__xludf.DUMMYFUNCTION("TRIM(REGEXREPLACE(D162, ""[0-9]+[a-f]?\."", """"))"),"")</f>
        <v/>
      </c>
      <c r="I162" s="180" t="str">
        <f>IFERROR(__xludf.DUMMYFUNCTION("TRIM(REGEXREPLACE(E162, ""[0-9]+[a-f]?\."", """"))"),"")</f>
        <v/>
      </c>
      <c r="J162" s="180" t="s">
        <v>1025</v>
      </c>
      <c r="K162" s="180" t="s">
        <v>1026</v>
      </c>
      <c r="L162" s="180" t="s">
        <v>1029</v>
      </c>
    </row>
    <row r="163" hidden="1">
      <c r="A163" s="70" t="s">
        <v>68</v>
      </c>
      <c r="B163" s="71" t="s">
        <v>670</v>
      </c>
      <c r="C163" s="209"/>
      <c r="D163" s="209"/>
      <c r="E163" s="209"/>
      <c r="F163" s="187">
        <v>87.0</v>
      </c>
      <c r="G163" s="180" t="str">
        <f>IFERROR(__xludf.DUMMYFUNCTION("TRIM(REGEXREPLACE(C163, ""[0-9]+[a-f]?\."", """"))"),"")</f>
        <v/>
      </c>
      <c r="H163" s="180" t="str">
        <f>IFERROR(__xludf.DUMMYFUNCTION("TRIM(REGEXREPLACE(D163, ""[0-9]+[a-f]?\."", """"))"),"")</f>
        <v/>
      </c>
      <c r="I163" s="180" t="str">
        <f>IFERROR(__xludf.DUMMYFUNCTION("TRIM(REGEXREPLACE(E163, ""[0-9]+[a-f]?\."", """"))"),"")</f>
        <v/>
      </c>
      <c r="J163" s="180" t="s">
        <v>1031</v>
      </c>
      <c r="K163" s="180" t="s">
        <v>1032</v>
      </c>
      <c r="L163" s="180" t="s">
        <v>1033</v>
      </c>
    </row>
    <row r="164" hidden="1">
      <c r="A164" s="70" t="s">
        <v>68</v>
      </c>
      <c r="B164" s="71" t="s">
        <v>672</v>
      </c>
      <c r="C164" s="209"/>
      <c r="D164" s="209"/>
      <c r="E164" s="209"/>
      <c r="F164" s="187">
        <v>88.0</v>
      </c>
      <c r="G164" s="180" t="str">
        <f>IFERROR(__xludf.DUMMYFUNCTION("TRIM(REGEXREPLACE(C164, ""[0-9]+[a-f]?\."", """"))"),"")</f>
        <v/>
      </c>
      <c r="H164" s="180" t="str">
        <f>IFERROR(__xludf.DUMMYFUNCTION("TRIM(REGEXREPLACE(D164, ""[0-9]+[a-f]?\."", """"))"),"")</f>
        <v/>
      </c>
      <c r="I164" s="180" t="str">
        <f>IFERROR(__xludf.DUMMYFUNCTION("TRIM(REGEXREPLACE(E164, ""[0-9]+[a-f]?\."", """"))"),"")</f>
        <v/>
      </c>
      <c r="J164" s="180" t="s">
        <v>1036</v>
      </c>
      <c r="K164" s="180" t="s">
        <v>1037</v>
      </c>
      <c r="L164" s="180" t="s">
        <v>1038</v>
      </c>
    </row>
    <row r="165" hidden="1">
      <c r="A165" s="70" t="s">
        <v>68</v>
      </c>
      <c r="B165" s="71" t="s">
        <v>677</v>
      </c>
      <c r="C165" s="209"/>
      <c r="D165" s="209"/>
      <c r="E165" s="209"/>
      <c r="F165" s="187">
        <v>89.0</v>
      </c>
      <c r="G165" s="180" t="str">
        <f>IFERROR(__xludf.DUMMYFUNCTION("TRIM(REGEXREPLACE(C165, ""[0-9]+[a-f]?\."", """"))"),"")</f>
        <v/>
      </c>
      <c r="H165" s="180" t="str">
        <f>IFERROR(__xludf.DUMMYFUNCTION("TRIM(REGEXREPLACE(D165, ""[0-9]+[a-f]?\."", """"))"),"")</f>
        <v/>
      </c>
      <c r="I165" s="180" t="str">
        <f>IFERROR(__xludf.DUMMYFUNCTION("TRIM(REGEXREPLACE(E165, ""[0-9]+[a-f]?\."", """"))"),"")</f>
        <v/>
      </c>
      <c r="J165" s="180" t="s">
        <v>1039</v>
      </c>
      <c r="K165" s="180" t="s">
        <v>1041</v>
      </c>
      <c r="L165" s="180" t="s">
        <v>1042</v>
      </c>
    </row>
    <row r="166" hidden="1">
      <c r="A166" s="70" t="s">
        <v>68</v>
      </c>
      <c r="B166" s="71" t="s">
        <v>683</v>
      </c>
      <c r="C166" s="209"/>
      <c r="D166" s="209"/>
      <c r="E166" s="209"/>
      <c r="F166" s="187">
        <v>90.0</v>
      </c>
      <c r="G166" s="180" t="str">
        <f>IFERROR(__xludf.DUMMYFUNCTION("TRIM(REGEXREPLACE(C166, ""[0-9]+[a-f]?\."", """"))"),"")</f>
        <v/>
      </c>
      <c r="H166" s="180" t="str">
        <f>IFERROR(__xludf.DUMMYFUNCTION("TRIM(REGEXREPLACE(D166, ""[0-9]+[a-f]?\."", """"))"),"")</f>
        <v/>
      </c>
      <c r="I166" s="180" t="str">
        <f>IFERROR(__xludf.DUMMYFUNCTION("TRIM(REGEXREPLACE(E166, ""[0-9]+[a-f]?\."", """"))"),"")</f>
        <v/>
      </c>
      <c r="J166" s="180" t="s">
        <v>1043</v>
      </c>
      <c r="K166" s="180" t="s">
        <v>1045</v>
      </c>
      <c r="L166" s="180" t="s">
        <v>1046</v>
      </c>
    </row>
    <row r="167" hidden="1">
      <c r="A167" s="70" t="s">
        <v>68</v>
      </c>
      <c r="B167" s="71" t="s">
        <v>696</v>
      </c>
      <c r="C167" s="209"/>
      <c r="D167" s="209"/>
      <c r="E167" s="209"/>
      <c r="F167" s="187">
        <v>91.0</v>
      </c>
      <c r="G167" s="180" t="str">
        <f>IFERROR(__xludf.DUMMYFUNCTION("TRIM(REGEXREPLACE(C167, ""[0-9]+[a-f]?\."", """"))"),"")</f>
        <v/>
      </c>
      <c r="H167" s="180" t="str">
        <f>IFERROR(__xludf.DUMMYFUNCTION("TRIM(REGEXREPLACE(D167, ""[0-9]+[a-f]?\."", """"))"),"")</f>
        <v/>
      </c>
      <c r="I167" s="180" t="str">
        <f>IFERROR(__xludf.DUMMYFUNCTION("TRIM(REGEXREPLACE(E167, ""[0-9]+[a-f]?\."", """"))"),"")</f>
        <v/>
      </c>
      <c r="J167" s="180" t="s">
        <v>1048</v>
      </c>
      <c r="K167" s="180" t="s">
        <v>1049</v>
      </c>
      <c r="L167" s="180" t="s">
        <v>1050</v>
      </c>
    </row>
    <row r="168" hidden="1">
      <c r="A168" s="70" t="s">
        <v>68</v>
      </c>
      <c r="B168" s="188" t="s">
        <v>707</v>
      </c>
      <c r="C168" s="215"/>
      <c r="D168" s="209"/>
      <c r="E168" s="209"/>
      <c r="F168" s="187">
        <v>92.0</v>
      </c>
      <c r="G168" s="180" t="str">
        <f>IFERROR(__xludf.DUMMYFUNCTION("TRIM(REGEXREPLACE(C168, ""[0-9]+[a-f]?\."", """"))"),"")</f>
        <v/>
      </c>
      <c r="H168" s="180" t="str">
        <f>IFERROR(__xludf.DUMMYFUNCTION("TRIM(REGEXREPLACE(D168, ""[0-9]+[a-f]?\."", """"))"),"")</f>
        <v/>
      </c>
      <c r="I168" s="180" t="str">
        <f>IFERROR(__xludf.DUMMYFUNCTION("TRIM(REGEXREPLACE(E168, ""[0-9]+[a-f]?\."", """"))"),"")</f>
        <v/>
      </c>
      <c r="J168" s="180" t="s">
        <v>1052</v>
      </c>
      <c r="K168" s="180" t="s">
        <v>1053</v>
      </c>
      <c r="L168" s="180" t="s">
        <v>1055</v>
      </c>
    </row>
    <row r="169" hidden="1">
      <c r="A169" s="70" t="s">
        <v>68</v>
      </c>
      <c r="B169" s="188" t="s">
        <v>718</v>
      </c>
      <c r="C169" s="215"/>
      <c r="D169" s="209"/>
      <c r="E169" s="209"/>
      <c r="F169" s="187">
        <v>93.0</v>
      </c>
      <c r="G169" s="180" t="str">
        <f>IFERROR(__xludf.DUMMYFUNCTION("TRIM(REGEXREPLACE(C169, ""[0-9]+[a-f]?\."", """"))"),"")</f>
        <v/>
      </c>
      <c r="H169" s="180" t="str">
        <f>IFERROR(__xludf.DUMMYFUNCTION("TRIM(REGEXREPLACE(D169, ""[0-9]+[a-f]?\."", """"))"),"")</f>
        <v/>
      </c>
      <c r="I169" s="180" t="str">
        <f>IFERROR(__xludf.DUMMYFUNCTION("TRIM(REGEXREPLACE(E169, ""[0-9]+[a-f]?\."", """"))"),"")</f>
        <v/>
      </c>
      <c r="J169" s="180" t="s">
        <v>1056</v>
      </c>
      <c r="K169" s="180" t="s">
        <v>1057</v>
      </c>
      <c r="L169" s="180" t="s">
        <v>1058</v>
      </c>
    </row>
    <row r="170" hidden="1">
      <c r="A170" s="70" t="s">
        <v>68</v>
      </c>
      <c r="B170" s="188" t="s">
        <v>730</v>
      </c>
      <c r="C170" s="215"/>
      <c r="D170" s="209"/>
      <c r="E170" s="209"/>
      <c r="F170" s="187">
        <v>94.0</v>
      </c>
      <c r="G170" s="180" t="str">
        <f>IFERROR(__xludf.DUMMYFUNCTION("TRIM(REGEXREPLACE(C170, ""[0-9]+[a-f]?\."", """"))"),"")</f>
        <v/>
      </c>
      <c r="H170" s="180" t="str">
        <f>IFERROR(__xludf.DUMMYFUNCTION("TRIM(REGEXREPLACE(D170, ""[0-9]+[a-f]?\."", """"))"),"")</f>
        <v/>
      </c>
      <c r="I170" s="180" t="str">
        <f>IFERROR(__xludf.DUMMYFUNCTION("TRIM(REGEXREPLACE(E170, ""[0-9]+[a-f]?\."", """"))"),"")</f>
        <v/>
      </c>
      <c r="J170" s="180" t="s">
        <v>1060</v>
      </c>
      <c r="K170" s="180" t="s">
        <v>1061</v>
      </c>
      <c r="L170" s="180" t="s">
        <v>1062</v>
      </c>
    </row>
    <row r="171" hidden="1">
      <c r="A171" s="70" t="s">
        <v>68</v>
      </c>
      <c r="B171" s="188" t="s">
        <v>742</v>
      </c>
      <c r="C171" s="215"/>
      <c r="D171" s="209"/>
      <c r="E171" s="209"/>
      <c r="F171" s="187">
        <v>95.0</v>
      </c>
      <c r="G171" s="180" t="str">
        <f>IFERROR(__xludf.DUMMYFUNCTION("TRIM(REGEXREPLACE(C171, ""[0-9]+[a-f]?\."", """"))"),"")</f>
        <v/>
      </c>
      <c r="H171" s="180" t="str">
        <f>IFERROR(__xludf.DUMMYFUNCTION("TRIM(REGEXREPLACE(D171, ""[0-9]+[a-f]?\."", """"))"),"")</f>
        <v/>
      </c>
      <c r="I171" s="180" t="str">
        <f>IFERROR(__xludf.DUMMYFUNCTION("TRIM(REGEXREPLACE(E171, ""[0-9]+[a-f]?\."", """"))"),"")</f>
        <v/>
      </c>
      <c r="J171" s="180" t="s">
        <v>1064</v>
      </c>
      <c r="K171" s="180" t="s">
        <v>1065</v>
      </c>
      <c r="L171" s="180" t="s">
        <v>1066</v>
      </c>
    </row>
    <row r="172" hidden="1">
      <c r="A172" s="70" t="s">
        <v>68</v>
      </c>
      <c r="B172" s="188" t="s">
        <v>752</v>
      </c>
      <c r="C172" s="215"/>
      <c r="D172" s="209"/>
      <c r="E172" s="209"/>
      <c r="F172" s="187">
        <v>96.0</v>
      </c>
      <c r="G172" s="180" t="str">
        <f>IFERROR(__xludf.DUMMYFUNCTION("TRIM(REGEXREPLACE(C172, ""[0-9]+[a-f]?\."", """"))"),"")</f>
        <v/>
      </c>
      <c r="H172" s="180" t="str">
        <f>IFERROR(__xludf.DUMMYFUNCTION("TRIM(REGEXREPLACE(D172, ""[0-9]+[a-f]?\."", """"))"),"")</f>
        <v/>
      </c>
      <c r="I172" s="180" t="str">
        <f>IFERROR(__xludf.DUMMYFUNCTION("TRIM(REGEXREPLACE(E172, ""[0-9]+[a-f]?\."", """"))"),"")</f>
        <v/>
      </c>
      <c r="J172" s="180" t="s">
        <v>1067</v>
      </c>
      <c r="K172" s="180" t="s">
        <v>1069</v>
      </c>
      <c r="L172" s="180" t="s">
        <v>1070</v>
      </c>
    </row>
    <row r="173" hidden="1">
      <c r="A173" s="70" t="s">
        <v>68</v>
      </c>
      <c r="B173" s="188" t="s">
        <v>762</v>
      </c>
      <c r="C173" s="215"/>
      <c r="D173" s="209"/>
      <c r="E173" s="209"/>
      <c r="F173" s="187">
        <v>97.0</v>
      </c>
      <c r="G173" s="180" t="str">
        <f>IFERROR(__xludf.DUMMYFUNCTION("TRIM(REGEXREPLACE(C173, ""[0-9]+[a-f]?\."", """"))"),"")</f>
        <v/>
      </c>
      <c r="H173" s="180" t="str">
        <f>IFERROR(__xludf.DUMMYFUNCTION("TRIM(REGEXREPLACE(D173, ""[0-9]+[a-f]?\."", """"))"),"")</f>
        <v/>
      </c>
      <c r="I173" s="180" t="str">
        <f>IFERROR(__xludf.DUMMYFUNCTION("TRIM(REGEXREPLACE(E173, ""[0-9]+[a-f]?\."", """"))"),"")</f>
        <v/>
      </c>
      <c r="J173" s="180" t="s">
        <v>1072</v>
      </c>
      <c r="K173" s="180" t="s">
        <v>1073</v>
      </c>
      <c r="L173" s="180" t="s">
        <v>1074</v>
      </c>
    </row>
    <row r="174" hidden="1">
      <c r="A174" s="180"/>
      <c r="B174" s="182"/>
      <c r="C174" s="182"/>
      <c r="D174" s="182"/>
      <c r="E174" s="182"/>
      <c r="F174" s="187">
        <v>104.0</v>
      </c>
      <c r="G174" s="180" t="str">
        <f>IFERROR(__xludf.DUMMYFUNCTION("TRIM(REGEXREPLACE(C174, ""[0-9]+[a-f]?\."", """"))"),"")</f>
        <v/>
      </c>
      <c r="H174" s="180" t="str">
        <f>IFERROR(__xludf.DUMMYFUNCTION("TRIM(REGEXREPLACE(D174, ""[0-9]+[a-f]?\."", """"))"),"")</f>
        <v/>
      </c>
      <c r="I174" s="180" t="str">
        <f>IFERROR(__xludf.DUMMYFUNCTION("TRIM(REGEXREPLACE(E174, ""[0-9]+[a-f]?\."", """"))"),"")</f>
        <v/>
      </c>
      <c r="J174" s="180" t="s">
        <v>1076</v>
      </c>
      <c r="K174" s="180" t="s">
        <v>1077</v>
      </c>
      <c r="L174" s="180" t="s">
        <v>1078</v>
      </c>
    </row>
    <row r="175" hidden="1">
      <c r="A175" s="180"/>
      <c r="B175" s="182"/>
      <c r="C175" s="182"/>
      <c r="D175" s="182"/>
      <c r="E175" s="182"/>
      <c r="F175" s="187">
        <v>105.0</v>
      </c>
      <c r="G175" s="180" t="str">
        <f>IFERROR(__xludf.DUMMYFUNCTION("TRIM(REGEXREPLACE(C175, ""[0-9]+[a-f]?\."", """"))"),"")</f>
        <v/>
      </c>
      <c r="H175" s="180" t="str">
        <f>IFERROR(__xludf.DUMMYFUNCTION("TRIM(REGEXREPLACE(D175, ""[0-9]+[a-f]?\."", """"))"),"")</f>
        <v/>
      </c>
      <c r="I175" s="180" t="str">
        <f>IFERROR(__xludf.DUMMYFUNCTION("TRIM(REGEXREPLACE(E175, ""[0-9]+[a-f]?\."", """"))"),"")</f>
        <v/>
      </c>
      <c r="J175" s="180" t="s">
        <v>1080</v>
      </c>
      <c r="K175" s="180" t="s">
        <v>1081</v>
      </c>
      <c r="L175" s="180" t="s">
        <v>1082</v>
      </c>
    </row>
    <row r="176" hidden="1">
      <c r="A176" s="180"/>
      <c r="B176" s="182"/>
      <c r="C176" s="182"/>
      <c r="D176" s="182"/>
      <c r="E176" s="182"/>
      <c r="F176" s="187">
        <v>106.0</v>
      </c>
      <c r="G176" s="180" t="str">
        <f>IFERROR(__xludf.DUMMYFUNCTION("TRIM(REGEXREPLACE(C176, ""[0-9]+[a-f]?\."", """"))"),"")</f>
        <v/>
      </c>
      <c r="H176" s="180" t="str">
        <f>IFERROR(__xludf.DUMMYFUNCTION("TRIM(REGEXREPLACE(D176, ""[0-9]+[a-f]?\."", """"))"),"")</f>
        <v/>
      </c>
      <c r="I176" s="180" t="str">
        <f>IFERROR(__xludf.DUMMYFUNCTION("TRIM(REGEXREPLACE(E176, ""[0-9]+[a-f]?\."", """"))"),"")</f>
        <v/>
      </c>
      <c r="J176" s="180" t="s">
        <v>1084</v>
      </c>
      <c r="K176" s="180" t="s">
        <v>1085</v>
      </c>
      <c r="L176" s="180" t="s">
        <v>1086</v>
      </c>
    </row>
    <row r="177" hidden="1">
      <c r="A177" s="180"/>
      <c r="B177" s="182"/>
      <c r="C177" s="182"/>
      <c r="D177" s="182"/>
      <c r="E177" s="182"/>
      <c r="F177" s="187">
        <v>107.0</v>
      </c>
      <c r="G177" s="180" t="str">
        <f>IFERROR(__xludf.DUMMYFUNCTION("TRIM(REGEXREPLACE(C177, ""[0-9]+[a-f]?\."", """"))"),"")</f>
        <v/>
      </c>
      <c r="H177" s="180" t="str">
        <f>IFERROR(__xludf.DUMMYFUNCTION("TRIM(REGEXREPLACE(D177, ""[0-9]+[a-f]?\."", """"))"),"")</f>
        <v/>
      </c>
      <c r="I177" s="180" t="str">
        <f>IFERROR(__xludf.DUMMYFUNCTION("TRIM(REGEXREPLACE(E177, ""[0-9]+[a-f]?\."", """"))"),"")</f>
        <v/>
      </c>
      <c r="J177" s="180" t="s">
        <v>1088</v>
      </c>
      <c r="K177" s="180" t="s">
        <v>1089</v>
      </c>
      <c r="L177" s="180" t="s">
        <v>1090</v>
      </c>
    </row>
    <row r="178" hidden="1">
      <c r="A178" s="70" t="s">
        <v>68</v>
      </c>
      <c r="B178" s="188" t="s">
        <v>770</v>
      </c>
      <c r="C178" s="215"/>
      <c r="D178" s="209"/>
      <c r="E178" s="209"/>
      <c r="F178" s="187">
        <v>98.0</v>
      </c>
      <c r="G178" s="180" t="str">
        <f>IFERROR(__xludf.DUMMYFUNCTION("TRIM(REGEXREPLACE(C178, ""[0-9]+[a-f]?\."", """"))"),"")</f>
        <v/>
      </c>
      <c r="H178" s="180" t="str">
        <f>IFERROR(__xludf.DUMMYFUNCTION("TRIM(REGEXREPLACE(D178, ""[0-9]+[a-f]?\."", """"))"),"")</f>
        <v/>
      </c>
      <c r="I178" s="180" t="str">
        <f>IFERROR(__xludf.DUMMYFUNCTION("TRIM(REGEXREPLACE(E178, ""[0-9]+[a-f]?\."", """"))"),"")</f>
        <v/>
      </c>
      <c r="J178" s="180" t="s">
        <v>1093</v>
      </c>
      <c r="K178" s="180" t="s">
        <v>1094</v>
      </c>
      <c r="L178" s="180" t="s">
        <v>1095</v>
      </c>
    </row>
    <row r="179" hidden="1">
      <c r="A179" s="70" t="s">
        <v>68</v>
      </c>
      <c r="B179" s="188" t="s">
        <v>783</v>
      </c>
      <c r="C179" s="215"/>
      <c r="D179" s="209"/>
      <c r="E179" s="209"/>
      <c r="F179" s="187">
        <v>99.0</v>
      </c>
      <c r="G179" s="180" t="str">
        <f>IFERROR(__xludf.DUMMYFUNCTION("TRIM(REGEXREPLACE(C179, ""[0-9]+[a-f]?\."", """"))"),"")</f>
        <v/>
      </c>
      <c r="H179" s="180" t="str">
        <f>IFERROR(__xludf.DUMMYFUNCTION("TRIM(REGEXREPLACE(D179, ""[0-9]+[a-f]?\."", """"))"),"")</f>
        <v/>
      </c>
      <c r="I179" s="180" t="str">
        <f>IFERROR(__xludf.DUMMYFUNCTION("TRIM(REGEXREPLACE(E179, ""[0-9]+[a-f]?\."", """"))"),"")</f>
        <v/>
      </c>
      <c r="J179" s="180" t="s">
        <v>1097</v>
      </c>
      <c r="K179" s="180" t="s">
        <v>1098</v>
      </c>
      <c r="L179" s="180" t="s">
        <v>1099</v>
      </c>
    </row>
    <row r="180" hidden="1">
      <c r="A180" s="70" t="s">
        <v>68</v>
      </c>
      <c r="B180" s="188" t="s">
        <v>791</v>
      </c>
      <c r="C180" s="215"/>
      <c r="D180" s="209"/>
      <c r="E180" s="209"/>
      <c r="F180" s="187">
        <v>100.0</v>
      </c>
      <c r="G180" s="180" t="str">
        <f>IFERROR(__xludf.DUMMYFUNCTION("TRIM(REGEXREPLACE(C180, ""[0-9]+[a-f]?\."", """"))"),"")</f>
        <v/>
      </c>
      <c r="H180" s="180" t="str">
        <f>IFERROR(__xludf.DUMMYFUNCTION("TRIM(REGEXREPLACE(D180, ""[0-9]+[a-f]?\."", """"))"),"")</f>
        <v/>
      </c>
      <c r="I180" s="180" t="str">
        <f>IFERROR(__xludf.DUMMYFUNCTION("TRIM(REGEXREPLACE(E180, ""[0-9]+[a-f]?\."", """"))"),"")</f>
        <v/>
      </c>
      <c r="J180" s="180" t="s">
        <v>1102</v>
      </c>
      <c r="K180" s="180" t="s">
        <v>1103</v>
      </c>
      <c r="L180" s="180" t="s">
        <v>1104</v>
      </c>
    </row>
    <row r="181" hidden="1">
      <c r="A181" s="70" t="s">
        <v>68</v>
      </c>
      <c r="B181" s="188" t="s">
        <v>806</v>
      </c>
      <c r="C181" s="215"/>
      <c r="D181" s="209"/>
      <c r="E181" s="209"/>
      <c r="F181" s="187">
        <v>101.0</v>
      </c>
      <c r="G181" s="180" t="str">
        <f>IFERROR(__xludf.DUMMYFUNCTION("TRIM(REGEXREPLACE(C181, ""[0-9]+[a-f]?\."", """"))"),"")</f>
        <v/>
      </c>
      <c r="H181" s="180" t="str">
        <f>IFERROR(__xludf.DUMMYFUNCTION("TRIM(REGEXREPLACE(D181, ""[0-9]+[a-f]?\."", """"))"),"")</f>
        <v/>
      </c>
      <c r="I181" s="180" t="str">
        <f>IFERROR(__xludf.DUMMYFUNCTION("TRIM(REGEXREPLACE(E181, ""[0-9]+[a-f]?\."", """"))"),"")</f>
        <v/>
      </c>
      <c r="J181" s="180" t="s">
        <v>1106</v>
      </c>
      <c r="K181" s="180" t="s">
        <v>1107</v>
      </c>
      <c r="L181" s="180" t="s">
        <v>1108</v>
      </c>
    </row>
    <row r="182" hidden="1">
      <c r="A182" s="70" t="s">
        <v>68</v>
      </c>
      <c r="B182" s="188" t="s">
        <v>815</v>
      </c>
      <c r="C182" s="215"/>
      <c r="D182" s="209"/>
      <c r="E182" s="209"/>
      <c r="F182" s="187">
        <v>102.0</v>
      </c>
      <c r="G182" s="180" t="str">
        <f>IFERROR(__xludf.DUMMYFUNCTION("TRIM(REGEXREPLACE(C182, ""[0-9]+[a-f]?\."", """"))"),"")</f>
        <v/>
      </c>
      <c r="H182" s="180" t="str">
        <f>IFERROR(__xludf.DUMMYFUNCTION("TRIM(REGEXREPLACE(D182, ""[0-9]+[a-f]?\."", """"))"),"")</f>
        <v/>
      </c>
      <c r="I182" s="180" t="str">
        <f>IFERROR(__xludf.DUMMYFUNCTION("TRIM(REGEXREPLACE(E182, ""[0-9]+[a-f]?\."", """"))"),"")</f>
        <v/>
      </c>
      <c r="J182" s="180" t="s">
        <v>1110</v>
      </c>
      <c r="K182" s="180" t="s">
        <v>1111</v>
      </c>
      <c r="L182" s="180" t="s">
        <v>1112</v>
      </c>
    </row>
    <row r="183" hidden="1">
      <c r="A183" s="70" t="s">
        <v>68</v>
      </c>
      <c r="B183" s="188" t="s">
        <v>826</v>
      </c>
      <c r="C183" s="215"/>
      <c r="D183" s="209"/>
      <c r="E183" s="209"/>
      <c r="F183" s="187">
        <v>103.0</v>
      </c>
      <c r="G183" s="180" t="str">
        <f>IFERROR(__xludf.DUMMYFUNCTION("TRIM(REGEXREPLACE(C183, ""[0-9]+[a-f]?\."", """"))"),"")</f>
        <v/>
      </c>
      <c r="H183" s="180" t="str">
        <f>IFERROR(__xludf.DUMMYFUNCTION("TRIM(REGEXREPLACE(D183, ""[0-9]+[a-f]?\."", """"))"),"")</f>
        <v/>
      </c>
      <c r="I183" s="180" t="str">
        <f>IFERROR(__xludf.DUMMYFUNCTION("TRIM(REGEXREPLACE(E183, ""[0-9]+[a-f]?\."", """"))"),"")</f>
        <v/>
      </c>
      <c r="J183" s="180" t="s">
        <v>1114</v>
      </c>
      <c r="K183" s="180" t="s">
        <v>1115</v>
      </c>
      <c r="L183" s="180" t="s">
        <v>1116</v>
      </c>
    </row>
    <row r="184" hidden="1">
      <c r="A184" s="180"/>
      <c r="B184" s="182"/>
      <c r="C184" s="182"/>
      <c r="D184" s="182"/>
      <c r="E184" s="182"/>
      <c r="F184" s="187">
        <v>112.0</v>
      </c>
      <c r="G184" s="180" t="str">
        <f>IFERROR(__xludf.DUMMYFUNCTION("TRIM(REGEXREPLACE(C184, ""[0-9]+[a-f]?\."", """"))"),"")</f>
        <v/>
      </c>
      <c r="H184" s="180" t="str">
        <f>IFERROR(__xludf.DUMMYFUNCTION("TRIM(REGEXREPLACE(D184, ""[0-9]+[a-f]?\."", """"))"),"")</f>
        <v/>
      </c>
      <c r="I184" s="180" t="str">
        <f>IFERROR(__xludf.DUMMYFUNCTION("TRIM(REGEXREPLACE(E184, ""[0-9]+[a-f]?\."", """"))"),"")</f>
        <v/>
      </c>
      <c r="J184" s="180" t="s">
        <v>1117</v>
      </c>
      <c r="K184" s="180" t="s">
        <v>1118</v>
      </c>
      <c r="L184" s="180" t="s">
        <v>1119</v>
      </c>
    </row>
    <row r="185" hidden="1">
      <c r="A185" s="180"/>
      <c r="B185" s="182"/>
      <c r="C185" s="182"/>
      <c r="D185" s="182"/>
      <c r="E185" s="182"/>
      <c r="F185" s="183"/>
      <c r="G185" s="180" t="str">
        <f>IFERROR(__xludf.DUMMYFUNCTION("TRIM(REGEXREPLACE(C185, ""[0-9]+[a-f]?\."", """"))"),"")</f>
        <v/>
      </c>
      <c r="H185" s="180" t="str">
        <f>IFERROR(__xludf.DUMMYFUNCTION("TRIM(REGEXREPLACE(D185, ""[0-9]+[a-f]?\."", """"))"),"")</f>
        <v/>
      </c>
      <c r="I185" s="180" t="str">
        <f>IFERROR(__xludf.DUMMYFUNCTION("TRIM(REGEXREPLACE(E185, ""[0-9]+[a-f]?\."", """"))"),"")</f>
        <v/>
      </c>
      <c r="J185" s="180"/>
      <c r="K185" s="180"/>
      <c r="L185" s="184"/>
    </row>
    <row r="186" hidden="1">
      <c r="A186" s="70" t="s">
        <v>68</v>
      </c>
      <c r="B186" s="188" t="s">
        <v>836</v>
      </c>
      <c r="C186" s="215"/>
      <c r="D186" s="209"/>
      <c r="E186" s="209"/>
      <c r="F186" s="187">
        <v>104.0</v>
      </c>
      <c r="G186" s="180" t="str">
        <f>IFERROR(__xludf.DUMMYFUNCTION("TRIM(REGEXREPLACE(C186, ""[0-9]+[a-f]?\."", """"))"),"")</f>
        <v/>
      </c>
      <c r="H186" s="180" t="str">
        <f>IFERROR(__xludf.DUMMYFUNCTION("TRIM(REGEXREPLACE(D186, ""[0-9]+[a-f]?\."", """"))"),"")</f>
        <v/>
      </c>
      <c r="I186" s="180" t="str">
        <f>IFERROR(__xludf.DUMMYFUNCTION("TRIM(REGEXREPLACE(E186, ""[0-9]+[a-f]?\."", """"))"),"")</f>
        <v/>
      </c>
      <c r="J186" s="180" t="s">
        <v>1122</v>
      </c>
      <c r="K186" s="180" t="s">
        <v>1123</v>
      </c>
      <c r="L186" s="180" t="s">
        <v>1124</v>
      </c>
    </row>
    <row r="187" hidden="1">
      <c r="A187" s="70" t="s">
        <v>68</v>
      </c>
      <c r="B187" s="188" t="s">
        <v>845</v>
      </c>
      <c r="C187" s="215"/>
      <c r="D187" s="209"/>
      <c r="E187" s="209"/>
      <c r="F187" s="187">
        <v>105.0</v>
      </c>
      <c r="G187" s="180" t="str">
        <f>IFERROR(__xludf.DUMMYFUNCTION("TRIM(REGEXREPLACE(C187, ""[0-9]+[a-f]?\."", """"))"),"")</f>
        <v/>
      </c>
      <c r="H187" s="180" t="str">
        <f>IFERROR(__xludf.DUMMYFUNCTION("TRIM(REGEXREPLACE(D187, ""[0-9]+[a-f]?\."", """"))"),"")</f>
        <v/>
      </c>
      <c r="I187" s="180" t="str">
        <f>IFERROR(__xludf.DUMMYFUNCTION("TRIM(REGEXREPLACE(E187, ""[0-9]+[a-f]?\."", """"))"),"")</f>
        <v/>
      </c>
      <c r="J187" s="180" t="s">
        <v>1128</v>
      </c>
      <c r="K187" s="180" t="s">
        <v>1129</v>
      </c>
      <c r="L187" s="180" t="s">
        <v>1130</v>
      </c>
    </row>
    <row r="188" hidden="1">
      <c r="A188" s="70" t="s">
        <v>68</v>
      </c>
      <c r="B188" s="188" t="s">
        <v>854</v>
      </c>
      <c r="C188" s="215"/>
      <c r="D188" s="209"/>
      <c r="E188" s="209"/>
      <c r="F188" s="187">
        <v>106.0</v>
      </c>
      <c r="G188" s="180" t="str">
        <f>IFERROR(__xludf.DUMMYFUNCTION("TRIM(REGEXREPLACE(C188, ""[0-9]+[a-f]?\."", """"))"),"")</f>
        <v/>
      </c>
      <c r="H188" s="180" t="str">
        <f>IFERROR(__xludf.DUMMYFUNCTION("TRIM(REGEXREPLACE(D188, ""[0-9]+[a-f]?\."", """"))"),"")</f>
        <v/>
      </c>
      <c r="I188" s="180" t="str">
        <f>IFERROR(__xludf.DUMMYFUNCTION("TRIM(REGEXREPLACE(E188, ""[0-9]+[a-f]?\."", """"))"),"")</f>
        <v/>
      </c>
      <c r="J188" s="180" t="s">
        <v>1131</v>
      </c>
      <c r="K188" s="180" t="s">
        <v>1133</v>
      </c>
      <c r="L188" s="180" t="s">
        <v>1134</v>
      </c>
    </row>
    <row r="189" hidden="1">
      <c r="A189" s="70" t="s">
        <v>68</v>
      </c>
      <c r="B189" s="188" t="s">
        <v>863</v>
      </c>
      <c r="C189" s="215"/>
      <c r="D189" s="209"/>
      <c r="E189" s="209"/>
      <c r="F189" s="187">
        <v>107.0</v>
      </c>
      <c r="G189" s="180" t="str">
        <f>IFERROR(__xludf.DUMMYFUNCTION("TRIM(REGEXREPLACE(C189, ""[0-9]+[a-f]?\."", """"))"),"")</f>
        <v/>
      </c>
      <c r="H189" s="180" t="str">
        <f>IFERROR(__xludf.DUMMYFUNCTION("TRIM(REGEXREPLACE(D189, ""[0-9]+[a-f]?\."", """"))"),"")</f>
        <v/>
      </c>
      <c r="I189" s="180" t="str">
        <f>IFERROR(__xludf.DUMMYFUNCTION("TRIM(REGEXREPLACE(E189, ""[0-9]+[a-f]?\."", """"))"),"")</f>
        <v/>
      </c>
      <c r="J189" s="180" t="s">
        <v>1139</v>
      </c>
      <c r="K189" s="180" t="s">
        <v>1140</v>
      </c>
      <c r="L189" s="180" t="s">
        <v>1141</v>
      </c>
    </row>
    <row r="190" hidden="1">
      <c r="A190" s="180"/>
      <c r="B190" s="182"/>
      <c r="C190" s="182"/>
      <c r="D190" s="182"/>
      <c r="E190" s="182"/>
      <c r="F190" s="187">
        <v>116.0</v>
      </c>
      <c r="G190" s="180" t="str">
        <f>IFERROR(__xludf.DUMMYFUNCTION("TRIM(REGEXREPLACE(C190, ""[0-9]+[a-f]?\."", """"))"),"")</f>
        <v/>
      </c>
      <c r="H190" s="180" t="str">
        <f>IFERROR(__xludf.DUMMYFUNCTION("TRIM(REGEXREPLACE(D190, ""[0-9]+[a-f]?\."", """"))"),"")</f>
        <v/>
      </c>
      <c r="I190" s="180" t="str">
        <f>IFERROR(__xludf.DUMMYFUNCTION("TRIM(REGEXREPLACE(E190, ""[0-9]+[a-f]?\."", """"))"),"")</f>
        <v/>
      </c>
      <c r="J190" s="180" t="s">
        <v>1143</v>
      </c>
      <c r="K190" s="180" t="s">
        <v>1145</v>
      </c>
      <c r="L190" s="180" t="s">
        <v>1147</v>
      </c>
    </row>
    <row r="191" hidden="1">
      <c r="A191" s="70" t="s">
        <v>68</v>
      </c>
      <c r="B191" s="188" t="s">
        <v>869</v>
      </c>
      <c r="C191" s="215"/>
      <c r="D191" s="209"/>
      <c r="E191" s="209"/>
      <c r="F191" s="187">
        <v>108.0</v>
      </c>
      <c r="G191" s="180" t="str">
        <f>IFERROR(__xludf.DUMMYFUNCTION("TRIM(REGEXREPLACE(C191, ""[0-9]+[a-f]?\."", """"))"),"")</f>
        <v/>
      </c>
      <c r="H191" s="180" t="str">
        <f>IFERROR(__xludf.DUMMYFUNCTION("TRIM(REGEXREPLACE(D191, ""[0-9]+[a-f]?\."", """"))"),"")</f>
        <v/>
      </c>
      <c r="I191" s="180" t="str">
        <f>IFERROR(__xludf.DUMMYFUNCTION("TRIM(REGEXREPLACE(E191, ""[0-9]+[a-f]?\."", """"))"),"")</f>
        <v/>
      </c>
      <c r="J191" s="180" t="s">
        <v>1149</v>
      </c>
      <c r="K191" s="180" t="s">
        <v>1150</v>
      </c>
      <c r="L191" s="180" t="s">
        <v>1151</v>
      </c>
    </row>
    <row r="192" hidden="1">
      <c r="A192" s="70" t="s">
        <v>68</v>
      </c>
      <c r="B192" s="188" t="s">
        <v>877</v>
      </c>
      <c r="C192" s="215"/>
      <c r="D192" s="209"/>
      <c r="E192" s="209"/>
      <c r="F192" s="187">
        <v>109.0</v>
      </c>
      <c r="G192" s="180" t="str">
        <f>IFERROR(__xludf.DUMMYFUNCTION("TRIM(REGEXREPLACE(C192, ""[0-9]+[a-f]?\."", """"))"),"")</f>
        <v/>
      </c>
      <c r="H192" s="180" t="str">
        <f>IFERROR(__xludf.DUMMYFUNCTION("TRIM(REGEXREPLACE(D192, ""[0-9]+[a-f]?\."", """"))"),"")</f>
        <v/>
      </c>
      <c r="I192" s="180" t="str">
        <f>IFERROR(__xludf.DUMMYFUNCTION("TRIM(REGEXREPLACE(E192, ""[0-9]+[a-f]?\."", """"))"),"")</f>
        <v/>
      </c>
      <c r="J192" s="180" t="s">
        <v>1154</v>
      </c>
      <c r="K192" s="180" t="s">
        <v>1155</v>
      </c>
      <c r="L192" s="180" t="s">
        <v>1156</v>
      </c>
    </row>
    <row r="193" hidden="1">
      <c r="A193" s="70" t="s">
        <v>68</v>
      </c>
      <c r="B193" s="188" t="s">
        <v>889</v>
      </c>
      <c r="C193" s="215"/>
      <c r="D193" s="209"/>
      <c r="E193" s="209"/>
      <c r="F193" s="187">
        <v>110.0</v>
      </c>
      <c r="G193" s="180" t="str">
        <f>IFERROR(__xludf.DUMMYFUNCTION("TRIM(REGEXREPLACE(C193, ""[0-9]+[a-f]?\."", """"))"),"")</f>
        <v/>
      </c>
      <c r="H193" s="180" t="str">
        <f>IFERROR(__xludf.DUMMYFUNCTION("TRIM(REGEXREPLACE(D193, ""[0-9]+[a-f]?\."", """"))"),"")</f>
        <v/>
      </c>
      <c r="I193" s="180" t="str">
        <f>IFERROR(__xludf.DUMMYFUNCTION("TRIM(REGEXREPLACE(E193, ""[0-9]+[a-f]?\."", """"))"),"")</f>
        <v/>
      </c>
      <c r="J193" s="180" t="s">
        <v>1158</v>
      </c>
      <c r="K193" s="180" t="s">
        <v>1159</v>
      </c>
      <c r="L193" s="180" t="s">
        <v>1160</v>
      </c>
    </row>
    <row r="194" hidden="1">
      <c r="A194" s="70" t="s">
        <v>68</v>
      </c>
      <c r="B194" s="188" t="s">
        <v>898</v>
      </c>
      <c r="C194" s="215"/>
      <c r="D194" s="209"/>
      <c r="E194" s="209"/>
      <c r="F194" s="187">
        <v>111.0</v>
      </c>
      <c r="G194" s="180" t="str">
        <f>IFERROR(__xludf.DUMMYFUNCTION("TRIM(REGEXREPLACE(C194, ""[0-9]+[a-f]?\."", """"))"),"")</f>
        <v/>
      </c>
      <c r="H194" s="180" t="str">
        <f>IFERROR(__xludf.DUMMYFUNCTION("TRIM(REGEXREPLACE(D194, ""[0-9]+[a-f]?\."", """"))"),"")</f>
        <v/>
      </c>
      <c r="I194" s="180" t="str">
        <f>IFERROR(__xludf.DUMMYFUNCTION("TRIM(REGEXREPLACE(E194, ""[0-9]+[a-f]?\."", """"))"),"")</f>
        <v/>
      </c>
      <c r="J194" s="180" t="s">
        <v>1163</v>
      </c>
      <c r="K194" s="180" t="s">
        <v>1164</v>
      </c>
      <c r="L194" s="180" t="s">
        <v>1165</v>
      </c>
    </row>
    <row r="195" hidden="1">
      <c r="A195" s="70" t="s">
        <v>68</v>
      </c>
      <c r="B195" s="188" t="s">
        <v>910</v>
      </c>
      <c r="C195" s="215"/>
      <c r="D195" s="209"/>
      <c r="E195" s="209"/>
      <c r="F195" s="187">
        <v>112.0</v>
      </c>
      <c r="G195" s="180" t="str">
        <f>IFERROR(__xludf.DUMMYFUNCTION("TRIM(REGEXREPLACE(C195, ""[0-9]+[a-f]?\."", """"))"),"")</f>
        <v/>
      </c>
      <c r="H195" s="180" t="str">
        <f>IFERROR(__xludf.DUMMYFUNCTION("TRIM(REGEXREPLACE(D195, ""[0-9]+[a-f]?\."", """"))"),"")</f>
        <v/>
      </c>
      <c r="I195" s="180" t="str">
        <f>IFERROR(__xludf.DUMMYFUNCTION("TRIM(REGEXREPLACE(E195, ""[0-9]+[a-f]?\."", """"))"),"")</f>
        <v/>
      </c>
      <c r="J195" s="180" t="s">
        <v>1166</v>
      </c>
      <c r="K195" s="180" t="s">
        <v>1167</v>
      </c>
      <c r="L195" s="180" t="s">
        <v>1168</v>
      </c>
    </row>
    <row r="196" hidden="1">
      <c r="A196" s="180"/>
      <c r="B196" s="182"/>
      <c r="C196" s="182"/>
      <c r="D196" s="182"/>
      <c r="E196" s="182"/>
      <c r="F196" s="187">
        <v>122.0</v>
      </c>
      <c r="G196" s="180" t="str">
        <f>IFERROR(__xludf.DUMMYFUNCTION("TRIM(REGEXREPLACE(C196, ""[0-9]+[a-f]?\."", """"))"),"")</f>
        <v/>
      </c>
      <c r="H196" s="180" t="str">
        <f>IFERROR(__xludf.DUMMYFUNCTION("TRIM(REGEXREPLACE(D196, ""[0-9]+[a-f]?\."", """"))"),"")</f>
        <v/>
      </c>
      <c r="I196" s="180" t="str">
        <f>IFERROR(__xludf.DUMMYFUNCTION("TRIM(REGEXREPLACE(E196, ""[0-9]+[a-f]?\."", """"))"),"")</f>
        <v/>
      </c>
      <c r="J196" s="180" t="s">
        <v>1170</v>
      </c>
      <c r="K196" s="180" t="s">
        <v>1171</v>
      </c>
      <c r="L196" s="180" t="s">
        <v>1172</v>
      </c>
    </row>
    <row r="197" hidden="1">
      <c r="A197" s="70" t="s">
        <v>68</v>
      </c>
      <c r="B197" s="188" t="s">
        <v>919</v>
      </c>
      <c r="C197" s="215"/>
      <c r="D197" s="209"/>
      <c r="E197" s="209"/>
      <c r="F197" s="187">
        <v>113.0</v>
      </c>
      <c r="G197" s="180" t="str">
        <f>IFERROR(__xludf.DUMMYFUNCTION("TRIM(REGEXREPLACE(C197, ""[0-9]+[a-f]?\."", """"))"),"")</f>
        <v/>
      </c>
      <c r="H197" s="180" t="str">
        <f>IFERROR(__xludf.DUMMYFUNCTION("TRIM(REGEXREPLACE(D197, ""[0-9]+[a-f]?\."", """"))"),"")</f>
        <v/>
      </c>
      <c r="I197" s="180" t="str">
        <f>IFERROR(__xludf.DUMMYFUNCTION("TRIM(REGEXREPLACE(E197, ""[0-9]+[a-f]?\."", """"))"),"")</f>
        <v/>
      </c>
      <c r="J197" s="180" t="s">
        <v>1174</v>
      </c>
      <c r="K197" s="180" t="s">
        <v>1175</v>
      </c>
      <c r="L197" s="180" t="s">
        <v>1176</v>
      </c>
    </row>
    <row r="198" hidden="1">
      <c r="A198" s="70" t="s">
        <v>68</v>
      </c>
      <c r="B198" s="188" t="s">
        <v>935</v>
      </c>
      <c r="C198" s="215"/>
      <c r="D198" s="209"/>
      <c r="E198" s="209"/>
      <c r="F198" s="187">
        <v>114.0</v>
      </c>
      <c r="G198" s="180" t="str">
        <f>IFERROR(__xludf.DUMMYFUNCTION("TRIM(REGEXREPLACE(C198, ""[0-9]+[a-f]?\."", """"))"),"")</f>
        <v/>
      </c>
      <c r="H198" s="180" t="str">
        <f>IFERROR(__xludf.DUMMYFUNCTION("TRIM(REGEXREPLACE(D198, ""[0-9]+[a-f]?\."", """"))"),"")</f>
        <v/>
      </c>
      <c r="I198" s="180" t="str">
        <f>IFERROR(__xludf.DUMMYFUNCTION("TRIM(REGEXREPLACE(E198, ""[0-9]+[a-f]?\."", """"))"),"")</f>
        <v/>
      </c>
      <c r="J198" s="180" t="s">
        <v>1179</v>
      </c>
      <c r="K198" s="180" t="s">
        <v>1180</v>
      </c>
      <c r="L198" s="180" t="s">
        <v>1181</v>
      </c>
    </row>
    <row r="199" hidden="1">
      <c r="A199" s="180"/>
      <c r="B199" s="182"/>
      <c r="C199" s="182"/>
      <c r="D199" s="182"/>
      <c r="E199" s="182"/>
      <c r="F199" s="187">
        <v>125.0</v>
      </c>
      <c r="G199" s="180" t="str">
        <f>IFERROR(__xludf.DUMMYFUNCTION("TRIM(REGEXREPLACE(C199, ""[0-9]+[a-f]?\."", """"))"),"")</f>
        <v/>
      </c>
      <c r="H199" s="180" t="str">
        <f>IFERROR(__xludf.DUMMYFUNCTION("TRIM(REGEXREPLACE(D199, ""[0-9]+[a-f]?\."", """"))"),"")</f>
        <v/>
      </c>
      <c r="I199" s="180" t="str">
        <f>IFERROR(__xludf.DUMMYFUNCTION("TRIM(REGEXREPLACE(E199, ""[0-9]+[a-f]?\."", """"))"),"")</f>
        <v/>
      </c>
      <c r="J199" s="180" t="s">
        <v>1183</v>
      </c>
      <c r="K199" s="180" t="s">
        <v>1184</v>
      </c>
      <c r="L199" s="180" t="s">
        <v>1186</v>
      </c>
    </row>
    <row r="200" hidden="1">
      <c r="A200" s="182"/>
      <c r="B200" s="182"/>
      <c r="C200" s="182"/>
      <c r="D200" s="182"/>
      <c r="E200" s="182"/>
      <c r="F200" s="187">
        <v>123.0</v>
      </c>
      <c r="G200" s="180" t="str">
        <f>IFERROR(__xludf.DUMMYFUNCTION("TRIM(REGEXREPLACE(C200, ""[0-9]+[a-f]?\."", """"))"),"")</f>
        <v/>
      </c>
      <c r="H200" s="180" t="str">
        <f>IFERROR(__xludf.DUMMYFUNCTION("TRIM(REGEXREPLACE(D200, ""[0-9]+[a-f]?\."", """"))"),"")</f>
        <v/>
      </c>
      <c r="I200" s="180" t="str">
        <f>IFERROR(__xludf.DUMMYFUNCTION("TRIM(REGEXREPLACE(E200, ""[0-9]+[a-f]?\."", """"))"),"")</f>
        <v/>
      </c>
      <c r="J200" s="180" t="s">
        <v>1188</v>
      </c>
      <c r="K200" s="180" t="s">
        <v>1189</v>
      </c>
      <c r="L200" s="180" t="s">
        <v>1191</v>
      </c>
    </row>
    <row r="201" hidden="1">
      <c r="A201" s="70" t="s">
        <v>68</v>
      </c>
      <c r="B201" s="188" t="s">
        <v>944</v>
      </c>
      <c r="C201" s="215"/>
      <c r="D201" s="209"/>
      <c r="E201" s="209"/>
      <c r="F201" s="187">
        <v>115.0</v>
      </c>
      <c r="G201" s="180" t="str">
        <f>IFERROR(__xludf.DUMMYFUNCTION("TRIM(REGEXREPLACE(C201, ""[0-9]+[a-f]?\."", """"))"),"")</f>
        <v/>
      </c>
      <c r="H201" s="180" t="str">
        <f>IFERROR(__xludf.DUMMYFUNCTION("TRIM(REGEXREPLACE(D201, ""[0-9]+[a-f]?\."", """"))"),"")</f>
        <v/>
      </c>
      <c r="I201" s="180" t="str">
        <f>IFERROR(__xludf.DUMMYFUNCTION("TRIM(REGEXREPLACE(E201, ""[0-9]+[a-f]?\."", """"))"),"")</f>
        <v/>
      </c>
      <c r="J201" s="180" t="s">
        <v>1192</v>
      </c>
      <c r="K201" s="180" t="s">
        <v>1193</v>
      </c>
      <c r="L201" s="180" t="s">
        <v>1194</v>
      </c>
    </row>
    <row r="202" hidden="1">
      <c r="A202" s="70" t="s">
        <v>68</v>
      </c>
      <c r="B202" s="188" t="s">
        <v>952</v>
      </c>
      <c r="C202" s="215"/>
      <c r="D202" s="209"/>
      <c r="E202" s="209"/>
      <c r="F202" s="187">
        <v>116.0</v>
      </c>
      <c r="G202" s="180" t="str">
        <f>IFERROR(__xludf.DUMMYFUNCTION("TRIM(REGEXREPLACE(C202, ""[0-9]+[a-f]?\."", """"))"),"")</f>
        <v/>
      </c>
      <c r="H202" s="180" t="str">
        <f>IFERROR(__xludf.DUMMYFUNCTION("TRIM(REGEXREPLACE(D202, ""[0-9]+[a-f]?\."", """"))"),"")</f>
        <v/>
      </c>
      <c r="I202" s="180" t="str">
        <f>IFERROR(__xludf.DUMMYFUNCTION("TRIM(REGEXREPLACE(E202, ""[0-9]+[a-f]?\."", """"))"),"")</f>
        <v/>
      </c>
      <c r="J202" s="180" t="s">
        <v>1197</v>
      </c>
      <c r="K202" s="180" t="s">
        <v>1198</v>
      </c>
      <c r="L202" s="180" t="s">
        <v>1199</v>
      </c>
    </row>
    <row r="203" hidden="1">
      <c r="A203" s="182"/>
      <c r="B203" s="182"/>
      <c r="C203" s="182"/>
      <c r="D203" s="182"/>
      <c r="E203" s="182"/>
      <c r="F203" s="187">
        <v>126.0</v>
      </c>
      <c r="G203" s="180" t="str">
        <f>IFERROR(__xludf.DUMMYFUNCTION("TRIM(REGEXREPLACE(C203, ""[0-9]+[a-f]?\."", """"))"),"")</f>
        <v/>
      </c>
      <c r="H203" s="180" t="str">
        <f>IFERROR(__xludf.DUMMYFUNCTION("TRIM(REGEXREPLACE(D203, ""[0-9]+[a-f]?\."", """"))"),"")</f>
        <v/>
      </c>
      <c r="I203" s="180" t="str">
        <f>IFERROR(__xludf.DUMMYFUNCTION("TRIM(REGEXREPLACE(E203, ""[0-9]+[a-f]?\."", """"))"),"")</f>
        <v/>
      </c>
      <c r="J203" s="180" t="s">
        <v>1201</v>
      </c>
      <c r="K203" s="180" t="s">
        <v>1202</v>
      </c>
      <c r="L203" s="180" t="s">
        <v>1203</v>
      </c>
    </row>
    <row r="204" hidden="1">
      <c r="A204" s="182"/>
      <c r="B204" s="182"/>
      <c r="C204" s="182"/>
      <c r="D204" s="182"/>
      <c r="E204" s="182"/>
      <c r="F204" s="187">
        <v>127.0</v>
      </c>
      <c r="G204" s="180" t="str">
        <f>IFERROR(__xludf.DUMMYFUNCTION("TRIM(REGEXREPLACE(C204, ""[0-9]+[a-f]?\."", """"))"),"")</f>
        <v/>
      </c>
      <c r="H204" s="180" t="str">
        <f>IFERROR(__xludf.DUMMYFUNCTION("TRIM(REGEXREPLACE(D204, ""[0-9]+[a-f]?\."", """"))"),"")</f>
        <v/>
      </c>
      <c r="I204" s="180" t="str">
        <f>IFERROR(__xludf.DUMMYFUNCTION("TRIM(REGEXREPLACE(E204, ""[0-9]+[a-f]?\."", """"))"),"")</f>
        <v/>
      </c>
      <c r="J204" s="180" t="s">
        <v>1207</v>
      </c>
      <c r="K204" s="180" t="s">
        <v>1208</v>
      </c>
      <c r="L204" s="180" t="s">
        <v>1209</v>
      </c>
    </row>
    <row r="205" hidden="1">
      <c r="A205" s="182"/>
      <c r="B205" s="182"/>
      <c r="C205" s="182"/>
      <c r="D205" s="182"/>
      <c r="E205" s="182"/>
      <c r="F205" s="187">
        <v>128.0</v>
      </c>
      <c r="G205" s="180" t="str">
        <f>IFERROR(__xludf.DUMMYFUNCTION("TRIM(REGEXREPLACE(C205, ""[0-9]+[a-f]?\."", """"))"),"")</f>
        <v/>
      </c>
      <c r="H205" s="180" t="str">
        <f>IFERROR(__xludf.DUMMYFUNCTION("TRIM(REGEXREPLACE(D205, ""[0-9]+[a-f]?\."", """"))"),"")</f>
        <v/>
      </c>
      <c r="I205" s="180" t="str">
        <f>IFERROR(__xludf.DUMMYFUNCTION("TRIM(REGEXREPLACE(E205, ""[0-9]+[a-f]?\."", """"))"),"")</f>
        <v/>
      </c>
      <c r="J205" s="180" t="s">
        <v>1211</v>
      </c>
      <c r="K205" s="180" t="s">
        <v>1212</v>
      </c>
      <c r="L205" s="180" t="s">
        <v>1213</v>
      </c>
    </row>
    <row r="206" hidden="1">
      <c r="A206" s="182"/>
      <c r="B206" s="182"/>
      <c r="C206" s="182"/>
      <c r="D206" s="182"/>
      <c r="E206" s="182"/>
      <c r="F206" s="187">
        <v>129.0</v>
      </c>
      <c r="G206" s="180" t="str">
        <f>IFERROR(__xludf.DUMMYFUNCTION("TRIM(REGEXREPLACE(C206, ""[0-9]+[a-f]?\."", """"))"),"")</f>
        <v/>
      </c>
      <c r="H206" s="180" t="str">
        <f>IFERROR(__xludf.DUMMYFUNCTION("TRIM(REGEXREPLACE(D206, ""[0-9]+[a-f]?\."", """"))"),"")</f>
        <v/>
      </c>
      <c r="I206" s="180" t="str">
        <f>IFERROR(__xludf.DUMMYFUNCTION("TRIM(REGEXREPLACE(E206, ""[0-9]+[a-f]?\."", """"))"),"")</f>
        <v/>
      </c>
      <c r="J206" s="180" t="s">
        <v>1217</v>
      </c>
      <c r="K206" s="180" t="s">
        <v>1218</v>
      </c>
      <c r="L206" s="180" t="s">
        <v>1219</v>
      </c>
    </row>
    <row r="207" hidden="1">
      <c r="A207" s="182"/>
      <c r="B207" s="182"/>
      <c r="C207" s="182"/>
      <c r="D207" s="182"/>
      <c r="E207" s="182"/>
      <c r="F207" s="187">
        <v>130.0</v>
      </c>
      <c r="G207" s="180" t="str">
        <f>IFERROR(__xludf.DUMMYFUNCTION("TRIM(REGEXREPLACE(C207, ""[0-9]+[a-f]?\."", """"))"),"")</f>
        <v/>
      </c>
      <c r="H207" s="180" t="str">
        <f>IFERROR(__xludf.DUMMYFUNCTION("TRIM(REGEXREPLACE(D207, ""[0-9]+[a-f]?\."", """"))"),"")</f>
        <v/>
      </c>
      <c r="I207" s="180" t="str">
        <f>IFERROR(__xludf.DUMMYFUNCTION("TRIM(REGEXREPLACE(E207, ""[0-9]+[a-f]?\."", """"))"),"")</f>
        <v/>
      </c>
      <c r="J207" s="180" t="s">
        <v>1221</v>
      </c>
      <c r="K207" s="180" t="s">
        <v>1222</v>
      </c>
      <c r="L207" s="180" t="s">
        <v>1224</v>
      </c>
    </row>
    <row r="208" hidden="1">
      <c r="A208" s="70" t="s">
        <v>68</v>
      </c>
      <c r="B208" s="188" t="s">
        <v>960</v>
      </c>
      <c r="C208" s="215"/>
      <c r="D208" s="209"/>
      <c r="E208" s="209"/>
      <c r="F208" s="187">
        <v>117.0</v>
      </c>
      <c r="G208" s="180" t="str">
        <f>IFERROR(__xludf.DUMMYFUNCTION("TRIM(REGEXREPLACE(C208, ""[0-9]+[a-f]?\."", """"))"),"")</f>
        <v/>
      </c>
      <c r="H208" s="180" t="str">
        <f>IFERROR(__xludf.DUMMYFUNCTION("TRIM(REGEXREPLACE(D208, ""[0-9]+[a-f]?\."", """"))"),"")</f>
        <v/>
      </c>
      <c r="I208" s="180" t="str">
        <f>IFERROR(__xludf.DUMMYFUNCTION("TRIM(REGEXREPLACE(E208, ""[0-9]+[a-f]?\."", """"))"),"")</f>
        <v/>
      </c>
      <c r="J208" s="180" t="s">
        <v>1227</v>
      </c>
      <c r="K208" s="180" t="s">
        <v>1228</v>
      </c>
      <c r="L208" s="180" t="s">
        <v>1229</v>
      </c>
    </row>
    <row r="209" hidden="1">
      <c r="A209" s="70" t="s">
        <v>68</v>
      </c>
      <c r="B209" s="188" t="s">
        <v>971</v>
      </c>
      <c r="C209" s="215"/>
      <c r="D209" s="209"/>
      <c r="E209" s="209"/>
      <c r="F209" s="187">
        <v>118.0</v>
      </c>
      <c r="G209" s="180" t="str">
        <f>IFERROR(__xludf.DUMMYFUNCTION("TRIM(REGEXREPLACE(C209, ""[0-9]+[a-f]?\."", """"))"),"")</f>
        <v/>
      </c>
      <c r="H209" s="180" t="str">
        <f>IFERROR(__xludf.DUMMYFUNCTION("TRIM(REGEXREPLACE(D209, ""[0-9]+[a-f]?\."", """"))"),"")</f>
        <v/>
      </c>
      <c r="I209" s="180" t="str">
        <f>IFERROR(__xludf.DUMMYFUNCTION("TRIM(REGEXREPLACE(E209, ""[0-9]+[a-f]?\."", """"))"),"")</f>
        <v/>
      </c>
      <c r="J209" s="180" t="s">
        <v>1233</v>
      </c>
      <c r="K209" s="180" t="s">
        <v>1234</v>
      </c>
      <c r="L209" s="180" t="s">
        <v>1236</v>
      </c>
    </row>
    <row r="210" hidden="1">
      <c r="A210" s="70" t="s">
        <v>68</v>
      </c>
      <c r="B210" s="188" t="s">
        <v>981</v>
      </c>
      <c r="C210" s="215"/>
      <c r="D210" s="209"/>
      <c r="E210" s="209"/>
      <c r="F210" s="187">
        <v>119.0</v>
      </c>
      <c r="G210" s="180" t="str">
        <f>IFERROR(__xludf.DUMMYFUNCTION("TRIM(REGEXREPLACE(C210, ""[0-9]+[a-f]?\."", """"))"),"")</f>
        <v/>
      </c>
      <c r="H210" s="180" t="str">
        <f>IFERROR(__xludf.DUMMYFUNCTION("TRIM(REGEXREPLACE(D210, ""[0-9]+[a-f]?\."", """"))"),"")</f>
        <v/>
      </c>
      <c r="I210" s="180" t="str">
        <f>IFERROR(__xludf.DUMMYFUNCTION("TRIM(REGEXREPLACE(E210, ""[0-9]+[a-f]?\."", """"))"),"")</f>
        <v/>
      </c>
      <c r="J210" s="180" t="s">
        <v>1238</v>
      </c>
      <c r="K210" s="180" t="s">
        <v>1239</v>
      </c>
      <c r="L210" s="180" t="s">
        <v>1240</v>
      </c>
    </row>
    <row r="211" hidden="1">
      <c r="A211" s="70" t="s">
        <v>68</v>
      </c>
      <c r="B211" s="188" t="s">
        <v>995</v>
      </c>
      <c r="C211" s="215"/>
      <c r="D211" s="209"/>
      <c r="E211" s="209"/>
      <c r="F211" s="187">
        <v>120.0</v>
      </c>
      <c r="G211" s="180" t="str">
        <f>IFERROR(__xludf.DUMMYFUNCTION("TRIM(REGEXREPLACE(C211, ""[0-9]+[a-f]?\."", """"))"),"")</f>
        <v/>
      </c>
      <c r="H211" s="180" t="str">
        <f>IFERROR(__xludf.DUMMYFUNCTION("TRIM(REGEXREPLACE(D211, ""[0-9]+[a-f]?\."", """"))"),"")</f>
        <v/>
      </c>
      <c r="I211" s="180" t="str">
        <f>IFERROR(__xludf.DUMMYFUNCTION("TRIM(REGEXREPLACE(E211, ""[0-9]+[a-f]?\."", """"))"),"")</f>
        <v/>
      </c>
      <c r="J211" s="180" t="s">
        <v>1244</v>
      </c>
      <c r="K211" s="180" t="s">
        <v>1245</v>
      </c>
      <c r="L211" s="180" t="s">
        <v>1246</v>
      </c>
    </row>
    <row r="212" hidden="1">
      <c r="A212" s="70" t="s">
        <v>68</v>
      </c>
      <c r="B212" s="188" t="s">
        <v>1004</v>
      </c>
      <c r="C212" s="215"/>
      <c r="D212" s="209"/>
      <c r="E212" s="209"/>
      <c r="F212" s="187">
        <v>121.0</v>
      </c>
      <c r="G212" s="180" t="str">
        <f>IFERROR(__xludf.DUMMYFUNCTION("TRIM(REGEXREPLACE(C212, ""[0-9]+[a-f]?\."", """"))"),"")</f>
        <v/>
      </c>
      <c r="H212" s="180" t="str">
        <f>IFERROR(__xludf.DUMMYFUNCTION("TRIM(REGEXREPLACE(D212, ""[0-9]+[a-f]?\."", """"))"),"")</f>
        <v/>
      </c>
      <c r="I212" s="180" t="str">
        <f>IFERROR(__xludf.DUMMYFUNCTION("TRIM(REGEXREPLACE(E212, ""[0-9]+[a-f]?\."", """"))"),"")</f>
        <v/>
      </c>
      <c r="J212" s="180" t="s">
        <v>1248</v>
      </c>
      <c r="K212" s="180" t="s">
        <v>1249</v>
      </c>
      <c r="L212" s="180" t="s">
        <v>1250</v>
      </c>
    </row>
    <row r="213" hidden="1">
      <c r="A213" s="70" t="s">
        <v>68</v>
      </c>
      <c r="B213" s="188" t="s">
        <v>1017</v>
      </c>
      <c r="C213" s="215"/>
      <c r="D213" s="209"/>
      <c r="E213" s="209"/>
      <c r="F213" s="187">
        <v>122.0</v>
      </c>
      <c r="G213" s="180" t="str">
        <f>IFERROR(__xludf.DUMMYFUNCTION("TRIM(REGEXREPLACE(C213, ""[0-9]+[a-f]?\."", """"))"),"")</f>
        <v/>
      </c>
      <c r="H213" s="180" t="str">
        <f>IFERROR(__xludf.DUMMYFUNCTION("TRIM(REGEXREPLACE(D213, ""[0-9]+[a-f]?\."", """"))"),"")</f>
        <v/>
      </c>
      <c r="I213" s="180" t="str">
        <f>IFERROR(__xludf.DUMMYFUNCTION("TRIM(REGEXREPLACE(E213, ""[0-9]+[a-f]?\."", """"))"),"")</f>
        <v/>
      </c>
      <c r="J213" s="180" t="s">
        <v>1252</v>
      </c>
      <c r="K213" s="180" t="s">
        <v>1254</v>
      </c>
      <c r="L213" s="180" t="s">
        <v>1255</v>
      </c>
    </row>
    <row r="214" hidden="1">
      <c r="A214" s="70" t="s">
        <v>68</v>
      </c>
      <c r="B214" s="188" t="s">
        <v>1028</v>
      </c>
      <c r="C214" s="215"/>
      <c r="D214" s="209"/>
      <c r="E214" s="209"/>
      <c r="F214" s="187">
        <v>123.0</v>
      </c>
      <c r="G214" s="180" t="str">
        <f>IFERROR(__xludf.DUMMYFUNCTION("TRIM(REGEXREPLACE(C214, ""[0-9]+[a-f]?\."", """"))"),"")</f>
        <v/>
      </c>
      <c r="H214" s="180" t="str">
        <f>IFERROR(__xludf.DUMMYFUNCTION("TRIM(REGEXREPLACE(D214, ""[0-9]+[a-f]?\."", """"))"),"")</f>
        <v/>
      </c>
      <c r="I214" s="180" t="str">
        <f>IFERROR(__xludf.DUMMYFUNCTION("TRIM(REGEXREPLACE(E214, ""[0-9]+[a-f]?\."", """"))"),"")</f>
        <v/>
      </c>
      <c r="J214" s="180" t="s">
        <v>1258</v>
      </c>
      <c r="K214" s="180" t="s">
        <v>1259</v>
      </c>
      <c r="L214" s="180" t="s">
        <v>1260</v>
      </c>
    </row>
    <row r="215" hidden="1">
      <c r="A215" s="70" t="s">
        <v>68</v>
      </c>
      <c r="B215" s="188" t="s">
        <v>1040</v>
      </c>
      <c r="C215" s="215"/>
      <c r="D215" s="209"/>
      <c r="E215" s="209"/>
      <c r="F215" s="187">
        <v>124.0</v>
      </c>
      <c r="G215" s="180" t="str">
        <f>IFERROR(__xludf.DUMMYFUNCTION("TRIM(REGEXREPLACE(C215, ""[0-9]+[a-f]?\."", """"))"),"")</f>
        <v/>
      </c>
      <c r="H215" s="180" t="str">
        <f>IFERROR(__xludf.DUMMYFUNCTION("TRIM(REGEXREPLACE(D215, ""[0-9]+[a-f]?\."", """"))"),"")</f>
        <v/>
      </c>
      <c r="I215" s="180" t="str">
        <f>IFERROR(__xludf.DUMMYFUNCTION("TRIM(REGEXREPLACE(E215, ""[0-9]+[a-f]?\."", """"))"),"")</f>
        <v/>
      </c>
      <c r="J215" s="180" t="s">
        <v>1263</v>
      </c>
      <c r="K215" s="180" t="s">
        <v>1264</v>
      </c>
      <c r="L215" s="180" t="s">
        <v>1265</v>
      </c>
    </row>
    <row r="216" hidden="1">
      <c r="A216" s="70" t="s">
        <v>68</v>
      </c>
      <c r="B216" s="188" t="s">
        <v>1051</v>
      </c>
      <c r="C216" s="215"/>
      <c r="D216" s="209"/>
      <c r="E216" s="209"/>
      <c r="F216" s="187">
        <v>125.0</v>
      </c>
      <c r="G216" s="180" t="str">
        <f>IFERROR(__xludf.DUMMYFUNCTION("TRIM(REGEXREPLACE(C216, ""[0-9]+[a-f]?\."", """"))"),"")</f>
        <v/>
      </c>
      <c r="H216" s="180" t="str">
        <f>IFERROR(__xludf.DUMMYFUNCTION("TRIM(REGEXREPLACE(D216, ""[0-9]+[a-f]?\."", """"))"),"")</f>
        <v/>
      </c>
      <c r="I216" s="180" t="str">
        <f>IFERROR(__xludf.DUMMYFUNCTION("TRIM(REGEXREPLACE(E216, ""[0-9]+[a-f]?\."", """"))"),"")</f>
        <v/>
      </c>
      <c r="J216" s="180" t="s">
        <v>1269</v>
      </c>
      <c r="K216" s="180" t="s">
        <v>1270</v>
      </c>
      <c r="L216" s="180" t="s">
        <v>1271</v>
      </c>
    </row>
    <row r="217" hidden="1">
      <c r="A217" s="70" t="s">
        <v>68</v>
      </c>
      <c r="B217" s="188" t="s">
        <v>1059</v>
      </c>
      <c r="C217" s="215"/>
      <c r="D217" s="209"/>
      <c r="E217" s="209"/>
      <c r="F217" s="187">
        <v>126.0</v>
      </c>
      <c r="G217" s="180" t="str">
        <f>IFERROR(__xludf.DUMMYFUNCTION("TRIM(REGEXREPLACE(C217, ""[0-9]+[a-f]?\."", """"))"),"")</f>
        <v/>
      </c>
      <c r="H217" s="180" t="str">
        <f>IFERROR(__xludf.DUMMYFUNCTION("TRIM(REGEXREPLACE(D217, ""[0-9]+[a-f]?\."", """"))"),"")</f>
        <v/>
      </c>
      <c r="I217" s="180" t="str">
        <f>IFERROR(__xludf.DUMMYFUNCTION("TRIM(REGEXREPLACE(E217, ""[0-9]+[a-f]?\."", """"))"),"")</f>
        <v/>
      </c>
      <c r="J217" s="180" t="s">
        <v>1272</v>
      </c>
      <c r="K217" s="180" t="s">
        <v>1273</v>
      </c>
      <c r="L217" s="180" t="s">
        <v>1275</v>
      </c>
    </row>
    <row r="218" hidden="1">
      <c r="A218" s="180"/>
      <c r="B218" s="182"/>
      <c r="C218" s="182"/>
      <c r="D218" s="182"/>
      <c r="E218" s="182"/>
      <c r="F218" s="187">
        <v>138.0</v>
      </c>
      <c r="G218" s="180" t="str">
        <f>IFERROR(__xludf.DUMMYFUNCTION("TRIM(REGEXREPLACE(C218, ""[0-9]+[a-f]?\."", """"))"),"")</f>
        <v/>
      </c>
      <c r="H218" s="180" t="str">
        <f>IFERROR(__xludf.DUMMYFUNCTION("TRIM(REGEXREPLACE(D218, ""[0-9]+[a-f]?\."", """"))"),"")</f>
        <v/>
      </c>
      <c r="I218" s="180" t="str">
        <f>IFERROR(__xludf.DUMMYFUNCTION("TRIM(REGEXREPLACE(E218, ""[0-9]+[a-f]?\."", """"))"),"")</f>
        <v/>
      </c>
      <c r="J218" s="180" t="s">
        <v>1276</v>
      </c>
      <c r="K218" s="180" t="s">
        <v>1277</v>
      </c>
      <c r="L218" s="180" t="s">
        <v>1278</v>
      </c>
    </row>
    <row r="219" hidden="1">
      <c r="A219" s="180"/>
      <c r="B219" s="182"/>
      <c r="C219" s="182"/>
      <c r="D219" s="182"/>
      <c r="E219" s="182"/>
      <c r="F219" s="187">
        <v>139.0</v>
      </c>
      <c r="G219" s="180" t="str">
        <f>IFERROR(__xludf.DUMMYFUNCTION("TRIM(REGEXREPLACE(C219, ""[0-9]+[a-f]?\."", """"))"),"")</f>
        <v/>
      </c>
      <c r="H219" s="180" t="str">
        <f>IFERROR(__xludf.DUMMYFUNCTION("TRIM(REGEXREPLACE(D219, ""[0-9]+[a-f]?\."", """"))"),"")</f>
        <v/>
      </c>
      <c r="I219" s="180" t="str">
        <f>IFERROR(__xludf.DUMMYFUNCTION("TRIM(REGEXREPLACE(E219, ""[0-9]+[a-f]?\."", """"))"),"")</f>
        <v/>
      </c>
      <c r="J219" s="180" t="s">
        <v>1280</v>
      </c>
      <c r="K219" s="180" t="s">
        <v>1281</v>
      </c>
      <c r="L219" s="180" t="s">
        <v>1282</v>
      </c>
    </row>
    <row r="220" hidden="1">
      <c r="A220" s="180"/>
      <c r="B220" s="182"/>
      <c r="C220" s="182"/>
      <c r="D220" s="182"/>
      <c r="E220" s="182"/>
      <c r="F220" s="187">
        <v>140.0</v>
      </c>
      <c r="G220" s="180" t="str">
        <f>IFERROR(__xludf.DUMMYFUNCTION("TRIM(REGEXREPLACE(C220, ""[0-9]+[a-f]?\."", """"))"),"")</f>
        <v/>
      </c>
      <c r="H220" s="180" t="str">
        <f>IFERROR(__xludf.DUMMYFUNCTION("TRIM(REGEXREPLACE(D220, ""[0-9]+[a-f]?\."", """"))"),"")</f>
        <v/>
      </c>
      <c r="I220" s="180" t="str">
        <f>IFERROR(__xludf.DUMMYFUNCTION("TRIM(REGEXREPLACE(E220, ""[0-9]+[a-f]?\."", """"))"),"")</f>
        <v/>
      </c>
      <c r="J220" s="180" t="s">
        <v>1284</v>
      </c>
      <c r="K220" s="180" t="s">
        <v>1285</v>
      </c>
      <c r="L220" s="180" t="s">
        <v>1286</v>
      </c>
    </row>
    <row r="221" hidden="1">
      <c r="A221" s="70" t="s">
        <v>68</v>
      </c>
      <c r="B221" s="188" t="s">
        <v>1068</v>
      </c>
      <c r="C221" s="215"/>
      <c r="D221" s="209"/>
      <c r="E221" s="209"/>
      <c r="F221" s="187">
        <v>127.0</v>
      </c>
      <c r="G221" s="180" t="str">
        <f>IFERROR(__xludf.DUMMYFUNCTION("TRIM(REGEXREPLACE(C221, ""[0-9]+[a-f]?\."", """"))"),"")</f>
        <v/>
      </c>
      <c r="H221" s="180" t="str">
        <f>IFERROR(__xludf.DUMMYFUNCTION("TRIM(REGEXREPLACE(D221, ""[0-9]+[a-f]?\."", """"))"),"")</f>
        <v/>
      </c>
      <c r="I221" s="180" t="str">
        <f>IFERROR(__xludf.DUMMYFUNCTION("TRIM(REGEXREPLACE(E221, ""[0-9]+[a-f]?\."", """"))"),"")</f>
        <v/>
      </c>
      <c r="J221" s="180" t="s">
        <v>1289</v>
      </c>
      <c r="K221" s="180" t="s">
        <v>1290</v>
      </c>
      <c r="L221" s="180" t="s">
        <v>1291</v>
      </c>
    </row>
    <row r="222" hidden="1">
      <c r="A222" s="70" t="s">
        <v>68</v>
      </c>
      <c r="B222" s="188" t="s">
        <v>1075</v>
      </c>
      <c r="C222" s="215"/>
      <c r="D222" s="209"/>
      <c r="E222" s="209"/>
      <c r="F222" s="187">
        <v>128.0</v>
      </c>
      <c r="G222" s="180" t="str">
        <f>IFERROR(__xludf.DUMMYFUNCTION("TRIM(REGEXREPLACE(C222, ""[0-9]+[a-f]?\."", """"))"),"")</f>
        <v/>
      </c>
      <c r="H222" s="180" t="str">
        <f>IFERROR(__xludf.DUMMYFUNCTION("TRIM(REGEXREPLACE(D222, ""[0-9]+[a-f]?\."", """"))"),"")</f>
        <v/>
      </c>
      <c r="I222" s="180" t="str">
        <f>IFERROR(__xludf.DUMMYFUNCTION("TRIM(REGEXREPLACE(E222, ""[0-9]+[a-f]?\."", """"))"),"")</f>
        <v/>
      </c>
      <c r="J222" s="180" t="s">
        <v>1293</v>
      </c>
      <c r="K222" s="180" t="s">
        <v>1294</v>
      </c>
      <c r="L222" s="180" t="s">
        <v>1295</v>
      </c>
    </row>
    <row r="223" hidden="1">
      <c r="A223" s="70" t="s">
        <v>68</v>
      </c>
      <c r="B223" s="188" t="s">
        <v>1083</v>
      </c>
      <c r="C223" s="215"/>
      <c r="D223" s="209"/>
      <c r="E223" s="209"/>
      <c r="F223" s="187">
        <v>129.0</v>
      </c>
      <c r="G223" s="180" t="str">
        <f>IFERROR(__xludf.DUMMYFUNCTION("TRIM(REGEXREPLACE(C223, ""[0-9]+[a-f]?\."", """"))"),"")</f>
        <v/>
      </c>
      <c r="H223" s="180" t="str">
        <f>IFERROR(__xludf.DUMMYFUNCTION("TRIM(REGEXREPLACE(D223, ""[0-9]+[a-f]?\."", """"))"),"")</f>
        <v/>
      </c>
      <c r="I223" s="180" t="str">
        <f>IFERROR(__xludf.DUMMYFUNCTION("TRIM(REGEXREPLACE(E223, ""[0-9]+[a-f]?\."", """"))"),"")</f>
        <v/>
      </c>
      <c r="J223" s="180" t="s">
        <v>1296</v>
      </c>
      <c r="K223" s="180" t="s">
        <v>1297</v>
      </c>
      <c r="L223" s="180" t="s">
        <v>1298</v>
      </c>
    </row>
    <row r="224" hidden="1">
      <c r="A224" s="70" t="s">
        <v>68</v>
      </c>
      <c r="B224" s="188" t="s">
        <v>1091</v>
      </c>
      <c r="C224" s="215"/>
      <c r="D224" s="209"/>
      <c r="E224" s="209"/>
      <c r="F224" s="187">
        <v>130.0</v>
      </c>
      <c r="G224" s="180" t="str">
        <f>IFERROR(__xludf.DUMMYFUNCTION("TRIM(REGEXREPLACE(C224, ""[0-9]+[a-f]?\."", """"))"),"")</f>
        <v/>
      </c>
      <c r="H224" s="180" t="str">
        <f>IFERROR(__xludf.DUMMYFUNCTION("TRIM(REGEXREPLACE(D224, ""[0-9]+[a-f]?\."", """"))"),"")</f>
        <v/>
      </c>
      <c r="I224" s="180" t="str">
        <f>IFERROR(__xludf.DUMMYFUNCTION("TRIM(REGEXREPLACE(E224, ""[0-9]+[a-f]?\."", """"))"),"")</f>
        <v/>
      </c>
      <c r="J224" s="180" t="s">
        <v>1299</v>
      </c>
      <c r="K224" s="180" t="s">
        <v>1300</v>
      </c>
      <c r="L224" s="180" t="s">
        <v>1301</v>
      </c>
    </row>
    <row r="225" hidden="1">
      <c r="A225" s="70" t="s">
        <v>68</v>
      </c>
      <c r="B225" s="188" t="s">
        <v>1100</v>
      </c>
      <c r="C225" s="215"/>
      <c r="D225" s="209"/>
      <c r="E225" s="209"/>
      <c r="F225" s="187">
        <v>131.0</v>
      </c>
      <c r="G225" s="180" t="str">
        <f>IFERROR(__xludf.DUMMYFUNCTION("TRIM(REGEXREPLACE(C225, ""[0-9]+[a-f]?\."", """"))"),"")</f>
        <v/>
      </c>
      <c r="H225" s="180" t="str">
        <f>IFERROR(__xludf.DUMMYFUNCTION("TRIM(REGEXREPLACE(D225, ""[0-9]+[a-f]?\."", """"))"),"")</f>
        <v/>
      </c>
      <c r="I225" s="180" t="str">
        <f>IFERROR(__xludf.DUMMYFUNCTION("TRIM(REGEXREPLACE(E225, ""[0-9]+[a-f]?\."", """"))"),"")</f>
        <v/>
      </c>
      <c r="J225" s="180" t="s">
        <v>1303</v>
      </c>
      <c r="K225" s="180" t="s">
        <v>1304</v>
      </c>
      <c r="L225" s="180" t="s">
        <v>1305</v>
      </c>
    </row>
    <row r="226" hidden="1">
      <c r="A226" s="70" t="s">
        <v>68</v>
      </c>
      <c r="B226" s="188" t="s">
        <v>1109</v>
      </c>
      <c r="C226" s="215"/>
      <c r="D226" s="209"/>
      <c r="E226" s="209"/>
      <c r="F226" s="187">
        <v>132.0</v>
      </c>
      <c r="G226" s="180" t="str">
        <f>IFERROR(__xludf.DUMMYFUNCTION("TRIM(REGEXREPLACE(C226, ""[0-9]+[a-f]?\."", """"))"),"")</f>
        <v/>
      </c>
      <c r="H226" s="180" t="str">
        <f>IFERROR(__xludf.DUMMYFUNCTION("TRIM(REGEXREPLACE(D226, ""[0-9]+[a-f]?\."", """"))"),"")</f>
        <v/>
      </c>
      <c r="I226" s="180" t="str">
        <f>IFERROR(__xludf.DUMMYFUNCTION("TRIM(REGEXREPLACE(E226, ""[0-9]+[a-f]?\."", """"))"),"")</f>
        <v/>
      </c>
      <c r="J226" s="180" t="s">
        <v>1311</v>
      </c>
      <c r="K226" s="180" t="s">
        <v>1312</v>
      </c>
      <c r="L226" s="180" t="s">
        <v>1313</v>
      </c>
    </row>
    <row r="227" hidden="1">
      <c r="A227" s="70" t="s">
        <v>68</v>
      </c>
      <c r="B227" s="188" t="s">
        <v>1120</v>
      </c>
      <c r="C227" s="215"/>
      <c r="D227" s="209"/>
      <c r="E227" s="209"/>
      <c r="F227" s="187">
        <v>133.0</v>
      </c>
      <c r="G227" s="180" t="str">
        <f>IFERROR(__xludf.DUMMYFUNCTION("TRIM(REGEXREPLACE(C227, ""[0-9]+[a-f]?\."", """"))"),"")</f>
        <v/>
      </c>
      <c r="H227" s="180" t="str">
        <f>IFERROR(__xludf.DUMMYFUNCTION("TRIM(REGEXREPLACE(D227, ""[0-9]+[a-f]?\."", """"))"),"")</f>
        <v/>
      </c>
      <c r="I227" s="180" t="str">
        <f>IFERROR(__xludf.DUMMYFUNCTION("TRIM(REGEXREPLACE(E227, ""[0-9]+[a-f]?\."", """"))"),"")</f>
        <v/>
      </c>
      <c r="J227" s="180" t="s">
        <v>1314</v>
      </c>
      <c r="K227" s="180" t="s">
        <v>1315</v>
      </c>
      <c r="L227" s="180" t="s">
        <v>1316</v>
      </c>
    </row>
    <row r="228" hidden="1">
      <c r="A228" s="70" t="s">
        <v>68</v>
      </c>
      <c r="B228" s="188" t="s">
        <v>1125</v>
      </c>
      <c r="C228" s="215"/>
      <c r="D228" s="209"/>
      <c r="E228" s="209"/>
      <c r="F228" s="187">
        <v>134.0</v>
      </c>
      <c r="G228" s="180" t="str">
        <f>IFERROR(__xludf.DUMMYFUNCTION("TRIM(REGEXREPLACE(C228, ""[0-9]+[a-f]?\."", """"))"),"")</f>
        <v/>
      </c>
      <c r="H228" s="180" t="str">
        <f>IFERROR(__xludf.DUMMYFUNCTION("TRIM(REGEXREPLACE(D228, ""[0-9]+[a-f]?\."", """"))"),"")</f>
        <v/>
      </c>
      <c r="I228" s="180" t="str">
        <f>IFERROR(__xludf.DUMMYFUNCTION("TRIM(REGEXREPLACE(E228, ""[0-9]+[a-f]?\."", """"))"),"")</f>
        <v/>
      </c>
      <c r="J228" s="180" t="s">
        <v>1319</v>
      </c>
      <c r="K228" s="180" t="s">
        <v>1320</v>
      </c>
      <c r="L228" s="180" t="s">
        <v>1321</v>
      </c>
    </row>
    <row r="229" hidden="1">
      <c r="A229" s="180"/>
      <c r="B229" s="182"/>
      <c r="C229" s="182"/>
      <c r="D229" s="182"/>
      <c r="E229" s="182"/>
      <c r="F229" s="187">
        <v>144.0</v>
      </c>
      <c r="G229" s="180" t="str">
        <f>IFERROR(__xludf.DUMMYFUNCTION("TRIM(REGEXREPLACE(C229, ""[0-9]+[a-f]?\."", """"))"),"")</f>
        <v/>
      </c>
      <c r="H229" s="180" t="str">
        <f>IFERROR(__xludf.DUMMYFUNCTION("TRIM(REGEXREPLACE(D229, ""[0-9]+[a-f]?\."", """"))"),"")</f>
        <v/>
      </c>
      <c r="I229" s="180" t="str">
        <f>IFERROR(__xludf.DUMMYFUNCTION("TRIM(REGEXREPLACE(E229, ""[0-9]+[a-f]?\."", """"))"),"")</f>
        <v/>
      </c>
      <c r="J229" s="180" t="s">
        <v>1324</v>
      </c>
      <c r="K229" s="180" t="s">
        <v>1325</v>
      </c>
      <c r="L229" s="180" t="s">
        <v>1325</v>
      </c>
    </row>
    <row r="230" hidden="1">
      <c r="A230" s="180"/>
      <c r="B230" s="182"/>
      <c r="C230" s="182"/>
      <c r="D230" s="182"/>
      <c r="E230" s="182"/>
      <c r="F230" s="187">
        <v>145.0</v>
      </c>
      <c r="G230" s="180" t="str">
        <f>IFERROR(__xludf.DUMMYFUNCTION("TRIM(REGEXREPLACE(C230, ""[0-9]+[a-f]?\."", """"))"),"")</f>
        <v/>
      </c>
      <c r="H230" s="180" t="str">
        <f>IFERROR(__xludf.DUMMYFUNCTION("TRIM(REGEXREPLACE(D230, ""[0-9]+[a-f]?\."", """"))"),"")</f>
        <v/>
      </c>
      <c r="I230" s="180" t="str">
        <f>IFERROR(__xludf.DUMMYFUNCTION("TRIM(REGEXREPLACE(E230, ""[0-9]+[a-f]?\."", """"))"),"")</f>
        <v/>
      </c>
      <c r="J230" s="180" t="s">
        <v>1328</v>
      </c>
      <c r="K230" s="180" t="s">
        <v>1329</v>
      </c>
      <c r="L230" s="180" t="s">
        <v>1331</v>
      </c>
    </row>
    <row r="231" hidden="1">
      <c r="A231" s="180"/>
      <c r="B231" s="182"/>
      <c r="C231" s="182"/>
      <c r="D231" s="182"/>
      <c r="E231" s="182"/>
      <c r="F231" s="187">
        <v>146.0</v>
      </c>
      <c r="G231" s="180" t="str">
        <f>IFERROR(__xludf.DUMMYFUNCTION("TRIM(REGEXREPLACE(C231, ""[0-9]+[a-f]?\."", """"))"),"")</f>
        <v/>
      </c>
      <c r="H231" s="180" t="str">
        <f>IFERROR(__xludf.DUMMYFUNCTION("TRIM(REGEXREPLACE(D231, ""[0-9]+[a-f]?\."", """"))"),"")</f>
        <v/>
      </c>
      <c r="I231" s="180" t="str">
        <f>IFERROR(__xludf.DUMMYFUNCTION("TRIM(REGEXREPLACE(E231, ""[0-9]+[a-f]?\."", """"))"),"")</f>
        <v/>
      </c>
      <c r="J231" s="180" t="s">
        <v>1333</v>
      </c>
      <c r="K231" s="180" t="s">
        <v>1334</v>
      </c>
      <c r="L231" s="180" t="s">
        <v>1335</v>
      </c>
    </row>
    <row r="232" hidden="1">
      <c r="A232" s="180"/>
      <c r="B232" s="182"/>
      <c r="C232" s="182"/>
      <c r="D232" s="182"/>
      <c r="E232" s="182"/>
      <c r="F232" s="187">
        <v>147.0</v>
      </c>
      <c r="G232" s="180" t="str">
        <f>IFERROR(__xludf.DUMMYFUNCTION("TRIM(REGEXREPLACE(C232, ""[0-9]+[a-f]?\."", """"))"),"")</f>
        <v/>
      </c>
      <c r="H232" s="180" t="str">
        <f>IFERROR(__xludf.DUMMYFUNCTION("TRIM(REGEXREPLACE(D232, ""[0-9]+[a-f]?\."", """"))"),"")</f>
        <v/>
      </c>
      <c r="I232" s="180" t="str">
        <f>IFERROR(__xludf.DUMMYFUNCTION("TRIM(REGEXREPLACE(E232, ""[0-9]+[a-f]?\."", """"))"),"")</f>
        <v/>
      </c>
      <c r="J232" s="180" t="s">
        <v>1339</v>
      </c>
      <c r="K232" s="180" t="s">
        <v>1340</v>
      </c>
      <c r="L232" s="180" t="s">
        <v>1342</v>
      </c>
    </row>
    <row r="233" hidden="1">
      <c r="A233" s="180"/>
      <c r="B233" s="182"/>
      <c r="C233" s="182"/>
      <c r="D233" s="182"/>
      <c r="E233" s="182"/>
      <c r="F233" s="187">
        <v>147.0</v>
      </c>
      <c r="G233" s="180" t="str">
        <f>IFERROR(__xludf.DUMMYFUNCTION("TRIM(REGEXREPLACE(C233, ""[0-9]+[a-f]?\."", """"))"),"")</f>
        <v/>
      </c>
      <c r="H233" s="180" t="str">
        <f>IFERROR(__xludf.DUMMYFUNCTION("TRIM(REGEXREPLACE(D233, ""[0-9]+[a-f]?\."", """"))"),"")</f>
        <v/>
      </c>
      <c r="I233" s="180" t="str">
        <f>IFERROR(__xludf.DUMMYFUNCTION("TRIM(REGEXREPLACE(E233, ""[0-9]+[a-f]?\."", """"))"),"")</f>
        <v/>
      </c>
      <c r="J233" s="180" t="s">
        <v>1344</v>
      </c>
      <c r="K233" s="180" t="s">
        <v>1345</v>
      </c>
      <c r="L233" s="180" t="s">
        <v>1345</v>
      </c>
    </row>
    <row r="234" hidden="1">
      <c r="A234" s="180"/>
      <c r="B234" s="182"/>
      <c r="C234" s="182"/>
      <c r="D234" s="182"/>
      <c r="E234" s="182"/>
      <c r="F234" s="187">
        <v>148.0</v>
      </c>
      <c r="G234" s="180" t="str">
        <f>IFERROR(__xludf.DUMMYFUNCTION("TRIM(REGEXREPLACE(C234, ""[0-9]+[a-f]?\."", """"))"),"")</f>
        <v/>
      </c>
      <c r="H234" s="180" t="str">
        <f>IFERROR(__xludf.DUMMYFUNCTION("TRIM(REGEXREPLACE(D234, ""[0-9]+[a-f]?\."", """"))"),"")</f>
        <v/>
      </c>
      <c r="I234" s="180" t="str">
        <f>IFERROR(__xludf.DUMMYFUNCTION("TRIM(REGEXREPLACE(E234, ""[0-9]+[a-f]?\."", """"))"),"")</f>
        <v/>
      </c>
      <c r="J234" s="180" t="s">
        <v>1347</v>
      </c>
      <c r="K234" s="180" t="s">
        <v>1348</v>
      </c>
      <c r="L234" s="180" t="s">
        <v>1348</v>
      </c>
    </row>
    <row r="235" hidden="1">
      <c r="A235" s="70" t="s">
        <v>68</v>
      </c>
      <c r="B235" s="188" t="s">
        <v>1132</v>
      </c>
      <c r="C235" s="215"/>
      <c r="D235" s="209"/>
      <c r="E235" s="209"/>
      <c r="F235" s="187">
        <v>135.0</v>
      </c>
      <c r="G235" s="180" t="str">
        <f>IFERROR(__xludf.DUMMYFUNCTION("TRIM(REGEXREPLACE(C235, ""[0-9]+[a-f]?\."", """"))"),"")</f>
        <v/>
      </c>
      <c r="H235" s="180" t="str">
        <f>IFERROR(__xludf.DUMMYFUNCTION("TRIM(REGEXREPLACE(D235, ""[0-9]+[a-f]?\."", """"))"),"")</f>
        <v/>
      </c>
      <c r="I235" s="180" t="str">
        <f>IFERROR(__xludf.DUMMYFUNCTION("TRIM(REGEXREPLACE(E235, ""[0-9]+[a-f]?\."", """"))"),"")</f>
        <v/>
      </c>
      <c r="J235" s="180" t="s">
        <v>1350</v>
      </c>
      <c r="K235" s="180" t="s">
        <v>1351</v>
      </c>
      <c r="L235" s="180" t="s">
        <v>1352</v>
      </c>
    </row>
    <row r="236" hidden="1">
      <c r="A236" s="70" t="s">
        <v>68</v>
      </c>
      <c r="B236" s="188" t="s">
        <v>1142</v>
      </c>
      <c r="C236" s="215"/>
      <c r="D236" s="209"/>
      <c r="E236" s="209"/>
      <c r="F236" s="187">
        <v>136.0</v>
      </c>
      <c r="G236" s="180" t="str">
        <f>IFERROR(__xludf.DUMMYFUNCTION("TRIM(REGEXREPLACE(C236, ""[0-9]+[a-f]?\."", """"))"),"")</f>
        <v/>
      </c>
      <c r="H236" s="180" t="str">
        <f>IFERROR(__xludf.DUMMYFUNCTION("TRIM(REGEXREPLACE(D236, ""[0-9]+[a-f]?\."", """"))"),"")</f>
        <v/>
      </c>
      <c r="I236" s="180" t="str">
        <f>IFERROR(__xludf.DUMMYFUNCTION("TRIM(REGEXREPLACE(E236, ""[0-9]+[a-f]?\."", """"))"),"")</f>
        <v/>
      </c>
      <c r="J236" s="180" t="s">
        <v>1353</v>
      </c>
      <c r="K236" s="180" t="s">
        <v>1354</v>
      </c>
      <c r="L236" s="180" t="s">
        <v>1355</v>
      </c>
    </row>
    <row r="237" hidden="1">
      <c r="A237" s="70" t="s">
        <v>68</v>
      </c>
      <c r="B237" s="188" t="s">
        <v>1152</v>
      </c>
      <c r="C237" s="215"/>
      <c r="D237" s="209"/>
      <c r="E237" s="209"/>
      <c r="F237" s="187">
        <v>137.0</v>
      </c>
      <c r="G237" s="180" t="str">
        <f>IFERROR(__xludf.DUMMYFUNCTION("TRIM(REGEXREPLACE(C237, ""[0-9]+[a-f]?\."", """"))"),"")</f>
        <v/>
      </c>
      <c r="H237" s="180" t="str">
        <f>IFERROR(__xludf.DUMMYFUNCTION("TRIM(REGEXREPLACE(D237, ""[0-9]+[a-f]?\."", """"))"),"")</f>
        <v/>
      </c>
      <c r="I237" s="180" t="str">
        <f>IFERROR(__xludf.DUMMYFUNCTION("TRIM(REGEXREPLACE(E237, ""[0-9]+[a-f]?\."", """"))"),"")</f>
        <v/>
      </c>
      <c r="J237" s="180" t="s">
        <v>1361</v>
      </c>
      <c r="K237" s="180" t="s">
        <v>1362</v>
      </c>
      <c r="L237" s="180" t="s">
        <v>1363</v>
      </c>
    </row>
    <row r="238" hidden="1">
      <c r="A238" s="70" t="s">
        <v>68</v>
      </c>
      <c r="B238" s="188" t="s">
        <v>1161</v>
      </c>
      <c r="C238" s="215"/>
      <c r="D238" s="209"/>
      <c r="E238" s="209"/>
      <c r="F238" s="187">
        <v>138.0</v>
      </c>
      <c r="G238" s="180" t="str">
        <f>IFERROR(__xludf.DUMMYFUNCTION("TRIM(REGEXREPLACE(C238, ""[0-9]+[a-f]?\."", """"))"),"")</f>
        <v/>
      </c>
      <c r="H238" s="180" t="str">
        <f>IFERROR(__xludf.DUMMYFUNCTION("TRIM(REGEXREPLACE(D238, ""[0-9]+[a-f]?\."", """"))"),"")</f>
        <v/>
      </c>
      <c r="I238" s="180" t="str">
        <f>IFERROR(__xludf.DUMMYFUNCTION("TRIM(REGEXREPLACE(E238, ""[0-9]+[a-f]?\."", """"))"),"")</f>
        <v/>
      </c>
      <c r="J238" s="180" t="s">
        <v>1365</v>
      </c>
      <c r="K238" s="180" t="s">
        <v>1366</v>
      </c>
      <c r="L238" s="180" t="s">
        <v>1367</v>
      </c>
    </row>
    <row r="239" hidden="1">
      <c r="A239" s="70" t="s">
        <v>68</v>
      </c>
      <c r="B239" s="188" t="s">
        <v>1169</v>
      </c>
      <c r="C239" s="215"/>
      <c r="D239" s="209"/>
      <c r="E239" s="209"/>
      <c r="F239" s="187">
        <v>139.0</v>
      </c>
      <c r="G239" s="180" t="str">
        <f>IFERROR(__xludf.DUMMYFUNCTION("TRIM(REGEXREPLACE(C239, ""[0-9]+[a-f]?\."", """"))"),"")</f>
        <v/>
      </c>
      <c r="H239" s="180" t="str">
        <f>IFERROR(__xludf.DUMMYFUNCTION("TRIM(REGEXREPLACE(D239, ""[0-9]+[a-f]?\."", """"))"),"")</f>
        <v/>
      </c>
      <c r="I239" s="180" t="str">
        <f>IFERROR(__xludf.DUMMYFUNCTION("TRIM(REGEXREPLACE(E239, ""[0-9]+[a-f]?\."", """"))"),"")</f>
        <v/>
      </c>
      <c r="J239" s="180" t="s">
        <v>1368</v>
      </c>
      <c r="K239" s="180" t="s">
        <v>1369</v>
      </c>
      <c r="L239" s="180" t="s">
        <v>1370</v>
      </c>
    </row>
    <row r="240" hidden="1">
      <c r="A240" s="70" t="s">
        <v>68</v>
      </c>
      <c r="B240" s="188" t="s">
        <v>1177</v>
      </c>
      <c r="C240" s="215"/>
      <c r="D240" s="209"/>
      <c r="E240" s="209"/>
      <c r="F240" s="187">
        <v>140.0</v>
      </c>
      <c r="G240" s="180" t="str">
        <f>IFERROR(__xludf.DUMMYFUNCTION("TRIM(REGEXREPLACE(C240, ""[0-9]+[a-f]?\."", """"))"),"")</f>
        <v/>
      </c>
      <c r="H240" s="180" t="str">
        <f>IFERROR(__xludf.DUMMYFUNCTION("TRIM(REGEXREPLACE(D240, ""[0-9]+[a-f]?\."", """"))"),"")</f>
        <v/>
      </c>
      <c r="I240" s="180" t="str">
        <f>IFERROR(__xludf.DUMMYFUNCTION("TRIM(REGEXREPLACE(E240, ""[0-9]+[a-f]?\."", """"))"),"")</f>
        <v/>
      </c>
      <c r="J240" s="180" t="s">
        <v>1376</v>
      </c>
      <c r="K240" s="180" t="s">
        <v>1377</v>
      </c>
      <c r="L240" s="180" t="s">
        <v>1378</v>
      </c>
    </row>
    <row r="241" hidden="1">
      <c r="A241" s="70" t="s">
        <v>68</v>
      </c>
      <c r="B241" s="188" t="s">
        <v>1190</v>
      </c>
      <c r="C241" s="215"/>
      <c r="D241" s="209"/>
      <c r="E241" s="209"/>
      <c r="F241" s="187">
        <v>141.0</v>
      </c>
      <c r="G241" s="180" t="str">
        <f>IFERROR(__xludf.DUMMYFUNCTION("TRIM(REGEXREPLACE(C241, ""[0-9]+[a-f]?\."", """"))"),"")</f>
        <v/>
      </c>
      <c r="H241" s="180" t="str">
        <f>IFERROR(__xludf.DUMMYFUNCTION("TRIM(REGEXREPLACE(D241, ""[0-9]+[a-f]?\."", """"))"),"")</f>
        <v/>
      </c>
      <c r="I241" s="180" t="str">
        <f>IFERROR(__xludf.DUMMYFUNCTION("TRIM(REGEXREPLACE(E241, ""[0-9]+[a-f]?\."", """"))"),"")</f>
        <v/>
      </c>
      <c r="J241" s="180" t="s">
        <v>1381</v>
      </c>
      <c r="K241" s="180" t="s">
        <v>1382</v>
      </c>
      <c r="L241" s="180" t="s">
        <v>1383</v>
      </c>
    </row>
    <row r="242" hidden="1">
      <c r="A242" s="70" t="s">
        <v>68</v>
      </c>
      <c r="B242" s="188" t="s">
        <v>1200</v>
      </c>
      <c r="C242" s="215"/>
      <c r="D242" s="209"/>
      <c r="E242" s="209"/>
      <c r="F242" s="187">
        <v>142.0</v>
      </c>
      <c r="G242" s="180" t="str">
        <f>IFERROR(__xludf.DUMMYFUNCTION("TRIM(REGEXREPLACE(C242, ""[0-9]+[a-f]?\."", """"))"),"")</f>
        <v/>
      </c>
      <c r="H242" s="180" t="str">
        <f>IFERROR(__xludf.DUMMYFUNCTION("TRIM(REGEXREPLACE(D242, ""[0-9]+[a-f]?\."", """"))"),"")</f>
        <v/>
      </c>
      <c r="I242" s="180" t="str">
        <f>IFERROR(__xludf.DUMMYFUNCTION("TRIM(REGEXREPLACE(E242, ""[0-9]+[a-f]?\."", """"))"),"")</f>
        <v/>
      </c>
      <c r="J242" s="180" t="s">
        <v>1384</v>
      </c>
      <c r="K242" s="180" t="s">
        <v>1385</v>
      </c>
      <c r="L242" s="180" t="s">
        <v>1386</v>
      </c>
    </row>
    <row r="243" hidden="1">
      <c r="A243" s="70" t="s">
        <v>68</v>
      </c>
      <c r="B243" s="188" t="s">
        <v>1215</v>
      </c>
      <c r="C243" s="215"/>
      <c r="D243" s="209"/>
      <c r="E243" s="209"/>
      <c r="F243" s="187">
        <v>143.0</v>
      </c>
      <c r="G243" s="180" t="str">
        <f>IFERROR(__xludf.DUMMYFUNCTION("TRIM(REGEXREPLACE(C243, ""[0-9]+[a-f]?\."", """"))"),"")</f>
        <v/>
      </c>
      <c r="H243" s="180" t="str">
        <f>IFERROR(__xludf.DUMMYFUNCTION("TRIM(REGEXREPLACE(D243, ""[0-9]+[a-f]?\."", """"))"),"")</f>
        <v/>
      </c>
      <c r="I243" s="180" t="str">
        <f>IFERROR(__xludf.DUMMYFUNCTION("TRIM(REGEXREPLACE(E243, ""[0-9]+[a-f]?\."", """"))"),"")</f>
        <v/>
      </c>
      <c r="J243" s="180" t="s">
        <v>1388</v>
      </c>
      <c r="K243" s="180" t="s">
        <v>1389</v>
      </c>
      <c r="L243" s="180" t="s">
        <v>1390</v>
      </c>
    </row>
    <row r="244" hidden="1">
      <c r="A244" s="70" t="s">
        <v>68</v>
      </c>
      <c r="B244" s="188" t="s">
        <v>1230</v>
      </c>
      <c r="C244" s="215"/>
      <c r="D244" s="209"/>
      <c r="E244" s="209"/>
      <c r="F244" s="187">
        <v>144.0</v>
      </c>
      <c r="G244" s="180" t="str">
        <f>IFERROR(__xludf.DUMMYFUNCTION("TRIM(REGEXREPLACE(C244, ""[0-9]+[a-f]?\."", """"))"),"")</f>
        <v/>
      </c>
      <c r="H244" s="180" t="str">
        <f>IFERROR(__xludf.DUMMYFUNCTION("TRIM(REGEXREPLACE(D244, ""[0-9]+[a-f]?\."", """"))"),"")</f>
        <v/>
      </c>
      <c r="I244" s="180" t="str">
        <f>IFERROR(__xludf.DUMMYFUNCTION("TRIM(REGEXREPLACE(E244, ""[0-9]+[a-f]?\."", """"))"),"")</f>
        <v/>
      </c>
      <c r="J244" s="180" t="s">
        <v>1392</v>
      </c>
      <c r="K244" s="180" t="s">
        <v>1393</v>
      </c>
      <c r="L244" s="180" t="s">
        <v>1394</v>
      </c>
    </row>
    <row r="245" hidden="1">
      <c r="A245" s="70" t="s">
        <v>68</v>
      </c>
      <c r="B245" s="188" t="s">
        <v>1242</v>
      </c>
      <c r="C245" s="215"/>
      <c r="D245" s="209"/>
      <c r="E245" s="209"/>
      <c r="F245" s="187">
        <v>145.0</v>
      </c>
      <c r="G245" s="180" t="str">
        <f>IFERROR(__xludf.DUMMYFUNCTION("TRIM(REGEXREPLACE(C245, ""[0-9]+[a-f]?\."", """"))"),"")</f>
        <v/>
      </c>
      <c r="H245" s="180" t="str">
        <f>IFERROR(__xludf.DUMMYFUNCTION("TRIM(REGEXREPLACE(D245, ""[0-9]+[a-f]?\."", """"))"),"")</f>
        <v/>
      </c>
      <c r="I245" s="180" t="str">
        <f>IFERROR(__xludf.DUMMYFUNCTION("TRIM(REGEXREPLACE(E245, ""[0-9]+[a-f]?\."", """"))"),"")</f>
        <v/>
      </c>
      <c r="J245" s="180" t="s">
        <v>1399</v>
      </c>
      <c r="K245" s="180" t="s">
        <v>1400</v>
      </c>
      <c r="L245" s="180" t="s">
        <v>1401</v>
      </c>
    </row>
    <row r="246" hidden="1">
      <c r="A246" s="70" t="s">
        <v>68</v>
      </c>
      <c r="B246" s="188" t="s">
        <v>1257</v>
      </c>
      <c r="C246" s="215"/>
      <c r="D246" s="209"/>
      <c r="E246" s="209"/>
      <c r="F246" s="187">
        <v>146.0</v>
      </c>
      <c r="G246" s="180" t="str">
        <f>IFERROR(__xludf.DUMMYFUNCTION("TRIM(REGEXREPLACE(C246, ""[0-9]+[a-f]?\."", """"))"),"")</f>
        <v/>
      </c>
      <c r="H246" s="180" t="str">
        <f>IFERROR(__xludf.DUMMYFUNCTION("TRIM(REGEXREPLACE(D246, ""[0-9]+[a-f]?\."", """"))"),"")</f>
        <v/>
      </c>
      <c r="I246" s="180" t="str">
        <f>IFERROR(__xludf.DUMMYFUNCTION("TRIM(REGEXREPLACE(E246, ""[0-9]+[a-f]?\."", """"))"),"")</f>
        <v/>
      </c>
      <c r="J246" s="180" t="s">
        <v>1405</v>
      </c>
      <c r="K246" s="180" t="s">
        <v>1406</v>
      </c>
      <c r="L246" s="180" t="s">
        <v>1408</v>
      </c>
    </row>
    <row r="247" hidden="1">
      <c r="A247" s="70" t="s">
        <v>68</v>
      </c>
      <c r="B247" s="188" t="s">
        <v>1274</v>
      </c>
      <c r="C247" s="215"/>
      <c r="D247" s="209"/>
      <c r="E247" s="209"/>
      <c r="F247" s="187">
        <v>147.0</v>
      </c>
      <c r="G247" s="180" t="str">
        <f>IFERROR(__xludf.DUMMYFUNCTION("TRIM(REGEXREPLACE(C247, ""[0-9]+[a-f]?\."", """"))"),"")</f>
        <v/>
      </c>
      <c r="H247" s="180" t="str">
        <f>IFERROR(__xludf.DUMMYFUNCTION("TRIM(REGEXREPLACE(D247, ""[0-9]+[a-f]?\."", """"))"),"")</f>
        <v/>
      </c>
      <c r="I247" s="180" t="str">
        <f>IFERROR(__xludf.DUMMYFUNCTION("TRIM(REGEXREPLACE(E247, ""[0-9]+[a-f]?\."", """"))"),"")</f>
        <v/>
      </c>
      <c r="J247" s="180" t="s">
        <v>1412</v>
      </c>
      <c r="K247" s="180" t="s">
        <v>1413</v>
      </c>
      <c r="L247" s="180" t="s">
        <v>1414</v>
      </c>
    </row>
    <row r="248" hidden="1">
      <c r="A248" s="180"/>
      <c r="B248" s="182"/>
      <c r="C248" s="182"/>
      <c r="D248" s="182"/>
      <c r="E248" s="182"/>
      <c r="F248" s="187">
        <v>162.0</v>
      </c>
      <c r="G248" s="180" t="str">
        <f>IFERROR(__xludf.DUMMYFUNCTION("TRIM(REGEXREPLACE(C248, ""[0-9]+[a-f]?\."", """"))"),"")</f>
        <v/>
      </c>
      <c r="H248" s="180" t="str">
        <f>IFERROR(__xludf.DUMMYFUNCTION("TRIM(REGEXREPLACE(D248, ""[0-9]+[a-f]?\."", """"))"),"")</f>
        <v/>
      </c>
      <c r="I248" s="180" t="str">
        <f>IFERROR(__xludf.DUMMYFUNCTION("TRIM(REGEXREPLACE(E248, ""[0-9]+[a-f]?\."", """"))"),"")</f>
        <v/>
      </c>
      <c r="J248" s="180" t="s">
        <v>1416</v>
      </c>
      <c r="K248" s="180" t="s">
        <v>1417</v>
      </c>
      <c r="L248" s="180" t="s">
        <v>1419</v>
      </c>
    </row>
    <row r="249" hidden="1">
      <c r="A249" s="180"/>
      <c r="B249" s="182"/>
      <c r="C249" s="182"/>
      <c r="D249" s="182"/>
      <c r="E249" s="182"/>
      <c r="F249" s="187">
        <v>163.0</v>
      </c>
      <c r="G249" s="180" t="str">
        <f>IFERROR(__xludf.DUMMYFUNCTION("TRIM(REGEXREPLACE(C249, ""[0-9]+[a-f]?\."", """"))"),"")</f>
        <v/>
      </c>
      <c r="H249" s="180" t="str">
        <f>IFERROR(__xludf.DUMMYFUNCTION("TRIM(REGEXREPLACE(D249, ""[0-9]+[a-f]?\."", """"))"),"")</f>
        <v/>
      </c>
      <c r="I249" s="180" t="str">
        <f>IFERROR(__xludf.DUMMYFUNCTION("TRIM(REGEXREPLACE(E249, ""[0-9]+[a-f]?\."", """"))"),"")</f>
        <v/>
      </c>
      <c r="J249" s="180" t="s">
        <v>1423</v>
      </c>
      <c r="K249" s="180" t="s">
        <v>1424</v>
      </c>
      <c r="L249" s="180" t="s">
        <v>1425</v>
      </c>
    </row>
    <row r="250" hidden="1">
      <c r="A250" s="180"/>
      <c r="B250" s="182"/>
      <c r="C250" s="182"/>
      <c r="D250" s="182"/>
      <c r="E250" s="182"/>
      <c r="F250" s="187">
        <v>164.0</v>
      </c>
      <c r="G250" s="180" t="str">
        <f>IFERROR(__xludf.DUMMYFUNCTION("TRIM(REGEXREPLACE(C250, ""[0-9]+[a-f]?\."", """"))"),"")</f>
        <v/>
      </c>
      <c r="H250" s="180" t="str">
        <f>IFERROR(__xludf.DUMMYFUNCTION("TRIM(REGEXREPLACE(D250, ""[0-9]+[a-f]?\."", """"))"),"")</f>
        <v/>
      </c>
      <c r="I250" s="180" t="str">
        <f>IFERROR(__xludf.DUMMYFUNCTION("TRIM(REGEXREPLACE(E250, ""[0-9]+[a-f]?\."", """"))"),"")</f>
        <v/>
      </c>
      <c r="J250" s="180" t="s">
        <v>1427</v>
      </c>
      <c r="K250" s="180" t="s">
        <v>1428</v>
      </c>
      <c r="L250" s="180" t="s">
        <v>1429</v>
      </c>
    </row>
    <row r="251" hidden="1">
      <c r="A251" s="180"/>
      <c r="B251" s="182"/>
      <c r="C251" s="182"/>
      <c r="D251" s="182"/>
      <c r="E251" s="182"/>
      <c r="F251" s="187">
        <v>165.0</v>
      </c>
      <c r="G251" s="180" t="str">
        <f>IFERROR(__xludf.DUMMYFUNCTION("TRIM(REGEXREPLACE(C251, ""[0-9]+[a-f]?\."", """"))"),"")</f>
        <v/>
      </c>
      <c r="H251" s="180" t="str">
        <f>IFERROR(__xludf.DUMMYFUNCTION("TRIM(REGEXREPLACE(D251, ""[0-9]+[a-f]?\."", """"))"),"")</f>
        <v/>
      </c>
      <c r="I251" s="180" t="str">
        <f>IFERROR(__xludf.DUMMYFUNCTION("TRIM(REGEXREPLACE(E251, ""[0-9]+[a-f]?\."", """"))"),"")</f>
        <v/>
      </c>
      <c r="J251" s="180" t="s">
        <v>1431</v>
      </c>
      <c r="K251" s="180" t="s">
        <v>1432</v>
      </c>
      <c r="L251" s="180" t="s">
        <v>1433</v>
      </c>
    </row>
    <row r="252" hidden="1">
      <c r="A252" s="180"/>
      <c r="B252" s="182"/>
      <c r="C252" s="182"/>
      <c r="D252" s="182"/>
      <c r="E252" s="182"/>
      <c r="F252" s="187">
        <v>157.0</v>
      </c>
      <c r="G252" s="180" t="str">
        <f>IFERROR(__xludf.DUMMYFUNCTION("TRIM(REGEXREPLACE(C252, ""[0-9]+[a-f]?\."", """"))"),"")</f>
        <v/>
      </c>
      <c r="H252" s="180" t="str">
        <f>IFERROR(__xludf.DUMMYFUNCTION("TRIM(REGEXREPLACE(D252, ""[0-9]+[a-f]?\."", """"))"),"")</f>
        <v/>
      </c>
      <c r="I252" s="180" t="str">
        <f>IFERROR(__xludf.DUMMYFUNCTION("TRIM(REGEXREPLACE(E252, ""[0-9]+[a-f]?\."", """"))"),"")</f>
        <v/>
      </c>
      <c r="J252" s="180" t="s">
        <v>1435</v>
      </c>
      <c r="K252" s="180" t="s">
        <v>1436</v>
      </c>
      <c r="L252" s="180" t="s">
        <v>1437</v>
      </c>
    </row>
    <row r="253" hidden="1">
      <c r="A253" s="180"/>
      <c r="B253" s="182"/>
      <c r="C253" s="182"/>
      <c r="D253" s="182"/>
      <c r="E253" s="182"/>
      <c r="F253" s="187">
        <v>158.0</v>
      </c>
      <c r="G253" s="180" t="str">
        <f>IFERROR(__xludf.DUMMYFUNCTION("TRIM(REGEXREPLACE(C253, ""[0-9]+[a-f]?\."", """"))"),"")</f>
        <v/>
      </c>
      <c r="H253" s="180" t="str">
        <f>IFERROR(__xludf.DUMMYFUNCTION("TRIM(REGEXREPLACE(D253, ""[0-9]+[a-f]?\."", """"))"),"")</f>
        <v/>
      </c>
      <c r="I253" s="180" t="str">
        <f>IFERROR(__xludf.DUMMYFUNCTION("TRIM(REGEXREPLACE(E253, ""[0-9]+[a-f]?\."", """"))"),"")</f>
        <v/>
      </c>
      <c r="J253" s="180" t="s">
        <v>1438</v>
      </c>
      <c r="K253" s="180" t="s">
        <v>1439</v>
      </c>
      <c r="L253" s="180" t="s">
        <v>1441</v>
      </c>
    </row>
    <row r="254" hidden="1">
      <c r="A254" s="180"/>
      <c r="B254" s="182"/>
      <c r="C254" s="182"/>
      <c r="D254" s="182"/>
      <c r="E254" s="182"/>
      <c r="F254" s="187">
        <v>159.0</v>
      </c>
      <c r="G254" s="180" t="str">
        <f>IFERROR(__xludf.DUMMYFUNCTION("TRIM(REGEXREPLACE(C254, ""[0-9]+[a-f]?\."", """"))"),"")</f>
        <v/>
      </c>
      <c r="H254" s="180" t="str">
        <f>IFERROR(__xludf.DUMMYFUNCTION("TRIM(REGEXREPLACE(D254, ""[0-9]+[a-f]?\."", """"))"),"")</f>
        <v/>
      </c>
      <c r="I254" s="180" t="str">
        <f>IFERROR(__xludf.DUMMYFUNCTION("TRIM(REGEXREPLACE(E254, ""[0-9]+[a-f]?\."", """"))"),"")</f>
        <v/>
      </c>
      <c r="J254" s="180" t="s">
        <v>1445</v>
      </c>
      <c r="K254" s="180" t="s">
        <v>1446</v>
      </c>
      <c r="L254" s="180" t="s">
        <v>1447</v>
      </c>
    </row>
    <row r="255" hidden="1">
      <c r="A255" s="180"/>
      <c r="B255" s="182"/>
      <c r="C255" s="182"/>
      <c r="D255" s="182"/>
      <c r="E255" s="182"/>
      <c r="F255" s="187">
        <v>166.0</v>
      </c>
      <c r="G255" s="180" t="str">
        <f>IFERROR(__xludf.DUMMYFUNCTION("TRIM(REGEXREPLACE(C255, ""[0-9]+[a-f]?\."", """"))"),"")</f>
        <v/>
      </c>
      <c r="H255" s="180" t="str">
        <f>IFERROR(__xludf.DUMMYFUNCTION("TRIM(REGEXREPLACE(D255, ""[0-9]+[a-f]?\."", """"))"),"")</f>
        <v/>
      </c>
      <c r="I255" s="180" t="str">
        <f>IFERROR(__xludf.DUMMYFUNCTION("TRIM(REGEXREPLACE(E255, ""[0-9]+[a-f]?\."", """"))"),"")</f>
        <v/>
      </c>
      <c r="J255" s="180" t="s">
        <v>1448</v>
      </c>
      <c r="K255" s="180" t="s">
        <v>1449</v>
      </c>
      <c r="L255" s="180" t="s">
        <v>1450</v>
      </c>
    </row>
    <row r="256" hidden="1">
      <c r="A256" s="180"/>
      <c r="B256" s="182"/>
      <c r="C256" s="182"/>
      <c r="D256" s="182"/>
      <c r="E256" s="182"/>
      <c r="F256" s="187">
        <v>167.0</v>
      </c>
      <c r="G256" s="180" t="str">
        <f>IFERROR(__xludf.DUMMYFUNCTION("TRIM(REGEXREPLACE(C256, ""[0-9]+[a-f]?\."", """"))"),"")</f>
        <v/>
      </c>
      <c r="H256" s="180" t="str">
        <f>IFERROR(__xludf.DUMMYFUNCTION("TRIM(REGEXREPLACE(D256, ""[0-9]+[a-f]?\."", """"))"),"")</f>
        <v/>
      </c>
      <c r="I256" s="180" t="str">
        <f>IFERROR(__xludf.DUMMYFUNCTION("TRIM(REGEXREPLACE(E256, ""[0-9]+[a-f]?\."", """"))"),"")</f>
        <v/>
      </c>
      <c r="J256" s="180" t="s">
        <v>1458</v>
      </c>
      <c r="K256" s="180" t="s">
        <v>1459</v>
      </c>
      <c r="L256" s="180" t="s">
        <v>1461</v>
      </c>
    </row>
    <row r="257" hidden="1">
      <c r="A257" s="70" t="s">
        <v>68</v>
      </c>
      <c r="B257" s="71" t="s">
        <v>1288</v>
      </c>
      <c r="C257" s="209"/>
      <c r="D257" s="209"/>
      <c r="E257" s="209"/>
      <c r="F257" s="187">
        <v>148.0</v>
      </c>
      <c r="G257" s="180" t="str">
        <f>IFERROR(__xludf.DUMMYFUNCTION("TRIM(REGEXREPLACE(C257, ""[0-9]+[a-f]?\."", """"))"),"")</f>
        <v/>
      </c>
      <c r="H257" s="180" t="str">
        <f>IFERROR(__xludf.DUMMYFUNCTION("TRIM(REGEXREPLACE(D257, ""[0-9]+[a-f]?\."", """"))"),"")</f>
        <v/>
      </c>
      <c r="I257" s="180" t="str">
        <f>IFERROR(__xludf.DUMMYFUNCTION("TRIM(REGEXREPLACE(E257, ""[0-9]+[a-f]?\."", """"))"),"")</f>
        <v/>
      </c>
      <c r="J257" s="180" t="s">
        <v>1464</v>
      </c>
      <c r="K257" s="180" t="s">
        <v>1348</v>
      </c>
      <c r="L257" s="180" t="s">
        <v>1348</v>
      </c>
    </row>
    <row r="258" hidden="1">
      <c r="A258" s="180"/>
      <c r="B258" s="182"/>
      <c r="C258" s="182"/>
      <c r="D258" s="182"/>
      <c r="E258" s="182"/>
      <c r="F258" s="187">
        <v>161.0</v>
      </c>
      <c r="G258" s="180" t="str">
        <f>IFERROR(__xludf.DUMMYFUNCTION("TRIM(REGEXREPLACE(C258, ""[0-9]+[a-f]?\."", """"))"),"")</f>
        <v/>
      </c>
      <c r="H258" s="180" t="str">
        <f>IFERROR(__xludf.DUMMYFUNCTION("TRIM(REGEXREPLACE(D258, ""[0-9]+[a-f]?\."", """"))"),"")</f>
        <v/>
      </c>
      <c r="I258" s="180" t="str">
        <f>IFERROR(__xludf.DUMMYFUNCTION("TRIM(REGEXREPLACE(E258, ""[0-9]+[a-f]?\."", """"))"),"")</f>
        <v/>
      </c>
      <c r="J258" s="180" t="s">
        <v>1465</v>
      </c>
      <c r="K258" s="180" t="s">
        <v>1466</v>
      </c>
      <c r="L258" s="180" t="s">
        <v>1467</v>
      </c>
    </row>
    <row r="259" hidden="1">
      <c r="A259" s="61"/>
      <c r="B259" s="61"/>
      <c r="C259" s="198"/>
      <c r="D259" s="198"/>
      <c r="E259" s="198"/>
      <c r="F259" s="187">
        <v>149.0</v>
      </c>
      <c r="G259" s="180" t="str">
        <f>IFERROR(__xludf.DUMMYFUNCTION("TRIM(REGEXREPLACE(C259, ""[0-9]+[a-f]?\."", """"))"),"")</f>
        <v/>
      </c>
      <c r="H259" s="180" t="str">
        <f>IFERROR(__xludf.DUMMYFUNCTION("TRIM(REGEXREPLACE(D259, ""[0-9]+[a-f]?\."", """"))"),"")</f>
        <v/>
      </c>
      <c r="I259" s="180" t="str">
        <f>IFERROR(__xludf.DUMMYFUNCTION("TRIM(REGEXREPLACE(E259, ""[0-9]+[a-f]?\."", """"))"),"")</f>
        <v/>
      </c>
      <c r="J259" s="180" t="s">
        <v>1472</v>
      </c>
      <c r="K259" s="180" t="s">
        <v>1473</v>
      </c>
      <c r="L259" s="180" t="s">
        <v>1473</v>
      </c>
    </row>
    <row r="260">
      <c r="A260" s="61" t="s">
        <v>1306</v>
      </c>
      <c r="B260" s="61" t="s">
        <v>1307</v>
      </c>
      <c r="C260" s="45" t="s">
        <v>1308</v>
      </c>
      <c r="D260" s="45" t="s">
        <v>1309</v>
      </c>
      <c r="E260" s="45" t="s">
        <v>1310</v>
      </c>
      <c r="F260" s="187">
        <v>9.0</v>
      </c>
      <c r="G260" s="180" t="str">
        <f>IFERROR(__xludf.DUMMYFUNCTION("TRIM(REGEXREPLACE(C260, ""[0-9]+[a-f]?\."", """"))"),"You indicated that you are attempting to interview ${shm_name_bl} (age: ${shm_age_bl}). Is that correct?")</f>
        <v>You indicated that you are attempting to interview ${shm_name_bl} (age: ${shm_age_bl}). Is that correct?</v>
      </c>
      <c r="H260" s="180" t="str">
        <f>IFERROR(__xludf.DUMMYFUNCTION("TRIM(REGEXREPLACE(D260, ""[0-9]+[a-f]?\."", """"))"),"Vous avez indiqué que vous tentez d'interroger ${shm_name_bl} (âge : ${shm_age}). Est-ce exact ?")</f>
        <v>Vous avez indiqué que vous tentez d'interroger ${shm_name_bl} (âge : ${shm_age}). Est-ce exact ?</v>
      </c>
      <c r="I260" s="180" t="str">
        <f>IFERROR(__xludf.DUMMYFUNCTION("TRIM(REGEXREPLACE(E260, ""[0-9]+[a-f]?\."", """"))"),"Kun nuna cewa kuna ƙoƙarin yin hira da ${shm_name} (shekaru: ${shm_age_bl}). Shin hakan daidai ne?")</f>
        <v>Kun nuna cewa kuna ƙoƙarin yin hira da ${shm_name} (shekaru: ${shm_age_bl}). Shin hakan daidai ne?</v>
      </c>
      <c r="J260" s="180" t="str">
        <f t="shared" ref="J260:L260" si="9">$F260 &amp; ". "&amp;G260</f>
        <v>9. You indicated that you are attempting to interview ${shm_name_bl} (age: ${shm_age_bl}). Is that correct?</v>
      </c>
      <c r="K260" s="180" t="str">
        <f t="shared" si="9"/>
        <v>9. Vous avez indiqué que vous tentez d'interroger ${shm_name_bl} (âge : ${shm_age}). Est-ce exact ?</v>
      </c>
      <c r="L260" s="180" t="str">
        <f t="shared" si="9"/>
        <v>9. Kun nuna cewa kuna ƙoƙarin yin hira da ${shm_name} (shekaru: ${shm_age_bl}). Shin hakan daidai ne?</v>
      </c>
    </row>
    <row r="261">
      <c r="A261" s="80" t="s">
        <v>1317</v>
      </c>
      <c r="B261" s="81" t="s">
        <v>1318</v>
      </c>
      <c r="C261" s="45" t="s">
        <v>548</v>
      </c>
      <c r="D261" s="45" t="s">
        <v>549</v>
      </c>
      <c r="E261" s="45" t="s">
        <v>550</v>
      </c>
      <c r="F261" s="187">
        <v>10.0</v>
      </c>
      <c r="G261" s="180" t="str">
        <f>IFERROR(__xludf.DUMMYFUNCTION("TRIM(REGEXREPLACE(C261, ""[0-9]+[a-f]?\."", """"))"),"Who are you trying to interview? Here are the other respondents in this household:")</f>
        <v>Who are you trying to interview? Here are the other respondents in this household:</v>
      </c>
      <c r="H261" s="180" t="str">
        <f>IFERROR(__xludf.DUMMYFUNCTION("TRIM(REGEXREPLACE(D261, ""[0-9]+[a-f]?\."", """"))"),"Qui essayez-vous d’interroger ? Voici les autres répondants de ce foyer :")</f>
        <v>Qui essayez-vous d’interroger ? Voici les autres répondants de ce foyer :</v>
      </c>
      <c r="I261" s="180" t="str">
        <f>IFERROR(__xludf.DUMMYFUNCTION("TRIM(REGEXREPLACE(E261, ""[0-9]+[a-f]?\."", """"))"),"Wanene kuke ƙoƙarin yin hira da shi ? Ga sauran masu bada amsa a wannan gidan:")</f>
        <v>Wanene kuke ƙoƙarin yin hira da shi ? Ga sauran masu bada amsa a wannan gidan:</v>
      </c>
      <c r="J261" s="180" t="str">
        <f t="shared" ref="J261:L261" si="10">$F261 &amp; ". "&amp;G261</f>
        <v>10. Who are you trying to interview? Here are the other respondents in this household:</v>
      </c>
      <c r="K261" s="180" t="str">
        <f t="shared" si="10"/>
        <v>10. Qui essayez-vous d’interroger ? Voici les autres répondants de ce foyer :</v>
      </c>
      <c r="L261" s="180" t="str">
        <f t="shared" si="10"/>
        <v>10. Wanene kuke ƙoƙarin yin hira da shi ? Ga sauran masu bada amsa a wannan gidan:</v>
      </c>
    </row>
    <row r="262">
      <c r="A262" s="218" t="s">
        <v>38</v>
      </c>
      <c r="B262" s="219" t="s">
        <v>1332</v>
      </c>
      <c r="C262" s="45" t="s">
        <v>554</v>
      </c>
      <c r="D262" s="45" t="s">
        <v>555</v>
      </c>
      <c r="E262" s="45" t="s">
        <v>557</v>
      </c>
      <c r="F262" s="187">
        <v>11.0</v>
      </c>
      <c r="G262" s="180" t="str">
        <f>IFERROR(__xludf.DUMMYFUNCTION("TRIM(REGEXREPLACE(C262, ""[0-9]+[a-f]?\."", """"))"),"End of survey. Please return and fill out the PM survey to collect survey responses.")</f>
        <v>End of survey. Please return and fill out the PM survey to collect survey responses.</v>
      </c>
      <c r="H262" s="180" t="str">
        <f>IFERROR(__xludf.DUMMYFUNCTION("TRIM(REGEXREPLACE(D262, ""[0-9]+[a-f]?\."", """"))"),"Fin de l'enquête. Veuillez revenir et remplir l'enquête PM pour recueillir les réponses aux questions.")</f>
        <v>Fin de l'enquête. Veuillez revenir et remplir l'enquête PM pour recueillir les réponses aux questions.</v>
      </c>
      <c r="I262" s="180" t="str">
        <f>IFERROR(__xludf.DUMMYFUNCTION("TRIM(REGEXREPLACE(E262, ""[0-9]+[a-f]?\."", """"))"),"Ƙarshen binciken kenan. Da fatan za a dawo a cika binciken PM don tattara amsoshin binciken.")</f>
        <v>Ƙarshen binciken kenan. Da fatan za a dawo a cika binciken PM don tattara amsoshin binciken.</v>
      </c>
      <c r="J262" s="180" t="str">
        <f t="shared" ref="J262:L262" si="11">$F262 &amp; ". "&amp;G262</f>
        <v>11. End of survey. Please return and fill out the PM survey to collect survey responses.</v>
      </c>
      <c r="K262" s="180" t="str">
        <f t="shared" si="11"/>
        <v>11. Fin de l'enquête. Veuillez revenir et remplir l'enquête PM pour recueillir les réponses aux questions.</v>
      </c>
      <c r="L262" s="180" t="str">
        <f t="shared" si="11"/>
        <v>11. Ƙarshen binciken kenan. Da fatan za a dawo a cika binciken PM don tattara amsoshin binciken.</v>
      </c>
    </row>
    <row r="263">
      <c r="A263" s="218" t="s">
        <v>38</v>
      </c>
      <c r="B263" s="221" t="s">
        <v>1346</v>
      </c>
      <c r="C263" s="45" t="s">
        <v>561</v>
      </c>
      <c r="D263" s="45" t="s">
        <v>562</v>
      </c>
      <c r="E263" s="45" t="s">
        <v>563</v>
      </c>
      <c r="F263" s="187">
        <v>12.0</v>
      </c>
      <c r="G263" s="180" t="str">
        <f>IFERROR(__xludf.DUMMYFUNCTION("TRIM(REGEXREPLACE(C263, ""[0-9]+[a-f]?\."", """"))"),"End of survey. Please return and fill out the Woman survey to collect survey responses.")</f>
        <v>End of survey. Please return and fill out the Woman survey to collect survey responses.</v>
      </c>
      <c r="H263" s="180" t="str">
        <f>IFERROR(__xludf.DUMMYFUNCTION("TRIM(REGEXREPLACE(D263, ""[0-9]+[a-f]?\."", """"))"),"Fin de l'enquête. Veuillez revenir et remplir l'enquête Femme pour recueillir les réponses aux questions.")</f>
        <v>Fin de l'enquête. Veuillez revenir et remplir l'enquête Femme pour recueillir les réponses aux questions.</v>
      </c>
      <c r="I263" s="180" t="str">
        <f>IFERROR(__xludf.DUMMYFUNCTION("TRIM(REGEXREPLACE(E263, ""[0-9]+[a-f]?\."", """"))"),"Ƙarshen binciken kenan. Da fatan za a dawo a cika binciken Mata don tattara amsoshin binciken.")</f>
        <v>Ƙarshen binciken kenan. Da fatan za a dawo a cika binciken Mata don tattara amsoshin binciken.</v>
      </c>
      <c r="J263" s="180" t="str">
        <f t="shared" ref="J263:L263" si="12">$F263 &amp; ". "&amp;G263</f>
        <v>12. End of survey. Please return and fill out the Woman survey to collect survey responses.</v>
      </c>
      <c r="K263" s="180" t="str">
        <f t="shared" si="12"/>
        <v>12. Fin de l'enquête. Veuillez revenir et remplir l'enquête Femme pour recueillir les réponses aux questions.</v>
      </c>
      <c r="L263" s="180" t="str">
        <f t="shared" si="12"/>
        <v>12. Ƙarshen binciken kenan. Da fatan za a dawo a cika binciken Mata don tattara amsoshin binciken.</v>
      </c>
    </row>
    <row r="264">
      <c r="A264" s="61" t="s">
        <v>1306</v>
      </c>
      <c r="B264" s="88" t="s">
        <v>1356</v>
      </c>
      <c r="C264" s="45" t="s">
        <v>1491</v>
      </c>
      <c r="D264" s="45" t="s">
        <v>1492</v>
      </c>
      <c r="E264" s="45" t="s">
        <v>1493</v>
      </c>
      <c r="F264" s="187">
        <v>13.0</v>
      </c>
      <c r="G264" s="180" t="str">
        <f>IFERROR(__xludf.DUMMYFUNCTION("TRIM(REGEXREPLACE(C264, ""[0-9]+[a-f]?\."", """"))"),"Is ${shm_name_bl} still a member of this household?")</f>
        <v>Is ${shm_name_bl} still a member of this household?</v>
      </c>
      <c r="H264" s="180" t="str">
        <f>IFERROR(__xludf.DUMMYFUNCTION("TRIM(REGEXREPLACE(D264, ""[0-9]+[a-f]?\."", """"))"),"Est-ce que ${shm_name_bl} est toujours membre de ce ménage ?")</f>
        <v>Est-ce que ${shm_name_bl} est toujours membre de ce ménage ?</v>
      </c>
      <c r="I264" s="180" t="str">
        <f>IFERROR(__xludf.DUMMYFUNCTION("TRIM(REGEXREPLACE(E264, ""[0-9]+[a-f]?\."", """"))"),"Ko ${shm_name_bl} har yanzu dan wannan gidan ne?")</f>
        <v>Ko ${shm_name_bl} har yanzu dan wannan gidan ne?</v>
      </c>
      <c r="J264" s="180" t="str">
        <f t="shared" ref="J264:L264" si="13">$F264 &amp; ". "&amp;G264</f>
        <v>13. Is ${shm_name_bl} still a member of this household?</v>
      </c>
      <c r="K264" s="180" t="str">
        <f t="shared" si="13"/>
        <v>13. Est-ce que ${shm_name_bl} est toujours membre de ce ménage ?</v>
      </c>
      <c r="L264" s="180" t="str">
        <f t="shared" si="13"/>
        <v>13. Ko ${shm_name_bl} har yanzu dan wannan gidan ne?</v>
      </c>
    </row>
    <row r="265">
      <c r="A265" s="61" t="s">
        <v>1371</v>
      </c>
      <c r="B265" s="88" t="s">
        <v>1372</v>
      </c>
      <c r="C265" s="45" t="s">
        <v>1497</v>
      </c>
      <c r="D265" s="45" t="s">
        <v>1498</v>
      </c>
      <c r="E265" s="45" t="s">
        <v>1499</v>
      </c>
      <c r="F265" s="187">
        <v>14.0</v>
      </c>
      <c r="G265" s="180" t="str">
        <f>IFERROR(__xludf.DUMMYFUNCTION("TRIM(REGEXREPLACE(C265, ""[0-9]+[a-f]?\."", """"))"),"Enumerator: In the Prospective migrant survey, we asked you to write down the name of the member who would be best positioned to answer Secondary Household Member survey if ${shm_name_bl} moved away from home. Please indicate the member in the list below:")</f>
        <v>Enumerator: In the Prospective migrant survey, we asked you to write down the name of the member who would be best positioned to answer Secondary Household Member survey if ${shm_name_bl} moved away from home. Please indicate the member in the list below:</v>
      </c>
      <c r="H265" s="180" t="str">
        <f>IFERROR(__xludf.DUMMYFUNCTION("TRIM(REGEXREPLACE(D265, ""[0-9]+[a-f]?\."", """"))"),"Enumérateur : Dans l'enquête sur les migrants potentiels, nous vous avons demandé d'écrire le nom du membre qui serait le mieux placé pour répondre à l'enquête sur les membres du ménage si le membre secondaire ${shm_name_bl} déménageait de chez lui. Veuil"&amp;"lez indiquer le membre dans la liste ci-dessous :")</f>
        <v>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v>
      </c>
      <c r="I265" s="180" t="str">
        <f>IFERROR(__xludf.DUMMYFUNCTION("TRIM(REGEXREPLACE(E265, ""[0-9]+[a-f]?\."", """"))"),"Mai bincike: A cikin tambayoyin mai zuwa biɗa, mun nemi a rubuta sunan wanda zai fi dacewa ya bada amsa bisa ƴan gida idan ɗan gida na biyu ${shm_name_bl} ya ƙaura daga gida. Da fatan za a nuna sunan mutumen a cikin jerin sunayen da ke ƙasa:")</f>
        <v>Mai bincike: A cikin tambayoyin mai zuwa biɗa, mun nemi a rubuta sunan wanda zai fi dacewa ya bada amsa bisa ƴan gida idan ɗan gida na biyu ${shm_name_bl} ya ƙaura daga gida. Da fatan za a nuna sunan mutumen a cikin jerin sunayen da ke ƙasa:</v>
      </c>
      <c r="J265" s="180" t="str">
        <f t="shared" ref="J265:L265" si="14">$F265 &amp; ". "&amp;G265</f>
        <v>14. Enumerator: In the Prospective migrant survey, we asked you to write down the name of the member who would be best positioned to answer Secondary Household Member survey if ${shm_name_bl} moved away from home. Please indicate the member in the list below:</v>
      </c>
      <c r="K265" s="180" t="str">
        <f t="shared" si="14"/>
        <v>14. 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v>
      </c>
      <c r="L265" s="180" t="str">
        <f t="shared" si="14"/>
        <v>14. Mai bincike: A cikin tambayoyin mai zuwa biɗa, mun nemi a rubuta sunan wanda zai fi dacewa ya bada amsa bisa ƴan gida idan ɗan gida na biyu ${shm_name_bl} ya ƙaura daga gida. Da fatan za a nuna sunan mutumen a cikin jerin sunayen da ke ƙasa:</v>
      </c>
    </row>
    <row r="266" hidden="1">
      <c r="A266" s="61" t="s">
        <v>68</v>
      </c>
      <c r="B266" s="61" t="s">
        <v>1387</v>
      </c>
      <c r="C266" s="198"/>
      <c r="D266" s="198"/>
      <c r="E266" s="198"/>
      <c r="F266" s="187">
        <v>156.0</v>
      </c>
      <c r="G266" s="180" t="str">
        <f>IFERROR(__xludf.DUMMYFUNCTION("TRIM(REGEXREPLACE(C266, ""[0-9]+[a-f]?\."", """"))"),"")</f>
        <v/>
      </c>
      <c r="H266" s="180" t="str">
        <f>IFERROR(__xludf.DUMMYFUNCTION("TRIM(REGEXREPLACE(D266, ""[0-9]+[a-f]?\."", """"))"),"")</f>
        <v/>
      </c>
      <c r="I266" s="180" t="str">
        <f>IFERROR(__xludf.DUMMYFUNCTION("TRIM(REGEXREPLACE(E266, ""[0-9]+[a-f]?\."", """"))"),"")</f>
        <v/>
      </c>
      <c r="J266" s="180" t="s">
        <v>1505</v>
      </c>
      <c r="K266" s="180" t="s">
        <v>1506</v>
      </c>
      <c r="L266" s="180" t="s">
        <v>1507</v>
      </c>
    </row>
    <row r="267" hidden="1">
      <c r="A267" s="61" t="s">
        <v>68</v>
      </c>
      <c r="B267" s="61" t="s">
        <v>1398</v>
      </c>
      <c r="C267" s="198"/>
      <c r="D267" s="198"/>
      <c r="E267" s="198"/>
      <c r="F267" s="187">
        <v>157.0</v>
      </c>
      <c r="G267" s="180" t="str">
        <f>IFERROR(__xludf.DUMMYFUNCTION("TRIM(REGEXREPLACE(C267, ""[0-9]+[a-f]?\."", """"))"),"")</f>
        <v/>
      </c>
      <c r="H267" s="180" t="str">
        <f>IFERROR(__xludf.DUMMYFUNCTION("TRIM(REGEXREPLACE(D267, ""[0-9]+[a-f]?\."", """"))"),"")</f>
        <v/>
      </c>
      <c r="I267" s="180" t="str">
        <f>IFERROR(__xludf.DUMMYFUNCTION("TRIM(REGEXREPLACE(E267, ""[0-9]+[a-f]?\."", """"))"),"")</f>
        <v/>
      </c>
      <c r="J267" s="180" t="s">
        <v>1511</v>
      </c>
      <c r="K267" s="180" t="s">
        <v>1512</v>
      </c>
      <c r="L267" s="180" t="s">
        <v>1512</v>
      </c>
    </row>
    <row r="268" hidden="1">
      <c r="A268" s="61" t="s">
        <v>68</v>
      </c>
      <c r="B268" s="61" t="s">
        <v>1411</v>
      </c>
      <c r="C268" s="198"/>
      <c r="D268" s="198"/>
      <c r="E268" s="198"/>
      <c r="F268" s="187">
        <v>158.0</v>
      </c>
      <c r="G268" s="180" t="str">
        <f>IFERROR(__xludf.DUMMYFUNCTION("TRIM(REGEXREPLACE(C268, ""[0-9]+[a-f]?\."", """"))"),"")</f>
        <v/>
      </c>
      <c r="H268" s="180" t="str">
        <f>IFERROR(__xludf.DUMMYFUNCTION("TRIM(REGEXREPLACE(D268, ""[0-9]+[a-f]?\."", """"))"),"")</f>
        <v/>
      </c>
      <c r="I268" s="180" t="str">
        <f>IFERROR(__xludf.DUMMYFUNCTION("TRIM(REGEXREPLACE(E268, ""[0-9]+[a-f]?\."", """"))"),"")</f>
        <v/>
      </c>
      <c r="J268" s="180" t="s">
        <v>1516</v>
      </c>
      <c r="K268" s="180" t="s">
        <v>1518</v>
      </c>
      <c r="L268" s="180" t="s">
        <v>1519</v>
      </c>
    </row>
    <row r="269" hidden="1">
      <c r="A269" s="61" t="s">
        <v>68</v>
      </c>
      <c r="B269" s="61" t="s">
        <v>1422</v>
      </c>
      <c r="C269" s="198"/>
      <c r="D269" s="198"/>
      <c r="E269" s="198"/>
      <c r="F269" s="187">
        <v>159.0</v>
      </c>
      <c r="G269" s="180" t="str">
        <f>IFERROR(__xludf.DUMMYFUNCTION("TRIM(REGEXREPLACE(C269, ""[0-9]+[a-f]?\."", """"))"),"")</f>
        <v/>
      </c>
      <c r="H269" s="180" t="str">
        <f>IFERROR(__xludf.DUMMYFUNCTION("TRIM(REGEXREPLACE(D269, ""[0-9]+[a-f]?\."", """"))"),"")</f>
        <v/>
      </c>
      <c r="I269" s="180" t="str">
        <f>IFERROR(__xludf.DUMMYFUNCTION("TRIM(REGEXREPLACE(E269, ""[0-9]+[a-f]?\."", """"))"),"")</f>
        <v/>
      </c>
      <c r="J269" s="180" t="s">
        <v>1521</v>
      </c>
      <c r="K269" s="180" t="s">
        <v>1522</v>
      </c>
      <c r="L269" s="180" t="s">
        <v>1523</v>
      </c>
    </row>
    <row r="270" hidden="1">
      <c r="A270" s="61" t="s">
        <v>68</v>
      </c>
      <c r="B270" s="146" t="s">
        <v>1430</v>
      </c>
      <c r="C270" s="198"/>
      <c r="D270" s="198"/>
      <c r="E270" s="198"/>
      <c r="F270" s="187">
        <v>160.0</v>
      </c>
      <c r="G270" s="180" t="str">
        <f>IFERROR(__xludf.DUMMYFUNCTION("TRIM(REGEXREPLACE(C270, ""[0-9]+[a-f]?\."", """"))"),"")</f>
        <v/>
      </c>
      <c r="H270" s="180" t="str">
        <f>IFERROR(__xludf.DUMMYFUNCTION("TRIM(REGEXREPLACE(D270, ""[0-9]+[a-f]?\."", """"))"),"")</f>
        <v/>
      </c>
      <c r="I270" s="180" t="str">
        <f>IFERROR(__xludf.DUMMYFUNCTION("TRIM(REGEXREPLACE(E270, ""[0-9]+[a-f]?\."", """"))"),"")</f>
        <v/>
      </c>
      <c r="J270" s="180" t="s">
        <v>1526</v>
      </c>
      <c r="K270" s="180" t="s">
        <v>1527</v>
      </c>
      <c r="L270" s="180" t="s">
        <v>1528</v>
      </c>
    </row>
    <row r="271">
      <c r="A271" s="61" t="s">
        <v>1306</v>
      </c>
      <c r="B271" s="61" t="s">
        <v>1440</v>
      </c>
      <c r="C271" s="45" t="s">
        <v>1530</v>
      </c>
      <c r="D271" s="45" t="s">
        <v>1531</v>
      </c>
      <c r="E271" s="45" t="s">
        <v>1532</v>
      </c>
      <c r="F271" s="187">
        <v>15.0</v>
      </c>
      <c r="G271" s="180" t="str">
        <f>IFERROR(__xludf.DUMMYFUNCTION("TRIM(REGEXREPLACE(C271, ""[0-9]+[a-f]?\."", """"))"),"Is ${shm_name} available to be interviewed?")</f>
        <v>Is ${shm_name} available to be interviewed?</v>
      </c>
      <c r="H271" s="180" t="str">
        <f>IFERROR(__xludf.DUMMYFUNCTION("TRIM(REGEXREPLACE(D271, ""[0-9]+[a-f]?\."", """"))"),"Est-ce que ${shm_name} est disponible pour être interviewé ?")</f>
        <v>Est-ce que ${shm_name} est disponible pour être interviewé ?</v>
      </c>
      <c r="I271" s="180" t="str">
        <f>IFERROR(__xludf.DUMMYFUNCTION("TRIM(REGEXREPLACE(E271, ""[0-9]+[a-f]?\."", """"))"),"Ko ${shm_name} yana da damar yin hira mu?")</f>
        <v>Ko ${shm_name} yana da damar yin hira mu?</v>
      </c>
      <c r="J271" s="180" t="str">
        <f t="shared" ref="J271:L271" si="15">$F271 &amp; ". "&amp;G271</f>
        <v>15. Is ${shm_name} available to be interviewed?</v>
      </c>
      <c r="K271" s="180" t="str">
        <f t="shared" si="15"/>
        <v>15. Est-ce que ${shm_name} est disponible pour être interviewé ?</v>
      </c>
      <c r="L271" s="180" t="str">
        <f t="shared" si="15"/>
        <v>15. Ko ${shm_name} yana da damar yin hira mu?</v>
      </c>
    </row>
    <row r="272">
      <c r="A272" s="61" t="s">
        <v>1454</v>
      </c>
      <c r="B272" s="61" t="s">
        <v>1455</v>
      </c>
      <c r="C272" s="198" t="s">
        <v>1534</v>
      </c>
      <c r="D272" s="224" t="s">
        <v>1535</v>
      </c>
      <c r="E272" s="224" t="s">
        <v>1556</v>
      </c>
      <c r="F272" s="187">
        <v>16.0</v>
      </c>
      <c r="G272" s="180" t="str">
        <f>IFERROR(__xludf.DUMMYFUNCTION("TRIM(REGEXREPLACE(C272, ""[0-9]+[a-f]?\."", """"))"),"Enumerator: Please specify why ${shm_name} is not available right now:")</f>
        <v>Enumerator: Please specify why ${shm_name} is not available right now:</v>
      </c>
      <c r="H272" s="180" t="str">
        <f>IFERROR(__xludf.DUMMYFUNCTION("TRIM(REGEXREPLACE(D272, ""[0-9]+[a-f]?\."", """"))"),"Enqueteur: veuillez specifier pourquoi ${shm_name} n'est pas disponible maintenant")</f>
        <v>Enqueteur: veuillez specifier pourquoi ${shm_name} n'est pas disponible maintenant</v>
      </c>
      <c r="I272" s="180" t="str">
        <f>IFERROR(__xludf.DUMMYFUNCTION("TRIM(REGEXREPLACE(E272, ""[0-9]+[a-f]?\."", """"))"),"Dan binkike: dan mine ${shm_name} bai nan a yanzu")</f>
        <v>Dan binkike: dan mine ${shm_name} bai nan a yanzu</v>
      </c>
      <c r="J272" s="180" t="str">
        <f t="shared" ref="J272:L272" si="16">$F272 &amp; ". "&amp;G272</f>
        <v>16. Enumerator: Please specify why ${shm_name} is not available right now:</v>
      </c>
      <c r="K272" s="180" t="str">
        <f t="shared" si="16"/>
        <v>16. Enqueteur: veuillez specifier pourquoi ${shm_name} n'est pas disponible maintenant</v>
      </c>
      <c r="L272" s="180" t="str">
        <f t="shared" si="16"/>
        <v>16. Dan binkike: dan mine ${shm_name} bai nan a yanzu</v>
      </c>
    </row>
    <row r="273">
      <c r="A273" s="61" t="s">
        <v>252</v>
      </c>
      <c r="B273" s="61" t="s">
        <v>1468</v>
      </c>
      <c r="C273" s="198" t="s">
        <v>1569</v>
      </c>
      <c r="D273" s="25" t="s">
        <v>1570</v>
      </c>
      <c r="E273" s="25" t="s">
        <v>1571</v>
      </c>
      <c r="F273" s="187">
        <v>17.0</v>
      </c>
      <c r="G273" s="180" t="str">
        <f>IFERROR(__xludf.DUMMYFUNCTION("TRIM(REGEXREPLACE(C273, ""[0-9]+[a-f]?\."", """"))"),"Other, specify:")</f>
        <v>Other, specify:</v>
      </c>
      <c r="H273" s="180" t="str">
        <f>IFERROR(__xludf.DUMMYFUNCTION("TRIM(REGEXREPLACE(D273, ""[0-9]+[a-f]?\."", """"))"),"Autre précisez:")</f>
        <v>Autre précisez:</v>
      </c>
      <c r="I273" s="180" t="str">
        <f>IFERROR(__xludf.DUMMYFUNCTION("TRIM(REGEXREPLACE(E273, ""[0-9]+[a-f]?\."", """"))"),"Sauran, bayar da cikakkun bayanai:")</f>
        <v>Sauran, bayar da cikakkun bayanai:</v>
      </c>
      <c r="J273" s="180" t="str">
        <f t="shared" ref="J273:L273" si="17">$F273 &amp; ". "&amp;G273</f>
        <v>17. Other, specify:</v>
      </c>
      <c r="K273" s="180" t="str">
        <f t="shared" si="17"/>
        <v>17. Autre précisez:</v>
      </c>
      <c r="L273" s="180" t="str">
        <f t="shared" si="17"/>
        <v>17. Sauran, bayar da cikakkun bayanai:</v>
      </c>
    </row>
    <row r="274" hidden="1">
      <c r="A274" s="61" t="s">
        <v>237</v>
      </c>
      <c r="B274" s="61" t="s">
        <v>113</v>
      </c>
      <c r="C274" s="45"/>
      <c r="D274" s="25"/>
      <c r="E274" s="25"/>
      <c r="F274" s="187">
        <v>164.0</v>
      </c>
      <c r="G274" s="180" t="str">
        <f>IFERROR(__xludf.DUMMYFUNCTION("TRIM(REGEXREPLACE(C274, ""[0-9]+[a-f]?\."", """"))"),"")</f>
        <v/>
      </c>
      <c r="H274" s="180" t="str">
        <f>IFERROR(__xludf.DUMMYFUNCTION("TRIM(REGEXREPLACE(D274, ""[0-9]+[a-f]?\."", """"))"),"")</f>
        <v/>
      </c>
      <c r="I274" s="180" t="str">
        <f>IFERROR(__xludf.DUMMYFUNCTION("TRIM(REGEXREPLACE(E274, ""[0-9]+[a-f]?\."", """"))"),"")</f>
        <v/>
      </c>
      <c r="J274" s="180" t="s">
        <v>1578</v>
      </c>
      <c r="K274" s="180" t="s">
        <v>1579</v>
      </c>
      <c r="L274" s="180" t="s">
        <v>1580</v>
      </c>
    </row>
    <row r="275">
      <c r="A275" s="61" t="s">
        <v>1306</v>
      </c>
      <c r="B275" s="61" t="s">
        <v>1482</v>
      </c>
      <c r="C275" s="45" t="s">
        <v>1582</v>
      </c>
      <c r="D275" s="45" t="s">
        <v>1583</v>
      </c>
      <c r="E275" s="45" t="s">
        <v>1584</v>
      </c>
      <c r="F275" s="187">
        <v>18.0</v>
      </c>
      <c r="G275" s="180" t="str">
        <f>IFERROR(__xludf.DUMMYFUNCTION("TRIM(REGEXREPLACE(C275,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275" s="180" t="str">
        <f>IFERROR(__xludf.DUMMYFUNCTION("TRIM(REGEXREPLACE(D275,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275" s="180" t="str">
        <f>IFERROR(__xludf.DUMMYFUNCTION("TRIM(REGEXREPLACE(E275,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275" s="180" t="str">
        <f t="shared" ref="J275:L275" si="18">$F275 &amp; ". "&amp;G275</f>
        <v>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K275" s="180" t="str">
        <f t="shared" si="18"/>
        <v>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L275" s="180" t="str">
        <f t="shared" si="18"/>
        <v>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row>
    <row r="276" hidden="1">
      <c r="A276" s="180"/>
      <c r="B276" s="182"/>
      <c r="C276" s="182"/>
      <c r="D276" s="182"/>
      <c r="E276" s="182"/>
      <c r="F276" s="187">
        <v>180.0</v>
      </c>
      <c r="G276" s="180" t="str">
        <f>IFERROR(__xludf.DUMMYFUNCTION("TRIM(REGEXREPLACE(C276, ""[0-9]+[a-f]?\."", """"))"),"")</f>
        <v/>
      </c>
      <c r="H276" s="180" t="str">
        <f>IFERROR(__xludf.DUMMYFUNCTION("TRIM(REGEXREPLACE(D276, ""[0-9]+[a-f]?\."", """"))"),"")</f>
        <v/>
      </c>
      <c r="I276" s="180" t="str">
        <f>IFERROR(__xludf.DUMMYFUNCTION("TRIM(REGEXREPLACE(E276, ""[0-9]+[a-f]?\."", """"))"),"")</f>
        <v/>
      </c>
      <c r="J276" s="180" t="s">
        <v>1593</v>
      </c>
      <c r="K276" s="180" t="s">
        <v>1594</v>
      </c>
      <c r="L276" s="180" t="s">
        <v>1595</v>
      </c>
    </row>
    <row r="277" hidden="1">
      <c r="A277" s="180"/>
      <c r="B277" s="182"/>
      <c r="C277" s="182"/>
      <c r="D277" s="182"/>
      <c r="E277" s="182"/>
      <c r="F277" s="187">
        <v>181.0</v>
      </c>
      <c r="G277" s="180" t="str">
        <f>IFERROR(__xludf.DUMMYFUNCTION("TRIM(REGEXREPLACE(C277, ""[0-9]+[a-f]?\."", """"))"),"")</f>
        <v/>
      </c>
      <c r="H277" s="180" t="str">
        <f>IFERROR(__xludf.DUMMYFUNCTION("TRIM(REGEXREPLACE(D277, ""[0-9]+[a-f]?\."", """"))"),"")</f>
        <v/>
      </c>
      <c r="I277" s="180" t="str">
        <f>IFERROR(__xludf.DUMMYFUNCTION("TRIM(REGEXREPLACE(E277, ""[0-9]+[a-f]?\."", """"))"),"")</f>
        <v/>
      </c>
      <c r="J277" s="180" t="s">
        <v>1630</v>
      </c>
      <c r="K277" s="180" t="s">
        <v>1632</v>
      </c>
      <c r="L277" s="180" t="s">
        <v>1634</v>
      </c>
    </row>
    <row r="278" hidden="1">
      <c r="A278" s="180"/>
      <c r="B278" s="182"/>
      <c r="C278" s="182"/>
      <c r="D278" s="182"/>
      <c r="E278" s="182"/>
      <c r="F278" s="187">
        <v>182.0</v>
      </c>
      <c r="G278" s="180" t="str">
        <f>IFERROR(__xludf.DUMMYFUNCTION("TRIM(REGEXREPLACE(C278, ""[0-9]+[a-f]?\."", """"))"),"")</f>
        <v/>
      </c>
      <c r="H278" s="180" t="str">
        <f>IFERROR(__xludf.DUMMYFUNCTION("TRIM(REGEXREPLACE(D278, ""[0-9]+[a-f]?\."", """"))"),"")</f>
        <v/>
      </c>
      <c r="I278" s="180" t="str">
        <f>IFERROR(__xludf.DUMMYFUNCTION("TRIM(REGEXREPLACE(E278, ""[0-9]+[a-f]?\."", """"))"),"")</f>
        <v/>
      </c>
      <c r="J278" s="180" t="s">
        <v>1646</v>
      </c>
      <c r="K278" s="180" t="s">
        <v>1646</v>
      </c>
      <c r="L278" s="180" t="s">
        <v>1647</v>
      </c>
    </row>
    <row r="279" hidden="1">
      <c r="A279" s="70" t="s">
        <v>127</v>
      </c>
      <c r="B279" s="71" t="s">
        <v>1490</v>
      </c>
      <c r="C279" s="200"/>
      <c r="D279" s="200"/>
      <c r="E279" s="200"/>
      <c r="F279" s="187">
        <v>166.0</v>
      </c>
      <c r="G279" s="180" t="str">
        <f>IFERROR(__xludf.DUMMYFUNCTION("TRIM(REGEXREPLACE(C279, ""[0-9]+[a-f]?\."", """"))"),"")</f>
        <v/>
      </c>
      <c r="H279" s="180" t="str">
        <f>IFERROR(__xludf.DUMMYFUNCTION("TRIM(REGEXREPLACE(D279, ""[0-9]+[a-f]?\."", """"))"),"")</f>
        <v/>
      </c>
      <c r="I279" s="180" t="str">
        <f>IFERROR(__xludf.DUMMYFUNCTION("TRIM(REGEXREPLACE(E279, ""[0-9]+[a-f]?\."", """"))"),"")</f>
        <v/>
      </c>
      <c r="J279" s="180" t="s">
        <v>1652</v>
      </c>
      <c r="K279" s="180" t="s">
        <v>1653</v>
      </c>
      <c r="L279" s="180" t="s">
        <v>1654</v>
      </c>
    </row>
    <row r="280" hidden="1">
      <c r="A280" s="168" t="s">
        <v>68</v>
      </c>
      <c r="B280" s="177" t="s">
        <v>1500</v>
      </c>
      <c r="C280" s="200"/>
      <c r="D280" s="73"/>
      <c r="E280" s="73"/>
      <c r="F280" s="187">
        <v>167.0</v>
      </c>
      <c r="G280" s="180" t="str">
        <f>IFERROR(__xludf.DUMMYFUNCTION("TRIM(REGEXREPLACE(C280, ""[0-9]+[a-f]?\."", """"))"),"")</f>
        <v/>
      </c>
      <c r="H280" s="180" t="str">
        <f>IFERROR(__xludf.DUMMYFUNCTION("TRIM(REGEXREPLACE(D280, ""[0-9]+[a-f]?\."", """"))"),"")</f>
        <v/>
      </c>
      <c r="I280" s="180" t="str">
        <f>IFERROR(__xludf.DUMMYFUNCTION("TRIM(REGEXREPLACE(E280, ""[0-9]+[a-f]?\."", """"))"),"")</f>
        <v/>
      </c>
      <c r="J280" s="180" t="s">
        <v>1661</v>
      </c>
      <c r="K280" s="180" t="s">
        <v>1663</v>
      </c>
      <c r="L280" s="180" t="s">
        <v>1664</v>
      </c>
    </row>
    <row r="281" hidden="1">
      <c r="A281" s="61" t="s">
        <v>133</v>
      </c>
      <c r="B281" s="61" t="s">
        <v>1508</v>
      </c>
      <c r="C281" s="198" t="s">
        <v>1509</v>
      </c>
      <c r="D281" s="25"/>
      <c r="E281" s="25"/>
      <c r="F281" s="187">
        <v>168.0</v>
      </c>
      <c r="G281" s="180" t="str">
        <f>IFERROR(__xludf.DUMMYFUNCTION("TRIM(REGEXREPLACE(C281, ""[0-9]+[a-f]?\."", """"))"),"Consent: Yes")</f>
        <v>Consent: Yes</v>
      </c>
      <c r="H281" s="180" t="str">
        <f>IFERROR(__xludf.DUMMYFUNCTION("TRIM(REGEXREPLACE(D281, ""[0-9]+[a-f]?\."", """"))"),"")</f>
        <v/>
      </c>
      <c r="I281" s="180" t="str">
        <f>IFERROR(__xludf.DUMMYFUNCTION("TRIM(REGEXREPLACE(E281, ""[0-9]+[a-f]?\."", """"))"),"")</f>
        <v/>
      </c>
      <c r="J281" s="180" t="s">
        <v>1668</v>
      </c>
      <c r="K281" s="180" t="s">
        <v>1669</v>
      </c>
      <c r="L281" s="180" t="s">
        <v>1670</v>
      </c>
    </row>
    <row r="282" hidden="1">
      <c r="A282" s="180"/>
      <c r="B282" s="182"/>
      <c r="C282" s="182"/>
      <c r="D282" s="182"/>
      <c r="E282" s="182"/>
      <c r="F282" s="187">
        <v>186.0</v>
      </c>
      <c r="G282" s="180" t="str">
        <f>IFERROR(__xludf.DUMMYFUNCTION("TRIM(REGEXREPLACE(C282, ""[0-9]+[a-f]?\."", """"))"),"")</f>
        <v/>
      </c>
      <c r="H282" s="180" t="str">
        <f>IFERROR(__xludf.DUMMYFUNCTION("TRIM(REGEXREPLACE(D282, ""[0-9]+[a-f]?\."", """"))"),"")</f>
        <v/>
      </c>
      <c r="I282" s="180" t="str">
        <f>IFERROR(__xludf.DUMMYFUNCTION("TRIM(REGEXREPLACE(E282, ""[0-9]+[a-f]?\."", """"))"),"")</f>
        <v/>
      </c>
      <c r="J282" s="180" t="s">
        <v>1676</v>
      </c>
      <c r="K282" s="180" t="s">
        <v>1677</v>
      </c>
      <c r="L282" s="180" t="s">
        <v>1678</v>
      </c>
    </row>
    <row r="283" hidden="1">
      <c r="A283" s="180"/>
      <c r="B283" s="180"/>
      <c r="C283" s="182"/>
      <c r="D283" s="182"/>
      <c r="E283" s="182"/>
      <c r="F283" s="183"/>
      <c r="G283" s="180" t="str">
        <f>IFERROR(__xludf.DUMMYFUNCTION("TRIM(REGEXREPLACE(C283, ""[0-9]+[a-f]?\."", """"))"),"")</f>
        <v/>
      </c>
      <c r="H283" s="180" t="str">
        <f>IFERROR(__xludf.DUMMYFUNCTION("TRIM(REGEXREPLACE(D283, ""[0-9]+[a-f]?\."", """"))"),"")</f>
        <v/>
      </c>
      <c r="I283" s="180" t="str">
        <f>IFERROR(__xludf.DUMMYFUNCTION("TRIM(REGEXREPLACE(E283, ""[0-9]+[a-f]?\."", """"))"),"")</f>
        <v/>
      </c>
      <c r="J283" s="180"/>
      <c r="K283" s="180"/>
      <c r="L283" s="184"/>
    </row>
    <row r="284" hidden="1">
      <c r="A284" s="61" t="s">
        <v>133</v>
      </c>
      <c r="B284" s="61" t="s">
        <v>1517</v>
      </c>
      <c r="C284" s="45"/>
      <c r="D284" s="25"/>
      <c r="E284" s="25"/>
      <c r="F284" s="187">
        <v>169.0</v>
      </c>
      <c r="G284" s="180" t="str">
        <f>IFERROR(__xludf.DUMMYFUNCTION("TRIM(REGEXREPLACE(C284, ""[0-9]+[a-f]?\."", """"))"),"")</f>
        <v/>
      </c>
      <c r="H284" s="180" t="str">
        <f>IFERROR(__xludf.DUMMYFUNCTION("TRIM(REGEXREPLACE(D284, ""[0-9]+[a-f]?\."", """"))"),"")</f>
        <v/>
      </c>
      <c r="I284" s="180" t="str">
        <f>IFERROR(__xludf.DUMMYFUNCTION("TRIM(REGEXREPLACE(E284, ""[0-9]+[a-f]?\."", """"))"),"")</f>
        <v/>
      </c>
      <c r="J284" s="180" t="s">
        <v>1688</v>
      </c>
      <c r="K284" s="180" t="s">
        <v>1690</v>
      </c>
      <c r="L284" s="180" t="s">
        <v>1691</v>
      </c>
    </row>
    <row r="285" hidden="1">
      <c r="A285" s="70"/>
      <c r="B285" s="188"/>
      <c r="C285" s="198"/>
      <c r="D285" s="198"/>
      <c r="E285" s="198"/>
      <c r="F285" s="187">
        <v>170.0</v>
      </c>
      <c r="G285" s="180" t="str">
        <f>IFERROR(__xludf.DUMMYFUNCTION("TRIM(REGEXREPLACE(C285, ""[0-9]+[a-f]?\."", """"))"),"")</f>
        <v/>
      </c>
      <c r="H285" s="180" t="str">
        <f>IFERROR(__xludf.DUMMYFUNCTION("TRIM(REGEXREPLACE(D285, ""[0-9]+[a-f]?\."", """"))"),"")</f>
        <v/>
      </c>
      <c r="I285" s="180" t="str">
        <f>IFERROR(__xludf.DUMMYFUNCTION("TRIM(REGEXREPLACE(E285, ""[0-9]+[a-f]?\."", """"))"),"")</f>
        <v/>
      </c>
      <c r="J285" s="180" t="s">
        <v>1692</v>
      </c>
      <c r="K285" s="180" t="s">
        <v>1693</v>
      </c>
      <c r="L285" s="180" t="s">
        <v>1696</v>
      </c>
    </row>
    <row r="286" hidden="1">
      <c r="A286" s="180"/>
      <c r="B286" s="182"/>
      <c r="C286" s="182"/>
      <c r="D286" s="182"/>
      <c r="E286" s="182"/>
      <c r="F286" s="187">
        <v>188.0</v>
      </c>
      <c r="G286" s="180" t="str">
        <f>IFERROR(__xludf.DUMMYFUNCTION("TRIM(REGEXREPLACE(C286, ""[0-9]+[a-f]?\."", """"))"),"")</f>
        <v/>
      </c>
      <c r="H286" s="180" t="str">
        <f>IFERROR(__xludf.DUMMYFUNCTION("TRIM(REGEXREPLACE(D286, ""[0-9]+[a-f]?\."", """"))"),"")</f>
        <v/>
      </c>
      <c r="I286" s="180" t="str">
        <f>IFERROR(__xludf.DUMMYFUNCTION("TRIM(REGEXREPLACE(E286, ""[0-9]+[a-f]?\."", """"))"),"")</f>
        <v/>
      </c>
      <c r="J286" s="180" t="s">
        <v>1700</v>
      </c>
      <c r="K286" s="180" t="s">
        <v>1701</v>
      </c>
      <c r="L286" s="180" t="s">
        <v>1703</v>
      </c>
    </row>
    <row r="287" hidden="1">
      <c r="A287" s="180"/>
      <c r="B287" s="182"/>
      <c r="C287" s="182"/>
      <c r="D287" s="182"/>
      <c r="E287" s="182"/>
      <c r="F287" s="187">
        <v>189.0</v>
      </c>
      <c r="G287" s="180" t="str">
        <f>IFERROR(__xludf.DUMMYFUNCTION("TRIM(REGEXREPLACE(C287, ""[0-9]+[a-f]?\."", """"))"),"")</f>
        <v/>
      </c>
      <c r="H287" s="180" t="str">
        <f>IFERROR(__xludf.DUMMYFUNCTION("TRIM(REGEXREPLACE(D287, ""[0-9]+[a-f]?\."", """"))"),"")</f>
        <v/>
      </c>
      <c r="I287" s="180" t="str">
        <f>IFERROR(__xludf.DUMMYFUNCTION("TRIM(REGEXREPLACE(E287, ""[0-9]+[a-f]?\."", """"))"),"")</f>
        <v/>
      </c>
      <c r="J287" s="180" t="s">
        <v>1706</v>
      </c>
      <c r="K287" s="180" t="s">
        <v>1708</v>
      </c>
      <c r="L287" s="180" t="s">
        <v>1709</v>
      </c>
    </row>
    <row r="288" hidden="1">
      <c r="A288" s="180"/>
      <c r="B288" s="180"/>
      <c r="C288" s="182"/>
      <c r="D288" s="182"/>
      <c r="E288" s="182"/>
      <c r="F288" s="183"/>
      <c r="G288" s="180" t="str">
        <f>IFERROR(__xludf.DUMMYFUNCTION("TRIM(REGEXREPLACE(C288, ""[0-9]+[a-f]?\."", """"))"),"")</f>
        <v/>
      </c>
      <c r="H288" s="180" t="str">
        <f>IFERROR(__xludf.DUMMYFUNCTION("TRIM(REGEXREPLACE(D288, ""[0-9]+[a-f]?\."", """"))"),"")</f>
        <v/>
      </c>
      <c r="I288" s="180" t="str">
        <f>IFERROR(__xludf.DUMMYFUNCTION("TRIM(REGEXREPLACE(E288, ""[0-9]+[a-f]?\."", """"))"),"")</f>
        <v/>
      </c>
      <c r="J288" s="180"/>
      <c r="K288" s="180"/>
      <c r="L288" s="184"/>
    </row>
    <row r="289" hidden="1">
      <c r="A289" s="180"/>
      <c r="B289" s="182"/>
      <c r="C289" s="182"/>
      <c r="D289" s="182"/>
      <c r="E289" s="182"/>
      <c r="F289" s="187">
        <v>190.0</v>
      </c>
      <c r="G289" s="180" t="str">
        <f>IFERROR(__xludf.DUMMYFUNCTION("TRIM(REGEXREPLACE(C289, ""[0-9]+[a-f]?\."", """"))"),"")</f>
        <v/>
      </c>
      <c r="H289" s="180" t="str">
        <f>IFERROR(__xludf.DUMMYFUNCTION("TRIM(REGEXREPLACE(D289, ""[0-9]+[a-f]?\."", """"))"),"")</f>
        <v/>
      </c>
      <c r="I289" s="180" t="str">
        <f>IFERROR(__xludf.DUMMYFUNCTION("TRIM(REGEXREPLACE(E289, ""[0-9]+[a-f]?\."", """"))"),"")</f>
        <v/>
      </c>
      <c r="J289" s="180" t="s">
        <v>1717</v>
      </c>
      <c r="K289" s="180" t="s">
        <v>1718</v>
      </c>
      <c r="L289" s="180" t="s">
        <v>1720</v>
      </c>
    </row>
    <row r="290" hidden="1">
      <c r="A290" s="180"/>
      <c r="B290" s="180"/>
      <c r="C290" s="182"/>
      <c r="D290" s="182"/>
      <c r="E290" s="182"/>
      <c r="F290" s="183"/>
      <c r="G290" s="180" t="str">
        <f>IFERROR(__xludf.DUMMYFUNCTION("TRIM(REGEXREPLACE(C290, ""[0-9]+[a-f]?\."", """"))"),"")</f>
        <v/>
      </c>
      <c r="H290" s="180" t="str">
        <f>IFERROR(__xludf.DUMMYFUNCTION("TRIM(REGEXREPLACE(D290, ""[0-9]+[a-f]?\."", """"))"),"")</f>
        <v/>
      </c>
      <c r="I290" s="180" t="str">
        <f>IFERROR(__xludf.DUMMYFUNCTION("TRIM(REGEXREPLACE(E290, ""[0-9]+[a-f]?\."", """"))"),"")</f>
        <v/>
      </c>
      <c r="J290" s="180"/>
      <c r="K290" s="180"/>
      <c r="L290" s="184"/>
    </row>
    <row r="291" hidden="1">
      <c r="A291" s="180"/>
      <c r="B291" s="180"/>
      <c r="C291" s="182"/>
      <c r="D291" s="182"/>
      <c r="E291" s="182"/>
      <c r="F291" s="183"/>
      <c r="G291" s="180" t="str">
        <f>IFERROR(__xludf.DUMMYFUNCTION("TRIM(REGEXREPLACE(C291, ""[0-9]+[a-f]?\."", """"))"),"")</f>
        <v/>
      </c>
      <c r="H291" s="180" t="str">
        <f>IFERROR(__xludf.DUMMYFUNCTION("TRIM(REGEXREPLACE(D291, ""[0-9]+[a-f]?\."", """"))"),"")</f>
        <v/>
      </c>
      <c r="I291" s="180" t="str">
        <f>IFERROR(__xludf.DUMMYFUNCTION("TRIM(REGEXREPLACE(E291, ""[0-9]+[a-f]?\."", """"))"),"")</f>
        <v/>
      </c>
      <c r="J291" s="180"/>
      <c r="K291" s="180"/>
      <c r="L291" s="184"/>
    </row>
    <row r="292" hidden="1">
      <c r="A292" s="70" t="s">
        <v>127</v>
      </c>
      <c r="B292" s="188" t="s">
        <v>1536</v>
      </c>
      <c r="C292" s="198"/>
      <c r="D292" s="198"/>
      <c r="E292" s="198"/>
      <c r="F292" s="187">
        <v>171.0</v>
      </c>
      <c r="G292" s="180" t="str">
        <f>IFERROR(__xludf.DUMMYFUNCTION("TRIM(REGEXREPLACE(C292, ""[0-9]+[a-f]?\."", """"))"),"")</f>
        <v/>
      </c>
      <c r="H292" s="180" t="str">
        <f>IFERROR(__xludf.DUMMYFUNCTION("TRIM(REGEXREPLACE(D292, ""[0-9]+[a-f]?\."", """"))"),"")</f>
        <v/>
      </c>
      <c r="I292" s="180" t="str">
        <f>IFERROR(__xludf.DUMMYFUNCTION("TRIM(REGEXREPLACE(E292, ""[0-9]+[a-f]?\."", """"))"),"")</f>
        <v/>
      </c>
      <c r="J292" s="180" t="s">
        <v>1765</v>
      </c>
      <c r="K292" s="180" t="s">
        <v>1767</v>
      </c>
      <c r="L292" s="180" t="s">
        <v>1768</v>
      </c>
    </row>
    <row r="293" hidden="1">
      <c r="A293" s="151" t="s">
        <v>133</v>
      </c>
      <c r="B293" s="225" t="s">
        <v>1539</v>
      </c>
      <c r="C293" s="147" t="s">
        <v>1540</v>
      </c>
      <c r="D293" s="149"/>
      <c r="E293" s="149"/>
      <c r="F293" s="187">
        <v>172.0</v>
      </c>
      <c r="G293" s="180" t="str">
        <f>IFERROR(__xludf.DUMMYFUNCTION("TRIM(REGEXREPLACE(C293, ""[0-9]+[a-f]?\."", """"))"),"SHM Questionnaire")</f>
        <v>SHM Questionnaire</v>
      </c>
      <c r="H293" s="180" t="str">
        <f>IFERROR(__xludf.DUMMYFUNCTION("TRIM(REGEXREPLACE(D293, ""[0-9]+[a-f]?\."", """"))"),"")</f>
        <v/>
      </c>
      <c r="I293" s="180" t="str">
        <f>IFERROR(__xludf.DUMMYFUNCTION("TRIM(REGEXREPLACE(E293, ""[0-9]+[a-f]?\."", """"))"),"")</f>
        <v/>
      </c>
      <c r="J293" s="180" t="s">
        <v>1772</v>
      </c>
      <c r="K293" s="180" t="s">
        <v>1773</v>
      </c>
      <c r="L293" s="180" t="s">
        <v>1774</v>
      </c>
    </row>
    <row r="294">
      <c r="A294" s="218" t="s">
        <v>38</v>
      </c>
      <c r="B294" s="221" t="s">
        <v>1542</v>
      </c>
      <c r="C294" s="45" t="s">
        <v>589</v>
      </c>
      <c r="D294" s="45" t="s">
        <v>1778</v>
      </c>
      <c r="E294" s="45" t="s">
        <v>1780</v>
      </c>
      <c r="F294" s="187">
        <v>19.0</v>
      </c>
      <c r="G294" s="180" t="str">
        <f>IFERROR(__xludf.DUMMYFUNCTION("TRIM(REGEXREPLACE(C294, ""[0-9]+[a-f]?\."", """"))"),"SHM Questions")</f>
        <v>SHM Questions</v>
      </c>
      <c r="H294" s="180" t="str">
        <f>IFERROR(__xludf.DUMMYFUNCTION("TRIM(REGEXREPLACE(D294, ""[0-9]+[a-f]?\."", """"))"),"Questions du second membre (SHM)")</f>
        <v>Questions du second membre (SHM)</v>
      </c>
      <c r="I294" s="180" t="str">
        <f>IFERROR(__xludf.DUMMYFUNCTION("TRIM(REGEXREPLACE(E294, ""[0-9]+[a-f]?\."", """"))"),"Tambayoyin SHM")</f>
        <v>Tambayoyin SHM</v>
      </c>
      <c r="J294" s="180" t="str">
        <f t="shared" ref="J294:L294" si="19">$F294 &amp; ". "&amp;G294</f>
        <v>19. SHM Questions</v>
      </c>
      <c r="K294" s="180" t="str">
        <f t="shared" si="19"/>
        <v>19. Questions du second membre (SHM)</v>
      </c>
      <c r="L294" s="180" t="str">
        <f t="shared" si="19"/>
        <v>19. Tambayoyin SHM</v>
      </c>
    </row>
    <row r="295" hidden="1">
      <c r="A295" s="151" t="s">
        <v>133</v>
      </c>
      <c r="B295" s="147" t="s">
        <v>1546</v>
      </c>
      <c r="C295" s="147" t="s">
        <v>1547</v>
      </c>
      <c r="D295" s="226"/>
      <c r="E295" s="226"/>
      <c r="F295" s="187">
        <v>174.0</v>
      </c>
      <c r="G295" s="180" t="str">
        <f>IFERROR(__xludf.DUMMYFUNCTION("TRIM(REGEXREPLACE(C295, ""[0-9]+[a-f]?\."", """"))"),"Questions if at home")</f>
        <v>Questions if at home</v>
      </c>
      <c r="H295" s="180" t="str">
        <f>IFERROR(__xludf.DUMMYFUNCTION("TRIM(REGEXREPLACE(D295, ""[0-9]+[a-f]?\."", """"))"),"")</f>
        <v/>
      </c>
      <c r="I295" s="180" t="str">
        <f>IFERROR(__xludf.DUMMYFUNCTION("TRIM(REGEXREPLACE(E295, ""[0-9]+[a-f]?\."", """"))"),"")</f>
        <v/>
      </c>
      <c r="J295" s="180" t="s">
        <v>1792</v>
      </c>
      <c r="K295" s="180" t="s">
        <v>1793</v>
      </c>
      <c r="L295" s="180" t="s">
        <v>1794</v>
      </c>
    </row>
    <row r="296" hidden="1">
      <c r="A296" s="85" t="s">
        <v>127</v>
      </c>
      <c r="B296" s="227" t="s">
        <v>1549</v>
      </c>
      <c r="C296" s="198"/>
      <c r="D296" s="198"/>
      <c r="E296" s="198"/>
      <c r="F296" s="187">
        <v>175.0</v>
      </c>
      <c r="G296" s="180" t="str">
        <f>IFERROR(__xludf.DUMMYFUNCTION("TRIM(REGEXREPLACE(C296, ""[0-9]+[a-f]?\."", """"))"),"")</f>
        <v/>
      </c>
      <c r="H296" s="180" t="str">
        <f>IFERROR(__xludf.DUMMYFUNCTION("TRIM(REGEXREPLACE(D296, ""[0-9]+[a-f]?\."", """"))"),"")</f>
        <v/>
      </c>
      <c r="I296" s="180" t="str">
        <f>IFERROR(__xludf.DUMMYFUNCTION("TRIM(REGEXREPLACE(E296, ""[0-9]+[a-f]?\."", """"))"),"")</f>
        <v/>
      </c>
      <c r="J296" s="180" t="s">
        <v>1797</v>
      </c>
      <c r="K296" s="180" t="s">
        <v>1798</v>
      </c>
      <c r="L296" s="180" t="s">
        <v>1799</v>
      </c>
    </row>
    <row r="297">
      <c r="A297" s="80" t="s">
        <v>1306</v>
      </c>
      <c r="B297" s="228" t="s">
        <v>1551</v>
      </c>
      <c r="C297" s="45" t="s">
        <v>606</v>
      </c>
      <c r="D297" s="45" t="s">
        <v>607</v>
      </c>
      <c r="E297" s="45" t="s">
        <v>608</v>
      </c>
      <c r="F297" s="187">
        <v>20.0</v>
      </c>
      <c r="G297" s="180" t="str">
        <f>IFERROR(__xludf.DUMMYFUNCTION("TRIM(REGEXREPLACE(C297, ""[0-9]+[a-f]?\."", """"))"),"Are you living at home in ${pm_home_location}?")</f>
        <v>Are you living at home in ${pm_home_location}?</v>
      </c>
      <c r="H297" s="180" t="str">
        <f>IFERROR(__xludf.DUMMYFUNCTION("TRIM(REGEXREPLACE(D297, ""[0-9]+[a-f]?\."", """"))"),"Habitez-vous chez vous à ${pm_home_location}?")</f>
        <v>Habitez-vous chez vous à ${pm_home_location}?</v>
      </c>
      <c r="I297" s="180" t="str">
        <f>IFERROR(__xludf.DUMMYFUNCTION("TRIM(REGEXREPLACE(E297, ""[0-9]+[a-f]?\."", """"))"),"Kuna zaune a gida a ${pm_home_location}?")</f>
        <v>Kuna zaune a gida a ${pm_home_location}?</v>
      </c>
      <c r="J297" s="180" t="str">
        <f t="shared" ref="J297:L297" si="20">$F297 &amp; ". "&amp;G297</f>
        <v>20. Are you living at home in ${pm_home_location}?</v>
      </c>
      <c r="K297" s="180" t="str">
        <f t="shared" si="20"/>
        <v>20. Habitez-vous chez vous à ${pm_home_location}?</v>
      </c>
      <c r="L297" s="180" t="str">
        <f t="shared" si="20"/>
        <v>20. Kuna zaune a gida a ${pm_home_location}?</v>
      </c>
    </row>
    <row r="298">
      <c r="A298" s="80" t="s">
        <v>1306</v>
      </c>
      <c r="B298" s="228" t="s">
        <v>1557</v>
      </c>
      <c r="C298" s="45" t="s">
        <v>598</v>
      </c>
      <c r="D298" s="45" t="s">
        <v>1807</v>
      </c>
      <c r="E298" s="45" t="s">
        <v>1809</v>
      </c>
      <c r="F298" s="187">
        <v>21.0</v>
      </c>
      <c r="G298" s="180" t="str">
        <f>IFERROR(__xludf.DUMMYFUNCTION("TRIM(REGEXREPLACE(C298, ""[0-9]+[a-f]?\."", """"))"),"Are you married?")</f>
        <v>Are you married?</v>
      </c>
      <c r="H298" s="180" t="str">
        <f>IFERROR(__xludf.DUMMYFUNCTION("TRIM(REGEXREPLACE(D298, ""[0-9]+[a-f]?\."", """"))"),"Êtes-vous marié?")</f>
        <v>Êtes-vous marié?</v>
      </c>
      <c r="I298" s="180" t="str">
        <f>IFERROR(__xludf.DUMMYFUNCTION("TRIM(REGEXREPLACE(E298, ""[0-9]+[a-f]?\."", """"))"),"Ko ka na da aure?")</f>
        <v>Ko ka na da aure?</v>
      </c>
      <c r="J298" s="180" t="str">
        <f t="shared" ref="J298:L298" si="21">$F298 &amp; ". "&amp;G298</f>
        <v>21. Are you married?</v>
      </c>
      <c r="K298" s="180" t="str">
        <f t="shared" si="21"/>
        <v>21. Êtes-vous marié?</v>
      </c>
      <c r="L298" s="180" t="str">
        <f t="shared" si="21"/>
        <v>21. Ko ka na da aure?</v>
      </c>
    </row>
    <row r="299">
      <c r="A299" s="80" t="s">
        <v>1306</v>
      </c>
      <c r="B299" s="228" t="s">
        <v>1565</v>
      </c>
      <c r="C299" s="45" t="s">
        <v>602</v>
      </c>
      <c r="D299" s="45" t="s">
        <v>603</v>
      </c>
      <c r="E299" s="45" t="s">
        <v>1814</v>
      </c>
      <c r="F299" s="187">
        <v>22.0</v>
      </c>
      <c r="G299" s="180" t="str">
        <f>IFERROR(__xludf.DUMMYFUNCTION("TRIM(REGEXREPLACE(C299, ""[0-9]+[a-f]?\."", """"))"),"Enumerator: Is location in Niger?")</f>
        <v>Enumerator: Is location in Niger?</v>
      </c>
      <c r="H299" s="180" t="str">
        <f>IFERROR(__xludf.DUMMYFUNCTION("TRIM(REGEXREPLACE(D299, ""[0-9]+[a-f]?\."", """"))"),"Enquêteur : La localité est-elle au Niger ?")</f>
        <v>Enquêteur : La localité est-elle au Niger ?</v>
      </c>
      <c r="I299" s="180" t="str">
        <f>IFERROR(__xludf.DUMMYFUNCTION("TRIM(REGEXREPLACE(E299, ""[0-9]+[a-f]?\."", """"))"),"Ɗan bincike : Wurin a Nijar ne ?")</f>
        <v>Ɗan bincike : Wurin a Nijar ne ?</v>
      </c>
      <c r="J299" s="180" t="str">
        <f t="shared" ref="J299:L299" si="22">$F299 &amp; ". "&amp;G299</f>
        <v>22. Enumerator: Is location in Niger?</v>
      </c>
      <c r="K299" s="180" t="str">
        <f t="shared" si="22"/>
        <v>22. Enquêteur : La localité est-elle au Niger ?</v>
      </c>
      <c r="L299" s="180" t="str">
        <f t="shared" si="22"/>
        <v>22. Ɗan bincike : Wurin a Nijar ne ?</v>
      </c>
    </row>
    <row r="300">
      <c r="A300" s="80" t="s">
        <v>1573</v>
      </c>
      <c r="B300" s="228" t="s">
        <v>1574</v>
      </c>
      <c r="C300" s="45" t="s">
        <v>1819</v>
      </c>
      <c r="D300" s="45" t="s">
        <v>1834</v>
      </c>
      <c r="E300" s="45" t="s">
        <v>1835</v>
      </c>
      <c r="F300" s="187">
        <v>23.0</v>
      </c>
      <c r="G300" s="180" t="str">
        <f>IFERROR(__xludf.DUMMYFUNCTION("TRIM(REGEXREPLACE(C300, ""[0-9]+[a-f]?\."", """"))"),"Enumerator: Select region in Niger")</f>
        <v>Enumerator: Select region in Niger</v>
      </c>
      <c r="H300" s="180" t="str">
        <f>IFERROR(__xludf.DUMMYFUNCTION("TRIM(REGEXREPLACE(D300, ""[0-9]+[a-f]?\."", """"))"),"Enquêteur : Sélectionnez la région de Niger")</f>
        <v>Enquêteur : Sélectionnez la région de Niger</v>
      </c>
      <c r="I300" s="180" t="str">
        <f>IFERROR(__xludf.DUMMYFUNCTION("TRIM(REGEXREPLACE(E300, ""[0-9]+[a-f]?\."", """"))"),"Ɗan bincike: Zaɓi Jaha ɗaya a Nijar")</f>
        <v>Ɗan bincike: Zaɓi Jaha ɗaya a Nijar</v>
      </c>
      <c r="J300" s="180" t="str">
        <f t="shared" ref="J300:L300" si="23">$F300 &amp; ". "&amp;G300</f>
        <v>23. Enumerator: Select region in Niger</v>
      </c>
      <c r="K300" s="180" t="str">
        <f t="shared" si="23"/>
        <v>23. Enquêteur : Sélectionnez la région de Niger</v>
      </c>
      <c r="L300" s="180" t="str">
        <f t="shared" si="23"/>
        <v>23. Ɗan bincike: Zaɓi Jaha ɗaya a Nijar</v>
      </c>
    </row>
    <row r="301">
      <c r="A301" s="80" t="s">
        <v>1586</v>
      </c>
      <c r="B301" s="228" t="s">
        <v>1587</v>
      </c>
      <c r="C301" s="45" t="s">
        <v>617</v>
      </c>
      <c r="D301" s="45" t="s">
        <v>618</v>
      </c>
      <c r="E301" s="45" t="s">
        <v>619</v>
      </c>
      <c r="F301" s="187">
        <v>24.0</v>
      </c>
      <c r="G301" s="180" t="str">
        <f>IFERROR(__xludf.DUMMYFUNCTION("TRIM(REGEXREPLACE(C301, ""[0-9]+[a-f]?\."", """"))"),"Enumerator: Select country")</f>
        <v>Enumerator: Select country</v>
      </c>
      <c r="H301" s="180" t="str">
        <f>IFERROR(__xludf.DUMMYFUNCTION("TRIM(REGEXREPLACE(D301, ""[0-9]+[a-f]?\."", """"))"),"Enquêteur : sélectionnez le pays")</f>
        <v>Enquêteur : sélectionnez le pays</v>
      </c>
      <c r="I301" s="180" t="str">
        <f>IFERROR(__xludf.DUMMYFUNCTION("TRIM(REGEXREPLACE(E301, ""[0-9]+[a-f]?\."", """"))"),"Ɗan bincike: Zaɓi ƙasa")</f>
        <v>Ɗan bincike: Zaɓi ƙasa</v>
      </c>
      <c r="J301" s="180" t="str">
        <f t="shared" ref="J301:L301" si="24">$F301 &amp; ". "&amp;G301</f>
        <v>24. Enumerator: Select country</v>
      </c>
      <c r="K301" s="180" t="str">
        <f t="shared" si="24"/>
        <v>24. Enquêteur : sélectionnez le pays</v>
      </c>
      <c r="L301" s="180" t="str">
        <f t="shared" si="24"/>
        <v>24. Ɗan bincike: Zaɓi ƙasa</v>
      </c>
    </row>
    <row r="302">
      <c r="A302" s="236" t="s">
        <v>252</v>
      </c>
      <c r="B302" s="237" t="s">
        <v>1599</v>
      </c>
      <c r="C302" s="45" t="s">
        <v>621</v>
      </c>
      <c r="D302" s="45" t="s">
        <v>622</v>
      </c>
      <c r="E302" s="45" t="s">
        <v>623</v>
      </c>
      <c r="F302" s="187">
        <v>25.0</v>
      </c>
      <c r="G302" s="180" t="str">
        <f>IFERROR(__xludf.DUMMYFUNCTION("TRIM(REGEXREPLACE(C302, ""[0-9]+[a-f]?\."", """"))"),"Enumerator: Enter other country")</f>
        <v>Enumerator: Enter other country</v>
      </c>
      <c r="H302" s="180" t="str">
        <f>IFERROR(__xludf.DUMMYFUNCTION("TRIM(REGEXREPLACE(D302, ""[0-9]+[a-f]?\."", """"))"),"Enquêteur : Entrez un autre pays")</f>
        <v>Enquêteur : Entrez un autre pays</v>
      </c>
      <c r="I302" s="180" t="str">
        <f>IFERROR(__xludf.DUMMYFUNCTION("TRIM(REGEXREPLACE(E302, ""[0-9]+[a-f]?\."", """"))"),"Ɗan bincike: Shigar da wata ƙasa")</f>
        <v>Ɗan bincike: Shigar da wata ƙasa</v>
      </c>
      <c r="J302" s="180" t="str">
        <f t="shared" ref="J302:L302" si="25">$F302 &amp; ". "&amp;G302</f>
        <v>25. Enumerator: Enter other country</v>
      </c>
      <c r="K302" s="180" t="str">
        <f t="shared" si="25"/>
        <v>25. Enquêteur : Entrez un autre pays</v>
      </c>
      <c r="L302" s="180" t="str">
        <f t="shared" si="25"/>
        <v>25. Ɗan bincike: Shigar da wata ƙasa</v>
      </c>
    </row>
    <row r="303" hidden="1">
      <c r="A303" s="180"/>
      <c r="B303" s="182"/>
      <c r="C303" s="182"/>
      <c r="D303" s="182"/>
      <c r="E303" s="182"/>
      <c r="F303" s="187">
        <v>202.0</v>
      </c>
      <c r="G303" s="180" t="str">
        <f>IFERROR(__xludf.DUMMYFUNCTION("TRIM(REGEXREPLACE(C303, ""[0-9]+[a-f]?\."", """"))"),"")</f>
        <v/>
      </c>
      <c r="H303" s="180" t="str">
        <f>IFERROR(__xludf.DUMMYFUNCTION("TRIM(REGEXREPLACE(D303, ""[0-9]+[a-f]?\."", """"))"),"")</f>
        <v/>
      </c>
      <c r="I303" s="180" t="str">
        <f>IFERROR(__xludf.DUMMYFUNCTION("TRIM(REGEXREPLACE(E303, ""[0-9]+[a-f]?\."", """"))"),"")</f>
        <v/>
      </c>
      <c r="J303" s="180" t="s">
        <v>1851</v>
      </c>
      <c r="K303" s="180" t="s">
        <v>1852</v>
      </c>
      <c r="L303" s="180" t="s">
        <v>1853</v>
      </c>
    </row>
    <row r="304" hidden="1">
      <c r="A304" s="180"/>
      <c r="B304" s="182"/>
      <c r="C304" s="182"/>
      <c r="D304" s="182"/>
      <c r="E304" s="182"/>
      <c r="F304" s="187">
        <v>181.0</v>
      </c>
      <c r="G304" s="180" t="str">
        <f>IFERROR(__xludf.DUMMYFUNCTION("TRIM(REGEXREPLACE(C304, ""[0-9]+[a-f]?\."", """"))"),"")</f>
        <v/>
      </c>
      <c r="H304" s="180" t="str">
        <f>IFERROR(__xludf.DUMMYFUNCTION("TRIM(REGEXREPLACE(D304, ""[0-9]+[a-f]?\."", """"))"),"")</f>
        <v/>
      </c>
      <c r="I304" s="180" t="str">
        <f>IFERROR(__xludf.DUMMYFUNCTION("TRIM(REGEXREPLACE(E304, ""[0-9]+[a-f]?\."", """"))"),"")</f>
        <v/>
      </c>
      <c r="J304" s="180" t="s">
        <v>1856</v>
      </c>
      <c r="K304" s="180" t="s">
        <v>1857</v>
      </c>
      <c r="L304" s="180" t="s">
        <v>1859</v>
      </c>
    </row>
    <row r="305">
      <c r="A305" s="80" t="s">
        <v>1624</v>
      </c>
      <c r="B305" s="228" t="s">
        <v>1626</v>
      </c>
      <c r="C305" s="45" t="s">
        <v>626</v>
      </c>
      <c r="D305" s="45" t="s">
        <v>627</v>
      </c>
      <c r="E305" s="45" t="s">
        <v>628</v>
      </c>
      <c r="F305" s="187">
        <v>26.0</v>
      </c>
      <c r="G305" s="180" t="str">
        <f>IFERROR(__xludf.DUMMYFUNCTION("TRIM(REGEXREPLACE(C305, ""[0-9]+[a-f]?\."", """"))"),"Enumerator: Select town")</f>
        <v>Enumerator: Select town</v>
      </c>
      <c r="H305" s="180" t="str">
        <f>IFERROR(__xludf.DUMMYFUNCTION("TRIM(REGEXREPLACE(D305, ""[0-9]+[a-f]?\."", """"))"),"Enquêteur : Sélectionnez la ville")</f>
        <v>Enquêteur : Sélectionnez la ville</v>
      </c>
      <c r="I305" s="180" t="str">
        <f>IFERROR(__xludf.DUMMYFUNCTION("TRIM(REGEXREPLACE(E305, ""[0-9]+[a-f]?\."", """"))"),"Ɗan bincike: Zaɓi gari")</f>
        <v>Ɗan bincike: Zaɓi gari</v>
      </c>
      <c r="J305" s="180" t="str">
        <f t="shared" ref="J305:L305" si="26">$F305 &amp; ". "&amp;G305</f>
        <v>26. Enumerator: Select town</v>
      </c>
      <c r="K305" s="180" t="str">
        <f t="shared" si="26"/>
        <v>26. Enquêteur : Sélectionnez la ville</v>
      </c>
      <c r="L305" s="180" t="str">
        <f t="shared" si="26"/>
        <v>26. Ɗan bincike: Zaɓi gari</v>
      </c>
    </row>
    <row r="306" hidden="1">
      <c r="A306" s="102" t="s">
        <v>68</v>
      </c>
      <c r="B306" s="103" t="s">
        <v>1660</v>
      </c>
      <c r="C306" s="72"/>
      <c r="D306" s="72"/>
      <c r="E306" s="72"/>
      <c r="F306" s="187">
        <v>183.0</v>
      </c>
      <c r="G306" s="180" t="str">
        <f>IFERROR(__xludf.DUMMYFUNCTION("TRIM(REGEXREPLACE(C306, ""[0-9]+[a-f]?\."", """"))"),"")</f>
        <v/>
      </c>
      <c r="H306" s="180" t="str">
        <f>IFERROR(__xludf.DUMMYFUNCTION("TRIM(REGEXREPLACE(D306, ""[0-9]+[a-f]?\."", """"))"),"")</f>
        <v/>
      </c>
      <c r="I306" s="180" t="str">
        <f>IFERROR(__xludf.DUMMYFUNCTION("TRIM(REGEXREPLACE(E306, ""[0-9]+[a-f]?\."", """"))"),"")</f>
        <v/>
      </c>
      <c r="J306" s="180" t="s">
        <v>1866</v>
      </c>
      <c r="K306" s="180" t="s">
        <v>1868</v>
      </c>
      <c r="L306" s="180" t="s">
        <v>1869</v>
      </c>
    </row>
    <row r="307" hidden="1">
      <c r="A307" s="102" t="s">
        <v>68</v>
      </c>
      <c r="B307" s="103" t="s">
        <v>1689</v>
      </c>
      <c r="C307" s="72"/>
      <c r="D307" s="72"/>
      <c r="E307" s="72"/>
      <c r="F307" s="187">
        <v>184.0</v>
      </c>
      <c r="G307" s="180" t="str">
        <f>IFERROR(__xludf.DUMMYFUNCTION("TRIM(REGEXREPLACE(C307, ""[0-9]+[a-f]?\."", """"))"),"")</f>
        <v/>
      </c>
      <c r="H307" s="180" t="str">
        <f>IFERROR(__xludf.DUMMYFUNCTION("TRIM(REGEXREPLACE(D307, ""[0-9]+[a-f]?\."", """"))"),"")</f>
        <v/>
      </c>
      <c r="I307" s="180" t="str">
        <f>IFERROR(__xludf.DUMMYFUNCTION("TRIM(REGEXREPLACE(E307, ""[0-9]+[a-f]?\."", """"))"),"")</f>
        <v/>
      </c>
      <c r="J307" s="180" t="s">
        <v>1870</v>
      </c>
      <c r="K307" s="180" t="s">
        <v>1871</v>
      </c>
      <c r="L307" s="180" t="s">
        <v>1872</v>
      </c>
    </row>
    <row r="308" hidden="1">
      <c r="A308" s="102" t="s">
        <v>68</v>
      </c>
      <c r="B308" s="103" t="s">
        <v>1710</v>
      </c>
      <c r="C308" s="72" t="s">
        <v>1712</v>
      </c>
      <c r="D308" s="72"/>
      <c r="E308" s="72"/>
      <c r="F308" s="187">
        <v>185.0</v>
      </c>
      <c r="G308" s="180" t="str">
        <f>IFERROR(__xludf.DUMMYFUNCTION("TRIM(REGEXREPLACE(C308, ""[0-9]+[a-f]?\."", """"))"),"Calculate current location")</f>
        <v>Calculate current location</v>
      </c>
      <c r="H308" s="180" t="str">
        <f>IFERROR(__xludf.DUMMYFUNCTION("TRIM(REGEXREPLACE(D308, ""[0-9]+[a-f]?\."", """"))"),"")</f>
        <v/>
      </c>
      <c r="I308" s="180" t="str">
        <f>IFERROR(__xludf.DUMMYFUNCTION("TRIM(REGEXREPLACE(E308, ""[0-9]+[a-f]?\."", """"))"),"")</f>
        <v/>
      </c>
      <c r="J308" s="180" t="s">
        <v>1878</v>
      </c>
      <c r="K308" s="180" t="s">
        <v>1878</v>
      </c>
      <c r="L308" s="180" t="s">
        <v>1880</v>
      </c>
    </row>
    <row r="309">
      <c r="A309" s="80" t="s">
        <v>1730</v>
      </c>
      <c r="B309" s="228" t="s">
        <v>1733</v>
      </c>
      <c r="C309" s="45" t="s">
        <v>629</v>
      </c>
      <c r="D309" s="45" t="s">
        <v>630</v>
      </c>
      <c r="E309" s="45" t="s">
        <v>631</v>
      </c>
      <c r="F309" s="187">
        <v>27.0</v>
      </c>
      <c r="G309" s="180" t="str">
        <f>IFERROR(__xludf.DUMMYFUNCTION("TRIM(REGEXREPLACE(C309, ""[0-9]+[a-f]?\."", """"))"),"What is the main reason you are living in ${shm_current_location}?")</f>
        <v>What is the main reason you are living in ${shm_current_location}?</v>
      </c>
      <c r="H309" s="180" t="str">
        <f>IFERROR(__xludf.DUMMYFUNCTION("TRIM(REGEXREPLACE(D309, ""[0-9]+[a-f]?\."", """"))"),"Quelle est la principale raison pour laquelle vous vivez dans ${shm_current_location}?")</f>
        <v>Quelle est la principale raison pour laquelle vous vivez dans ${shm_current_location}?</v>
      </c>
      <c r="I309" s="180" t="str">
        <f>IFERROR(__xludf.DUMMYFUNCTION("TRIM(REGEXREPLACE(E309, ""[0-9]+[a-f]?\."", """"))"),"Menene babban dalilin da yasa kuke rayuwa a ${shm_current_location}?")</f>
        <v>Menene babban dalilin da yasa kuke rayuwa a ${shm_current_location}?</v>
      </c>
      <c r="J309" s="180" t="str">
        <f t="shared" ref="J309:L309" si="27">$F309 &amp; ". "&amp;G309</f>
        <v>27. What is the main reason you are living in ${shm_current_location}?</v>
      </c>
      <c r="K309" s="180" t="str">
        <f t="shared" si="27"/>
        <v>27. Quelle est la principale raison pour laquelle vous vivez dans ${shm_current_location}?</v>
      </c>
      <c r="L309" s="180" t="str">
        <f t="shared" si="27"/>
        <v>27. Menene babban dalilin da yasa kuke rayuwa a ${shm_current_location}?</v>
      </c>
    </row>
    <row r="310">
      <c r="A310" s="248" t="s">
        <v>268</v>
      </c>
      <c r="B310" s="249" t="s">
        <v>1752</v>
      </c>
      <c r="C310" s="45" t="s">
        <v>633</v>
      </c>
      <c r="D310" s="45" t="s">
        <v>1890</v>
      </c>
      <c r="E310" s="45" t="s">
        <v>1891</v>
      </c>
      <c r="F310" s="187">
        <v>28.0</v>
      </c>
      <c r="G310" s="180" t="str">
        <f>IFERROR(__xludf.DUMMYFUNCTION("TRIM(REGEXREPLACE(C310, ""[0-9]+[a-f]?\."", """"))"),"How long have you been in ${shm_current_location} in weeks?")</f>
        <v>How long have you been in ${shm_current_location} in weeks?</v>
      </c>
      <c r="H310" s="180" t="str">
        <f>IFERROR(__xludf.DUMMYFUNCTION("TRIM(REGEXREPLACE(D310, ""[0-9]+[a-f]?\."", """"))"),"Depuis combien de temps êtes-vous dans ${shm_current_location} en semaines?")</f>
        <v>Depuis combien de temps êtes-vous dans ${shm_current_location} en semaines?</v>
      </c>
      <c r="I310" s="180" t="str">
        <f>IFERROR(__xludf.DUMMYFUNCTION("TRIM(REGEXREPLACE(E310, ""[0-9]+[a-f]?\."", """"))"),"Tun yaushe kuke a ${shm_current_location} a makonni?")</f>
        <v>Tun yaushe kuke a ${shm_current_location} a makonni?</v>
      </c>
      <c r="J310" s="180" t="str">
        <f t="shared" ref="J310:L310" si="28">$F310 &amp; ". "&amp;G310</f>
        <v>28. How long have you been in ${shm_current_location} in weeks?</v>
      </c>
      <c r="K310" s="180" t="str">
        <f t="shared" si="28"/>
        <v>28. Depuis combien de temps êtes-vous dans ${shm_current_location} en semaines?</v>
      </c>
      <c r="L310" s="180" t="str">
        <f t="shared" si="28"/>
        <v>28. Tun yaushe kuke a ${shm_current_location} a makonni?</v>
      </c>
    </row>
    <row r="311" hidden="1">
      <c r="A311" s="85" t="s">
        <v>127</v>
      </c>
      <c r="B311" s="227" t="s">
        <v>1782</v>
      </c>
      <c r="C311" s="198"/>
      <c r="D311" s="198"/>
      <c r="E311" s="198"/>
      <c r="F311" s="187">
        <v>188.0</v>
      </c>
      <c r="G311" s="180" t="str">
        <f>IFERROR(__xludf.DUMMYFUNCTION("TRIM(REGEXREPLACE(C311, ""[0-9]+[a-f]?\."", """"))"),"")</f>
        <v/>
      </c>
      <c r="H311" s="180" t="str">
        <f>IFERROR(__xludf.DUMMYFUNCTION("TRIM(REGEXREPLACE(D311, ""[0-9]+[a-f]?\."", """"))"),"")</f>
        <v/>
      </c>
      <c r="I311" s="180" t="str">
        <f>IFERROR(__xludf.DUMMYFUNCTION("TRIM(REGEXREPLACE(E311, ""[0-9]+[a-f]?\."", """"))"),"")</f>
        <v/>
      </c>
      <c r="J311" s="180" t="s">
        <v>1896</v>
      </c>
      <c r="K311" s="180" t="s">
        <v>1897</v>
      </c>
      <c r="L311" s="180" t="s">
        <v>1898</v>
      </c>
    </row>
    <row r="312" hidden="1">
      <c r="A312" s="144" t="s">
        <v>68</v>
      </c>
      <c r="B312" s="252" t="s">
        <v>1800</v>
      </c>
      <c r="C312" s="226"/>
      <c r="D312" s="226"/>
      <c r="E312" s="226"/>
      <c r="F312" s="187">
        <v>189.0</v>
      </c>
      <c r="G312" s="180" t="str">
        <f>IFERROR(__xludf.DUMMYFUNCTION("TRIM(REGEXREPLACE(C312, ""[0-9]+[a-f]?\."", """"))"),"")</f>
        <v/>
      </c>
      <c r="H312" s="180" t="str">
        <f>IFERROR(__xludf.DUMMYFUNCTION("TRIM(REGEXREPLACE(D312, ""[0-9]+[a-f]?\."", """"))"),"")</f>
        <v/>
      </c>
      <c r="I312" s="180" t="str">
        <f>IFERROR(__xludf.DUMMYFUNCTION("TRIM(REGEXREPLACE(E312, ""[0-9]+[a-f]?\."", """"))"),"")</f>
        <v/>
      </c>
      <c r="J312" s="180" t="s">
        <v>1903</v>
      </c>
      <c r="K312" s="180" t="s">
        <v>1904</v>
      </c>
      <c r="L312" s="180" t="s">
        <v>1905</v>
      </c>
    </row>
    <row r="313" hidden="1">
      <c r="A313" s="180"/>
      <c r="B313" s="182"/>
      <c r="C313" s="182"/>
      <c r="D313" s="182"/>
      <c r="E313" s="182"/>
      <c r="F313" s="187">
        <v>208.0</v>
      </c>
      <c r="G313" s="180" t="str">
        <f>IFERROR(__xludf.DUMMYFUNCTION("TRIM(REGEXREPLACE(C313, ""[0-9]+[a-f]?\."", """"))"),"")</f>
        <v/>
      </c>
      <c r="H313" s="180" t="str">
        <f>IFERROR(__xludf.DUMMYFUNCTION("TRIM(REGEXREPLACE(D313, ""[0-9]+[a-f]?\."", """"))"),"")</f>
        <v/>
      </c>
      <c r="I313" s="180" t="str">
        <f>IFERROR(__xludf.DUMMYFUNCTION("TRIM(REGEXREPLACE(E313, ""[0-9]+[a-f]?\."", """"))"),"")</f>
        <v/>
      </c>
      <c r="J313" s="180" t="s">
        <v>1909</v>
      </c>
      <c r="K313" s="180" t="s">
        <v>1910</v>
      </c>
      <c r="L313" s="180" t="s">
        <v>1911</v>
      </c>
    </row>
    <row r="314" hidden="1">
      <c r="A314" s="180"/>
      <c r="B314" s="182"/>
      <c r="C314" s="182"/>
      <c r="D314" s="182"/>
      <c r="E314" s="182"/>
      <c r="F314" s="187">
        <v>209.0</v>
      </c>
      <c r="G314" s="180" t="str">
        <f>IFERROR(__xludf.DUMMYFUNCTION("TRIM(REGEXREPLACE(C314, ""[0-9]+[a-f]?\."", """"))"),"")</f>
        <v/>
      </c>
      <c r="H314" s="180" t="str">
        <f>IFERROR(__xludf.DUMMYFUNCTION("TRIM(REGEXREPLACE(D314, ""[0-9]+[a-f]?\."", """"))"),"")</f>
        <v/>
      </c>
      <c r="I314" s="180" t="str">
        <f>IFERROR(__xludf.DUMMYFUNCTION("TRIM(REGEXREPLACE(E314, ""[0-9]+[a-f]?\."", """"))"),"")</f>
        <v/>
      </c>
      <c r="J314" s="180" t="s">
        <v>1912</v>
      </c>
      <c r="K314" s="180" t="s">
        <v>1913</v>
      </c>
      <c r="L314" s="180" t="s">
        <v>1914</v>
      </c>
    </row>
    <row r="315" hidden="1">
      <c r="A315" s="151" t="s">
        <v>237</v>
      </c>
      <c r="B315" s="226" t="s">
        <v>1546</v>
      </c>
      <c r="C315" s="226" t="s">
        <v>1547</v>
      </c>
      <c r="D315" s="226"/>
      <c r="E315" s="226"/>
      <c r="F315" s="187">
        <v>190.0</v>
      </c>
      <c r="G315" s="180" t="str">
        <f>IFERROR(__xludf.DUMMYFUNCTION("TRIM(REGEXREPLACE(C315, ""[0-9]+[a-f]?\."", """"))"),"Questions if at home")</f>
        <v>Questions if at home</v>
      </c>
      <c r="H315" s="180" t="str">
        <f>IFERROR(__xludf.DUMMYFUNCTION("TRIM(REGEXREPLACE(D315, ""[0-9]+[a-f]?\."", """"))"),"")</f>
        <v/>
      </c>
      <c r="I315" s="180" t="str">
        <f>IFERROR(__xludf.DUMMYFUNCTION("TRIM(REGEXREPLACE(E315, ""[0-9]+[a-f]?\."", """"))"),"")</f>
        <v/>
      </c>
      <c r="J315" s="180" t="s">
        <v>1925</v>
      </c>
      <c r="K315" s="180" t="s">
        <v>1926</v>
      </c>
      <c r="L315" s="180" t="s">
        <v>1927</v>
      </c>
    </row>
    <row r="316" hidden="1">
      <c r="A316" s="254"/>
      <c r="B316" s="191"/>
      <c r="C316" s="191" t="s">
        <v>50</v>
      </c>
      <c r="D316" s="191" t="s">
        <v>50</v>
      </c>
      <c r="E316" s="191" t="s">
        <v>50</v>
      </c>
      <c r="F316" s="187">
        <v>191.0</v>
      </c>
      <c r="G316" s="180" t="str">
        <f>IFERROR(__xludf.DUMMYFUNCTION("TRIM(REGEXREPLACE(C316, ""[0-9]+[a-f]?\."", """"))"),"")</f>
        <v/>
      </c>
      <c r="H316" s="180" t="str">
        <f>IFERROR(__xludf.DUMMYFUNCTION("TRIM(REGEXREPLACE(D316, ""[0-9]+[a-f]?\."", """"))"),"")</f>
        <v/>
      </c>
      <c r="I316" s="180" t="str">
        <f>IFERROR(__xludf.DUMMYFUNCTION("TRIM(REGEXREPLACE(E316, ""[0-9]+[a-f]?\."", """"))"),"")</f>
        <v/>
      </c>
      <c r="J316" s="180" t="s">
        <v>1928</v>
      </c>
      <c r="K316" s="180" t="s">
        <v>1929</v>
      </c>
      <c r="L316" s="180" t="s">
        <v>1930</v>
      </c>
    </row>
    <row r="317" hidden="1">
      <c r="A317" s="85" t="s">
        <v>127</v>
      </c>
      <c r="B317" s="227" t="s">
        <v>1830</v>
      </c>
      <c r="C317" s="198"/>
      <c r="D317" s="198"/>
      <c r="E317" s="198"/>
      <c r="F317" s="187">
        <v>192.0</v>
      </c>
      <c r="G317" s="180" t="str">
        <f>IFERROR(__xludf.DUMMYFUNCTION("TRIM(REGEXREPLACE(C317, ""[0-9]+[a-f]?\."", """"))"),"")</f>
        <v/>
      </c>
      <c r="H317" s="180" t="str">
        <f>IFERROR(__xludf.DUMMYFUNCTION("TRIM(REGEXREPLACE(D317, ""[0-9]+[a-f]?\."", """"))"),"")</f>
        <v/>
      </c>
      <c r="I317" s="180" t="str">
        <f>IFERROR(__xludf.DUMMYFUNCTION("TRIM(REGEXREPLACE(E317, ""[0-9]+[a-f]?\."", """"))"),"")</f>
        <v/>
      </c>
      <c r="J317" s="180" t="s">
        <v>1934</v>
      </c>
      <c r="K317" s="180" t="s">
        <v>1935</v>
      </c>
      <c r="L317" s="180" t="s">
        <v>1936</v>
      </c>
    </row>
    <row r="318" hidden="1">
      <c r="A318" s="180"/>
      <c r="B318" s="182"/>
      <c r="C318" s="182"/>
      <c r="D318" s="182"/>
      <c r="E318" s="182"/>
      <c r="F318" s="187">
        <v>211.0</v>
      </c>
      <c r="G318" s="180" t="str">
        <f>IFERROR(__xludf.DUMMYFUNCTION("TRIM(REGEXREPLACE(C318, ""[0-9]+[a-f]?\."", """"))"),"")</f>
        <v/>
      </c>
      <c r="H318" s="180" t="str">
        <f>IFERROR(__xludf.DUMMYFUNCTION("TRIM(REGEXREPLACE(D318, ""[0-9]+[a-f]?\."", """"))"),"")</f>
        <v/>
      </c>
      <c r="I318" s="180" t="str">
        <f>IFERROR(__xludf.DUMMYFUNCTION("TRIM(REGEXREPLACE(E318, ""[0-9]+[a-f]?\."", """"))"),"")</f>
        <v/>
      </c>
      <c r="J318" s="180" t="s">
        <v>1941</v>
      </c>
      <c r="K318" s="180" t="s">
        <v>1942</v>
      </c>
      <c r="L318" s="180" t="s">
        <v>1944</v>
      </c>
    </row>
    <row r="319">
      <c r="A319" s="218" t="s">
        <v>38</v>
      </c>
      <c r="B319" s="64" t="s">
        <v>1836</v>
      </c>
      <c r="C319" s="45" t="s">
        <v>667</v>
      </c>
      <c r="D319" s="45" t="s">
        <v>668</v>
      </c>
      <c r="E319" s="45" t="s">
        <v>669</v>
      </c>
      <c r="F319" s="187">
        <v>29.0</v>
      </c>
      <c r="G319" s="180" t="str">
        <f>IFERROR(__xludf.DUMMYFUNCTION("TRIM(REGEXREPLACE(C319, ""[0-9]+[a-f]?\."", """"))"),"I would like to ask you a few questions about your health and wellbeing")</f>
        <v>I would like to ask you a few questions about your health and wellbeing</v>
      </c>
      <c r="H319" s="180" t="str">
        <f>IFERROR(__xludf.DUMMYFUNCTION("TRIM(REGEXREPLACE(D319, ""[0-9]+[a-f]?\."", """"))"),"Je voudrais vous poser quelques questions sur votre santé et votre bien-être")</f>
        <v>Je voudrais vous poser quelques questions sur votre santé et votre bien-être</v>
      </c>
      <c r="I319" s="180" t="str">
        <f>IFERROR(__xludf.DUMMYFUNCTION("TRIM(REGEXREPLACE(E319, ""[0-9]+[a-f]?\."", """"))"),"Ina so in yi muku wasu ƴan tambayoyi game da lafiyar jikinku da jin daɗin ku")</f>
        <v>Ina so in yi muku wasu ƴan tambayoyi game da lafiyar jikinku da jin daɗin ku</v>
      </c>
      <c r="J319" s="180" t="str">
        <f t="shared" ref="J319:L319" si="29">$F319 &amp; ". "&amp;G319</f>
        <v>29. I would like to ask you a few questions about your health and wellbeing</v>
      </c>
      <c r="K319" s="180" t="str">
        <f t="shared" si="29"/>
        <v>29. Je voudrais vous poser quelques questions sur votre santé et votre bien-être</v>
      </c>
      <c r="L319" s="180" t="str">
        <f t="shared" si="29"/>
        <v>29. Ina so in yi muku wasu ƴan tambayoyi game da lafiyar jikinku da jin daɗin ku</v>
      </c>
    </row>
    <row r="320" hidden="1">
      <c r="A320" s="180"/>
      <c r="B320" s="182"/>
      <c r="C320" s="182"/>
      <c r="D320" s="182"/>
      <c r="E320" s="182"/>
      <c r="F320" s="187">
        <v>213.0</v>
      </c>
      <c r="G320" s="180" t="str">
        <f>IFERROR(__xludf.DUMMYFUNCTION("TRIM(REGEXREPLACE(C320, ""[0-9]+[a-f]?\."", """"))"),"")</f>
        <v/>
      </c>
      <c r="H320" s="180" t="str">
        <f>IFERROR(__xludf.DUMMYFUNCTION("TRIM(REGEXREPLACE(D320, ""[0-9]+[a-f]?\."", """"))"),"")</f>
        <v/>
      </c>
      <c r="I320" s="180" t="str">
        <f>IFERROR(__xludf.DUMMYFUNCTION("TRIM(REGEXREPLACE(E320, ""[0-9]+[a-f]?\."", """"))"),"")</f>
        <v/>
      </c>
      <c r="J320" s="180" t="s">
        <v>1955</v>
      </c>
      <c r="K320" s="180" t="s">
        <v>1956</v>
      </c>
      <c r="L320" s="180" t="s">
        <v>1957</v>
      </c>
    </row>
    <row r="321" hidden="1">
      <c r="A321" s="180"/>
      <c r="B321" s="182"/>
      <c r="C321" s="182"/>
      <c r="D321" s="182"/>
      <c r="E321" s="182"/>
      <c r="F321" s="187">
        <v>214.0</v>
      </c>
      <c r="G321" s="180" t="str">
        <f>IFERROR(__xludf.DUMMYFUNCTION("TRIM(REGEXREPLACE(C321, ""[0-9]+[a-f]?\."", """"))"),"")</f>
        <v/>
      </c>
      <c r="H321" s="180" t="str">
        <f>IFERROR(__xludf.DUMMYFUNCTION("TRIM(REGEXREPLACE(D321, ""[0-9]+[a-f]?\."", """"))"),"")</f>
        <v/>
      </c>
      <c r="I321" s="180" t="str">
        <f>IFERROR(__xludf.DUMMYFUNCTION("TRIM(REGEXREPLACE(E321, ""[0-9]+[a-f]?\."", """"))"),"")</f>
        <v/>
      </c>
      <c r="J321" s="180" t="s">
        <v>1958</v>
      </c>
      <c r="K321" s="180" t="s">
        <v>1959</v>
      </c>
      <c r="L321" s="180" t="s">
        <v>1960</v>
      </c>
    </row>
    <row r="322">
      <c r="A322" s="80" t="s">
        <v>1843</v>
      </c>
      <c r="B322" s="228" t="s">
        <v>1845</v>
      </c>
      <c r="C322" s="45" t="s">
        <v>646</v>
      </c>
      <c r="D322" s="45" t="s">
        <v>647</v>
      </c>
      <c r="E322" s="45" t="s">
        <v>648</v>
      </c>
      <c r="F322" s="187">
        <v>30.0</v>
      </c>
      <c r="G322" s="180" t="str">
        <f>IFERROR(__xludf.DUMMYFUNCTION("TRIM(REGEXREPLACE(C322, ""[0-9]+[a-f]?\."", """"))"),"In general, how would you characterize your physical health?")</f>
        <v>In general, how would you characterize your physical health?</v>
      </c>
      <c r="H322" s="180" t="str">
        <f>IFERROR(__xludf.DUMMYFUNCTION("TRIM(REGEXREPLACE(D322, ""[0-9]+[a-f]?\."", """"))"),"En général, comment caractériseriez-vous votre santé physique ?")</f>
        <v>En général, comment caractériseriez-vous votre santé physique ?</v>
      </c>
      <c r="I322" s="180" t="str">
        <f>IFERROR(__xludf.DUMMYFUNCTION("TRIM(REGEXREPLACE(E322, ""[0-9]+[a-f]?\."", """"))"),"A taƙaice, yaya za ku siffanta lafiyar jikin ku?")</f>
        <v>A taƙaice, yaya za ku siffanta lafiyar jikin ku?</v>
      </c>
      <c r="J322" s="180" t="str">
        <f t="shared" ref="J322:L322" si="30">$F322 &amp; ". "&amp;G322</f>
        <v>30. In general, how would you characterize your physical health?</v>
      </c>
      <c r="K322" s="180" t="str">
        <f t="shared" si="30"/>
        <v>30. En général, comment caractériseriez-vous votre santé physique ?</v>
      </c>
      <c r="L322" s="180" t="str">
        <f t="shared" si="30"/>
        <v>30. A taƙaice, yaya za ku siffanta lafiyar jikin ku?</v>
      </c>
    </row>
    <row r="323">
      <c r="A323" s="80" t="s">
        <v>1306</v>
      </c>
      <c r="B323" s="228" t="s">
        <v>1860</v>
      </c>
      <c r="C323" s="45" t="s">
        <v>650</v>
      </c>
      <c r="D323" s="45" t="s">
        <v>651</v>
      </c>
      <c r="E323" s="45" t="s">
        <v>652</v>
      </c>
      <c r="F323" s="187">
        <v>31.0</v>
      </c>
      <c r="G323" s="180" t="str">
        <f>IFERROR(__xludf.DUMMYFUNCTION("TRIM(REGEXREPLACE(C323, ""[0-9]+[a-f]?\."", """"))"),"Do you currently suffer from any illness or disability that limits your ability to travel or work?")</f>
        <v>Do you currently suffer from any illness or disability that limits your ability to travel or work?</v>
      </c>
      <c r="H323" s="180" t="str">
        <f>IFERROR(__xludf.DUMMYFUNCTION("TRIM(REGEXREPLACE(D323, ""[0-9]+[a-f]?\."", """"))"),"Souffrez-vous actuellement d'une maladie ou d'un handicap qui limite votre capacité à voyager ou à travailler ?")</f>
        <v>Souffrez-vous actuellement d'une maladie ou d'un handicap qui limite votre capacité à voyager ou à travailler ?</v>
      </c>
      <c r="I323" s="180" t="str">
        <f>IFERROR(__xludf.DUMMYFUNCTION("TRIM(REGEXREPLACE(E323, ""[0-9]+[a-f]?\."", """"))"),"A halin yanzu, ko kuna fama da wata rashin lafiya ko naƙasa da ke iya kawo muku cikas game da tahiya bulaguro ko yin aiki?")</f>
        <v>A halin yanzu, ko kuna fama da wata rashin lafiya ko naƙasa da ke iya kawo muku cikas game da tahiya bulaguro ko yin aiki?</v>
      </c>
      <c r="J323" s="180" t="str">
        <f t="shared" ref="J323:L323" si="31">$F323 &amp; ". "&amp;G323</f>
        <v>31. Do you currently suffer from any illness or disability that limits your ability to travel or work?</v>
      </c>
      <c r="K323" s="180" t="str">
        <f t="shared" si="31"/>
        <v>31. Souffrez-vous actuellement d'une maladie ou d'un handicap qui limite votre capacité à voyager ou à travailler ?</v>
      </c>
      <c r="L323" s="180" t="str">
        <f t="shared" si="31"/>
        <v>31. A halin yanzu, ko kuna fama da wata rashin lafiya ko naƙasa da ke iya kawo muku cikas game da tahiya bulaguro ko yin aiki?</v>
      </c>
    </row>
    <row r="324">
      <c r="A324" s="80" t="s">
        <v>1873</v>
      </c>
      <c r="B324" s="228" t="s">
        <v>1874</v>
      </c>
      <c r="C324" s="45" t="s">
        <v>654</v>
      </c>
      <c r="D324" s="45" t="s">
        <v>655</v>
      </c>
      <c r="E324" s="45" t="s">
        <v>656</v>
      </c>
      <c r="F324" s="187">
        <v>32.0</v>
      </c>
      <c r="G324" s="180" t="str">
        <f>IFERROR(__xludf.DUMMYFUNCTION("TRIM(REGEXREPLACE(C324, ""[0-9]+[a-f]?\."", """"))"),"What illness limits you in this way?")</f>
        <v>What illness limits you in this way?</v>
      </c>
      <c r="H324" s="180" t="str">
        <f>IFERROR(__xludf.DUMMYFUNCTION("TRIM(REGEXREPLACE(D324, ""[0-9]+[a-f]?\."", """"))"),"Quelle maladie vous limite de cette manière ?")</f>
        <v>Quelle maladie vous limite de cette manière ?</v>
      </c>
      <c r="I324" s="180" t="str">
        <f>IFERROR(__xludf.DUMMYFUNCTION("TRIM(REGEXREPLACE(E324, ""[0-9]+[a-f]?\."", """"))"),"Wace cuta ce ke tsaida ku a kan wannan?")</f>
        <v>Wace cuta ce ke tsaida ku a kan wannan?</v>
      </c>
      <c r="J324" s="180" t="str">
        <f t="shared" ref="J324:L324" si="32">$F324 &amp; ". "&amp;G324</f>
        <v>32. What illness limits you in this way?</v>
      </c>
      <c r="K324" s="180" t="str">
        <f t="shared" si="32"/>
        <v>32. Quelle maladie vous limite de cette manière ?</v>
      </c>
      <c r="L324" s="180" t="str">
        <f t="shared" si="32"/>
        <v>32. Wace cuta ce ke tsaida ku a kan wannan?</v>
      </c>
    </row>
    <row r="325">
      <c r="A325" s="236" t="s">
        <v>252</v>
      </c>
      <c r="B325" s="237" t="s">
        <v>1884</v>
      </c>
      <c r="C325" s="45" t="s">
        <v>658</v>
      </c>
      <c r="D325" s="45" t="s">
        <v>659</v>
      </c>
      <c r="E325" s="45" t="s">
        <v>660</v>
      </c>
      <c r="F325" s="187">
        <v>33.0</v>
      </c>
      <c r="G325" s="180" t="str">
        <f>IFERROR(__xludf.DUMMYFUNCTION("TRIM(REGEXREPLACE(C325, ""[0-9]+[a-f]?\."", """"))"),"Other, specify:")</f>
        <v>Other, specify:</v>
      </c>
      <c r="H325" s="180" t="str">
        <f>IFERROR(__xludf.DUMMYFUNCTION("TRIM(REGEXREPLACE(D325, ""[0-9]+[a-f]?\."", """"))"),"Autre précisez:")</f>
        <v>Autre précisez:</v>
      </c>
      <c r="I325" s="180" t="str">
        <f>IFERROR(__xludf.DUMMYFUNCTION("TRIM(REGEXREPLACE(E325, ""[0-9]+[a-f]?\."", """"))"),"Sauran, bayar da cikakkun bayanai:")</f>
        <v>Sauran, bayar da cikakkun bayanai:</v>
      </c>
      <c r="J325" s="180" t="str">
        <f t="shared" ref="J325:L325" si="33">$F325 &amp; ". "&amp;G325</f>
        <v>33. Other, specify:</v>
      </c>
      <c r="K325" s="180" t="str">
        <f t="shared" si="33"/>
        <v>33. Autre précisez:</v>
      </c>
      <c r="L325" s="180" t="str">
        <f t="shared" si="33"/>
        <v>33. Sauran, bayar da cikakkun bayanai:</v>
      </c>
    </row>
    <row r="326">
      <c r="A326" s="80" t="s">
        <v>1306</v>
      </c>
      <c r="B326" s="228" t="s">
        <v>1899</v>
      </c>
      <c r="C326" s="45" t="s">
        <v>663</v>
      </c>
      <c r="D326" s="45" t="s">
        <v>664</v>
      </c>
      <c r="E326" s="45" t="s">
        <v>665</v>
      </c>
      <c r="F326" s="187">
        <v>34.0</v>
      </c>
      <c r="G326" s="180" t="str">
        <f>IFERROR(__xludf.DUMMYFUNCTION("TRIM(REGEXREPLACE(C326, ""[0-9]+[a-f]?\."", """"))"),"In the past three months, did you suffer from an illness or injury that disrupted your daily life?")</f>
        <v>In the past three months, did you suffer from an illness or injury that disrupted your daily life?</v>
      </c>
      <c r="H326" s="180" t="str">
        <f>IFERROR(__xludf.DUMMYFUNCTION("TRIM(REGEXREPLACE(D326, ""[0-9]+[a-f]?\."", """"))"),"Au cours des trois derniers mois, avez-vous souffert d'une maladie ou d'une blessure qui a perturbé votre vie quotidienne ?")</f>
        <v>Au cours des trois derniers mois, avez-vous souffert d'une maladie ou d'une blessure qui a perturbé votre vie quotidienne ?</v>
      </c>
      <c r="I326" s="180" t="str">
        <f>IFERROR(__xludf.DUMMYFUNCTION("TRIM(REGEXREPLACE(E326, ""[0-9]+[a-f]?\."", """"))"),"A cikin watanni uku da suka wuce, ko kun yi fama da wata rashin lafiya ko rauni wanda ya kawo muku cikas a rayuwarku na yau da kullun?")</f>
        <v>A cikin watanni uku da suka wuce, ko kun yi fama da wata rashin lafiya ko rauni wanda ya kawo muku cikas a rayuwarku na yau da kullun?</v>
      </c>
      <c r="J326" s="180" t="str">
        <f t="shared" ref="J326:L326" si="34">$F326 &amp; ". "&amp;G326</f>
        <v>34. In the past three months, did you suffer from an illness or injury that disrupted your daily life?</v>
      </c>
      <c r="K326" s="180" t="str">
        <f t="shared" si="34"/>
        <v>34. Au cours des trois derniers mois, avez-vous souffert d'une maladie ou d'une blessure qui a perturbé votre vie quotidienne ?</v>
      </c>
      <c r="L326" s="180" t="str">
        <f t="shared" si="34"/>
        <v>34. A cikin watanni uku da suka wuce, ko kun yi fama da wata rashin lafiya ko rauni wanda ya kawo muku cikas a rayuwarku na yau da kullun?</v>
      </c>
    </row>
    <row r="327">
      <c r="A327" s="80" t="s">
        <v>1873</v>
      </c>
      <c r="B327" s="228" t="s">
        <v>1915</v>
      </c>
      <c r="C327" s="45" t="s">
        <v>680</v>
      </c>
      <c r="D327" s="45" t="s">
        <v>681</v>
      </c>
      <c r="E327" s="45" t="s">
        <v>682</v>
      </c>
      <c r="F327" s="187">
        <v>35.0</v>
      </c>
      <c r="G327" s="180" t="str">
        <f>IFERROR(__xludf.DUMMYFUNCTION("TRIM(REGEXREPLACE(C327, ""[0-9]+[a-f]?\."", """"))"),"What type of illness or injury did you experience?")</f>
        <v>What type of illness or injury did you experience?</v>
      </c>
      <c r="H327" s="180" t="str">
        <f>IFERROR(__xludf.DUMMYFUNCTION("TRIM(REGEXREPLACE(D327, ""[0-9]+[a-f]?\."", """"))"),"Preciser le type de maladie ou de blessure")</f>
        <v>Preciser le type de maladie ou de blessure</v>
      </c>
      <c r="I327" s="180" t="str">
        <f>IFERROR(__xludf.DUMMYFUNCTION("TRIM(REGEXREPLACE(E327, ""[0-9]+[a-f]?\."", """"))"),"Baiyana irin ciwo ko raunin da kuka yi fama da shi?")</f>
        <v>Baiyana irin ciwo ko raunin da kuka yi fama da shi?</v>
      </c>
      <c r="J327" s="180" t="str">
        <f t="shared" ref="J327:L327" si="35">$F327 &amp; ". "&amp;G327</f>
        <v>35. What type of illness or injury did you experience?</v>
      </c>
      <c r="K327" s="180" t="str">
        <f t="shared" si="35"/>
        <v>35. Preciser le type de maladie ou de blessure</v>
      </c>
      <c r="L327" s="180" t="str">
        <f t="shared" si="35"/>
        <v>35. Baiyana irin ciwo ko raunin da kuka yi fama da shi?</v>
      </c>
    </row>
    <row r="328">
      <c r="A328" s="236" t="s">
        <v>252</v>
      </c>
      <c r="B328" s="237" t="s">
        <v>1937</v>
      </c>
      <c r="C328" s="45" t="s">
        <v>685</v>
      </c>
      <c r="D328" s="45" t="s">
        <v>686</v>
      </c>
      <c r="E328" s="45" t="s">
        <v>687</v>
      </c>
      <c r="F328" s="187">
        <v>36.0</v>
      </c>
      <c r="G328" s="180" t="str">
        <f>IFERROR(__xludf.DUMMYFUNCTION("TRIM(REGEXREPLACE(C328, ""[0-9]+[a-f]?\."", """"))"),"Specify other illness or injury")</f>
        <v>Specify other illness or injury</v>
      </c>
      <c r="H328" s="180" t="str">
        <f>IFERROR(__xludf.DUMMYFUNCTION("TRIM(REGEXREPLACE(D328, ""[0-9]+[a-f]?\."", """"))"),"Preciser le type de maladie ou de blessure")</f>
        <v>Preciser le type de maladie ou de blessure</v>
      </c>
      <c r="I328" s="180" t="str">
        <f>IFERROR(__xludf.DUMMYFUNCTION("TRIM(REGEXREPLACE(E328, ""[0-9]+[a-f]?\."", """"))"),"Baiyana irin ciwo ko raunin da kuka fama?")</f>
        <v>Baiyana irin ciwo ko raunin da kuka fama?</v>
      </c>
      <c r="J328" s="180" t="str">
        <f t="shared" ref="J328:L328" si="36">$F328 &amp; ". "&amp;G328</f>
        <v>36. Specify other illness or injury</v>
      </c>
      <c r="K328" s="180" t="str">
        <f t="shared" si="36"/>
        <v>36. Preciser le type de maladie ou de blessure</v>
      </c>
      <c r="L328" s="180" t="str">
        <f t="shared" si="36"/>
        <v>36. Baiyana irin ciwo ko raunin da kuka fama?</v>
      </c>
    </row>
    <row r="329">
      <c r="A329" s="80" t="s">
        <v>1306</v>
      </c>
      <c r="B329" s="228" t="s">
        <v>1948</v>
      </c>
      <c r="C329" s="45" t="s">
        <v>693</v>
      </c>
      <c r="D329" s="45" t="s">
        <v>694</v>
      </c>
      <c r="E329" s="45" t="s">
        <v>695</v>
      </c>
      <c r="F329" s="187">
        <v>37.0</v>
      </c>
      <c r="G329" s="180" t="str">
        <f>IFERROR(__xludf.DUMMYFUNCTION("TRIM(REGEXREPLACE(C329, ""[0-9]+[a-f]?\."", """"))"),"Did you seek any treatment for any illness or injury?")</f>
        <v>Did you seek any treatment for any illness or injury?</v>
      </c>
      <c r="H329" s="180" t="str">
        <f>IFERROR(__xludf.DUMMYFUNCTION("TRIM(REGEXREPLACE(D329, ""[0-9]+[a-f]?\."", """"))"),"Avez-vous cherché un traitement pour une maladie ou une blessure ?")</f>
        <v>Avez-vous cherché un traitement pour une maladie ou une blessure ?</v>
      </c>
      <c r="I329" s="180" t="str">
        <f>IFERROR(__xludf.DUMMYFUNCTION("TRIM(REGEXREPLACE(E329, ""[0-9]+[a-f]?\."", """"))"),"Ko kun nemi wani magani don wata cuta ko rauni?")</f>
        <v>Ko kun nemi wani magani don wata cuta ko rauni?</v>
      </c>
      <c r="J329" s="180" t="str">
        <f t="shared" ref="J329:L329" si="37">$F329 &amp; ". "&amp;G329</f>
        <v>37. Did you seek any treatment for any illness or injury?</v>
      </c>
      <c r="K329" s="180" t="str">
        <f t="shared" si="37"/>
        <v>37. Avez-vous cherché un traitement pour une maladie ou une blessure ?</v>
      </c>
      <c r="L329" s="180" t="str">
        <f t="shared" si="37"/>
        <v>37. Ko kun nemi wani magani don wata cuta ko rauni?</v>
      </c>
    </row>
    <row r="330">
      <c r="A330" s="218" t="s">
        <v>38</v>
      </c>
      <c r="B330" s="64" t="s">
        <v>1963</v>
      </c>
      <c r="C330" s="45" t="s">
        <v>697</v>
      </c>
      <c r="D330" s="45" t="s">
        <v>698</v>
      </c>
      <c r="E330" s="45" t="s">
        <v>699</v>
      </c>
      <c r="F330" s="187">
        <v>38.0</v>
      </c>
      <c r="G330" s="180" t="str">
        <f>IFERROR(__xludf.DUMMYFUNCTION("TRIM(REGEXREPLACE(C330, ""[0-9]+[a-f]?\."", """"))"),"Now I want to ask you about the past week (7 days)")</f>
        <v>Now I want to ask you about the past week (7 days)</v>
      </c>
      <c r="H330" s="180" t="str">
        <f>IFERROR(__xludf.DUMMYFUNCTION("TRIM(REGEXREPLACE(D330, ""[0-9]+[a-f]?\."", """"))"),"Maintenant, je veux vous poser des questions sur la semaine dernière (7 jours)")</f>
        <v>Maintenant, je veux vous poser des questions sur la semaine dernière (7 jours)</v>
      </c>
      <c r="I330" s="180" t="str">
        <f>IFERROR(__xludf.DUMMYFUNCTION("TRIM(REGEXREPLACE(E330, ""[0-9]+[a-f]?\."", """"))"),"Yanzu ina son in muku tambayoyi bisa satin (makon) da ya wuce (kwana 7)")</f>
        <v>Yanzu ina son in muku tambayoyi bisa satin (makon) da ya wuce (kwana 7)</v>
      </c>
      <c r="J330" s="180" t="str">
        <f t="shared" ref="J330:L330" si="38">$F330 &amp; ". "&amp;G330</f>
        <v>38. Now I want to ask you about the past week (7 days)</v>
      </c>
      <c r="K330" s="180" t="str">
        <f t="shared" si="38"/>
        <v>38. Maintenant, je veux vous poser des questions sur la semaine dernière (7 jours)</v>
      </c>
      <c r="L330" s="180" t="str">
        <f t="shared" si="38"/>
        <v>38. Yanzu ina son in muku tambayoyi bisa satin (makon) da ya wuce (kwana 7)</v>
      </c>
    </row>
    <row r="331">
      <c r="A331" s="248" t="s">
        <v>268</v>
      </c>
      <c r="B331" s="249" t="s">
        <v>1971</v>
      </c>
      <c r="C331" s="45" t="s">
        <v>704</v>
      </c>
      <c r="D331" s="45" t="s">
        <v>705</v>
      </c>
      <c r="E331" s="45" t="s">
        <v>706</v>
      </c>
      <c r="F331" s="187">
        <v>39.0</v>
      </c>
      <c r="G331" s="180" t="str">
        <f>IFERROR(__xludf.DUMMYFUNCTION("TRIM(REGEXREPLACE(C331, ""[0-9]+[a-f]?\."", """"))"),"How many hours of sleep per night did you get on average in the last seven days?")</f>
        <v>How many hours of sleep per night did you get on average in the last seven days?</v>
      </c>
      <c r="H331" s="180" t="str">
        <f>IFERROR(__xludf.DUMMYFUNCTION("TRIM(REGEXREPLACE(D331, ""[0-9]+[a-f]?\."", """"))"),"Combien d'heures de sommeil par nuit avez-vous dormi en moyenne au cours des sept derniers jours ?")</f>
        <v>Combien d'heures de sommeil par nuit avez-vous dormi en moyenne au cours des sept derniers jours ?</v>
      </c>
      <c r="I331" s="180" t="str">
        <f>IFERROR(__xludf.DUMMYFUNCTION("TRIM(REGEXREPLACE(E331, ""[0-9]+[a-f]?\."", """"))"),"Misalin Sa'o'i nawa a taƙaice kuke yin barci a kowane dare a cikin kwanaki bakwai na ƙarshe da suka wuce?")</f>
        <v>Misalin Sa'o'i nawa a taƙaice kuke yin barci a kowane dare a cikin kwanaki bakwai na ƙarshe da suka wuce?</v>
      </c>
      <c r="J331" s="180" t="str">
        <f t="shared" ref="J331:L331" si="39">$F331 &amp; ". "&amp;G331</f>
        <v>39. How many hours of sleep per night did you get on average in the last seven days?</v>
      </c>
      <c r="K331" s="180" t="str">
        <f t="shared" si="39"/>
        <v>39. Combien d'heures de sommeil par nuit avez-vous dormi en moyenne au cours des sept derniers jours ?</v>
      </c>
      <c r="L331" s="180" t="str">
        <f t="shared" si="39"/>
        <v>39. Misalin Sa'o'i nawa a taƙaice kuke yin barci a kowane dare a cikin kwanaki bakwai na ƙarshe da suka wuce?</v>
      </c>
    </row>
    <row r="332" hidden="1">
      <c r="A332" s="151" t="s">
        <v>133</v>
      </c>
      <c r="B332" s="147" t="s">
        <v>1979</v>
      </c>
      <c r="C332" s="147"/>
      <c r="D332" s="226"/>
      <c r="E332" s="226"/>
      <c r="F332" s="187">
        <v>204.0</v>
      </c>
      <c r="G332" s="180" t="str">
        <f>IFERROR(__xludf.DUMMYFUNCTION("TRIM(REGEXREPLACE(C332, ""[0-9]+[a-f]?\."", """"))"),"")</f>
        <v/>
      </c>
      <c r="H332" s="180" t="str">
        <f>IFERROR(__xludf.DUMMYFUNCTION("TRIM(REGEXREPLACE(D332, ""[0-9]+[a-f]?\."", """"))"),"")</f>
        <v/>
      </c>
      <c r="I332" s="180" t="str">
        <f>IFERROR(__xludf.DUMMYFUNCTION("TRIM(REGEXREPLACE(E332, ""[0-9]+[a-f]?\."", """"))"),"")</f>
        <v/>
      </c>
      <c r="J332" s="180" t="s">
        <v>2011</v>
      </c>
      <c r="K332" s="180" t="s">
        <v>2012</v>
      </c>
      <c r="L332" s="180" t="s">
        <v>2013</v>
      </c>
    </row>
    <row r="333">
      <c r="A333" s="80" t="s">
        <v>1988</v>
      </c>
      <c r="B333" s="228" t="s">
        <v>1989</v>
      </c>
      <c r="C333" s="45" t="s">
        <v>2014</v>
      </c>
      <c r="D333" s="45" t="s">
        <v>2015</v>
      </c>
      <c r="E333" s="45" t="s">
        <v>2016</v>
      </c>
      <c r="F333" s="187">
        <v>40.0</v>
      </c>
      <c r="G333" s="180" t="str">
        <f>IFERROR(__xludf.DUMMYFUNCTION("TRIM(REGEXREPLACE(C333, ""[0-9]+[a-f]?\."", """"))"),"In the past week, how often did you experience the following feelings?")</f>
        <v>In the past week, how often did you experience the following feelings?</v>
      </c>
      <c r="H333" s="180" t="str">
        <f>IFERROR(__xludf.DUMMYFUNCTION("TRIM(REGEXREPLACE(D333, ""[0-9]+[a-f]?\."", """"))"),"Au cours de la semaine dernière, à quelle fréquence avez-vous ressenti les sentiments suivants ?")</f>
        <v>Au cours de la semaine dernière, à quelle fréquence avez-vous ressenti les sentiments suivants ?</v>
      </c>
      <c r="I333" s="180" t="str">
        <f>IFERROR(__xludf.DUMMYFUNCTION("TRIM(REGEXREPLACE(E333, ""[0-9]+[a-f]?\."", """"))"),"A cikin satin da ya wuce, sau nawa kuka ji irin waɗannan abubuwan a ranku?")</f>
        <v>A cikin satin da ya wuce, sau nawa kuka ji irin waɗannan abubuwan a ranku?</v>
      </c>
      <c r="J333" s="180" t="str">
        <f t="shared" ref="J333:L333" si="40">$F333 &amp; ". "&amp;G333</f>
        <v>40. In the past week, how often did you experience the following feelings?</v>
      </c>
      <c r="K333" s="180" t="str">
        <f t="shared" si="40"/>
        <v>40. Au cours de la semaine dernière, à quelle fréquence avez-vous ressenti les sentiments suivants ?</v>
      </c>
      <c r="L333" s="180" t="str">
        <f t="shared" si="40"/>
        <v>40. A cikin satin da ya wuce, sau nawa kuka ji irin waɗannan abubuwan a ranku?</v>
      </c>
    </row>
    <row r="334" hidden="1">
      <c r="A334" s="180"/>
      <c r="B334" s="182"/>
      <c r="C334" s="182"/>
      <c r="D334" s="182"/>
      <c r="E334" s="182"/>
      <c r="F334" s="187">
        <v>225.0</v>
      </c>
      <c r="G334" s="180" t="str">
        <f>IFERROR(__xludf.DUMMYFUNCTION("TRIM(REGEXREPLACE(C334, ""[0-9]+[a-f]?\."", """"))"),"")</f>
        <v/>
      </c>
      <c r="H334" s="180" t="str">
        <f>IFERROR(__xludf.DUMMYFUNCTION("TRIM(REGEXREPLACE(D334, ""[0-9]+[a-f]?\."", """"))"),"")</f>
        <v/>
      </c>
      <c r="I334" s="180" t="str">
        <f>IFERROR(__xludf.DUMMYFUNCTION("TRIM(REGEXREPLACE(E334, ""[0-9]+[a-f]?\."", """"))"),"")</f>
        <v/>
      </c>
      <c r="J334" s="180" t="s">
        <v>2025</v>
      </c>
      <c r="K334" s="180" t="s">
        <v>2026</v>
      </c>
      <c r="L334" s="180" t="s">
        <v>2028</v>
      </c>
    </row>
    <row r="335" hidden="1">
      <c r="A335" s="180"/>
      <c r="B335" s="182"/>
      <c r="C335" s="182"/>
      <c r="D335" s="182"/>
      <c r="E335" s="182"/>
      <c r="F335" s="187">
        <v>226.0</v>
      </c>
      <c r="G335" s="180" t="str">
        <f>IFERROR(__xludf.DUMMYFUNCTION("TRIM(REGEXREPLACE(C335, ""[0-9]+[a-f]?\."", """"))"),"")</f>
        <v/>
      </c>
      <c r="H335" s="180" t="str">
        <f>IFERROR(__xludf.DUMMYFUNCTION("TRIM(REGEXREPLACE(D335, ""[0-9]+[a-f]?\."", """"))"),"")</f>
        <v/>
      </c>
      <c r="I335" s="180" t="str">
        <f>IFERROR(__xludf.DUMMYFUNCTION("TRIM(REGEXREPLACE(E335, ""[0-9]+[a-f]?\."", """"))"),"")</f>
        <v/>
      </c>
      <c r="J335" s="180" t="s">
        <v>2033</v>
      </c>
      <c r="K335" s="180" t="s">
        <v>2034</v>
      </c>
      <c r="L335" s="180" t="s">
        <v>2035</v>
      </c>
    </row>
    <row r="336">
      <c r="A336" s="80" t="s">
        <v>1988</v>
      </c>
      <c r="B336" s="228" t="s">
        <v>1996</v>
      </c>
      <c r="C336" s="45" t="s">
        <v>721</v>
      </c>
      <c r="D336" s="45" t="s">
        <v>722</v>
      </c>
      <c r="E336" s="45" t="s">
        <v>723</v>
      </c>
      <c r="F336" s="187">
        <v>41.0</v>
      </c>
      <c r="G336" s="180" t="str">
        <f>IFERROR(__xludf.DUMMYFUNCTION("TRIM(REGEXREPLACE(C336, ""[0-9]+[a-f]?\."", """"))"),"Enjoyment")</f>
        <v>Enjoyment</v>
      </c>
      <c r="H336" s="180" t="str">
        <f>IFERROR(__xludf.DUMMYFUNCTION("TRIM(REGEXREPLACE(D336, ""[0-9]+[a-f]?\."", """"))"),"Plaisir")</f>
        <v>Plaisir</v>
      </c>
      <c r="I336" s="180" t="str">
        <f>IFERROR(__xludf.DUMMYFUNCTION("TRIM(REGEXREPLACE(E336, ""[0-9]+[a-f]?\."", """"))"),"jin daɗi")</f>
        <v>jin daɗi</v>
      </c>
      <c r="J336" s="180" t="str">
        <f t="shared" ref="J336:L336" si="41">$F336 &amp; ". "&amp;G336</f>
        <v>41. Enjoyment</v>
      </c>
      <c r="K336" s="180" t="str">
        <f t="shared" si="41"/>
        <v>41. Plaisir</v>
      </c>
      <c r="L336" s="180" t="str">
        <f t="shared" si="41"/>
        <v>41. jin daɗi</v>
      </c>
    </row>
    <row r="337">
      <c r="A337" s="80" t="s">
        <v>1988</v>
      </c>
      <c r="B337" s="228" t="s">
        <v>2004</v>
      </c>
      <c r="C337" s="45" t="s">
        <v>727</v>
      </c>
      <c r="D337" s="45" t="s">
        <v>728</v>
      </c>
      <c r="E337" s="45" t="s">
        <v>729</v>
      </c>
      <c r="F337" s="187">
        <v>42.0</v>
      </c>
      <c r="G337" s="180" t="str">
        <f>IFERROR(__xludf.DUMMYFUNCTION("TRIM(REGEXREPLACE(C337, ""[0-9]+[a-f]?\."", """"))"),"Happiness")</f>
        <v>Happiness</v>
      </c>
      <c r="H337" s="180" t="str">
        <f>IFERROR(__xludf.DUMMYFUNCTION("TRIM(REGEXREPLACE(D337, ""[0-9]+[a-f]?\."", """"))"),"Bonheur")</f>
        <v>Bonheur</v>
      </c>
      <c r="I337" s="180" t="str">
        <f>IFERROR(__xludf.DUMMYFUNCTION("TRIM(REGEXREPLACE(E337, ""[0-9]+[a-f]?\."", """"))"),"Farin ciki")</f>
        <v>Farin ciki</v>
      </c>
      <c r="J337" s="180" t="str">
        <f t="shared" ref="J337:L337" si="42">$F337 &amp; ". "&amp;G337</f>
        <v>42. Happiness</v>
      </c>
      <c r="K337" s="180" t="str">
        <f t="shared" si="42"/>
        <v>42. Bonheur</v>
      </c>
      <c r="L337" s="180" t="str">
        <f t="shared" si="42"/>
        <v>42. Farin ciki</v>
      </c>
    </row>
    <row r="338">
      <c r="A338" s="80" t="s">
        <v>1988</v>
      </c>
      <c r="B338" s="228" t="s">
        <v>2018</v>
      </c>
      <c r="C338" s="45" t="s">
        <v>731</v>
      </c>
      <c r="D338" s="45" t="s">
        <v>731</v>
      </c>
      <c r="E338" s="45" t="s">
        <v>733</v>
      </c>
      <c r="F338" s="187">
        <v>43.0</v>
      </c>
      <c r="G338" s="180" t="str">
        <f>IFERROR(__xludf.DUMMYFUNCTION("TRIM(REGEXREPLACE(C338, ""[0-9]+[a-f]?\."", """"))"),"Stress")</f>
        <v>Stress</v>
      </c>
      <c r="H338" s="180" t="str">
        <f>IFERROR(__xludf.DUMMYFUNCTION("TRIM(REGEXREPLACE(D338, ""[0-9]+[a-f]?\."", """"))"),"Stress")</f>
        <v>Stress</v>
      </c>
      <c r="I338" s="180" t="str">
        <f>IFERROR(__xludf.DUMMYFUNCTION("TRIM(REGEXREPLACE(E338, ""[0-9]+[a-f]?\."", """"))"),"Babbar Damuwa")</f>
        <v>Babbar Damuwa</v>
      </c>
      <c r="J338" s="180" t="str">
        <f t="shared" ref="J338:L338" si="43">$F338 &amp; ". "&amp;G338</f>
        <v>43. Stress</v>
      </c>
      <c r="K338" s="180" t="str">
        <f t="shared" si="43"/>
        <v>43. Stress</v>
      </c>
      <c r="L338" s="180" t="str">
        <f t="shared" si="43"/>
        <v>43. Babbar Damuwa</v>
      </c>
    </row>
    <row r="339" hidden="1">
      <c r="A339" s="180"/>
      <c r="B339" s="182"/>
      <c r="C339" s="182"/>
      <c r="D339" s="182"/>
      <c r="E339" s="182"/>
      <c r="F339" s="187">
        <v>203.0</v>
      </c>
      <c r="G339" s="180" t="str">
        <f>IFERROR(__xludf.DUMMYFUNCTION("TRIM(REGEXREPLACE(C339, ""[0-9]+[a-f]?\."", """"))"),"")</f>
        <v/>
      </c>
      <c r="H339" s="180" t="str">
        <f>IFERROR(__xludf.DUMMYFUNCTION("TRIM(REGEXREPLACE(D339, ""[0-9]+[a-f]?\."", """"))"),"")</f>
        <v/>
      </c>
      <c r="I339" s="180" t="str">
        <f>IFERROR(__xludf.DUMMYFUNCTION("TRIM(REGEXREPLACE(E339, ""[0-9]+[a-f]?\."", """"))"),"")</f>
        <v/>
      </c>
      <c r="J339" s="180" t="s">
        <v>2064</v>
      </c>
      <c r="K339" s="180" t="s">
        <v>2065</v>
      </c>
      <c r="L339" s="180" t="s">
        <v>2066</v>
      </c>
    </row>
    <row r="340" hidden="1">
      <c r="A340" s="180"/>
      <c r="B340" s="182"/>
      <c r="C340" s="182"/>
      <c r="D340" s="182"/>
      <c r="E340" s="182"/>
      <c r="F340" s="187">
        <v>204.0</v>
      </c>
      <c r="G340" s="180" t="str">
        <f>IFERROR(__xludf.DUMMYFUNCTION("TRIM(REGEXREPLACE(C340, ""[0-9]+[a-f]?\."", """"))"),"")</f>
        <v/>
      </c>
      <c r="H340" s="180" t="str">
        <f>IFERROR(__xludf.DUMMYFUNCTION("TRIM(REGEXREPLACE(D340, ""[0-9]+[a-f]?\."", """"))"),"")</f>
        <v/>
      </c>
      <c r="I340" s="180" t="str">
        <f>IFERROR(__xludf.DUMMYFUNCTION("TRIM(REGEXREPLACE(E340, ""[0-9]+[a-f]?\."", """"))"),"")</f>
        <v/>
      </c>
      <c r="J340" s="180" t="s">
        <v>2070</v>
      </c>
      <c r="K340" s="180" t="s">
        <v>2071</v>
      </c>
      <c r="L340" s="180" t="s">
        <v>2072</v>
      </c>
    </row>
    <row r="341">
      <c r="A341" s="80" t="s">
        <v>1988</v>
      </c>
      <c r="B341" s="228" t="s">
        <v>2029</v>
      </c>
      <c r="C341" s="45" t="s">
        <v>739</v>
      </c>
      <c r="D341" s="45" t="s">
        <v>740</v>
      </c>
      <c r="E341" s="45" t="s">
        <v>741</v>
      </c>
      <c r="F341" s="187">
        <v>44.0</v>
      </c>
      <c r="G341" s="180" t="str">
        <f>IFERROR(__xludf.DUMMYFUNCTION("TRIM(REGEXREPLACE(C341, ""[0-9]+[a-f]?\."", """"))"),"Worry")</f>
        <v>Worry</v>
      </c>
      <c r="H341" s="180" t="str">
        <f>IFERROR(__xludf.DUMMYFUNCTION("TRIM(REGEXREPLACE(D341, ""[0-9]+[a-f]?\."", """"))"),"Inquiétude")</f>
        <v>Inquiétude</v>
      </c>
      <c r="I341" s="180" t="str">
        <f>IFERROR(__xludf.DUMMYFUNCTION("TRIM(REGEXREPLACE(E341, ""[0-9]+[a-f]?\."", """"))"),"Damuwa")</f>
        <v>Damuwa</v>
      </c>
      <c r="J341" s="180" t="str">
        <f t="shared" ref="J341:L341" si="44">$F341 &amp; ". "&amp;G341</f>
        <v>44. Worry</v>
      </c>
      <c r="K341" s="180" t="str">
        <f t="shared" si="44"/>
        <v>44. Inquiétude</v>
      </c>
      <c r="L341" s="180" t="str">
        <f t="shared" si="44"/>
        <v>44. Damuwa</v>
      </c>
    </row>
    <row r="342">
      <c r="A342" s="80" t="s">
        <v>1988</v>
      </c>
      <c r="B342" s="228" t="s">
        <v>2039</v>
      </c>
      <c r="C342" s="45" t="s">
        <v>708</v>
      </c>
      <c r="D342" s="45" t="s">
        <v>709</v>
      </c>
      <c r="E342" s="45" t="s">
        <v>710</v>
      </c>
      <c r="F342" s="187">
        <v>45.0</v>
      </c>
      <c r="G342" s="180" t="str">
        <f>IFERROR(__xludf.DUMMYFUNCTION("TRIM(REGEXREPLACE(C342, ""[0-9]+[a-f]?\."", """"))"),"Anger")</f>
        <v>Anger</v>
      </c>
      <c r="H342" s="180" t="str">
        <f>IFERROR(__xludf.DUMMYFUNCTION("TRIM(REGEXREPLACE(D342, ""[0-9]+[a-f]?\."", """"))"),"Colère")</f>
        <v>Colère</v>
      </c>
      <c r="I342" s="180" t="str">
        <f>IFERROR(__xludf.DUMMYFUNCTION("TRIM(REGEXREPLACE(E342, ""[0-9]+[a-f]?\."", """"))"),"Fushi")</f>
        <v>Fushi</v>
      </c>
      <c r="J342" s="180" t="str">
        <f t="shared" ref="J342:L342" si="45">$F342 &amp; ". "&amp;G342</f>
        <v>45. Anger</v>
      </c>
      <c r="K342" s="180" t="str">
        <f t="shared" si="45"/>
        <v>45. Colère</v>
      </c>
      <c r="L342" s="180" t="str">
        <f t="shared" si="45"/>
        <v>45. Fushi</v>
      </c>
    </row>
    <row r="343">
      <c r="A343" s="80" t="s">
        <v>1988</v>
      </c>
      <c r="B343" s="228" t="s">
        <v>2043</v>
      </c>
      <c r="C343" s="45" t="s">
        <v>744</v>
      </c>
      <c r="D343" s="45" t="s">
        <v>745</v>
      </c>
      <c r="E343" s="45" t="s">
        <v>746</v>
      </c>
      <c r="F343" s="187">
        <v>46.0</v>
      </c>
      <c r="G343" s="180" t="str">
        <f>IFERROR(__xludf.DUMMYFUNCTION("TRIM(REGEXREPLACE(C343, ""[0-9]+[a-f]?\."", """"))"),"Physical pain")</f>
        <v>Physical pain</v>
      </c>
      <c r="H343" s="180" t="str">
        <f>IFERROR(__xludf.DUMMYFUNCTION("TRIM(REGEXREPLACE(D343, ""[0-9]+[a-f]?\."", """"))"),"Douleur physique")</f>
        <v>Douleur physique</v>
      </c>
      <c r="I343" s="180" t="str">
        <f>IFERROR(__xludf.DUMMYFUNCTION("TRIM(REGEXREPLACE(E343, ""[0-9]+[a-f]?\."", """"))"),"ciwon jiki")</f>
        <v>ciwon jiki</v>
      </c>
      <c r="J343" s="180" t="str">
        <f t="shared" ref="J343:L343" si="46">$F343 &amp; ". "&amp;G343</f>
        <v>46. Physical pain</v>
      </c>
      <c r="K343" s="180" t="str">
        <f t="shared" si="46"/>
        <v>46. Douleur physique</v>
      </c>
      <c r="L343" s="180" t="str">
        <f t="shared" si="46"/>
        <v>46. ciwon jiki</v>
      </c>
    </row>
    <row r="344">
      <c r="A344" s="80" t="s">
        <v>1988</v>
      </c>
      <c r="B344" s="228" t="s">
        <v>2051</v>
      </c>
      <c r="C344" s="45" t="s">
        <v>747</v>
      </c>
      <c r="D344" s="45" t="s">
        <v>748</v>
      </c>
      <c r="E344" s="45" t="s">
        <v>749</v>
      </c>
      <c r="F344" s="187">
        <v>47.0</v>
      </c>
      <c r="G344" s="180" t="str">
        <f>IFERROR(__xludf.DUMMYFUNCTION("TRIM(REGEXREPLACE(C344, ""[0-9]+[a-f]?\."", """"))"),"Loneliness")</f>
        <v>Loneliness</v>
      </c>
      <c r="H344" s="180" t="str">
        <f>IFERROR(__xludf.DUMMYFUNCTION("TRIM(REGEXREPLACE(D344, ""[0-9]+[a-f]?\."", """"))"),"Solitude")</f>
        <v>Solitude</v>
      </c>
      <c r="I344" s="180" t="str">
        <f>IFERROR(__xludf.DUMMYFUNCTION("TRIM(REGEXREPLACE(E344, ""[0-9]+[a-f]?\."", """"))"),"kadaici")</f>
        <v>kadaici</v>
      </c>
      <c r="J344" s="180" t="str">
        <f t="shared" ref="J344:L344" si="47">$F344 &amp; ". "&amp;G344</f>
        <v>47. Loneliness</v>
      </c>
      <c r="K344" s="180" t="str">
        <f t="shared" si="47"/>
        <v>47. Solitude</v>
      </c>
      <c r="L344" s="180" t="str">
        <f t="shared" si="47"/>
        <v>47. kadaici</v>
      </c>
    </row>
    <row r="345" hidden="1">
      <c r="A345" s="151" t="s">
        <v>237</v>
      </c>
      <c r="B345" s="226" t="s">
        <v>1979</v>
      </c>
      <c r="C345" s="226"/>
      <c r="D345" s="226"/>
      <c r="E345" s="226"/>
      <c r="F345" s="187">
        <v>213.0</v>
      </c>
      <c r="G345" s="180" t="str">
        <f>IFERROR(__xludf.DUMMYFUNCTION("TRIM(REGEXREPLACE(C345, ""[0-9]+[a-f]?\."", """"))"),"")</f>
        <v/>
      </c>
      <c r="H345" s="180" t="str">
        <f>IFERROR(__xludf.DUMMYFUNCTION("TRIM(REGEXREPLACE(D345, ""[0-9]+[a-f]?\."", """"))"),"")</f>
        <v/>
      </c>
      <c r="I345" s="180" t="str">
        <f>IFERROR(__xludf.DUMMYFUNCTION("TRIM(REGEXREPLACE(E345, ""[0-9]+[a-f]?\."", """"))"),"")</f>
        <v/>
      </c>
      <c r="J345" s="180" t="s">
        <v>2096</v>
      </c>
      <c r="K345" s="180" t="s">
        <v>2097</v>
      </c>
      <c r="L345" s="180" t="s">
        <v>2099</v>
      </c>
    </row>
    <row r="346" hidden="1">
      <c r="A346" s="180"/>
      <c r="B346" s="182"/>
      <c r="C346" s="182"/>
      <c r="D346" s="182"/>
      <c r="E346" s="182"/>
      <c r="F346" s="187">
        <v>230.0</v>
      </c>
      <c r="G346" s="180" t="str">
        <f>IFERROR(__xludf.DUMMYFUNCTION("TRIM(REGEXREPLACE(C346, ""[0-9]+[a-f]?\."", """"))"),"")</f>
        <v/>
      </c>
      <c r="H346" s="180" t="str">
        <f>IFERROR(__xludf.DUMMYFUNCTION("TRIM(REGEXREPLACE(D346, ""[0-9]+[a-f]?\."", """"))"),"")</f>
        <v/>
      </c>
      <c r="I346" s="180" t="str">
        <f>IFERROR(__xludf.DUMMYFUNCTION("TRIM(REGEXREPLACE(E346, ""[0-9]+[a-f]?\."", """"))"),"")</f>
        <v/>
      </c>
      <c r="J346" s="180" t="s">
        <v>2104</v>
      </c>
      <c r="K346" s="180" t="s">
        <v>2105</v>
      </c>
      <c r="L346" s="180" t="s">
        <v>2106</v>
      </c>
    </row>
    <row r="347" hidden="1">
      <c r="A347" s="180"/>
      <c r="B347" s="182"/>
      <c r="C347" s="182"/>
      <c r="D347" s="182"/>
      <c r="E347" s="182"/>
      <c r="F347" s="187">
        <v>208.0</v>
      </c>
      <c r="G347" s="180" t="str">
        <f>IFERROR(__xludf.DUMMYFUNCTION("TRIM(REGEXREPLACE(C347, ""[0-9]+[a-f]?\."", """"))"),"")</f>
        <v/>
      </c>
      <c r="H347" s="180" t="str">
        <f>IFERROR(__xludf.DUMMYFUNCTION("TRIM(REGEXREPLACE(D347, ""[0-9]+[a-f]?\."", """"))"),"")</f>
        <v/>
      </c>
      <c r="I347" s="180" t="str">
        <f>IFERROR(__xludf.DUMMYFUNCTION("TRIM(REGEXREPLACE(E347, ""[0-9]+[a-f]?\."", """"))"),"")</f>
        <v/>
      </c>
      <c r="J347" s="180" t="s">
        <v>2110</v>
      </c>
      <c r="K347" s="180" t="s">
        <v>2111</v>
      </c>
      <c r="L347" s="180" t="s">
        <v>2111</v>
      </c>
    </row>
    <row r="348" hidden="1">
      <c r="A348" s="151" t="s">
        <v>133</v>
      </c>
      <c r="B348" s="147" t="s">
        <v>2062</v>
      </c>
      <c r="C348" s="147"/>
      <c r="D348" s="226"/>
      <c r="E348" s="226"/>
      <c r="F348" s="187">
        <v>214.0</v>
      </c>
      <c r="G348" s="180" t="str">
        <f>IFERROR(__xludf.DUMMYFUNCTION("TRIM(REGEXREPLACE(C348, ""[0-9]+[a-f]?\."", """"))"),"")</f>
        <v/>
      </c>
      <c r="H348" s="180" t="str">
        <f>IFERROR(__xludf.DUMMYFUNCTION("TRIM(REGEXREPLACE(D348, ""[0-9]+[a-f]?\."", """"))"),"")</f>
        <v/>
      </c>
      <c r="I348" s="180" t="str">
        <f>IFERROR(__xludf.DUMMYFUNCTION("TRIM(REGEXREPLACE(E348, ""[0-9]+[a-f]?\."", """"))"),"")</f>
        <v/>
      </c>
      <c r="J348" s="180" t="s">
        <v>2112</v>
      </c>
      <c r="K348" s="180" t="s">
        <v>2113</v>
      </c>
      <c r="L348" s="180" t="s">
        <v>2114</v>
      </c>
    </row>
    <row r="349">
      <c r="A349" s="80" t="s">
        <v>2073</v>
      </c>
      <c r="B349" s="228" t="s">
        <v>2074</v>
      </c>
      <c r="C349" s="45" t="s">
        <v>761</v>
      </c>
      <c r="D349" s="45" t="s">
        <v>763</v>
      </c>
      <c r="E349" s="45" t="s">
        <v>764</v>
      </c>
      <c r="F349" s="187">
        <v>48.0</v>
      </c>
      <c r="G349" s="180" t="str">
        <f>IFERROR(__xludf.DUMMYFUNCTION("TRIM(REGEXREPLACE(C349, ""[0-9]+[a-f]?\."", """"))"),"I will now read out several statements. You should tell me whether these statements are true for you by using the following scale.")</f>
        <v>I will now read out several statements. You should tell me whether these statements are true for you by using the following scale.</v>
      </c>
      <c r="H349" s="180" t="str">
        <f>IFERROR(__xludf.DUMMYFUNCTION("TRIM(REGEXREPLACE(D349,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349" s="180" t="str">
        <f>IFERROR(__xludf.DUMMYFUNCTION("TRIM(REGEXREPLACE(E349,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349" s="180" t="str">
        <f t="shared" ref="J349:L349" si="48">$F349 &amp; ". "&amp;G349</f>
        <v>48. I will now read out several statements. You should tell me whether these statements are true for you by using the following scale.</v>
      </c>
      <c r="K349" s="180" t="str">
        <f t="shared" si="48"/>
        <v>48. Je vais maintenant lire plusieurs déclarations. Vous devez me dire si ces affirmations sont vraies pour vous en utilisant l'échelle suivante.</v>
      </c>
      <c r="L349" s="180" t="str">
        <f t="shared" si="48"/>
        <v>48. Yanzu zan karanta wasu maganganu da yawa. Za ku gaya mini ko waɗannan maganganun sun yi daidai da ku ta hanyar yin amfani da kuranga mai zuwa.</v>
      </c>
    </row>
    <row r="350">
      <c r="A350" s="80" t="s">
        <v>2073</v>
      </c>
      <c r="B350" s="228" t="s">
        <v>2087</v>
      </c>
      <c r="C350" s="45" t="s">
        <v>767</v>
      </c>
      <c r="D350" s="45" t="s">
        <v>768</v>
      </c>
      <c r="E350" s="45" t="s">
        <v>769</v>
      </c>
      <c r="F350" s="187">
        <v>49.0</v>
      </c>
      <c r="G350" s="180" t="str">
        <f>IFERROR(__xludf.DUMMYFUNCTION("TRIM(REGEXREPLACE(C350, ""[0-9]+[a-f]?\."", """"))"),"I feel I do not have much to be proud of.")</f>
        <v>I feel I do not have much to be proud of.</v>
      </c>
      <c r="H350" s="180" t="str">
        <f>IFERROR(__xludf.DUMMYFUNCTION("TRIM(REGEXREPLACE(D350, ""[0-9]+[a-f]?\."", """"))"),"Je sens que je n'ai pas beaucoup de raisons d'être fier (comblé).")</f>
        <v>Je sens que je n'ai pas beaucoup de raisons d'être fier (comblé).</v>
      </c>
      <c r="I350" s="180" t="str">
        <f>IFERROR(__xludf.DUMMYFUNCTION("TRIM(REGEXREPLACE(E350, ""[0-9]+[a-f]?\."", """"))"),"Ina jin ba ni da hujjojin jin daɗi")</f>
        <v>Ina jin ba ni da hujjojin jin daɗi</v>
      </c>
      <c r="J350" s="180" t="str">
        <f t="shared" ref="J350:L350" si="49">$F350 &amp; ". "&amp;G350</f>
        <v>49. I feel I do not have much to be proud of.</v>
      </c>
      <c r="K350" s="180" t="str">
        <f t="shared" si="49"/>
        <v>49. Je sens que je n'ai pas beaucoup de raisons d'être fier (comblé).</v>
      </c>
      <c r="L350" s="180" t="str">
        <f t="shared" si="49"/>
        <v>49. Ina jin ba ni da hujjojin jin daɗi</v>
      </c>
    </row>
    <row r="351">
      <c r="A351" s="80" t="s">
        <v>2073</v>
      </c>
      <c r="B351" s="228" t="s">
        <v>2100</v>
      </c>
      <c r="C351" s="45" t="s">
        <v>771</v>
      </c>
      <c r="D351" s="45" t="s">
        <v>772</v>
      </c>
      <c r="E351" s="45" t="s">
        <v>773</v>
      </c>
      <c r="F351" s="187">
        <v>50.0</v>
      </c>
      <c r="G351" s="180" t="str">
        <f>IFERROR(__xludf.DUMMYFUNCTION("TRIM(REGEXREPLACE(C351, ""[0-9]+[a-f]?\."", """"))"),"At times I think I am no good at all.")</f>
        <v>At times I think I am no good at all.</v>
      </c>
      <c r="H351" s="180" t="str">
        <f>IFERROR(__xludf.DUMMYFUNCTION("TRIM(REGEXREPLACE(D351, ""[0-9]+[a-f]?\."", """"))"),"Parfois, je pense que je suis utile a rien")</f>
        <v>Parfois, je pense que je suis utile a rien</v>
      </c>
      <c r="I351" s="180" t="str">
        <f>IFERROR(__xludf.DUMMYFUNCTION("TRIM(REGEXREPLACE(E351, ""[0-9]+[a-f]?\."", """"))"),"A wasu lokutta ina ganin bani da amfani.")</f>
        <v>A wasu lokutta ina ganin bani da amfani.</v>
      </c>
      <c r="J351" s="180" t="str">
        <f t="shared" ref="J351:L351" si="50">$F351 &amp; ". "&amp;G351</f>
        <v>50. At times I think I am no good at all.</v>
      </c>
      <c r="K351" s="180" t="str">
        <f t="shared" si="50"/>
        <v>50. Parfois, je pense que je suis utile a rien</v>
      </c>
      <c r="L351" s="180" t="str">
        <f t="shared" si="50"/>
        <v>50. A wasu lokutta ina ganin bani da amfani.</v>
      </c>
    </row>
    <row r="352" hidden="1">
      <c r="A352" s="151" t="s">
        <v>237</v>
      </c>
      <c r="B352" s="226" t="s">
        <v>2062</v>
      </c>
      <c r="C352" s="226"/>
      <c r="D352" s="226"/>
      <c r="E352" s="226"/>
      <c r="F352" s="187">
        <v>218.0</v>
      </c>
      <c r="G352" s="180" t="str">
        <f>IFERROR(__xludf.DUMMYFUNCTION("TRIM(REGEXREPLACE(C352, ""[0-9]+[a-f]?\."", """"))"),"")</f>
        <v/>
      </c>
      <c r="H352" s="180" t="str">
        <f>IFERROR(__xludf.DUMMYFUNCTION("TRIM(REGEXREPLACE(D352, ""[0-9]+[a-f]?\."", """"))"),"")</f>
        <v/>
      </c>
      <c r="I352" s="180" t="str">
        <f>IFERROR(__xludf.DUMMYFUNCTION("TRIM(REGEXREPLACE(E352, ""[0-9]+[a-f]?\."", """"))"),"")</f>
        <v/>
      </c>
      <c r="J352" s="180" t="s">
        <v>2127</v>
      </c>
      <c r="K352" s="180" t="s">
        <v>2128</v>
      </c>
      <c r="L352" s="180" t="s">
        <v>2129</v>
      </c>
    </row>
    <row r="353" hidden="1">
      <c r="A353" s="180"/>
      <c r="B353" s="182"/>
      <c r="C353" s="182"/>
      <c r="D353" s="182"/>
      <c r="E353" s="182"/>
      <c r="F353" s="187">
        <v>235.0</v>
      </c>
      <c r="G353" s="180" t="str">
        <f>IFERROR(__xludf.DUMMYFUNCTION("TRIM(REGEXREPLACE(C353, ""[0-9]+[a-f]?\."", """"))"),"")</f>
        <v/>
      </c>
      <c r="H353" s="180" t="str">
        <f>IFERROR(__xludf.DUMMYFUNCTION("TRIM(REGEXREPLACE(D353, ""[0-9]+[a-f]?\."", """"))"),"")</f>
        <v/>
      </c>
      <c r="I353" s="180" t="str">
        <f>IFERROR(__xludf.DUMMYFUNCTION("TRIM(REGEXREPLACE(E353, ""[0-9]+[a-f]?\."", """"))"),"")</f>
        <v/>
      </c>
      <c r="J353" s="180" t="s">
        <v>2130</v>
      </c>
      <c r="K353" s="180" t="s">
        <v>2131</v>
      </c>
      <c r="L353" s="180" t="s">
        <v>2132</v>
      </c>
    </row>
    <row r="354" hidden="1">
      <c r="A354" s="180"/>
      <c r="B354" s="182"/>
      <c r="C354" s="182"/>
      <c r="D354" s="182"/>
      <c r="E354" s="182"/>
      <c r="F354" s="183"/>
      <c r="G354" s="180" t="str">
        <f>IFERROR(__xludf.DUMMYFUNCTION("TRIM(REGEXREPLACE(C354, ""[0-9]+[a-f]?\."", """"))"),"")</f>
        <v/>
      </c>
      <c r="H354" s="180" t="str">
        <f>IFERROR(__xludf.DUMMYFUNCTION("TRIM(REGEXREPLACE(D354, ""[0-9]+[a-f]?\."", """"))"),"")</f>
        <v/>
      </c>
      <c r="I354" s="180" t="str">
        <f>IFERROR(__xludf.DUMMYFUNCTION("TRIM(REGEXREPLACE(E354, ""[0-9]+[a-f]?\."", """"))"),"")</f>
        <v/>
      </c>
      <c r="J354" s="180"/>
      <c r="K354" s="180"/>
      <c r="L354" s="184"/>
    </row>
    <row r="355" hidden="1">
      <c r="A355" s="151" t="s">
        <v>133</v>
      </c>
      <c r="B355" s="147" t="s">
        <v>2121</v>
      </c>
      <c r="C355" s="147"/>
      <c r="D355" s="226"/>
      <c r="E355" s="226"/>
      <c r="F355" s="187">
        <v>219.0</v>
      </c>
      <c r="G355" s="180" t="str">
        <f>IFERROR(__xludf.DUMMYFUNCTION("TRIM(REGEXREPLACE(C355, ""[0-9]+[a-f]?\."", """"))"),"")</f>
        <v/>
      </c>
      <c r="H355" s="180" t="str">
        <f>IFERROR(__xludf.DUMMYFUNCTION("TRIM(REGEXREPLACE(D355, ""[0-9]+[a-f]?\."", """"))"),"")</f>
        <v/>
      </c>
      <c r="I355" s="180" t="str">
        <f>IFERROR(__xludf.DUMMYFUNCTION("TRIM(REGEXREPLACE(E355, ""[0-9]+[a-f]?\."", """"))"),"")</f>
        <v/>
      </c>
      <c r="J355" s="180" t="s">
        <v>2141</v>
      </c>
      <c r="K355" s="180" t="s">
        <v>2142</v>
      </c>
      <c r="L355" s="180" t="s">
        <v>2143</v>
      </c>
    </row>
    <row r="356">
      <c r="A356" s="80" t="s">
        <v>2122</v>
      </c>
      <c r="B356" s="228" t="s">
        <v>2123</v>
      </c>
      <c r="C356" s="45" t="s">
        <v>784</v>
      </c>
      <c r="D356" s="45" t="s">
        <v>785</v>
      </c>
      <c r="E356" s="45" t="s">
        <v>786</v>
      </c>
      <c r="F356" s="187">
        <v>51.0</v>
      </c>
      <c r="G356" s="180" t="str">
        <f>IFERROR(__xludf.DUMMYFUNCTION("TRIM(REGEXREPLACE(C356, ""[0-9]+[a-f]?\."", """"))"),"How stressed are you about the following areas of your life?")</f>
        <v>How stressed are you about the following areas of your life?</v>
      </c>
      <c r="H356" s="180" t="str">
        <f>IFERROR(__xludf.DUMMYFUNCTION("TRIM(REGEXREPLACE(D356, ""[0-9]+[a-f]?\."", """"))"),"Dans quelle mesure êtes-vous stressé par les domaines suivants de votre vie ?")</f>
        <v>Dans quelle mesure êtes-vous stressé par les domaines suivants de votre vie ?</v>
      </c>
      <c r="I356" s="180" t="str">
        <f>IFERROR(__xludf.DUMMYFUNCTION("TRIM(REGEXREPLACE(E356, ""[0-9]+[a-f]?\."", """"))"),"Yaya damuwarku game da abubuwa na rayuwarku da zan zana?")</f>
        <v>Yaya damuwarku game da abubuwa na rayuwarku da zan zana?</v>
      </c>
      <c r="J356" s="180" t="str">
        <f t="shared" ref="J356:L356" si="51">$F356 &amp; ". "&amp;G356</f>
        <v>51. How stressed are you about the following areas of your life?</v>
      </c>
      <c r="K356" s="180" t="str">
        <f t="shared" si="51"/>
        <v>51. Dans quelle mesure êtes-vous stressé par les domaines suivants de votre vie ?</v>
      </c>
      <c r="L356" s="180" t="str">
        <f t="shared" si="51"/>
        <v>51. Yaya damuwarku game da abubuwa na rayuwarku da zan zana?</v>
      </c>
    </row>
    <row r="357">
      <c r="A357" s="80" t="s">
        <v>2122</v>
      </c>
      <c r="B357" s="228" t="s">
        <v>2136</v>
      </c>
      <c r="C357" s="45" t="s">
        <v>788</v>
      </c>
      <c r="D357" s="45" t="s">
        <v>789</v>
      </c>
      <c r="E357" s="45" t="s">
        <v>790</v>
      </c>
      <c r="F357" s="187">
        <v>52.0</v>
      </c>
      <c r="G357" s="180" t="str">
        <f>IFERROR(__xludf.DUMMYFUNCTION("TRIM(REGEXREPLACE(C357, ""[0-9]+[a-f]?\."", """"))"),"Your own health problems, illness")</f>
        <v>Your own health problems, illness</v>
      </c>
      <c r="H357" s="180" t="str">
        <f>IFERROR(__xludf.DUMMYFUNCTION("TRIM(REGEXREPLACE(D357, ""[0-9]+[a-f]?\."", """"))"),"Vos propres problèmes de santé")</f>
        <v>Vos propres problèmes de santé</v>
      </c>
      <c r="I357" s="180" t="str">
        <f>IFERROR(__xludf.DUMMYFUNCTION("TRIM(REGEXREPLACE(E357, ""[0-9]+[a-f]?\."", """"))"),"Matsalolin lafiyar jikinku")</f>
        <v>Matsalolin lafiyar jikinku</v>
      </c>
      <c r="J357" s="180" t="str">
        <f t="shared" ref="J357:L357" si="52">$F357 &amp; ". "&amp;G357</f>
        <v>52. Your own health problems, illness</v>
      </c>
      <c r="K357" s="180" t="str">
        <f t="shared" si="52"/>
        <v>52. Vos propres problèmes de santé</v>
      </c>
      <c r="L357" s="180" t="str">
        <f t="shared" si="52"/>
        <v>52. Matsalolin lafiyar jikinku</v>
      </c>
    </row>
    <row r="358">
      <c r="A358" s="80" t="s">
        <v>2122</v>
      </c>
      <c r="B358" s="228" t="s">
        <v>2146</v>
      </c>
      <c r="C358" s="45" t="s">
        <v>792</v>
      </c>
      <c r="D358" s="45" t="s">
        <v>793</v>
      </c>
      <c r="E358" s="45" t="s">
        <v>794</v>
      </c>
      <c r="F358" s="187">
        <v>53.0</v>
      </c>
      <c r="G358" s="180" t="str">
        <f>IFERROR(__xludf.DUMMYFUNCTION("TRIM(REGEXREPLACE(C358, ""[0-9]+[a-f]?\."", """"))"),"Problems at home and with relatives")</f>
        <v>Problems at home and with relatives</v>
      </c>
      <c r="H358" s="180" t="str">
        <f>IFERROR(__xludf.DUMMYFUNCTION("TRIM(REGEXREPLACE(D358, ""[0-9]+[a-f]?\."", """"))"),"Problèmes au sein du menage et avec les proches")</f>
        <v>Problèmes au sein du menage et avec les proches</v>
      </c>
      <c r="I358" s="180" t="str">
        <f>IFERROR(__xludf.DUMMYFUNCTION("TRIM(REGEXREPLACE(E358, ""[0-9]+[a-f]?\."", """"))"),"Matsalolin gida da na dangi")</f>
        <v>Matsalolin gida da na dangi</v>
      </c>
      <c r="J358" s="180" t="str">
        <f t="shared" ref="J358:L358" si="53">$F358 &amp; ". "&amp;G358</f>
        <v>53. Problems at home and with relatives</v>
      </c>
      <c r="K358" s="180" t="str">
        <f t="shared" si="53"/>
        <v>53. Problèmes au sein du menage et avec les proches</v>
      </c>
      <c r="L358" s="180" t="str">
        <f t="shared" si="53"/>
        <v>53. Matsalolin gida da na dangi</v>
      </c>
    </row>
    <row r="359">
      <c r="A359" s="80" t="s">
        <v>2122</v>
      </c>
      <c r="B359" s="228" t="s">
        <v>2154</v>
      </c>
      <c r="C359" s="45" t="s">
        <v>796</v>
      </c>
      <c r="D359" s="45" t="s">
        <v>797</v>
      </c>
      <c r="E359" s="45" t="s">
        <v>798</v>
      </c>
      <c r="F359" s="187">
        <v>54.0</v>
      </c>
      <c r="G359" s="180" t="str">
        <f>IFERROR(__xludf.DUMMYFUNCTION("TRIM(REGEXREPLACE(C359, ""[0-9]+[a-f]?\."", """"))"),"Accidents and disasters")</f>
        <v>Accidents and disasters</v>
      </c>
      <c r="H359" s="180" t="str">
        <f>IFERROR(__xludf.DUMMYFUNCTION("TRIM(REGEXREPLACE(D359, ""[0-9]+[a-f]?\."", """"))"),"Accidents et catastrophes")</f>
        <v>Accidents et catastrophes</v>
      </c>
      <c r="I359" s="180" t="str">
        <f>IFERROR(__xludf.DUMMYFUNCTION("TRIM(REGEXREPLACE(E359, ""[0-9]+[a-f]?\."", """"))"),"Hatsari da masifu")</f>
        <v>Hatsari da masifu</v>
      </c>
      <c r="J359" s="180" t="str">
        <f t="shared" ref="J359:L359" si="54">$F359 &amp; ". "&amp;G359</f>
        <v>54. Accidents and disasters</v>
      </c>
      <c r="K359" s="180" t="str">
        <f t="shared" si="54"/>
        <v>54. Accidents et catastrophes</v>
      </c>
      <c r="L359" s="180" t="str">
        <f t="shared" si="54"/>
        <v>54. Hatsari da masifu</v>
      </c>
    </row>
    <row r="360">
      <c r="A360" s="80" t="s">
        <v>2122</v>
      </c>
      <c r="B360" s="228" t="s">
        <v>2161</v>
      </c>
      <c r="C360" s="45" t="s">
        <v>801</v>
      </c>
      <c r="D360" s="45" t="s">
        <v>802</v>
      </c>
      <c r="E360" s="45" t="s">
        <v>803</v>
      </c>
      <c r="F360" s="187">
        <v>55.0</v>
      </c>
      <c r="G360" s="180" t="str">
        <f>IFERROR(__xludf.DUMMYFUNCTION("TRIM(REGEXREPLACE(C360, ""[0-9]+[a-f]?\."", """"))"),"Problems with people in other ethnic groups")</f>
        <v>Problems with people in other ethnic groups</v>
      </c>
      <c r="H360" s="180" t="str">
        <f>IFERROR(__xludf.DUMMYFUNCTION("TRIM(REGEXREPLACE(D360, ""[0-9]+[a-f]?\."", """"))"),"Problèmes avec les personnes d'autres groupes ethniques")</f>
        <v>Problèmes avec les personnes d'autres groupes ethniques</v>
      </c>
      <c r="I360" s="180" t="str">
        <f>IFERROR(__xludf.DUMMYFUNCTION("TRIM(REGEXREPLACE(E360, ""[0-9]+[a-f]?\."", """"))"),"Matsaloli da mutanen wasu kabilu daban")</f>
        <v>Matsaloli da mutanen wasu kabilu daban</v>
      </c>
      <c r="J360" s="180" t="str">
        <f t="shared" ref="J360:L360" si="55">$F360 &amp; ". "&amp;G360</f>
        <v>55. Problems with people in other ethnic groups</v>
      </c>
      <c r="K360" s="180" t="str">
        <f t="shared" si="55"/>
        <v>55. Problèmes avec les personnes d'autres groupes ethniques</v>
      </c>
      <c r="L360" s="180" t="str">
        <f t="shared" si="55"/>
        <v>55. Matsaloli da mutanen wasu kabilu daban</v>
      </c>
    </row>
    <row r="361">
      <c r="A361" s="80" t="s">
        <v>2122</v>
      </c>
      <c r="B361" s="228" t="s">
        <v>2168</v>
      </c>
      <c r="C361" s="45" t="s">
        <v>808</v>
      </c>
      <c r="D361" s="45" t="s">
        <v>809</v>
      </c>
      <c r="E361" s="45" t="s">
        <v>810</v>
      </c>
      <c r="F361" s="187">
        <v>56.0</v>
      </c>
      <c r="G361" s="180" t="str">
        <f>IFERROR(__xludf.DUMMYFUNCTION("TRIM(REGEXREPLACE(C361, ""[0-9]+[a-f]?\."", """"))"),"Not enough money for basic needs (such as food and clothing)")</f>
        <v>Not enough money for basic needs (such as food and clothing)</v>
      </c>
      <c r="H361" s="180" t="str">
        <f>IFERROR(__xludf.DUMMYFUNCTION("TRIM(REGEXREPLACE(D361, ""[0-9]+[a-f]?\."", """"))"),"Pas assez d'argent pour les besoins de base (tels que la nourriture et les vêtements)")</f>
        <v>Pas assez d'argent pour les besoins de base (tels que la nourriture et les vêtements)</v>
      </c>
      <c r="I361" s="180" t="str">
        <f>IFERROR(__xludf.DUMMYFUNCTION("TRIM(REGEXREPLACE(E361, ""[0-9]+[a-f]?\."", """"))"),"Rashin isassun kuɗi don buƙatun asali (kamar abinci da sutura)")</f>
        <v>Rashin isassun kuɗi don buƙatun asali (kamar abinci da sutura)</v>
      </c>
      <c r="J361" s="180" t="str">
        <f t="shared" ref="J361:L361" si="56">$F361 &amp; ". "&amp;G361</f>
        <v>56. Not enough money for basic needs (such as food and clothing)</v>
      </c>
      <c r="K361" s="180" t="str">
        <f t="shared" si="56"/>
        <v>56. Pas assez d'argent pour les besoins de base (tels que la nourriture et les vêtements)</v>
      </c>
      <c r="L361" s="180" t="str">
        <f t="shared" si="56"/>
        <v>56. Rashin isassun kuɗi don buƙatun asali (kamar abinci da sutura)</v>
      </c>
    </row>
    <row r="362">
      <c r="A362" s="80" t="s">
        <v>2122</v>
      </c>
      <c r="B362" s="228" t="s">
        <v>2172</v>
      </c>
      <c r="C362" s="45" t="s">
        <v>812</v>
      </c>
      <c r="D362" s="45" t="s">
        <v>813</v>
      </c>
      <c r="E362" s="45" t="s">
        <v>814</v>
      </c>
      <c r="F362" s="187">
        <v>57.0</v>
      </c>
      <c r="G362" s="180" t="str">
        <f>IFERROR(__xludf.DUMMYFUNCTION("TRIM(REGEXREPLACE(C362, ""[0-9]+[a-f]?\."", """"))"),"Not being able to educate all children")</f>
        <v>Not being able to educate all children</v>
      </c>
      <c r="H362" s="180" t="str">
        <f>IFERROR(__xludf.DUMMYFUNCTION("TRIM(REGEXREPLACE(D362, ""[0-9]+[a-f]?\."", """"))"),"Ne pas pouvoir scolariser tous les enfants")</f>
        <v>Ne pas pouvoir scolariser tous les enfants</v>
      </c>
      <c r="I362" s="180" t="str">
        <f>IFERROR(__xludf.DUMMYFUNCTION("TRIM(REGEXREPLACE(E362, ""[0-9]+[a-f]?\."", """"))"),"Rashin iya rubuta dukkan yara a makarantar boko")</f>
        <v>Rashin iya rubuta dukkan yara a makarantar boko</v>
      </c>
      <c r="J362" s="180" t="str">
        <f t="shared" ref="J362:L362" si="57">$F362 &amp; ". "&amp;G362</f>
        <v>57. Not being able to educate all children</v>
      </c>
      <c r="K362" s="180" t="str">
        <f t="shared" si="57"/>
        <v>57. Ne pas pouvoir scolariser tous les enfants</v>
      </c>
      <c r="L362" s="180" t="str">
        <f t="shared" si="57"/>
        <v>57. Rashin iya rubuta dukkan yara a makarantar boko</v>
      </c>
    </row>
    <row r="363">
      <c r="A363" s="80" t="s">
        <v>2122</v>
      </c>
      <c r="B363" s="228" t="s">
        <v>2179</v>
      </c>
      <c r="C363" s="45" t="s">
        <v>817</v>
      </c>
      <c r="D363" s="45" t="s">
        <v>818</v>
      </c>
      <c r="E363" s="45" t="s">
        <v>820</v>
      </c>
      <c r="F363" s="187">
        <v>58.0</v>
      </c>
      <c r="G363" s="180" t="str">
        <f>IFERROR(__xludf.DUMMYFUNCTION("TRIM(REGEXREPLACE(C363, ""[0-9]+[a-f]?\."", """"))"),"Difficulty finding work")</f>
        <v>Difficulty finding work</v>
      </c>
      <c r="H363" s="180" t="str">
        <f>IFERROR(__xludf.DUMMYFUNCTION("TRIM(REGEXREPLACE(D363, ""[0-9]+[a-f]?\."", """"))"),"Difficulté à trouver du travail")</f>
        <v>Difficulté à trouver du travail</v>
      </c>
      <c r="I363" s="180" t="str">
        <f>IFERROR(__xludf.DUMMYFUNCTION("TRIM(REGEXREPLACE(E363, ""[0-9]+[a-f]?\."", """"))"),"Wahalar neman aiki")</f>
        <v>Wahalar neman aiki</v>
      </c>
      <c r="J363" s="180" t="str">
        <f t="shared" ref="J363:L363" si="58">$F363 &amp; ". "&amp;G363</f>
        <v>58. Difficulty finding work</v>
      </c>
      <c r="K363" s="180" t="str">
        <f t="shared" si="58"/>
        <v>58. Difficulté à trouver du travail</v>
      </c>
      <c r="L363" s="180" t="str">
        <f t="shared" si="58"/>
        <v>58. Wahalar neman aiki</v>
      </c>
    </row>
    <row r="364">
      <c r="A364" s="80" t="s">
        <v>2122</v>
      </c>
      <c r="B364" s="228" t="s">
        <v>2180</v>
      </c>
      <c r="C364" s="45" t="s">
        <v>823</v>
      </c>
      <c r="D364" s="45" t="s">
        <v>824</v>
      </c>
      <c r="E364" s="45" t="s">
        <v>825</v>
      </c>
      <c r="F364" s="187">
        <v>59.0</v>
      </c>
      <c r="G364" s="180" t="str">
        <f>IFERROR(__xludf.DUMMYFUNCTION("TRIM(REGEXREPLACE(C364, ""[0-9]+[a-f]?\."", """"))"),"Idleness of children or spouse")</f>
        <v>Idleness of children or spouse</v>
      </c>
      <c r="H364" s="180" t="str">
        <f>IFERROR(__xludf.DUMMYFUNCTION("TRIM(REGEXREPLACE(D364, ""[0-9]+[a-f]?\."", """"))"),"L'oisiveté des enfants ou du conjoint")</f>
        <v>L'oisiveté des enfants ou du conjoint</v>
      </c>
      <c r="I364" s="180" t="str">
        <f>IFERROR(__xludf.DUMMYFUNCTION("TRIM(REGEXREPLACE(E364, ""[0-9]+[a-f]?\."", """"))"),"Zaman banza na yara ko miji")</f>
        <v>Zaman banza na yara ko miji</v>
      </c>
      <c r="J364" s="180" t="str">
        <f t="shared" ref="J364:L364" si="59">$F364 &amp; ". "&amp;G364</f>
        <v>59. Idleness of children or spouse</v>
      </c>
      <c r="K364" s="180" t="str">
        <f t="shared" si="59"/>
        <v>59. L'oisiveté des enfants ou du conjoint</v>
      </c>
      <c r="L364" s="180" t="str">
        <f t="shared" si="59"/>
        <v>59. Zaman banza na yara ko miji</v>
      </c>
    </row>
    <row r="365">
      <c r="A365" s="80" t="s">
        <v>2122</v>
      </c>
      <c r="B365" s="228" t="s">
        <v>2184</v>
      </c>
      <c r="C365" s="45" t="s">
        <v>827</v>
      </c>
      <c r="D365" s="45" t="s">
        <v>828</v>
      </c>
      <c r="E365" s="45" t="s">
        <v>829</v>
      </c>
      <c r="F365" s="187">
        <v>60.0</v>
      </c>
      <c r="G365" s="180" t="str">
        <f>IFERROR(__xludf.DUMMYFUNCTION("TRIM(REGEXREPLACE(C365, ""[0-9]+[a-f]?\."", """"))"),"Alcohol comsumption of children or spouse")</f>
        <v>Alcohol comsumption of children or spouse</v>
      </c>
      <c r="H365" s="180" t="str">
        <f>IFERROR(__xludf.DUMMYFUNCTION("TRIM(REGEXREPLACE(D365, ""[0-9]+[a-f]?\."", """"))"),"Consommation d'alcool des enfants ou du conjoint")</f>
        <v>Consommation d'alcool des enfants ou du conjoint</v>
      </c>
      <c r="I365" s="180" t="str">
        <f>IFERROR(__xludf.DUMMYFUNCTION("TRIM(REGEXREPLACE(E365, ""[0-9]+[a-f]?\."", """"))"),"Shan giya na yara ko miji")</f>
        <v>Shan giya na yara ko miji</v>
      </c>
      <c r="J365" s="180" t="str">
        <f t="shared" ref="J365:L365" si="60">$F365 &amp; ". "&amp;G365</f>
        <v>60. Alcohol comsumption of children or spouse</v>
      </c>
      <c r="K365" s="180" t="str">
        <f t="shared" si="60"/>
        <v>60. Consommation d'alcool des enfants ou du conjoint</v>
      </c>
      <c r="L365" s="180" t="str">
        <f t="shared" si="60"/>
        <v>60. Shan giya na yara ko miji</v>
      </c>
    </row>
    <row r="366" hidden="1">
      <c r="A366" s="180"/>
      <c r="B366" s="182"/>
      <c r="C366" s="182"/>
      <c r="D366" s="182"/>
      <c r="E366" s="182"/>
      <c r="F366" s="187">
        <v>242.0</v>
      </c>
      <c r="G366" s="180" t="str">
        <f>IFERROR(__xludf.DUMMYFUNCTION("TRIM(REGEXREPLACE(C366, ""[0-9]+[a-f]?\."", """"))"),"")</f>
        <v/>
      </c>
      <c r="H366" s="180" t="str">
        <f>IFERROR(__xludf.DUMMYFUNCTION("TRIM(REGEXREPLACE(D366, ""[0-9]+[a-f]?\."", """"))"),"")</f>
        <v/>
      </c>
      <c r="I366" s="180" t="str">
        <f>IFERROR(__xludf.DUMMYFUNCTION("TRIM(REGEXREPLACE(E366, ""[0-9]+[a-f]?\."", """"))"),"")</f>
        <v/>
      </c>
      <c r="J366" s="180" t="s">
        <v>2205</v>
      </c>
      <c r="K366" s="180" t="s">
        <v>2206</v>
      </c>
      <c r="L366" s="180" t="s">
        <v>2207</v>
      </c>
    </row>
    <row r="367" hidden="1">
      <c r="A367" s="180"/>
      <c r="B367" s="182"/>
      <c r="C367" s="182"/>
      <c r="D367" s="182"/>
      <c r="E367" s="182"/>
      <c r="F367" s="187">
        <v>219.0</v>
      </c>
      <c r="G367" s="180" t="str">
        <f>IFERROR(__xludf.DUMMYFUNCTION("TRIM(REGEXREPLACE(C367, ""[0-9]+[a-f]?\."", """"))"),"")</f>
        <v/>
      </c>
      <c r="H367" s="180" t="str">
        <f>IFERROR(__xludf.DUMMYFUNCTION("TRIM(REGEXREPLACE(D367, ""[0-9]+[a-f]?\."", """"))"),"")</f>
        <v/>
      </c>
      <c r="I367" s="180" t="str">
        <f>IFERROR(__xludf.DUMMYFUNCTION("TRIM(REGEXREPLACE(E367, ""[0-9]+[a-f]?\."", """"))"),"")</f>
        <v/>
      </c>
      <c r="J367" s="180" t="s">
        <v>2211</v>
      </c>
      <c r="K367" s="180" t="s">
        <v>2212</v>
      </c>
      <c r="L367" s="180" t="s">
        <v>2213</v>
      </c>
    </row>
    <row r="368">
      <c r="A368" s="80" t="s">
        <v>2122</v>
      </c>
      <c r="B368" s="228" t="s">
        <v>2214</v>
      </c>
      <c r="C368" s="45" t="s">
        <v>832</v>
      </c>
      <c r="D368" s="45" t="s">
        <v>833</v>
      </c>
      <c r="E368" s="45" t="s">
        <v>834</v>
      </c>
      <c r="F368" s="187">
        <v>61.0</v>
      </c>
      <c r="G368" s="180" t="str">
        <f>IFERROR(__xludf.DUMMYFUNCTION("TRIM(REGEXREPLACE(C368, ""[0-9]+[a-f]?\."", """"))"),"Death of a family member")</f>
        <v>Death of a family member</v>
      </c>
      <c r="H368" s="180" t="str">
        <f>IFERROR(__xludf.DUMMYFUNCTION("TRIM(REGEXREPLACE(D368, ""[0-9]+[a-f]?\."", """"))"),"Décès d'un membre de la famille")</f>
        <v>Décès d'un membre de la famille</v>
      </c>
      <c r="I368" s="180" t="str">
        <f>IFERROR(__xludf.DUMMYFUNCTION("TRIM(REGEXREPLACE(E368, ""[0-9]+[a-f]?\."", """"))"),"Mutuwar wani dan uwa")</f>
        <v>Mutuwar wani dan uwa</v>
      </c>
      <c r="J368" s="180" t="str">
        <f t="shared" ref="J368:L368" si="61">$F368 &amp; ". "&amp;G368</f>
        <v>61. Death of a family member</v>
      </c>
      <c r="K368" s="180" t="str">
        <f t="shared" si="61"/>
        <v>61. Décès d'un membre de la famille</v>
      </c>
      <c r="L368" s="180" t="str">
        <f t="shared" si="61"/>
        <v>61. Mutuwar wani dan uwa</v>
      </c>
    </row>
    <row r="369" hidden="1">
      <c r="A369" s="180"/>
      <c r="B369" s="182"/>
      <c r="C369" s="182"/>
      <c r="D369" s="182"/>
      <c r="E369" s="182"/>
      <c r="F369" s="187">
        <v>243.0</v>
      </c>
      <c r="G369" s="180" t="str">
        <f>IFERROR(__xludf.DUMMYFUNCTION("TRIM(REGEXREPLACE(C369, ""[0-9]+[a-f]?\."", """"))"),"")</f>
        <v/>
      </c>
      <c r="H369" s="180" t="str">
        <f>IFERROR(__xludf.DUMMYFUNCTION("TRIM(REGEXREPLACE(D369, ""[0-9]+[a-f]?\."", """"))"),"")</f>
        <v/>
      </c>
      <c r="I369" s="180" t="str">
        <f>IFERROR(__xludf.DUMMYFUNCTION("TRIM(REGEXREPLACE(E369, ""[0-9]+[a-f]?\."", """"))"),"")</f>
        <v/>
      </c>
      <c r="J369" s="180" t="s">
        <v>2218</v>
      </c>
      <c r="K369" s="180" t="s">
        <v>2220</v>
      </c>
      <c r="L369" s="180" t="s">
        <v>2221</v>
      </c>
    </row>
    <row r="370" hidden="1">
      <c r="A370" s="180"/>
      <c r="B370" s="182"/>
      <c r="C370" s="182"/>
      <c r="D370" s="182"/>
      <c r="E370" s="182"/>
      <c r="F370" s="187">
        <v>244.0</v>
      </c>
      <c r="G370" s="180" t="str">
        <f>IFERROR(__xludf.DUMMYFUNCTION("TRIM(REGEXREPLACE(C370, ""[0-9]+[a-f]?\."", """"))"),"")</f>
        <v/>
      </c>
      <c r="H370" s="180" t="str">
        <f>IFERROR(__xludf.DUMMYFUNCTION("TRIM(REGEXREPLACE(D370, ""[0-9]+[a-f]?\."", """"))"),"")</f>
        <v/>
      </c>
      <c r="I370" s="180" t="str">
        <f>IFERROR(__xludf.DUMMYFUNCTION("TRIM(REGEXREPLACE(E370, ""[0-9]+[a-f]?\."", """"))"),"")</f>
        <v/>
      </c>
      <c r="J370" s="180" t="s">
        <v>2224</v>
      </c>
      <c r="K370" s="180" t="s">
        <v>2225</v>
      </c>
      <c r="L370" s="180" t="s">
        <v>2226</v>
      </c>
    </row>
    <row r="371">
      <c r="A371" s="80" t="s">
        <v>2122</v>
      </c>
      <c r="B371" s="228" t="s">
        <v>2227</v>
      </c>
      <c r="C371" s="45" t="s">
        <v>839</v>
      </c>
      <c r="D371" s="45" t="s">
        <v>840</v>
      </c>
      <c r="E371" s="45" t="s">
        <v>841</v>
      </c>
      <c r="F371" s="187">
        <v>62.0</v>
      </c>
      <c r="G371" s="180" t="str">
        <f>IFERROR(__xludf.DUMMYFUNCTION("TRIM(REGEXREPLACE(C371, ""[0-9]+[a-f]?\."", """"))"),"Debts owed to others")</f>
        <v>Debts owed to others</v>
      </c>
      <c r="H371" s="180" t="str">
        <f>IFERROR(__xludf.DUMMYFUNCTION("TRIM(REGEXREPLACE(D371, ""[0-9]+[a-f]?\."", """"))"),"Dettes envers autrui")</f>
        <v>Dettes envers autrui</v>
      </c>
      <c r="I371" s="180" t="str">
        <f>IFERROR(__xludf.DUMMYFUNCTION("TRIM(REGEXREPLACE(E371, ""[0-9]+[a-f]?\."", """"))"),"Bashi da wasu ke binku")</f>
        <v>Bashi da wasu ke binku</v>
      </c>
      <c r="J371" s="180" t="str">
        <f t="shared" ref="J371:L371" si="62">$F371 &amp; ". "&amp;G371</f>
        <v>62. Debts owed to others</v>
      </c>
      <c r="K371" s="180" t="str">
        <f t="shared" si="62"/>
        <v>62. Dettes envers autrui</v>
      </c>
      <c r="L371" s="180" t="str">
        <f t="shared" si="62"/>
        <v>62. Bashi da wasu ke binku</v>
      </c>
    </row>
    <row r="372" hidden="1">
      <c r="A372" s="180"/>
      <c r="B372" s="182"/>
      <c r="C372" s="182"/>
      <c r="D372" s="182"/>
      <c r="E372" s="182"/>
      <c r="F372" s="187">
        <v>246.0</v>
      </c>
      <c r="G372" s="180" t="str">
        <f>IFERROR(__xludf.DUMMYFUNCTION("TRIM(REGEXREPLACE(C372, ""[0-9]+[a-f]?\."", """"))"),"")</f>
        <v/>
      </c>
      <c r="H372" s="180" t="str">
        <f>IFERROR(__xludf.DUMMYFUNCTION("TRIM(REGEXREPLACE(D372, ""[0-9]+[a-f]?\."", """"))"),"")</f>
        <v/>
      </c>
      <c r="I372" s="180" t="str">
        <f>IFERROR(__xludf.DUMMYFUNCTION("TRIM(REGEXREPLACE(E372, ""[0-9]+[a-f]?\."", """"))"),"")</f>
        <v/>
      </c>
      <c r="J372" s="180" t="s">
        <v>2231</v>
      </c>
      <c r="K372" s="180" t="s">
        <v>2232</v>
      </c>
      <c r="L372" s="180" t="s">
        <v>2233</v>
      </c>
    </row>
    <row r="373" hidden="1">
      <c r="A373" s="151" t="s">
        <v>237</v>
      </c>
      <c r="B373" s="226" t="s">
        <v>2121</v>
      </c>
      <c r="C373" s="226"/>
      <c r="D373" s="226"/>
      <c r="E373" s="226"/>
      <c r="F373" s="187">
        <v>232.0</v>
      </c>
      <c r="G373" s="180" t="str">
        <f>IFERROR(__xludf.DUMMYFUNCTION("TRIM(REGEXREPLACE(C373, ""[0-9]+[a-f]?\."", """"))"),"")</f>
        <v/>
      </c>
      <c r="H373" s="180" t="str">
        <f>IFERROR(__xludf.DUMMYFUNCTION("TRIM(REGEXREPLACE(D373, ""[0-9]+[a-f]?\."", """"))"),"")</f>
        <v/>
      </c>
      <c r="I373" s="180" t="str">
        <f>IFERROR(__xludf.DUMMYFUNCTION("TRIM(REGEXREPLACE(E373, ""[0-9]+[a-f]?\."", """"))"),"")</f>
        <v/>
      </c>
      <c r="J373" s="180" t="s">
        <v>2240</v>
      </c>
      <c r="K373" s="180" t="s">
        <v>2241</v>
      </c>
      <c r="L373" s="180" t="s">
        <v>2242</v>
      </c>
    </row>
    <row r="374" hidden="1">
      <c r="A374" s="180"/>
      <c r="B374" s="182"/>
      <c r="C374" s="182"/>
      <c r="D374" s="182"/>
      <c r="E374" s="182"/>
      <c r="F374" s="183"/>
      <c r="G374" s="180" t="str">
        <f>IFERROR(__xludf.DUMMYFUNCTION("TRIM(REGEXREPLACE(C374, ""[0-9]+[a-f]?\."", """"))"),"")</f>
        <v/>
      </c>
      <c r="H374" s="180" t="str">
        <f>IFERROR(__xludf.DUMMYFUNCTION("TRIM(REGEXREPLACE(D374, ""[0-9]+[a-f]?\."", """"))"),"")</f>
        <v/>
      </c>
      <c r="I374" s="180" t="str">
        <f>IFERROR(__xludf.DUMMYFUNCTION("TRIM(REGEXREPLACE(E374, ""[0-9]+[a-f]?\."", """"))"),"")</f>
        <v/>
      </c>
      <c r="J374" s="180"/>
      <c r="K374" s="180"/>
      <c r="L374" s="184"/>
    </row>
    <row r="375" hidden="1">
      <c r="A375" s="180"/>
      <c r="B375" s="182"/>
      <c r="C375" s="182"/>
      <c r="D375" s="182"/>
      <c r="E375" s="182"/>
      <c r="F375" s="187">
        <v>226.0</v>
      </c>
      <c r="G375" s="180" t="str">
        <f>IFERROR(__xludf.DUMMYFUNCTION("TRIM(REGEXREPLACE(C375, ""[0-9]+[a-f]?\."", """"))"),"")</f>
        <v/>
      </c>
      <c r="H375" s="180" t="str">
        <f>IFERROR(__xludf.DUMMYFUNCTION("TRIM(REGEXREPLACE(D375, ""[0-9]+[a-f]?\."", """"))"),"")</f>
        <v/>
      </c>
      <c r="I375" s="180" t="str">
        <f>IFERROR(__xludf.DUMMYFUNCTION("TRIM(REGEXREPLACE(E375, ""[0-9]+[a-f]?\."", """"))"),"")</f>
        <v/>
      </c>
      <c r="J375" s="180" t="s">
        <v>2248</v>
      </c>
      <c r="K375" s="180" t="s">
        <v>2249</v>
      </c>
      <c r="L375" s="180" t="s">
        <v>2250</v>
      </c>
    </row>
    <row r="376">
      <c r="A376" s="248" t="s">
        <v>268</v>
      </c>
      <c r="B376" s="249" t="s">
        <v>2251</v>
      </c>
      <c r="C376" s="45" t="s">
        <v>847</v>
      </c>
      <c r="D376" s="45" t="s">
        <v>848</v>
      </c>
      <c r="E376" s="45" t="s">
        <v>850</v>
      </c>
      <c r="F376" s="187">
        <v>63.0</v>
      </c>
      <c r="G376" s="180" t="str">
        <f>IFERROR(__xludf.DUMMYFUNCTION("TRIM(REGEXREPLACE(C376,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376" s="180" t="str">
        <f>IFERROR(__xludf.DUMMYFUNCTION("TRIM(REGEXREPLACE(D376,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376" s="180" t="str">
        <f>IFERROR(__xludf.DUMMYFUNCTION("TRIM(REGEXREPLACE(E376,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376" s="180" t="str">
        <f t="shared" ref="J376:L376" si="63">$F376 &amp; ". "&amp;G376</f>
        <v>63.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376" s="180" t="str">
        <f t="shared" si="63"/>
        <v>63.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376" s="180" t="str">
        <f t="shared" si="63"/>
        <v>63. A ce saman kuranga tana nuna mafi kyawun rayuwa a gare ku kuma kasan kuranga tana nuna mafi munin rayuwa a gareku. Idan matakin saman ya kasance 10 kuma matakin ƙasa shine 0, akan wane mataki na kurangar kake jin kai da kanka kake a halin yanzu?</v>
      </c>
    </row>
    <row r="377" hidden="1">
      <c r="A377" s="180"/>
      <c r="B377" s="182"/>
      <c r="C377" s="182"/>
      <c r="D377" s="182"/>
      <c r="E377" s="182"/>
      <c r="F377" s="187">
        <v>227.0</v>
      </c>
      <c r="G377" s="180" t="str">
        <f>IFERROR(__xludf.DUMMYFUNCTION("TRIM(REGEXREPLACE(C377, ""[0-9]+[a-f]?\."", """"))"),"")</f>
        <v/>
      </c>
      <c r="H377" s="180" t="str">
        <f>IFERROR(__xludf.DUMMYFUNCTION("TRIM(REGEXREPLACE(D377, ""[0-9]+[a-f]?\."", """"))"),"")</f>
        <v/>
      </c>
      <c r="I377" s="180" t="str">
        <f>IFERROR(__xludf.DUMMYFUNCTION("TRIM(REGEXREPLACE(E377, ""[0-9]+[a-f]?\."", """"))"),"")</f>
        <v/>
      </c>
      <c r="J377" s="180" t="s">
        <v>2270</v>
      </c>
      <c r="K377" s="180" t="s">
        <v>2271</v>
      </c>
      <c r="L377" s="180" t="s">
        <v>2273</v>
      </c>
    </row>
    <row r="378" hidden="1">
      <c r="A378" s="180"/>
      <c r="B378" s="182"/>
      <c r="C378" s="182"/>
      <c r="D378" s="182"/>
      <c r="E378" s="182"/>
      <c r="F378" s="187">
        <v>248.0</v>
      </c>
      <c r="G378" s="180" t="str">
        <f>IFERROR(__xludf.DUMMYFUNCTION("TRIM(REGEXREPLACE(C378, ""[0-9]+[a-f]?\."", """"))"),"")</f>
        <v/>
      </c>
      <c r="H378" s="180" t="str">
        <f>IFERROR(__xludf.DUMMYFUNCTION("TRIM(REGEXREPLACE(D378, ""[0-9]+[a-f]?\."", """"))"),"")</f>
        <v/>
      </c>
      <c r="I378" s="180" t="str">
        <f>IFERROR(__xludf.DUMMYFUNCTION("TRIM(REGEXREPLACE(E378, ""[0-9]+[a-f]?\."", """"))"),"")</f>
        <v/>
      </c>
      <c r="J378" s="180" t="s">
        <v>2274</v>
      </c>
      <c r="K378" s="180" t="s">
        <v>2275</v>
      </c>
      <c r="L378" s="180" t="s">
        <v>2276</v>
      </c>
    </row>
    <row r="379" hidden="1">
      <c r="A379" s="85" t="s">
        <v>127</v>
      </c>
      <c r="B379" s="227" t="s">
        <v>2264</v>
      </c>
      <c r="C379" s="198"/>
      <c r="D379" s="198"/>
      <c r="E379" s="198"/>
      <c r="F379" s="187">
        <v>234.0</v>
      </c>
      <c r="G379" s="180" t="str">
        <f>IFERROR(__xludf.DUMMYFUNCTION("TRIM(REGEXREPLACE(C379, ""[0-9]+[a-f]?\."", """"))"),"")</f>
        <v/>
      </c>
      <c r="H379" s="180" t="str">
        <f>IFERROR(__xludf.DUMMYFUNCTION("TRIM(REGEXREPLACE(D379, ""[0-9]+[a-f]?\."", """"))"),"")</f>
        <v/>
      </c>
      <c r="I379" s="180" t="str">
        <f>IFERROR(__xludf.DUMMYFUNCTION("TRIM(REGEXREPLACE(E379, ""[0-9]+[a-f]?\."", """"))"),"")</f>
        <v/>
      </c>
      <c r="J379" s="180" t="s">
        <v>2277</v>
      </c>
      <c r="K379" s="180" t="s">
        <v>2278</v>
      </c>
      <c r="L379" s="180" t="s">
        <v>2279</v>
      </c>
    </row>
    <row r="380" hidden="1">
      <c r="A380" s="144" t="s">
        <v>68</v>
      </c>
      <c r="B380" s="148" t="s">
        <v>2268</v>
      </c>
      <c r="C380" s="147"/>
      <c r="D380" s="147"/>
      <c r="E380" s="147"/>
      <c r="F380" s="187">
        <v>235.0</v>
      </c>
      <c r="G380" s="180" t="str">
        <f>IFERROR(__xludf.DUMMYFUNCTION("TRIM(REGEXREPLACE(C380, ""[0-9]+[a-f]?\."", """"))"),"")</f>
        <v/>
      </c>
      <c r="H380" s="180" t="str">
        <f>IFERROR(__xludf.DUMMYFUNCTION("TRIM(REGEXREPLACE(D380, ""[0-9]+[a-f]?\."", """"))"),"")</f>
        <v/>
      </c>
      <c r="I380" s="180" t="str">
        <f>IFERROR(__xludf.DUMMYFUNCTION("TRIM(REGEXREPLACE(E380, ""[0-9]+[a-f]?\."", """"))"),"")</f>
        <v/>
      </c>
      <c r="J380" s="180" t="s">
        <v>2280</v>
      </c>
      <c r="K380" s="180" t="s">
        <v>2281</v>
      </c>
      <c r="L380" s="180" t="s">
        <v>2282</v>
      </c>
    </row>
    <row r="381" hidden="1">
      <c r="A381" s="151"/>
      <c r="B381" s="147"/>
      <c r="C381" s="147"/>
      <c r="D381" s="147"/>
      <c r="E381" s="147"/>
      <c r="F381" s="187">
        <v>236.0</v>
      </c>
      <c r="G381" s="180" t="str">
        <f>IFERROR(__xludf.DUMMYFUNCTION("TRIM(REGEXREPLACE(C381, ""[0-9]+[a-f]?\."", """"))"),"")</f>
        <v/>
      </c>
      <c r="H381" s="180" t="str">
        <f>IFERROR(__xludf.DUMMYFUNCTION("TRIM(REGEXREPLACE(D381, ""[0-9]+[a-f]?\."", """"))"),"")</f>
        <v/>
      </c>
      <c r="I381" s="180" t="str">
        <f>IFERROR(__xludf.DUMMYFUNCTION("TRIM(REGEXREPLACE(E381, ""[0-9]+[a-f]?\."", """"))"),"")</f>
        <v/>
      </c>
      <c r="J381" s="180" t="s">
        <v>2314</v>
      </c>
      <c r="K381" s="180" t="s">
        <v>2316</v>
      </c>
      <c r="L381" s="180" t="s">
        <v>2317</v>
      </c>
    </row>
    <row r="382" hidden="1">
      <c r="A382" s="85" t="s">
        <v>127</v>
      </c>
      <c r="B382" s="227" t="s">
        <v>2287</v>
      </c>
      <c r="C382" s="198"/>
      <c r="D382" s="198"/>
      <c r="E382" s="198"/>
      <c r="F382" s="187">
        <v>237.0</v>
      </c>
      <c r="G382" s="180" t="str">
        <f>IFERROR(__xludf.DUMMYFUNCTION("TRIM(REGEXREPLACE(C382, ""[0-9]+[a-f]?\."", """"))"),"")</f>
        <v/>
      </c>
      <c r="H382" s="180" t="str">
        <f>IFERROR(__xludf.DUMMYFUNCTION("TRIM(REGEXREPLACE(D382, ""[0-9]+[a-f]?\."", """"))"),"")</f>
        <v/>
      </c>
      <c r="I382" s="180" t="str">
        <f>IFERROR(__xludf.DUMMYFUNCTION("TRIM(REGEXREPLACE(E382, ""[0-9]+[a-f]?\."", """"))"),"")</f>
        <v/>
      </c>
      <c r="J382" s="180" t="s">
        <v>2319</v>
      </c>
      <c r="K382" s="180" t="s">
        <v>2320</v>
      </c>
      <c r="L382" s="180" t="s">
        <v>2321</v>
      </c>
    </row>
    <row r="383">
      <c r="A383" s="218" t="s">
        <v>38</v>
      </c>
      <c r="B383" s="64" t="s">
        <v>2293</v>
      </c>
      <c r="C383" s="45" t="s">
        <v>870</v>
      </c>
      <c r="D383" s="45" t="s">
        <v>871</v>
      </c>
      <c r="E383" s="45" t="s">
        <v>872</v>
      </c>
      <c r="F383" s="187">
        <v>64.0</v>
      </c>
      <c r="G383" s="180" t="str">
        <f>IFERROR(__xludf.DUMMYFUNCTION("TRIM(REGEXREPLACE(C383, ""[0-9]+[a-f]?\."", """"))"),"Now I will ask about some things that may have happened to you during the past three months.")</f>
        <v>Now I will ask about some things that may have happened to you during the past three months.</v>
      </c>
      <c r="H383" s="180" t="str">
        <f>IFERROR(__xludf.DUMMYFUNCTION("TRIM(REGEXREPLACE(D383, ""[0-9]+[a-f]?\."", """"))"),"Maintenant, je vais vous poser des questions sur certaines choses qui vous sont peut-être arrivées au cours des trois derniers mois.")</f>
        <v>Maintenant, je vais vous poser des questions sur certaines choses qui vous sont peut-être arrivées au cours des trois derniers mois.</v>
      </c>
      <c r="I383" s="180" t="str">
        <f>IFERROR(__xludf.DUMMYFUNCTION("TRIM(REGEXREPLACE(E383, ""[0-9]+[a-f]?\."", """"))"),"Yanzu zan yi tambayoyi game da wasu abubuwa da wataƙila sun faru da ku a cikin watanni uku da suka wuce.")</f>
        <v>Yanzu zan yi tambayoyi game da wasu abubuwa da wataƙila sun faru da ku a cikin watanni uku da suka wuce.</v>
      </c>
      <c r="J383" s="180" t="str">
        <f t="shared" ref="J383:L383" si="64">$F383 &amp; ". "&amp;G383</f>
        <v>64. Now I will ask about some things that may have happened to you during the past three months.</v>
      </c>
      <c r="K383" s="180" t="str">
        <f t="shared" si="64"/>
        <v>64. Maintenant, je vais vous poser des questions sur certaines choses qui vous sont peut-être arrivées au cours des trois derniers mois.</v>
      </c>
      <c r="L383" s="180" t="str">
        <f t="shared" si="64"/>
        <v>64. Yanzu zan yi tambayoyi game da wasu abubuwa da wataƙila sun faru da ku a cikin watanni uku da suka wuce.</v>
      </c>
    </row>
    <row r="384" hidden="1">
      <c r="A384" s="180"/>
      <c r="B384" s="182"/>
      <c r="C384" s="182"/>
      <c r="D384" s="182"/>
      <c r="E384" s="182"/>
      <c r="F384" s="187">
        <v>254.0</v>
      </c>
      <c r="G384" s="180" t="str">
        <f>IFERROR(__xludf.DUMMYFUNCTION("TRIM(REGEXREPLACE(C384, ""[0-9]+[a-f]?\."", """"))"),"")</f>
        <v/>
      </c>
      <c r="H384" s="180" t="str">
        <f>IFERROR(__xludf.DUMMYFUNCTION("TRIM(REGEXREPLACE(D384, ""[0-9]+[a-f]?\."", """"))"),"")</f>
        <v/>
      </c>
      <c r="I384" s="180" t="str">
        <f>IFERROR(__xludf.DUMMYFUNCTION("TRIM(REGEXREPLACE(E384, ""[0-9]+[a-f]?\."", """"))"),"")</f>
        <v/>
      </c>
      <c r="J384" s="180" t="s">
        <v>2327</v>
      </c>
      <c r="K384" s="180" t="s">
        <v>2328</v>
      </c>
      <c r="L384" s="180" t="s">
        <v>2329</v>
      </c>
    </row>
    <row r="385" hidden="1">
      <c r="A385" s="180"/>
      <c r="B385" s="182"/>
      <c r="C385" s="182"/>
      <c r="D385" s="182"/>
      <c r="E385" s="182"/>
      <c r="F385" s="187">
        <v>231.0</v>
      </c>
      <c r="G385" s="180" t="str">
        <f>IFERROR(__xludf.DUMMYFUNCTION("TRIM(REGEXREPLACE(C385, ""[0-9]+[a-f]?\."", """"))"),"")</f>
        <v/>
      </c>
      <c r="H385" s="180" t="str">
        <f>IFERROR(__xludf.DUMMYFUNCTION("TRIM(REGEXREPLACE(D385, ""[0-9]+[a-f]?\."", """"))"),"")</f>
        <v/>
      </c>
      <c r="I385" s="180" t="str">
        <f>IFERROR(__xludf.DUMMYFUNCTION("TRIM(REGEXREPLACE(E385, ""[0-9]+[a-f]?\."", """"))"),"")</f>
        <v/>
      </c>
      <c r="J385" s="180" t="s">
        <v>2331</v>
      </c>
      <c r="K385" s="180" t="s">
        <v>2333</v>
      </c>
      <c r="L385" s="180" t="s">
        <v>2335</v>
      </c>
    </row>
    <row r="386" hidden="1">
      <c r="A386" s="180"/>
      <c r="B386" s="182"/>
      <c r="C386" s="182"/>
      <c r="D386" s="182"/>
      <c r="E386" s="182"/>
      <c r="F386" s="187">
        <v>255.0</v>
      </c>
      <c r="G386" s="180" t="str">
        <f>IFERROR(__xludf.DUMMYFUNCTION("TRIM(REGEXREPLACE(C386, ""[0-9]+[a-f]?\."", """"))"),"")</f>
        <v/>
      </c>
      <c r="H386" s="180" t="str">
        <f>IFERROR(__xludf.DUMMYFUNCTION("TRIM(REGEXREPLACE(D386, ""[0-9]+[a-f]?\."", """"))"),"")</f>
        <v/>
      </c>
      <c r="I386" s="180" t="str">
        <f>IFERROR(__xludf.DUMMYFUNCTION("TRIM(REGEXREPLACE(E386, ""[0-9]+[a-f]?\."", """"))"),"")</f>
        <v/>
      </c>
      <c r="J386" s="180" t="s">
        <v>2337</v>
      </c>
      <c r="K386" s="180" t="s">
        <v>2338</v>
      </c>
      <c r="L386" s="180" t="s">
        <v>2339</v>
      </c>
    </row>
    <row r="387">
      <c r="A387" s="80" t="s">
        <v>1988</v>
      </c>
      <c r="B387" s="228" t="s">
        <v>2301</v>
      </c>
      <c r="C387" s="45" t="s">
        <v>874</v>
      </c>
      <c r="D387" s="45" t="s">
        <v>875</v>
      </c>
      <c r="E387" s="45" t="s">
        <v>876</v>
      </c>
      <c r="F387" s="187">
        <v>65.0</v>
      </c>
      <c r="G387" s="180" t="str">
        <f>IFERROR(__xludf.DUMMYFUNCTION("TRIM(REGEXREPLACE(C387, ""[0-9]+[a-f]?\."", """"))"),"How often, if at all, were you personally discriminated against based on your identity (ethnicity, religion, nationality)?")</f>
        <v>How often, if at all, were you personally discriminated against based on your identity (ethnicity, religion, nationality)?</v>
      </c>
      <c r="H387" s="180" t="str">
        <f>IFERROR(__xludf.DUMMYFUNCTION("TRIM(REGEXREPLACE(D387,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387" s="180" t="str">
        <f>IFERROR(__xludf.DUMMYFUNCTION("TRIM(REGEXREPLACE(E387, ""[0-9]+[a-f]?\."", """"))"),"Sau nawa, idan ya faru a gareku, aka nuna muku wariya dangance da kabilarku, ko addininku, ko ƙasarku2?")</f>
        <v>Sau nawa, idan ya faru a gareku, aka nuna muku wariya dangance da kabilarku, ko addininku, ko ƙasarku2?</v>
      </c>
      <c r="J387" s="180" t="str">
        <f t="shared" ref="J387:L387" si="65">$F387 &amp; ". "&amp;G387</f>
        <v>65. How often, if at all, were you personally discriminated against based on your identity (ethnicity, religion, nationality)?</v>
      </c>
      <c r="K387" s="180" t="str">
        <f t="shared" si="65"/>
        <v>65. À quelle fréquence, si ça vous est déjà arrivé, avez-vous personnellement été victime de discrimination liée a votre identité (ethnie, religion, nationalité) ?</v>
      </c>
      <c r="L387" s="180" t="str">
        <f t="shared" si="65"/>
        <v>65. Sau nawa, idan ya faru a gareku, aka nuna muku wariya dangance da kabilarku, ko addininku, ko ƙasarku2?</v>
      </c>
    </row>
    <row r="388">
      <c r="A388" s="80" t="s">
        <v>1988</v>
      </c>
      <c r="B388" s="228" t="s">
        <v>2308</v>
      </c>
      <c r="C388" s="45" t="s">
        <v>878</v>
      </c>
      <c r="D388" s="45" t="s">
        <v>879</v>
      </c>
      <c r="E388" s="45" t="s">
        <v>880</v>
      </c>
      <c r="F388" s="187">
        <v>66.0</v>
      </c>
      <c r="G388" s="180" t="str">
        <f>IFERROR(__xludf.DUMMYFUNCTION("TRIM(REGEXREPLACE(C388, ""[0-9]+[a-f]?\."", """"))"),"How often, if ever, have you felt unsafe walking in the neighborhood where you are staying?")</f>
        <v>How often, if ever, have you felt unsafe walking in the neighborhood where you are staying?</v>
      </c>
      <c r="H388" s="180" t="str">
        <f>IFERROR(__xludf.DUMMYFUNCTION("TRIM(REGEXREPLACE(D388,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388" s="180" t="str">
        <f>IFERROR(__xludf.DUMMYFUNCTION("TRIM(REGEXREPLACE(E388, ""[0-9]+[a-f]?\."", """"))"),"Sau nawa, idan ya faru a gareku, kuka ji kuna cikin hatsari yayin da kuke yawo a cikin unguwar da kuke zaune?")</f>
        <v>Sau nawa, idan ya faru a gareku, kuka ji kuna cikin hatsari yayin da kuke yawo a cikin unguwar da kuke zaune?</v>
      </c>
      <c r="J388" s="180" t="str">
        <f t="shared" ref="J388:L388" si="66">$F388 &amp; ". "&amp;G388</f>
        <v>66. How often, if ever, have you felt unsafe walking in the neighborhood where you are staying?</v>
      </c>
      <c r="K388" s="180" t="str">
        <f t="shared" si="66"/>
        <v>66. Combien de fois, vous vous êtes-vous senti en danger en vous promenant dans le quartier où vous séjournez, si cela vous est jamais arrivé ?</v>
      </c>
      <c r="L388" s="180" t="str">
        <f t="shared" si="66"/>
        <v>66. Sau nawa, idan ya faru a gareku, kuka ji kuna cikin hatsari yayin da kuke yawo a cikin unguwar da kuke zaune?</v>
      </c>
    </row>
    <row r="389" hidden="1">
      <c r="A389" s="180"/>
      <c r="B389" s="182"/>
      <c r="C389" s="182"/>
      <c r="D389" s="182"/>
      <c r="E389" s="182"/>
      <c r="F389" s="187">
        <v>258.0</v>
      </c>
      <c r="G389" s="180" t="str">
        <f>IFERROR(__xludf.DUMMYFUNCTION("TRIM(REGEXREPLACE(C389, ""[0-9]+[a-f]?\."", """"))"),"")</f>
        <v/>
      </c>
      <c r="H389" s="180" t="str">
        <f>IFERROR(__xludf.DUMMYFUNCTION("TRIM(REGEXREPLACE(D389, ""[0-9]+[a-f]?\."", """"))"),"")</f>
        <v/>
      </c>
      <c r="I389" s="180" t="str">
        <f>IFERROR(__xludf.DUMMYFUNCTION("TRIM(REGEXREPLACE(E389, ""[0-9]+[a-f]?\."", """"))"),"")</f>
        <v/>
      </c>
      <c r="J389" s="180" t="s">
        <v>2346</v>
      </c>
      <c r="K389" s="180" t="s">
        <v>2347</v>
      </c>
      <c r="L389" s="180" t="s">
        <v>2348</v>
      </c>
    </row>
    <row r="390" hidden="1">
      <c r="A390" s="180"/>
      <c r="B390" s="182"/>
      <c r="C390" s="182"/>
      <c r="D390" s="182"/>
      <c r="E390" s="182"/>
      <c r="F390" s="187">
        <v>259.0</v>
      </c>
      <c r="G390" s="180" t="str">
        <f>IFERROR(__xludf.DUMMYFUNCTION("TRIM(REGEXREPLACE(C390, ""[0-9]+[a-f]?\."", """"))"),"")</f>
        <v/>
      </c>
      <c r="H390" s="180" t="str">
        <f>IFERROR(__xludf.DUMMYFUNCTION("TRIM(REGEXREPLACE(D390, ""[0-9]+[a-f]?\."", """"))"),"")</f>
        <v/>
      </c>
      <c r="I390" s="180" t="str">
        <f>IFERROR(__xludf.DUMMYFUNCTION("TRIM(REGEXREPLACE(E390, ""[0-9]+[a-f]?\."", """"))"),"")</f>
        <v/>
      </c>
      <c r="J390" s="180" t="s">
        <v>2349</v>
      </c>
      <c r="K390" s="180" t="s">
        <v>2350</v>
      </c>
      <c r="L390" s="180" t="s">
        <v>2352</v>
      </c>
    </row>
    <row r="391" hidden="1">
      <c r="A391" s="180"/>
      <c r="B391" s="182"/>
      <c r="C391" s="182"/>
      <c r="D391" s="182"/>
      <c r="E391" s="182"/>
      <c r="F391" s="187">
        <v>260.0</v>
      </c>
      <c r="G391" s="180" t="str">
        <f>IFERROR(__xludf.DUMMYFUNCTION("TRIM(REGEXREPLACE(C391, ""[0-9]+[a-f]?\."", """"))"),"")</f>
        <v/>
      </c>
      <c r="H391" s="180" t="str">
        <f>IFERROR(__xludf.DUMMYFUNCTION("TRIM(REGEXREPLACE(D391, ""[0-9]+[a-f]?\."", """"))"),"")</f>
        <v/>
      </c>
      <c r="I391" s="180" t="str">
        <f>IFERROR(__xludf.DUMMYFUNCTION("TRIM(REGEXREPLACE(E391, ""[0-9]+[a-f]?\."", """"))"),"")</f>
        <v/>
      </c>
      <c r="J391" s="180" t="s">
        <v>2356</v>
      </c>
      <c r="K391" s="180" t="s">
        <v>2357</v>
      </c>
      <c r="L391" s="180" t="s">
        <v>2358</v>
      </c>
    </row>
    <row r="392" hidden="1">
      <c r="A392" s="151" t="s">
        <v>133</v>
      </c>
      <c r="B392" s="147" t="s">
        <v>2322</v>
      </c>
      <c r="C392" s="147"/>
      <c r="D392" s="226"/>
      <c r="E392" s="226"/>
      <c r="F392" s="187">
        <v>241.0</v>
      </c>
      <c r="G392" s="180" t="str">
        <f>IFERROR(__xludf.DUMMYFUNCTION("TRIM(REGEXREPLACE(C392, ""[0-9]+[a-f]?\."", """"))"),"")</f>
        <v/>
      </c>
      <c r="H392" s="180" t="str">
        <f>IFERROR(__xludf.DUMMYFUNCTION("TRIM(REGEXREPLACE(D392, ""[0-9]+[a-f]?\."", """"))"),"")</f>
        <v/>
      </c>
      <c r="I392" s="180" t="str">
        <f>IFERROR(__xludf.DUMMYFUNCTION("TRIM(REGEXREPLACE(E392, ""[0-9]+[a-f]?\."", """"))"),"")</f>
        <v/>
      </c>
      <c r="J392" s="180" t="s">
        <v>2359</v>
      </c>
      <c r="K392" s="180" t="s">
        <v>2360</v>
      </c>
      <c r="L392" s="180" t="s">
        <v>2361</v>
      </c>
    </row>
    <row r="393">
      <c r="A393" s="80" t="s">
        <v>1306</v>
      </c>
      <c r="B393" s="228" t="s">
        <v>2330</v>
      </c>
      <c r="C393" s="45" t="s">
        <v>886</v>
      </c>
      <c r="D393" s="45" t="s">
        <v>887</v>
      </c>
      <c r="E393" s="45" t="s">
        <v>888</v>
      </c>
      <c r="F393" s="187">
        <v>67.0</v>
      </c>
      <c r="G393" s="180" t="str">
        <f>IFERROR(__xludf.DUMMYFUNCTION("TRIM(REGEXREPLACE(C393, ""[0-9]+[a-f]?\."", """"))"),"Have you experienced any of the following during ${period}?")</f>
        <v>Have you experienced any of the following during ${period}?</v>
      </c>
      <c r="H393" s="180" t="str">
        <f>IFERROR(__xludf.DUMMYFUNCTION("TRIM(REGEXREPLACE(D393, ""[0-9]+[a-f]?\."", """"))"),"Avez-vous vécu l'une des situations suivantes depuis le debut de ${period_french} ?")</f>
        <v>Avez-vous vécu l'une des situations suivantes depuis le debut de ${period_french} ?</v>
      </c>
      <c r="I393" s="180" t="str">
        <f>IFERROR(__xludf.DUMMYFUNCTION("TRIM(REGEXREPLACE(E393, ""[0-9]+[a-f]?\."", """"))"),"Ko kun taɓa fuskantar ɗayan waɗannan abubuwan a wannan wurin, lokacin ${period_hausa}?")</f>
        <v>Ko kun taɓa fuskantar ɗayan waɗannan abubuwan a wannan wurin, lokacin ${period_hausa}?</v>
      </c>
      <c r="J393" s="180" t="str">
        <f t="shared" ref="J393:L393" si="67">$F393 &amp; ". "&amp;G393</f>
        <v>67. Have you experienced any of the following during ${period}?</v>
      </c>
      <c r="K393" s="180" t="str">
        <f t="shared" si="67"/>
        <v>67. Avez-vous vécu l'une des situations suivantes depuis le debut de ${period_french} ?</v>
      </c>
      <c r="L393" s="180" t="str">
        <f t="shared" si="67"/>
        <v>67. Ko kun taɓa fuskantar ɗayan waɗannan abubuwan a wannan wurin, lokacin ${period_hausa}?</v>
      </c>
    </row>
    <row r="394">
      <c r="A394" s="80" t="s">
        <v>1306</v>
      </c>
      <c r="B394" s="228" t="s">
        <v>2342</v>
      </c>
      <c r="C394" s="45" t="s">
        <v>892</v>
      </c>
      <c r="D394" s="45" t="s">
        <v>893</v>
      </c>
      <c r="E394" s="45" t="s">
        <v>894</v>
      </c>
      <c r="F394" s="187">
        <v>68.0</v>
      </c>
      <c r="G394" s="180" t="str">
        <f>IFERROR(__xludf.DUMMYFUNCTION("TRIM(REGEXREPLACE(C394, ""[0-9]+[a-f]?\."", """"))"),"Physical attack")</f>
        <v>Physical attack</v>
      </c>
      <c r="H394" s="180" t="str">
        <f>IFERROR(__xludf.DUMMYFUNCTION("TRIM(REGEXREPLACE(D394, ""[0-9]+[a-f]?\."", """"))"),"Attaque physique")</f>
        <v>Attaque physique</v>
      </c>
      <c r="I394" s="180" t="str">
        <f>IFERROR(__xludf.DUMMYFUNCTION("TRIM(REGEXREPLACE(E394, ""[0-9]+[a-f]?\."", """"))"),"harin jiki")</f>
        <v>harin jiki</v>
      </c>
      <c r="J394" s="180" t="str">
        <f t="shared" ref="J394:L394" si="68">$F394 &amp; ". "&amp;G394</f>
        <v>68. Physical attack</v>
      </c>
      <c r="K394" s="180" t="str">
        <f t="shared" si="68"/>
        <v>68. Attaque physique</v>
      </c>
      <c r="L394" s="180" t="str">
        <f t="shared" si="68"/>
        <v>68. harin jiki</v>
      </c>
    </row>
    <row r="395">
      <c r="A395" s="80" t="s">
        <v>1306</v>
      </c>
      <c r="B395" s="228" t="s">
        <v>2351</v>
      </c>
      <c r="C395" s="45" t="s">
        <v>895</v>
      </c>
      <c r="D395" s="45" t="s">
        <v>896</v>
      </c>
      <c r="E395" s="45" t="s">
        <v>897</v>
      </c>
      <c r="F395" s="187">
        <v>69.0</v>
      </c>
      <c r="G395" s="180" t="str">
        <f>IFERROR(__xludf.DUMMYFUNCTION("TRIM(REGEXREPLACE(C395, ""[0-9]+[a-f]?\."", """"))"),"Threat of physical violence/attack")</f>
        <v>Threat of physical violence/attack</v>
      </c>
      <c r="H395" s="180" t="str">
        <f>IFERROR(__xludf.DUMMYFUNCTION("TRIM(REGEXREPLACE(D395, ""[0-9]+[a-f]?\."", """"))"),"Menace de violence physique/agression")</f>
        <v>Menace de violence physique/agression</v>
      </c>
      <c r="I395" s="180" t="str">
        <f>IFERROR(__xludf.DUMMYFUNCTION("TRIM(REGEXREPLACE(E395, ""[0-9]+[a-f]?\."", """"))"),"Barazanar ​​harin jiki")</f>
        <v>Barazanar ​​harin jiki</v>
      </c>
      <c r="J395" s="180" t="str">
        <f t="shared" ref="J395:L395" si="69">$F395 &amp; ". "&amp;G395</f>
        <v>69. Threat of physical violence/attack</v>
      </c>
      <c r="K395" s="180" t="str">
        <f t="shared" si="69"/>
        <v>69. Menace de violence physique/agression</v>
      </c>
      <c r="L395" s="180" t="str">
        <f t="shared" si="69"/>
        <v>69. Barazanar ​​harin jiki</v>
      </c>
    </row>
    <row r="396">
      <c r="A396" s="80" t="s">
        <v>1306</v>
      </c>
      <c r="B396" s="228" t="s">
        <v>2363</v>
      </c>
      <c r="C396" s="45" t="s">
        <v>899</v>
      </c>
      <c r="D396" s="45" t="s">
        <v>900</v>
      </c>
      <c r="E396" s="45" t="s">
        <v>901</v>
      </c>
      <c r="F396" s="187">
        <v>70.0</v>
      </c>
      <c r="G396" s="180" t="str">
        <f>IFERROR(__xludf.DUMMYFUNCTION("TRIM(REGEXREPLACE(C396, ""[0-9]+[a-f]?\."", """"))"),"Theft of either money or property?")</f>
        <v>Theft of either money or property?</v>
      </c>
      <c r="H396" s="180" t="str">
        <f>IFERROR(__xludf.DUMMYFUNCTION("TRIM(REGEXREPLACE(D396, ""[0-9]+[a-f]?\."", """"))"),"Vol d'argent ou de propriété?")</f>
        <v>Vol d'argent ou de propriété?</v>
      </c>
      <c r="I396" s="180" t="str">
        <f>IFERROR(__xludf.DUMMYFUNCTION("TRIM(REGEXREPLACE(E396, ""[0-9]+[a-f]?\."", """"))"),"Satar kudi ko dukiya?")</f>
        <v>Satar kudi ko dukiya?</v>
      </c>
      <c r="J396" s="180" t="str">
        <f t="shared" ref="J396:L396" si="70">$F396 &amp; ". "&amp;G396</f>
        <v>70. Theft of either money or property?</v>
      </c>
      <c r="K396" s="180" t="str">
        <f t="shared" si="70"/>
        <v>70. Vol d'argent ou de propriété?</v>
      </c>
      <c r="L396" s="180" t="str">
        <f t="shared" si="70"/>
        <v>70. Satar kudi ko dukiya?</v>
      </c>
    </row>
    <row r="397" hidden="1">
      <c r="A397" s="180"/>
      <c r="B397" s="182"/>
      <c r="C397" s="182"/>
      <c r="D397" s="182"/>
      <c r="E397" s="182"/>
      <c r="F397" s="187">
        <v>266.0</v>
      </c>
      <c r="G397" s="180" t="str">
        <f>IFERROR(__xludf.DUMMYFUNCTION("TRIM(REGEXREPLACE(C397, ""[0-9]+[a-f]?\."", """"))"),"")</f>
        <v/>
      </c>
      <c r="H397" s="180" t="str">
        <f>IFERROR(__xludf.DUMMYFUNCTION("TRIM(REGEXREPLACE(D397, ""[0-9]+[a-f]?\."", """"))"),"")</f>
        <v/>
      </c>
      <c r="I397" s="180" t="str">
        <f>IFERROR(__xludf.DUMMYFUNCTION("TRIM(REGEXREPLACE(E397, ""[0-9]+[a-f]?\."", """"))"),"")</f>
        <v/>
      </c>
      <c r="J397" s="180" t="s">
        <v>2383</v>
      </c>
      <c r="K397" s="180" t="s">
        <v>2385</v>
      </c>
      <c r="L397" s="180" t="s">
        <v>2387</v>
      </c>
    </row>
    <row r="398" hidden="1">
      <c r="A398" s="180"/>
      <c r="B398" s="182"/>
      <c r="C398" s="182"/>
      <c r="D398" s="182"/>
      <c r="E398" s="182"/>
      <c r="F398" s="187">
        <v>267.0</v>
      </c>
      <c r="G398" s="180" t="str">
        <f>IFERROR(__xludf.DUMMYFUNCTION("TRIM(REGEXREPLACE(C398, ""[0-9]+[a-f]?\."", """"))"),"")</f>
        <v/>
      </c>
      <c r="H398" s="180" t="str">
        <f>IFERROR(__xludf.DUMMYFUNCTION("TRIM(REGEXREPLACE(D398, ""[0-9]+[a-f]?\."", """"))"),"")</f>
        <v/>
      </c>
      <c r="I398" s="180" t="str">
        <f>IFERROR(__xludf.DUMMYFUNCTION("TRIM(REGEXREPLACE(E398, ""[0-9]+[a-f]?\."", """"))"),"")</f>
        <v/>
      </c>
      <c r="J398" s="180" t="s">
        <v>2390</v>
      </c>
      <c r="K398" s="180" t="s">
        <v>2392</v>
      </c>
      <c r="L398" s="180" t="s">
        <v>2394</v>
      </c>
    </row>
    <row r="399">
      <c r="A399" s="80" t="s">
        <v>1306</v>
      </c>
      <c r="B399" s="228" t="s">
        <v>2373</v>
      </c>
      <c r="C399" s="45" t="s">
        <v>904</v>
      </c>
      <c r="D399" s="45" t="s">
        <v>905</v>
      </c>
      <c r="E399" s="45" t="s">
        <v>906</v>
      </c>
      <c r="F399" s="187">
        <v>71.0</v>
      </c>
      <c r="G399" s="180" t="str">
        <f>IFERROR(__xludf.DUMMYFUNCTION("TRIM(REGEXREPLACE(C399, ""[0-9]+[a-f]?\."", """"))"),"Detention or arrest by state security forces?")</f>
        <v>Detention or arrest by state security forces?</v>
      </c>
      <c r="H399" s="180" t="str">
        <f>IFERROR(__xludf.DUMMYFUNCTION("TRIM(REGEXREPLACE(D399, ""[0-9]+[a-f]?\."", """"))"),"Détention ou arrestation par les forces de sécurité de l'État ?")</f>
        <v>Détention ou arrestation par les forces de sécurité de l'État ?</v>
      </c>
      <c r="I399" s="180" t="str">
        <f>IFERROR(__xludf.DUMMYFUNCTION("TRIM(REGEXREPLACE(E399, ""[0-9]+[a-f]?\."", """"))"),"Kaso ko kamu daga jami'an tsaron gwamnati?")</f>
        <v>Kaso ko kamu daga jami'an tsaron gwamnati?</v>
      </c>
      <c r="J399" s="180" t="str">
        <f t="shared" ref="J399:L399" si="71">$F399 &amp; ". "&amp;G399</f>
        <v>71. Detention or arrest by state security forces?</v>
      </c>
      <c r="K399" s="180" t="str">
        <f t="shared" si="71"/>
        <v>71. Détention ou arrestation par les forces de sécurité de l'État ?</v>
      </c>
      <c r="L399" s="180" t="str">
        <f t="shared" si="71"/>
        <v>71. Kaso ko kamu daga jami'an tsaron gwamnati?</v>
      </c>
    </row>
    <row r="400" hidden="1">
      <c r="A400" s="151" t="s">
        <v>237</v>
      </c>
      <c r="B400" s="226" t="s">
        <v>2322</v>
      </c>
      <c r="C400" s="226"/>
      <c r="D400" s="226"/>
      <c r="E400" s="226"/>
      <c r="F400" s="187">
        <v>247.0</v>
      </c>
      <c r="G400" s="180" t="str">
        <f>IFERROR(__xludf.DUMMYFUNCTION("TRIM(REGEXREPLACE(C400, ""[0-9]+[a-f]?\."", """"))"),"")</f>
        <v/>
      </c>
      <c r="H400" s="180" t="str">
        <f>IFERROR(__xludf.DUMMYFUNCTION("TRIM(REGEXREPLACE(D400, ""[0-9]+[a-f]?\."", """"))"),"")</f>
        <v/>
      </c>
      <c r="I400" s="180" t="str">
        <f>IFERROR(__xludf.DUMMYFUNCTION("TRIM(REGEXREPLACE(E400, ""[0-9]+[a-f]?\."", """"))"),"")</f>
        <v/>
      </c>
      <c r="J400" s="180" t="s">
        <v>2400</v>
      </c>
      <c r="K400" s="180" t="s">
        <v>2401</v>
      </c>
      <c r="L400" s="180" t="s">
        <v>2402</v>
      </c>
    </row>
    <row r="401" hidden="1">
      <c r="A401" s="151" t="s">
        <v>133</v>
      </c>
      <c r="B401" s="147" t="s">
        <v>2389</v>
      </c>
      <c r="C401" s="147"/>
      <c r="D401" s="226"/>
      <c r="E401" s="226"/>
      <c r="F401" s="187">
        <v>248.0</v>
      </c>
      <c r="G401" s="180" t="str">
        <f>IFERROR(__xludf.DUMMYFUNCTION("TRIM(REGEXREPLACE(C401, ""[0-9]+[a-f]?\."", """"))"),"")</f>
        <v/>
      </c>
      <c r="H401" s="180" t="str">
        <f>IFERROR(__xludf.DUMMYFUNCTION("TRIM(REGEXREPLACE(D401, ""[0-9]+[a-f]?\."", """"))"),"")</f>
        <v/>
      </c>
      <c r="I401" s="180" t="str">
        <f>IFERROR(__xludf.DUMMYFUNCTION("TRIM(REGEXREPLACE(E401, ""[0-9]+[a-f]?\."", """"))"),"")</f>
        <v/>
      </c>
      <c r="J401" s="180" t="s">
        <v>2407</v>
      </c>
      <c r="K401" s="180" t="s">
        <v>2408</v>
      </c>
      <c r="L401" s="180" t="s">
        <v>2410</v>
      </c>
    </row>
    <row r="402">
      <c r="A402" s="218" t="s">
        <v>38</v>
      </c>
      <c r="B402" s="64" t="s">
        <v>2403</v>
      </c>
      <c r="C402" s="45" t="s">
        <v>916</v>
      </c>
      <c r="D402" s="45" t="s">
        <v>917</v>
      </c>
      <c r="E402" s="45" t="s">
        <v>918</v>
      </c>
      <c r="F402" s="187">
        <v>72.0</v>
      </c>
      <c r="G402" s="180" t="str">
        <f>IFERROR(__xludf.DUMMYFUNCTION("TRIM(REGEXREPLACE(C402, ""[0-9]+[a-f]?\."", """"))"),"Now I would like to ask you to tell me more about your specific experience with:")</f>
        <v>Now I would like to ask you to tell me more about your specific experience with:</v>
      </c>
      <c r="H402" s="180" t="str">
        <f>IFERROR(__xludf.DUMMYFUNCTION("TRIM(REGEXREPLACE(D402, ""[0-9]+[a-f]?\."", """"))"),"J'aimerais maintenant vous demander de m'en dire un peu plus sur votre expérience spécifique avec :")</f>
        <v>J'aimerais maintenant vous demander de m'en dire un peu plus sur votre expérience spécifique avec :</v>
      </c>
      <c r="I402" s="180" t="str">
        <f>IFERROR(__xludf.DUMMYFUNCTION("TRIM(REGEXREPLACE(E402, ""[0-9]+[a-f]?\."", """"))"),"Yanzu ina so in tambaye ku ƙarin bayani game da takamaiman gogewarku na masamman game da:")</f>
        <v>Yanzu ina so in tambaye ku ƙarin bayani game da takamaiman gogewarku na masamman game da:</v>
      </c>
      <c r="J402" s="180" t="str">
        <f t="shared" ref="J402:L402" si="72">$F402 &amp; ". "&amp;G402</f>
        <v>72. Now I would like to ask you to tell me more about your specific experience with:</v>
      </c>
      <c r="K402" s="180" t="str">
        <f t="shared" si="72"/>
        <v>72. J'aimerais maintenant vous demander de m'en dire un peu plus sur votre expérience spécifique avec :</v>
      </c>
      <c r="L402" s="180" t="str">
        <f t="shared" si="72"/>
        <v>72. Yanzu ina so in tambaye ku ƙarin bayani game da takamaiman gogewarku na masamman game da:</v>
      </c>
    </row>
    <row r="403" hidden="1">
      <c r="A403" s="180"/>
      <c r="B403" s="182"/>
      <c r="C403" s="182"/>
      <c r="D403" s="182"/>
      <c r="E403" s="182"/>
      <c r="F403" s="187">
        <v>272.0</v>
      </c>
      <c r="G403" s="180" t="str">
        <f>IFERROR(__xludf.DUMMYFUNCTION("TRIM(REGEXREPLACE(C403, ""[0-9]+[a-f]?\."", """"))"),"")</f>
        <v/>
      </c>
      <c r="H403" s="180" t="str">
        <f>IFERROR(__xludf.DUMMYFUNCTION("TRIM(REGEXREPLACE(D403, ""[0-9]+[a-f]?\."", """"))"),"")</f>
        <v/>
      </c>
      <c r="I403" s="180" t="str">
        <f>IFERROR(__xludf.DUMMYFUNCTION("TRIM(REGEXREPLACE(E403, ""[0-9]+[a-f]?\."", """"))"),"")</f>
        <v/>
      </c>
      <c r="J403" s="180" t="s">
        <v>2416</v>
      </c>
      <c r="K403" s="180" t="s">
        <v>2417</v>
      </c>
      <c r="L403" s="180" t="s">
        <v>2418</v>
      </c>
    </row>
    <row r="404" hidden="1">
      <c r="A404" s="180"/>
      <c r="B404" s="182"/>
      <c r="C404" s="182"/>
      <c r="D404" s="182"/>
      <c r="E404" s="182"/>
      <c r="F404" s="187">
        <v>273.0</v>
      </c>
      <c r="G404" s="180" t="str">
        <f>IFERROR(__xludf.DUMMYFUNCTION("TRIM(REGEXREPLACE(C404, ""[0-9]+[a-f]?\."", """"))"),"")</f>
        <v/>
      </c>
      <c r="H404" s="180" t="str">
        <f>IFERROR(__xludf.DUMMYFUNCTION("TRIM(REGEXREPLACE(D404, ""[0-9]+[a-f]?\."", """"))"),"")</f>
        <v/>
      </c>
      <c r="I404" s="180" t="str">
        <f>IFERROR(__xludf.DUMMYFUNCTION("TRIM(REGEXREPLACE(E404, ""[0-9]+[a-f]?\."", """"))"),"")</f>
        <v/>
      </c>
      <c r="J404" s="180" t="s">
        <v>2419</v>
      </c>
      <c r="K404" s="180" t="s">
        <v>2420</v>
      </c>
      <c r="L404" s="180" t="s">
        <v>2423</v>
      </c>
    </row>
    <row r="405" hidden="1">
      <c r="A405" s="180"/>
      <c r="B405" s="182"/>
      <c r="C405" s="182"/>
      <c r="D405" s="182"/>
      <c r="E405" s="182"/>
      <c r="F405" s="187">
        <v>274.0</v>
      </c>
      <c r="G405" s="180" t="str">
        <f>IFERROR(__xludf.DUMMYFUNCTION("TRIM(REGEXREPLACE(C405, ""[0-9]+[a-f]?\."", """"))"),"")</f>
        <v/>
      </c>
      <c r="H405" s="180" t="str">
        <f>IFERROR(__xludf.DUMMYFUNCTION("TRIM(REGEXREPLACE(D405, ""[0-9]+[a-f]?\."", """"))"),"")</f>
        <v/>
      </c>
      <c r="I405" s="180" t="str">
        <f>IFERROR(__xludf.DUMMYFUNCTION("TRIM(REGEXREPLACE(E405, ""[0-9]+[a-f]?\."", """"))"),"")</f>
        <v/>
      </c>
      <c r="J405" s="180" t="s">
        <v>2432</v>
      </c>
      <c r="K405" s="180" t="s">
        <v>2433</v>
      </c>
      <c r="L405" s="180" t="s">
        <v>2434</v>
      </c>
    </row>
    <row r="406">
      <c r="A406" s="236" t="s">
        <v>252</v>
      </c>
      <c r="B406" s="237" t="s">
        <v>2421</v>
      </c>
      <c r="C406" s="45" t="s">
        <v>920</v>
      </c>
      <c r="D406" s="45" t="s">
        <v>922</v>
      </c>
      <c r="E406" s="45" t="s">
        <v>923</v>
      </c>
      <c r="F406" s="187">
        <v>73.0</v>
      </c>
      <c r="G406" s="180" t="str">
        <f>IFERROR(__xludf.DUMMYFUNCTION("TRIM(REGEXREPLACE(C406, ""[0-9]+[a-f]?\."", """"))"),"Physical attack")</f>
        <v>Physical attack</v>
      </c>
      <c r="H406" s="180" t="str">
        <f>IFERROR(__xludf.DUMMYFUNCTION("TRIM(REGEXREPLACE(D406, ""[0-9]+[a-f]?\."", """"))"),"Attaque physique")</f>
        <v>Attaque physique</v>
      </c>
      <c r="I406" s="180" t="str">
        <f>IFERROR(__xludf.DUMMYFUNCTION("TRIM(REGEXREPLACE(E406, ""[0-9]+[a-f]?\."", """"))"),"harin jiki")</f>
        <v>harin jiki</v>
      </c>
      <c r="J406" s="180" t="str">
        <f t="shared" ref="J406:L406" si="73">$F406 &amp; ". "&amp;G406</f>
        <v>73. Physical attack</v>
      </c>
      <c r="K406" s="180" t="str">
        <f t="shared" si="73"/>
        <v>73. Attaque physique</v>
      </c>
      <c r="L406" s="180" t="str">
        <f t="shared" si="73"/>
        <v>73. harin jiki</v>
      </c>
    </row>
    <row r="407" hidden="1">
      <c r="A407" s="180"/>
      <c r="B407" s="182"/>
      <c r="C407" s="182"/>
      <c r="D407" s="182"/>
      <c r="E407" s="182"/>
      <c r="F407" s="187">
        <v>276.0</v>
      </c>
      <c r="G407" s="180" t="str">
        <f>IFERROR(__xludf.DUMMYFUNCTION("TRIM(REGEXREPLACE(C407, ""[0-9]+[a-f]?\."", """"))"),"")</f>
        <v/>
      </c>
      <c r="H407" s="180" t="str">
        <f>IFERROR(__xludf.DUMMYFUNCTION("TRIM(REGEXREPLACE(D407, ""[0-9]+[a-f]?\."", """"))"),"")</f>
        <v/>
      </c>
      <c r="I407" s="180" t="str">
        <f>IFERROR(__xludf.DUMMYFUNCTION("TRIM(REGEXREPLACE(E407, ""[0-9]+[a-f]?\."", """"))"),"")</f>
        <v/>
      </c>
      <c r="J407" s="180" t="s">
        <v>2439</v>
      </c>
      <c r="K407" s="180" t="s">
        <v>2441</v>
      </c>
      <c r="L407" s="180" t="s">
        <v>2443</v>
      </c>
    </row>
    <row r="408">
      <c r="A408" s="236" t="s">
        <v>252</v>
      </c>
      <c r="B408" s="237" t="s">
        <v>2440</v>
      </c>
      <c r="C408" s="45" t="s">
        <v>926</v>
      </c>
      <c r="D408" s="45" t="s">
        <v>927</v>
      </c>
      <c r="E408" s="45" t="s">
        <v>928</v>
      </c>
      <c r="F408" s="187">
        <v>74.0</v>
      </c>
      <c r="G408" s="180" t="str">
        <f>IFERROR(__xludf.DUMMYFUNCTION("TRIM(REGEXREPLACE(C408, ""[0-9]+[a-f]?\."", """"))"),"Threat of physical violence/attack")</f>
        <v>Threat of physical violence/attack</v>
      </c>
      <c r="H408" s="180" t="str">
        <f>IFERROR(__xludf.DUMMYFUNCTION("TRIM(REGEXREPLACE(D408, ""[0-9]+[a-f]?\."", """"))"),"Menace de violence physique/agression")</f>
        <v>Menace de violence physique/agression</v>
      </c>
      <c r="I408" s="180" t="str">
        <f>IFERROR(__xludf.DUMMYFUNCTION("TRIM(REGEXREPLACE(E408, ""[0-9]+[a-f]?\."", """"))"),"Barazanar ​​harin jiki")</f>
        <v>Barazanar ​​harin jiki</v>
      </c>
      <c r="J408" s="180" t="str">
        <f t="shared" ref="J408:L408" si="74">$F408 &amp; ". "&amp;G408</f>
        <v>74. Threat of physical violence/attack</v>
      </c>
      <c r="K408" s="180" t="str">
        <f t="shared" si="74"/>
        <v>74. Menace de violence physique/agression</v>
      </c>
      <c r="L408" s="180" t="str">
        <f t="shared" si="74"/>
        <v>74. Barazanar ​​harin jiki</v>
      </c>
    </row>
    <row r="409">
      <c r="A409" s="262" t="s">
        <v>252</v>
      </c>
      <c r="B409" s="237" t="s">
        <v>2450</v>
      </c>
      <c r="C409" s="45" t="s">
        <v>929</v>
      </c>
      <c r="D409" s="45" t="s">
        <v>930</v>
      </c>
      <c r="E409" s="45" t="s">
        <v>931</v>
      </c>
      <c r="F409" s="187">
        <v>75.0</v>
      </c>
      <c r="G409" s="180" t="str">
        <f>IFERROR(__xludf.DUMMYFUNCTION("TRIM(REGEXREPLACE(C409, ""[0-9]+[a-f]?\."", """"))"),"Theft of either money or property?")</f>
        <v>Theft of either money or property?</v>
      </c>
      <c r="H409" s="180" t="str">
        <f>IFERROR(__xludf.DUMMYFUNCTION("TRIM(REGEXREPLACE(D409, ""[0-9]+[a-f]?\."", """"))"),"Vol d'argent ou de propriété?")</f>
        <v>Vol d'argent ou de propriété?</v>
      </c>
      <c r="I409" s="180" t="str">
        <f>IFERROR(__xludf.DUMMYFUNCTION("TRIM(REGEXREPLACE(E409, ""[0-9]+[a-f]?\."", """"))"),"Satar kudi ko dukiya?")</f>
        <v>Satar kudi ko dukiya?</v>
      </c>
      <c r="J409" s="180" t="str">
        <f t="shared" ref="J409:L409" si="75">$F409 &amp; ". "&amp;G409</f>
        <v>75. Theft of either money or property?</v>
      </c>
      <c r="K409" s="180" t="str">
        <f t="shared" si="75"/>
        <v>75. Vol d'argent ou de propriété?</v>
      </c>
      <c r="L409" s="180" t="str">
        <f t="shared" si="75"/>
        <v>75. Satar kudi ko dukiya?</v>
      </c>
    </row>
    <row r="410">
      <c r="A410" s="236" t="s">
        <v>252</v>
      </c>
      <c r="B410" s="237" t="s">
        <v>2453</v>
      </c>
      <c r="C410" s="45" t="s">
        <v>932</v>
      </c>
      <c r="D410" s="45" t="s">
        <v>933</v>
      </c>
      <c r="E410" s="45" t="s">
        <v>934</v>
      </c>
      <c r="F410" s="187">
        <v>76.0</v>
      </c>
      <c r="G410" s="180" t="str">
        <f>IFERROR(__xludf.DUMMYFUNCTION("TRIM(REGEXREPLACE(C410, ""[0-9]+[a-f]?\."", """"))"),"Detention or arrest by state security forces?")</f>
        <v>Detention or arrest by state security forces?</v>
      </c>
      <c r="H410" s="180" t="str">
        <f>IFERROR(__xludf.DUMMYFUNCTION("TRIM(REGEXREPLACE(D410, ""[0-9]+[a-f]?\."", """"))"),"Détention ou arrestation par les forces de sécurité de l'État ?")</f>
        <v>Détention ou arrestation par les forces de sécurité de l'État ?</v>
      </c>
      <c r="I410" s="180" t="str">
        <f>IFERROR(__xludf.DUMMYFUNCTION("TRIM(REGEXREPLACE(E410, ""[0-9]+[a-f]?\."", """"))"),"Kaso ko kamu daga jami'an tsaron gwamnati?")</f>
        <v>Kaso ko kamu daga jami'an tsaron gwamnati?</v>
      </c>
      <c r="J410" s="180" t="str">
        <f t="shared" ref="J410:L410" si="76">$F410 &amp; ". "&amp;G410</f>
        <v>76. Detention or arrest by state security forces?</v>
      </c>
      <c r="K410" s="180" t="str">
        <f t="shared" si="76"/>
        <v>76. Détention ou arrestation par les forces de sécurité de l'État ?</v>
      </c>
      <c r="L410" s="180" t="str">
        <f t="shared" si="76"/>
        <v>76. Kaso ko kamu daga jami'an tsaron gwamnati?</v>
      </c>
    </row>
    <row r="411" hidden="1">
      <c r="A411" s="151" t="s">
        <v>237</v>
      </c>
      <c r="B411" s="226" t="s">
        <v>2389</v>
      </c>
      <c r="C411" s="226"/>
      <c r="D411" s="226"/>
      <c r="E411" s="226"/>
      <c r="F411" s="187">
        <v>254.0</v>
      </c>
      <c r="G411" s="180" t="str">
        <f>IFERROR(__xludf.DUMMYFUNCTION("TRIM(REGEXREPLACE(C411, ""[0-9]+[a-f]?\."", """"))"),"")</f>
        <v/>
      </c>
      <c r="H411" s="180" t="str">
        <f>IFERROR(__xludf.DUMMYFUNCTION("TRIM(REGEXREPLACE(D411, ""[0-9]+[a-f]?\."", """"))"),"")</f>
        <v/>
      </c>
      <c r="I411" s="180" t="str">
        <f>IFERROR(__xludf.DUMMYFUNCTION("TRIM(REGEXREPLACE(E411, ""[0-9]+[a-f]?\."", """"))"),"")</f>
        <v/>
      </c>
      <c r="J411" s="180" t="s">
        <v>2456</v>
      </c>
      <c r="K411" s="180" t="s">
        <v>2457</v>
      </c>
      <c r="L411" s="180" t="s">
        <v>2458</v>
      </c>
    </row>
    <row r="412" hidden="1">
      <c r="A412" s="85" t="s">
        <v>127</v>
      </c>
      <c r="B412" s="227" t="s">
        <v>2460</v>
      </c>
      <c r="C412" s="198"/>
      <c r="D412" s="198"/>
      <c r="E412" s="198"/>
      <c r="F412" s="187">
        <v>255.0</v>
      </c>
      <c r="G412" s="180" t="str">
        <f>IFERROR(__xludf.DUMMYFUNCTION("TRIM(REGEXREPLACE(C412, ""[0-9]+[a-f]?\."", """"))"),"")</f>
        <v/>
      </c>
      <c r="H412" s="180" t="str">
        <f>IFERROR(__xludf.DUMMYFUNCTION("TRIM(REGEXREPLACE(D412, ""[0-9]+[a-f]?\."", """"))"),"")</f>
        <v/>
      </c>
      <c r="I412" s="180" t="str">
        <f>IFERROR(__xludf.DUMMYFUNCTION("TRIM(REGEXREPLACE(E412, ""[0-9]+[a-f]?\."", """"))"),"")</f>
        <v/>
      </c>
      <c r="J412" s="180" t="s">
        <v>2464</v>
      </c>
      <c r="K412" s="180" t="s">
        <v>2465</v>
      </c>
      <c r="L412" s="180" t="s">
        <v>2467</v>
      </c>
    </row>
    <row r="413" hidden="1">
      <c r="A413" s="144" t="s">
        <v>68</v>
      </c>
      <c r="B413" s="148" t="s">
        <v>2470</v>
      </c>
      <c r="C413" s="147"/>
      <c r="D413" s="147"/>
      <c r="E413" s="147"/>
      <c r="F413" s="187">
        <v>256.0</v>
      </c>
      <c r="G413" s="180" t="str">
        <f>IFERROR(__xludf.DUMMYFUNCTION("TRIM(REGEXREPLACE(C413, ""[0-9]+[a-f]?\."", """"))"),"")</f>
        <v/>
      </c>
      <c r="H413" s="180" t="str">
        <f>IFERROR(__xludf.DUMMYFUNCTION("TRIM(REGEXREPLACE(D413, ""[0-9]+[a-f]?\."", """"))"),"")</f>
        <v/>
      </c>
      <c r="I413" s="180" t="str">
        <f>IFERROR(__xludf.DUMMYFUNCTION("TRIM(REGEXREPLACE(E413, ""[0-9]+[a-f]?\."", """"))"),"")</f>
        <v/>
      </c>
      <c r="J413" s="180" t="s">
        <v>2472</v>
      </c>
      <c r="K413" s="180" t="s">
        <v>2473</v>
      </c>
      <c r="L413" s="180" t="s">
        <v>2475</v>
      </c>
    </row>
    <row r="414" hidden="1">
      <c r="A414" s="254"/>
      <c r="B414" s="254"/>
      <c r="C414" s="191" t="s">
        <v>50</v>
      </c>
      <c r="D414" s="191" t="s">
        <v>50</v>
      </c>
      <c r="E414" s="191" t="s">
        <v>50</v>
      </c>
      <c r="F414" s="187">
        <v>257.0</v>
      </c>
      <c r="G414" s="180" t="str">
        <f>IFERROR(__xludf.DUMMYFUNCTION("TRIM(REGEXREPLACE(C414, ""[0-9]+[a-f]?\."", """"))"),"")</f>
        <v/>
      </c>
      <c r="H414" s="180" t="str">
        <f>IFERROR(__xludf.DUMMYFUNCTION("TRIM(REGEXREPLACE(D414, ""[0-9]+[a-f]?\."", """"))"),"")</f>
        <v/>
      </c>
      <c r="I414" s="180" t="str">
        <f>IFERROR(__xludf.DUMMYFUNCTION("TRIM(REGEXREPLACE(E414, ""[0-9]+[a-f]?\."", """"))"),"")</f>
        <v/>
      </c>
      <c r="J414" s="180" t="s">
        <v>2478</v>
      </c>
      <c r="K414" s="180" t="s">
        <v>2479</v>
      </c>
      <c r="L414" s="180" t="s">
        <v>2480</v>
      </c>
    </row>
    <row r="415" hidden="1">
      <c r="A415" s="180"/>
      <c r="B415" s="182"/>
      <c r="C415" s="182"/>
      <c r="D415" s="182"/>
      <c r="E415" s="182"/>
      <c r="F415" s="187">
        <v>284.0</v>
      </c>
      <c r="G415" s="180" t="str">
        <f>IFERROR(__xludf.DUMMYFUNCTION("TRIM(REGEXREPLACE(C415, ""[0-9]+[a-f]?\."", """"))"),"")</f>
        <v/>
      </c>
      <c r="H415" s="180" t="str">
        <f>IFERROR(__xludf.DUMMYFUNCTION("TRIM(REGEXREPLACE(D415, ""[0-9]+[a-f]?\."", """"))"),"")</f>
        <v/>
      </c>
      <c r="I415" s="180" t="str">
        <f>IFERROR(__xludf.DUMMYFUNCTION("TRIM(REGEXREPLACE(E415, ""[0-9]+[a-f]?\."", """"))"),"")</f>
        <v/>
      </c>
      <c r="J415" s="180" t="s">
        <v>2481</v>
      </c>
      <c r="K415" s="180" t="s">
        <v>2482</v>
      </c>
      <c r="L415" s="180" t="s">
        <v>2483</v>
      </c>
    </row>
    <row r="416" hidden="1">
      <c r="A416" s="151" t="s">
        <v>133</v>
      </c>
      <c r="B416" s="147" t="s">
        <v>2487</v>
      </c>
      <c r="C416" s="147" t="s">
        <v>2488</v>
      </c>
      <c r="D416" s="226" t="s">
        <v>2489</v>
      </c>
      <c r="E416" s="226" t="s">
        <v>2490</v>
      </c>
      <c r="F416" s="187">
        <v>258.0</v>
      </c>
      <c r="G416" s="180" t="str">
        <f>IFERROR(__xludf.DUMMYFUNCTION("TRIM(REGEXREPLACE(C416, ""[0-9]+[a-f]?\."", """"))"),"Questions about PM")</f>
        <v>Questions about PM</v>
      </c>
      <c r="H416" s="180" t="str">
        <f>IFERROR(__xludf.DUMMYFUNCTION("TRIM(REGEXREPLACE(D416, ""[0-9]+[a-f]?\."", """"))"),"Questions sur le Potentiel Migrant")</f>
        <v>Questions sur le Potentiel Migrant</v>
      </c>
      <c r="I416" s="180" t="str">
        <f>IFERROR(__xludf.DUMMYFUNCTION("TRIM(REGEXREPLACE(E416, ""[0-9]+[a-f]?\."", """"))"),"Tambayoyi bisa mai nufin zuwa biɗa")</f>
        <v>Tambayoyi bisa mai nufin zuwa biɗa</v>
      </c>
      <c r="J416" s="180" t="s">
        <v>2491</v>
      </c>
      <c r="K416" s="180" t="s">
        <v>2492</v>
      </c>
      <c r="L416" s="180" t="s">
        <v>2493</v>
      </c>
    </row>
    <row r="417" hidden="1">
      <c r="A417" s="264" t="s">
        <v>127</v>
      </c>
      <c r="B417" s="265" t="s">
        <v>2494</v>
      </c>
      <c r="C417" s="198"/>
      <c r="D417" s="198"/>
      <c r="E417" s="198"/>
      <c r="F417" s="187">
        <v>259.0</v>
      </c>
      <c r="G417" s="180" t="str">
        <f>IFERROR(__xludf.DUMMYFUNCTION("TRIM(REGEXREPLACE(C417, ""[0-9]+[a-f]?\."", """"))"),"")</f>
        <v/>
      </c>
      <c r="H417" s="180" t="str">
        <f>IFERROR(__xludf.DUMMYFUNCTION("TRIM(REGEXREPLACE(D417, ""[0-9]+[a-f]?\."", """"))"),"")</f>
        <v/>
      </c>
      <c r="I417" s="180" t="str">
        <f>IFERROR(__xludf.DUMMYFUNCTION("TRIM(REGEXREPLACE(E417, ""[0-9]+[a-f]?\."", """"))"),"")</f>
        <v/>
      </c>
      <c r="J417" s="180" t="s">
        <v>2498</v>
      </c>
      <c r="K417" s="180" t="s">
        <v>2499</v>
      </c>
      <c r="L417" s="180" t="s">
        <v>2500</v>
      </c>
    </row>
    <row r="418">
      <c r="A418" s="266" t="s">
        <v>38</v>
      </c>
      <c r="B418" s="64" t="s">
        <v>2501</v>
      </c>
      <c r="C418" s="45" t="s">
        <v>963</v>
      </c>
      <c r="D418" s="45" t="s">
        <v>964</v>
      </c>
      <c r="E418" s="45" t="s">
        <v>965</v>
      </c>
      <c r="F418" s="187">
        <v>77.0</v>
      </c>
      <c r="G418" s="180" t="str">
        <f>IFERROR(__xludf.DUMMYFUNCTION("TRIM(REGEXREPLACE(C418, ""[0-9]+[a-f]?\."", """"))"),"Now I would like to ask you a few questions about ${pm_name}")</f>
        <v>Now I would like to ask you a few questions about ${pm_name}</v>
      </c>
      <c r="H418" s="180" t="str">
        <f>IFERROR(__xludf.DUMMYFUNCTION("TRIM(REGEXREPLACE(D418, ""[0-9]+[a-f]?\."", """"))"),"Maintenant, je voudrais vous poser quelques questions sur ${pm_name}")</f>
        <v>Maintenant, je voudrais vous poser quelques questions sur ${pm_name}</v>
      </c>
      <c r="I418" s="180" t="str">
        <f>IFERROR(__xludf.DUMMYFUNCTION("TRIM(REGEXREPLACE(E418, ""[0-9]+[a-f]?\."", """"))"),"Yanzu ina so in muku wasu tambayoyi game da ${pm_name}")</f>
        <v>Yanzu ina so in muku wasu tambayoyi game da ${pm_name}</v>
      </c>
      <c r="J418" s="180" t="str">
        <f t="shared" ref="J418:L418" si="77">$F418 &amp; ". "&amp;G418</f>
        <v>77. Now I would like to ask you a few questions about ${pm_name}</v>
      </c>
      <c r="K418" s="180" t="str">
        <f t="shared" si="77"/>
        <v>77. Maintenant, je voudrais vous poser quelques questions sur ${pm_name}</v>
      </c>
      <c r="L418" s="180" t="str">
        <f t="shared" si="77"/>
        <v>77. Yanzu ina so in muku wasu tambayoyi game da ${pm_name}</v>
      </c>
    </row>
    <row r="419">
      <c r="A419" s="80" t="s">
        <v>1306</v>
      </c>
      <c r="B419" s="228" t="s">
        <v>2505</v>
      </c>
      <c r="C419" s="45" t="s">
        <v>967</v>
      </c>
      <c r="D419" s="45" t="s">
        <v>969</v>
      </c>
      <c r="E419" s="45" t="s">
        <v>970</v>
      </c>
      <c r="F419" s="187">
        <v>78.0</v>
      </c>
      <c r="G419" s="180" t="str">
        <f>IFERROR(__xludf.DUMMYFUNCTION("TRIM(REGEXREPLACE(C419, ""[0-9]+[a-f]?\."", """"))"),"To the best of your knowledge has ${pm_name} worked for pay in the past month?")</f>
        <v>To the best of your knowledge has ${pm_name} worked for pay in the past month?</v>
      </c>
      <c r="H419" s="180" t="str">
        <f>IFERROR(__xludf.DUMMYFUNCTION("TRIM(REGEXREPLACE(D419, ""[0-9]+[a-f]?\."", """"))"),"Au meilleur de vos connaissances, ${pm_name} a-t-il travaillé pour gagner un salaire au cours du dernier mois?")</f>
        <v>Au meilleur de vos connaissances, ${pm_name} a-t-il travaillé pour gagner un salaire au cours du dernier mois?</v>
      </c>
      <c r="I419" s="180" t="str">
        <f>IFERROR(__xludf.DUMMYFUNCTION("TRIM(REGEXREPLACE(E419, ""[0-9]+[a-f]?\."", """"))"),"A iya saninku ${pm_name} ya yi aiki don samun biya a cikin watan da ya gabata?")</f>
        <v>A iya saninku ${pm_name} ya yi aiki don samun biya a cikin watan da ya gabata?</v>
      </c>
      <c r="J419" s="180" t="str">
        <f t="shared" ref="J419:L419" si="78">$F419 &amp; ". "&amp;G419</f>
        <v>78. To the best of your knowledge has ${pm_name} worked for pay in the past month?</v>
      </c>
      <c r="K419" s="180" t="str">
        <f t="shared" si="78"/>
        <v>78. Au meilleur de vos connaissances, ${pm_name} a-t-il travaillé pour gagner un salaire au cours du dernier mois?</v>
      </c>
      <c r="L419" s="180" t="str">
        <f t="shared" si="78"/>
        <v>78. A iya saninku ${pm_name} ya yi aiki don samun biya a cikin watan da ya gabata?</v>
      </c>
    </row>
    <row r="420">
      <c r="A420" s="248" t="s">
        <v>268</v>
      </c>
      <c r="B420" s="249" t="s">
        <v>2506</v>
      </c>
      <c r="C420" s="45" t="s">
        <v>972</v>
      </c>
      <c r="D420" s="45" t="s">
        <v>973</v>
      </c>
      <c r="E420" s="45" t="s">
        <v>2507</v>
      </c>
      <c r="F420" s="187">
        <v>79.0</v>
      </c>
      <c r="G420" s="180" t="str">
        <f>IFERROR(__xludf.DUMMYFUNCTION("TRIM(REGEXREPLACE(C420, ""[0-9]+[a-f]?\."", """"))"),"If you had to guess, how much money do you think ${pm_name} earned from work in the past month?")</f>
        <v>If you had to guess, how much money do you think ${pm_name} earned from work in the past month?</v>
      </c>
      <c r="H420" s="180" t="str">
        <f>IFERROR(__xludf.DUMMYFUNCTION("TRIM(REGEXREPLACE(D420, ""[0-9]+[a-f]?\."", """"))"),"Si vous deviez deviner, combien d'argent pensez-vous que ${pm_name} gagne du travail au cours du dernier mois?")</f>
        <v>Si vous deviez deviner, combien d'argent pensez-vous que ${pm_name} gagne du travail au cours du dernier mois?</v>
      </c>
      <c r="I420" s="180" t="str">
        <f>IFERROR(__xludf.DUMMYFUNCTION("TRIM(REGEXREPLACE(E420, ""[0-9]+[a-f]?\."", """"))"),"Idan kuka ƙaddara, nawa kuke ganin ${pm_name} zai samu daga wannan aikin a cikin watan da ya gabata?")</f>
        <v>Idan kuka ƙaddara, nawa kuke ganin ${pm_name} zai samu daga wannan aikin a cikin watan da ya gabata?</v>
      </c>
      <c r="J420" s="180" t="str">
        <f t="shared" ref="J420:L420" si="79">$F420 &amp; ". "&amp;G420</f>
        <v>79. If you had to guess, how much money do you think ${pm_name} earned from work in the past month?</v>
      </c>
      <c r="K420" s="180" t="str">
        <f t="shared" si="79"/>
        <v>79. Si vous deviez deviner, combien d'argent pensez-vous que ${pm_name} gagne du travail au cours du dernier mois?</v>
      </c>
      <c r="L420" s="180" t="str">
        <f t="shared" si="79"/>
        <v>79. Idan kuka ƙaddara, nawa kuke ganin ${pm_name} zai samu daga wannan aikin a cikin watan da ya gabata?</v>
      </c>
    </row>
    <row r="421">
      <c r="A421" s="80" t="s">
        <v>2509</v>
      </c>
      <c r="B421" s="228" t="s">
        <v>2510</v>
      </c>
      <c r="C421" s="45" t="s">
        <v>976</v>
      </c>
      <c r="D421" s="45" t="s">
        <v>977</v>
      </c>
      <c r="E421" s="45" t="s">
        <v>978</v>
      </c>
      <c r="F421" s="187">
        <v>80.0</v>
      </c>
      <c r="G421" s="180" t="str">
        <f>IFERROR(__xludf.DUMMYFUNCTION("TRIM(REGEXREPLACE(C421, ""[0-9]+[a-f]?\."", """"))"),"Is ${pm_name} currently living in your household?")</f>
        <v>Is ${pm_name} currently living in your household?</v>
      </c>
      <c r="H421" s="180" t="str">
        <f>IFERROR(__xludf.DUMMYFUNCTION("TRIM(REGEXREPLACE(D421, ""[0-9]+[a-f]?\."", """"))"),"${pm_name} vit-il actuellement dans votre ménage?")</f>
        <v>${pm_name} vit-il actuellement dans votre ménage?</v>
      </c>
      <c r="I421" s="180" t="str">
        <f>IFERROR(__xludf.DUMMYFUNCTION("TRIM(REGEXREPLACE(E421, ""[0-9]+[a-f]?\."", """"))"),"Ko ${pm_name} yana zaune a gidan ku a hali yanzu?")</f>
        <v>Ko ${pm_name} yana zaune a gidan ku a hali yanzu?</v>
      </c>
      <c r="J421" s="180" t="str">
        <f t="shared" ref="J421:L421" si="80">$F421 &amp; ". "&amp;G421</f>
        <v>80. Is ${pm_name} currently living in your household?</v>
      </c>
      <c r="K421" s="180" t="str">
        <f t="shared" si="80"/>
        <v>80. ${pm_name} vit-il actuellement dans votre ménage?</v>
      </c>
      <c r="L421" s="180" t="str">
        <f t="shared" si="80"/>
        <v>80. Ko ${pm_name} yana zaune a gidan ku a hali yanzu?</v>
      </c>
    </row>
    <row r="422">
      <c r="A422" s="80" t="s">
        <v>1306</v>
      </c>
      <c r="B422" s="228" t="s">
        <v>2511</v>
      </c>
      <c r="C422" s="45" t="s">
        <v>2512</v>
      </c>
      <c r="D422" s="45" t="s">
        <v>2513</v>
      </c>
      <c r="E422" s="45" t="s">
        <v>2514</v>
      </c>
      <c r="F422" s="187">
        <v>81.0</v>
      </c>
      <c r="G422" s="180" t="str">
        <f>IFERROR(__xludf.DUMMYFUNCTION("TRIM(REGEXREPLACE(C422, ""[0-9]+[a-f]?\."", """"))"),"Where is ${pm_name} living right now?
 Enumerator: Is location in Niger?")</f>
        <v>Where is ${pm_name} living right now?
 Enumerator: Is location in Niger?</v>
      </c>
      <c r="H422" s="180" t="str">
        <f>IFERROR(__xludf.DUMMYFUNCTION("TRIM(REGEXREPLACE(D422, ""[0-9]+[a-f]?\."", """"))"),"Où est ${pm_name} en ce moment?
 Énquêteur: le lieu est-il au Niger?")</f>
        <v>Où est ${pm_name} en ce moment?
 Énquêteur: le lieu est-il au Niger?</v>
      </c>
      <c r="I422" s="180" t="str">
        <f>IFERROR(__xludf.DUMMYFUNCTION("TRIM(REGEXREPLACE(E422, ""[0-9]+[a-f]?\."", """"))"),"Ina ${pm_name} yake a yanzu?
 Dan bincike: Ko wurin a Nijar ne?")</f>
        <v>Ina ${pm_name} yake a yanzu?
 Dan bincike: Ko wurin a Nijar ne?</v>
      </c>
      <c r="J422" s="180" t="str">
        <f t="shared" ref="J422:L422" si="81">$F422 &amp; ". "&amp;G422</f>
        <v>81. Where is ${pm_name} living right now?
 Enumerator: Is location in Niger?</v>
      </c>
      <c r="K422" s="180" t="str">
        <f t="shared" si="81"/>
        <v>81. Où est ${pm_name} en ce moment?
 Énquêteur: le lieu est-il au Niger?</v>
      </c>
      <c r="L422" s="180" t="str">
        <f t="shared" si="81"/>
        <v>81. Ina ${pm_name} yake a yanzu?
 Dan bincike: Ko wurin a Nijar ne?</v>
      </c>
    </row>
    <row r="423">
      <c r="A423" s="80" t="s">
        <v>1573</v>
      </c>
      <c r="B423" s="228" t="s">
        <v>2515</v>
      </c>
      <c r="C423" s="45" t="s">
        <v>987</v>
      </c>
      <c r="D423" s="45" t="s">
        <v>988</v>
      </c>
      <c r="E423" s="45" t="s">
        <v>989</v>
      </c>
      <c r="F423" s="187">
        <v>82.0</v>
      </c>
      <c r="G423" s="180" t="str">
        <f>IFERROR(__xludf.DUMMYFUNCTION("TRIM(REGEXREPLACE(C423, ""[0-9]+[a-f]?\."", """"))"),"Enumerator: Select region in Niger")</f>
        <v>Enumerator: Select region in Niger</v>
      </c>
      <c r="H423" s="180" t="str">
        <f>IFERROR(__xludf.DUMMYFUNCTION("TRIM(REGEXREPLACE(D423, ""[0-9]+[a-f]?\."", """"))"),"Enquêteur : Sélectionnez une région au Niger")</f>
        <v>Enquêteur : Sélectionnez une région au Niger</v>
      </c>
      <c r="I423" s="180" t="str">
        <f>IFERROR(__xludf.DUMMYFUNCTION("TRIM(REGEXREPLACE(E423, ""[0-9]+[a-f]?\."", """"))"),"Ɗan bincike: Zaɓi Jaha ɗaya a Nijar")</f>
        <v>Ɗan bincike: Zaɓi Jaha ɗaya a Nijar</v>
      </c>
      <c r="J423" s="180" t="str">
        <f t="shared" ref="J423:L423" si="82">$F423 &amp; ". "&amp;G423</f>
        <v>82. Enumerator: Select region in Niger</v>
      </c>
      <c r="K423" s="180" t="str">
        <f t="shared" si="82"/>
        <v>82. Enquêteur : Sélectionnez une région au Niger</v>
      </c>
      <c r="L423" s="180" t="str">
        <f t="shared" si="82"/>
        <v>82. Ɗan bincike: Zaɓi Jaha ɗaya a Nijar</v>
      </c>
    </row>
    <row r="424">
      <c r="A424" s="85" t="s">
        <v>2520</v>
      </c>
      <c r="B424" s="228" t="s">
        <v>2521</v>
      </c>
      <c r="C424" s="45" t="s">
        <v>991</v>
      </c>
      <c r="D424" s="45" t="s">
        <v>993</v>
      </c>
      <c r="E424" s="45" t="s">
        <v>994</v>
      </c>
      <c r="F424" s="187">
        <v>83.0</v>
      </c>
      <c r="G424" s="180" t="str">
        <f>IFERROR(__xludf.DUMMYFUNCTION("TRIM(REGEXREPLACE(C424, ""[0-9]+[a-f]?\."", """"))"),"Enumerator: Select country")</f>
        <v>Enumerator: Select country</v>
      </c>
      <c r="H424" s="180" t="str">
        <f>IFERROR(__xludf.DUMMYFUNCTION("TRIM(REGEXREPLACE(D424, ""[0-9]+[a-f]?\."", """"))"),"Enquêteur : sélectionnez le pays")</f>
        <v>Enquêteur : sélectionnez le pays</v>
      </c>
      <c r="I424" s="180" t="str">
        <f>IFERROR(__xludf.DUMMYFUNCTION("TRIM(REGEXREPLACE(E424, ""[0-9]+[a-f]?\."", """"))"),"Ɗan bincike: Zaɓi ƙasa")</f>
        <v>Ɗan bincike: Zaɓi ƙasa</v>
      </c>
      <c r="J424" s="180" t="str">
        <f t="shared" ref="J424:L424" si="83">$F424 &amp; ". "&amp;G424</f>
        <v>83. Enumerator: Select country</v>
      </c>
      <c r="K424" s="180" t="str">
        <f t="shared" si="83"/>
        <v>83. Enquêteur : sélectionnez le pays</v>
      </c>
      <c r="L424" s="180" t="str">
        <f t="shared" si="83"/>
        <v>83. Ɗan bincike: Zaɓi ƙasa</v>
      </c>
    </row>
    <row r="425">
      <c r="A425" s="236" t="s">
        <v>252</v>
      </c>
      <c r="B425" s="237" t="s">
        <v>2524</v>
      </c>
      <c r="C425" s="45" t="s">
        <v>996</v>
      </c>
      <c r="D425" s="45" t="s">
        <v>998</v>
      </c>
      <c r="E425" s="45" t="s">
        <v>999</v>
      </c>
      <c r="F425" s="187">
        <v>84.0</v>
      </c>
      <c r="G425" s="180" t="str">
        <f>IFERROR(__xludf.DUMMYFUNCTION("TRIM(REGEXREPLACE(C425, ""[0-9]+[a-f]?\."", """"))"),"Enumerator: Enter other country")</f>
        <v>Enumerator: Enter other country</v>
      </c>
      <c r="H425" s="180" t="str">
        <f>IFERROR(__xludf.DUMMYFUNCTION("TRIM(REGEXREPLACE(D425, ""[0-9]+[a-f]?\."", """"))"),"Enquêteur : Entrez un autre pays")</f>
        <v>Enquêteur : Entrez un autre pays</v>
      </c>
      <c r="I425" s="180" t="str">
        <f>IFERROR(__xludf.DUMMYFUNCTION("TRIM(REGEXREPLACE(E425, ""[0-9]+[a-f]?\."", """"))"),"Ɗan bincike: Shigar da wata ƙasa")</f>
        <v>Ɗan bincike: Shigar da wata ƙasa</v>
      </c>
      <c r="J425" s="180" t="str">
        <f t="shared" ref="J425:L425" si="84">$F425 &amp; ". "&amp;G425</f>
        <v>84. Enumerator: Enter other country</v>
      </c>
      <c r="K425" s="180" t="str">
        <f t="shared" si="84"/>
        <v>84. Enquêteur : Entrez un autre pays</v>
      </c>
      <c r="L425" s="180" t="str">
        <f t="shared" si="84"/>
        <v>84. Ɗan bincike: Shigar da wata ƙasa</v>
      </c>
    </row>
    <row r="426">
      <c r="A426" s="80" t="s">
        <v>1624</v>
      </c>
      <c r="B426" s="228" t="s">
        <v>2526</v>
      </c>
      <c r="C426" s="45" t="s">
        <v>1000</v>
      </c>
      <c r="D426" s="45" t="s">
        <v>1001</v>
      </c>
      <c r="E426" s="45" t="s">
        <v>1002</v>
      </c>
      <c r="F426" s="187">
        <v>85.0</v>
      </c>
      <c r="G426" s="180" t="str">
        <f>IFERROR(__xludf.DUMMYFUNCTION("TRIM(REGEXREPLACE(C426, ""[0-9]+[a-f]?\."", """"))"),"Enumerator: Select town")</f>
        <v>Enumerator: Select town</v>
      </c>
      <c r="H426" s="180" t="str">
        <f>IFERROR(__xludf.DUMMYFUNCTION("TRIM(REGEXREPLACE(D426, ""[0-9]+[a-f]?\."", """"))"),"Enquêteur : Sélectionnez la ville")</f>
        <v>Enquêteur : Sélectionnez la ville</v>
      </c>
      <c r="I426" s="180" t="str">
        <f>IFERROR(__xludf.DUMMYFUNCTION("TRIM(REGEXREPLACE(E426, ""[0-9]+[a-f]?\."", """"))"),"Ɗan bincike: Zaɓi gari")</f>
        <v>Ɗan bincike: Zaɓi gari</v>
      </c>
      <c r="J426" s="180" t="str">
        <f t="shared" ref="J426:L426" si="85">$F426 &amp; ". "&amp;G426</f>
        <v>85. Enumerator: Select town</v>
      </c>
      <c r="K426" s="180" t="str">
        <f t="shared" si="85"/>
        <v>85. Enquêteur : Sélectionnez la ville</v>
      </c>
      <c r="L426" s="180" t="str">
        <f t="shared" si="85"/>
        <v>85. Ɗan bincike: Zaɓi gari</v>
      </c>
    </row>
    <row r="427">
      <c r="A427" s="236" t="s">
        <v>252</v>
      </c>
      <c r="B427" s="267" t="s">
        <v>2533</v>
      </c>
      <c r="C427" s="45" t="s">
        <v>1005</v>
      </c>
      <c r="D427" s="45" t="s">
        <v>1006</v>
      </c>
      <c r="E427" s="45" t="s">
        <v>1007</v>
      </c>
      <c r="F427" s="187">
        <v>86.0</v>
      </c>
      <c r="G427" s="180" t="str">
        <f>IFERROR(__xludf.DUMMYFUNCTION("TRIM(REGEXREPLACE(C427, ""[0-9]+[a-f]?\."", """"))"),"Enumerator: Enter other town")</f>
        <v>Enumerator: Enter other town</v>
      </c>
      <c r="H427" s="180" t="str">
        <f>IFERROR(__xludf.DUMMYFUNCTION("TRIM(REGEXREPLACE(D427, ""[0-9]+[a-f]?\."", """"))"),"Enquêteur : Entrez un autre ville")</f>
        <v>Enquêteur : Entrez un autre ville</v>
      </c>
      <c r="I427" s="180" t="str">
        <f>IFERROR(__xludf.DUMMYFUNCTION("TRIM(REGEXREPLACE(E427, ""[0-9]+[a-f]?\."", """"))"),"Ɗan bincike: Shigar da wata gari")</f>
        <v>Ɗan bincike: Shigar da wata gari</v>
      </c>
      <c r="J427" s="180" t="str">
        <f t="shared" ref="J427:L427" si="86">$F427 &amp; ". "&amp;G427</f>
        <v>86. Enumerator: Enter other town</v>
      </c>
      <c r="K427" s="180" t="str">
        <f t="shared" si="86"/>
        <v>86. Enquêteur : Entrez un autre ville</v>
      </c>
      <c r="L427" s="180" t="str">
        <f t="shared" si="86"/>
        <v>86. Ɗan bincike: Shigar da wata gari</v>
      </c>
    </row>
    <row r="428">
      <c r="A428" s="236" t="s">
        <v>2509</v>
      </c>
      <c r="B428" s="267" t="s">
        <v>2537</v>
      </c>
      <c r="C428" s="45" t="s">
        <v>1009</v>
      </c>
      <c r="D428" s="45" t="s">
        <v>2538</v>
      </c>
      <c r="E428" s="45" t="s">
        <v>2540</v>
      </c>
      <c r="F428" s="187">
        <v>87.0</v>
      </c>
      <c r="G428" s="180" t="str">
        <f>IFERROR(__xludf.DUMMYFUNCTION("TRIM(REGEXREPLACE(C428, ""[0-9]+[a-f]?\."", """"))"),"Will ${pm_name} be in the household within the next two weeks?")</f>
        <v>Will ${pm_name} be in the household within the next two weeks?</v>
      </c>
      <c r="H428" s="180" t="str">
        <f>IFERROR(__xludf.DUMMYFUNCTION("TRIM(REGEXREPLACE(D428, ""[0-9]+[a-f]?\."", """"))"),"Est-ce que ${pm_name} sera dans le ménage au cours des deux prochaines semaines ?")</f>
        <v>Est-ce que ${pm_name} sera dans le ménage au cours des deux prochaines semaines ?</v>
      </c>
      <c r="I428" s="180" t="str">
        <f>IFERROR(__xludf.DUMMYFUNCTION("TRIM(REGEXREPLACE(E428, ""[0-9]+[a-f]?\."", """"))"),"Ko ${pm_name} zai kasance a gidan nan cikin sati biyu masu zuwa?")</f>
        <v>Ko ${pm_name} zai kasance a gidan nan cikin sati biyu masu zuwa?</v>
      </c>
      <c r="J428" s="180" t="str">
        <f t="shared" ref="J428:L428" si="87">$F428 &amp; ". "&amp;G428</f>
        <v>87. Will ${pm_name} be in the household within the next two weeks?</v>
      </c>
      <c r="K428" s="180" t="str">
        <f t="shared" si="87"/>
        <v>87. Est-ce que ${pm_name} sera dans le ménage au cours des deux prochaines semaines ?</v>
      </c>
      <c r="L428" s="180" t="str">
        <f t="shared" si="87"/>
        <v>87. Ko ${pm_name} zai kasance a gidan nan cikin sati biyu masu zuwa?</v>
      </c>
    </row>
    <row r="429">
      <c r="A429" s="248" t="s">
        <v>268</v>
      </c>
      <c r="B429" s="249" t="s">
        <v>2543</v>
      </c>
      <c r="C429" s="45" t="s">
        <v>1013</v>
      </c>
      <c r="D429" s="45" t="s">
        <v>1015</v>
      </c>
      <c r="E429" s="45" t="s">
        <v>1016</v>
      </c>
      <c r="F429" s="187">
        <v>88.0</v>
      </c>
      <c r="G429" s="180" t="str">
        <f>IFERROR(__xludf.DUMMYFUNCTION("TRIM(REGEXREPLACE(C429, ""[0-9]+[a-f]?\."", """"))"),"How much did ${pm_name} have to pay to travel to destination?")</f>
        <v>How much did ${pm_name} have to pay to travel to destination?</v>
      </c>
      <c r="H429" s="180" t="str">
        <f>IFERROR(__xludf.DUMMYFUNCTION("TRIM(REGEXREPLACE(D429, ""[0-9]+[a-f]?\."", """"))"),"Combien ${pm_name} a-t-il dû payer pour voyager à destination?")</f>
        <v>Combien ${pm_name} a-t-il dû payer pour voyager à destination?</v>
      </c>
      <c r="I429" s="180" t="str">
        <f>IFERROR(__xludf.DUMMYFUNCTION("TRIM(REGEXREPLACE(E429, ""[0-9]+[a-f]?\."", """"))"),"Nawa ne ${pm_name} ya biya don zuwa wurin?")</f>
        <v>Nawa ne ${pm_name} ya biya don zuwa wurin?</v>
      </c>
      <c r="J429" s="180" t="str">
        <f t="shared" ref="J429:L429" si="88">$F429 &amp; ". "&amp;G429</f>
        <v>88. How much did ${pm_name} have to pay to travel to destination?</v>
      </c>
      <c r="K429" s="180" t="str">
        <f t="shared" si="88"/>
        <v>88. Combien ${pm_name} a-t-il dû payer pour voyager à destination?</v>
      </c>
      <c r="L429" s="180" t="str">
        <f t="shared" si="88"/>
        <v>88. Nawa ne ${pm_name} ya biya don zuwa wurin?</v>
      </c>
    </row>
    <row r="430">
      <c r="A430" s="248" t="s">
        <v>268</v>
      </c>
      <c r="B430" s="249" t="s">
        <v>2551</v>
      </c>
      <c r="C430" s="45" t="s">
        <v>1018</v>
      </c>
      <c r="D430" s="45" t="s">
        <v>1020</v>
      </c>
      <c r="E430" s="45" t="s">
        <v>1022</v>
      </c>
      <c r="F430" s="187">
        <v>89.0</v>
      </c>
      <c r="G430" s="180" t="str">
        <f>IFERROR(__xludf.DUMMYFUNCTION("TRIM(REGEXREPLACE(C430, ""[0-9]+[a-f]?\."", """"))"),"How long has ${pm_name} been away from household (in months)?")</f>
        <v>How long has ${pm_name} been away from household (in months)?</v>
      </c>
      <c r="H430" s="180" t="str">
        <f>IFERROR(__xludf.DUMMYFUNCTION("TRIM(REGEXREPLACE(D430, ""[0-9]+[a-f]?\."", """"))"),"Depuis combien de temps ${pm_name} est-il loin du ménage (en mois)?")</f>
        <v>Depuis combien de temps ${pm_name} est-il loin du ménage (en mois)?</v>
      </c>
      <c r="I430" s="180" t="str">
        <f>IFERROR(__xludf.DUMMYFUNCTION("TRIM(REGEXREPLACE(E430, ""[0-9]+[a-f]?\."", """"))"),"Tun daga yaushe ${pm_name} yake nesa da gida (a cikin watanni)?")</f>
        <v>Tun daga yaushe ${pm_name} yake nesa da gida (a cikin watanni)?</v>
      </c>
      <c r="J430" s="180" t="str">
        <f t="shared" ref="J430:L430" si="89">$F430 &amp; ". "&amp;G430</f>
        <v>89. How long has ${pm_name} been away from household (in months)?</v>
      </c>
      <c r="K430" s="180" t="str">
        <f t="shared" si="89"/>
        <v>89. Depuis combien de temps ${pm_name} est-il loin du ménage (en mois)?</v>
      </c>
      <c r="L430" s="180" t="str">
        <f t="shared" si="89"/>
        <v>89. Tun daga yaushe ${pm_name} yake nesa da gida (a cikin watanni)?</v>
      </c>
    </row>
    <row r="431">
      <c r="A431" s="80" t="s">
        <v>1306</v>
      </c>
      <c r="B431" s="228" t="s">
        <v>2556</v>
      </c>
      <c r="C431" s="45" t="s">
        <v>1025</v>
      </c>
      <c r="D431" s="45" t="s">
        <v>1026</v>
      </c>
      <c r="E431" s="45" t="s">
        <v>1029</v>
      </c>
      <c r="F431" s="187">
        <v>90.0</v>
      </c>
      <c r="G431" s="180" t="str">
        <f>IFERROR(__xludf.DUMMYFUNCTION("TRIM(REGEXREPLACE(C431, ""[0-9]+[a-f]?\."", """"))"),"Have you spoken with ${pm_name} in the past month?")</f>
        <v>Have you spoken with ${pm_name} in the past month?</v>
      </c>
      <c r="H431" s="180" t="str">
        <f>IFERROR(__xludf.DUMMYFUNCTION("TRIM(REGEXREPLACE(D431, ""[0-9]+[a-f]?\."", """"))"),"Avez-vous parlé avec ${pm_name} au cours du dernier mois?")</f>
        <v>Avez-vous parlé avec ${pm_name} au cours du dernier mois?</v>
      </c>
      <c r="I431" s="180" t="str">
        <f>IFERROR(__xludf.DUMMYFUNCTION("TRIM(REGEXREPLACE(E431, ""[0-9]+[a-f]?\."", """"))"),"Ko kun yi magana da ${pm_name} a watan da ya gabata?")</f>
        <v>Ko kun yi magana da ${pm_name} a watan da ya gabata?</v>
      </c>
      <c r="J431" s="180" t="str">
        <f t="shared" ref="J431:L431" si="90">$F431 &amp; ". "&amp;G431</f>
        <v>90. Have you spoken with ${pm_name} in the past month?</v>
      </c>
      <c r="K431" s="180" t="str">
        <f t="shared" si="90"/>
        <v>90. Avez-vous parlé avec ${pm_name} au cours du dernier mois?</v>
      </c>
      <c r="L431" s="180" t="str">
        <f t="shared" si="90"/>
        <v>90. Ko kun yi magana da ${pm_name} a watan da ya gabata?</v>
      </c>
    </row>
    <row r="432">
      <c r="A432" s="80" t="s">
        <v>1306</v>
      </c>
      <c r="B432" s="228" t="s">
        <v>2560</v>
      </c>
      <c r="C432" s="45" t="s">
        <v>1031</v>
      </c>
      <c r="D432" s="45" t="s">
        <v>1032</v>
      </c>
      <c r="E432" s="45" t="s">
        <v>1033</v>
      </c>
      <c r="F432" s="187">
        <v>91.0</v>
      </c>
      <c r="G432" s="180" t="str">
        <f>IFERROR(__xludf.DUMMYFUNCTION("TRIM(REGEXREPLACE(C432, ""[0-9]+[a-f]?\."", """"))"),"Did ${pm_name} discuss their decision to move with you before they left?")</f>
        <v>Did ${pm_name} discuss their decision to move with you before they left?</v>
      </c>
      <c r="H432" s="180" t="str">
        <f>IFERROR(__xludf.DUMMYFUNCTION("TRIM(REGEXREPLACE(D432, ""[0-9]+[a-f]?\."", """"))"),"${pm_name} a-t-il discuté de sa décision de déménager avec vous avant de partir?")</f>
        <v>${pm_name} a-t-il discuté de sa décision de déménager avec vous avant de partir?</v>
      </c>
      <c r="I432" s="180" t="str">
        <f>IFERROR(__xludf.DUMMYFUNCTION("TRIM(REGEXREPLACE(E432, ""[0-9]+[a-f]?\."", """"))"),"Ko kun tattauna da ${pm_name} game da shawararshi ta tahiya kafin ya tafi?")</f>
        <v>Ko kun tattauna da ${pm_name} game da shawararshi ta tahiya kafin ya tafi?</v>
      </c>
      <c r="J432" s="180" t="str">
        <f t="shared" ref="J432:L432" si="91">$F432 &amp; ". "&amp;G432</f>
        <v>91. Did ${pm_name} discuss their decision to move with you before they left?</v>
      </c>
      <c r="K432" s="180" t="str">
        <f t="shared" si="91"/>
        <v>91. ${pm_name} a-t-il discuté de sa décision de déménager avec vous avant de partir?</v>
      </c>
      <c r="L432" s="180" t="str">
        <f t="shared" si="91"/>
        <v>91. Ko kun tattauna da ${pm_name} game da shawararshi ta tahiya kafin ya tafi?</v>
      </c>
    </row>
    <row r="433">
      <c r="A433" s="248" t="s">
        <v>268</v>
      </c>
      <c r="B433" s="249" t="s">
        <v>2565</v>
      </c>
      <c r="C433" s="45" t="s">
        <v>1036</v>
      </c>
      <c r="D433" s="45" t="s">
        <v>1037</v>
      </c>
      <c r="E433" s="45" t="s">
        <v>1038</v>
      </c>
      <c r="F433" s="187">
        <v>92.0</v>
      </c>
      <c r="G433" s="180" t="str">
        <f>IFERROR(__xludf.DUMMYFUNCTION("TRIM(REGEXREPLACE(C433, ""[0-9]+[a-f]?\."", """"))"),"Approximately how much money (if any) has ${pm_name} sent to the household in the past month?")</f>
        <v>Approximately how much money (if any) has ${pm_name} sent to the household in the past month?</v>
      </c>
      <c r="H433" s="180" t="str">
        <f>IFERROR(__xludf.DUMMYFUNCTION("TRIM(REGEXREPLACE(D433, ""[0-9]+[a-f]?\."", """"))"),"Environ combien d'argent (s'il y a eu) a-t-il envoyé ${pm_name} au ménage au cours du dernier mois?")</f>
        <v>Environ combien d'argent (s'il y a eu) a-t-il envoyé ${pm_name} au ménage au cours du dernier mois?</v>
      </c>
      <c r="I433" s="180" t="str">
        <f>IFERROR(__xludf.DUMMYFUNCTION("TRIM(REGEXREPLACE(E433, ""[0-9]+[a-f]?\."", """"))"),"Kimanin nawa (idan akwai) ${pm_name} ya aiko zuwa gida a watan da ya gabata?")</f>
        <v>Kimanin nawa (idan akwai) ${pm_name} ya aiko zuwa gida a watan da ya gabata?</v>
      </c>
      <c r="J433" s="180" t="str">
        <f t="shared" ref="J433:L433" si="92">$F433 &amp; ". "&amp;G433</f>
        <v>92. Approximately how much money (if any) has ${pm_name} sent to the household in the past month?</v>
      </c>
      <c r="K433" s="180" t="str">
        <f t="shared" si="92"/>
        <v>92. Environ combien d'argent (s'il y a eu) a-t-il envoyé ${pm_name} au ménage au cours du dernier mois?</v>
      </c>
      <c r="L433" s="180" t="str">
        <f t="shared" si="92"/>
        <v>92. Kimanin nawa (idan akwai) ${pm_name} ya aiko zuwa gida a watan da ya gabata?</v>
      </c>
    </row>
    <row r="434">
      <c r="A434" s="80" t="s">
        <v>2567</v>
      </c>
      <c r="B434" s="228" t="s">
        <v>2569</v>
      </c>
      <c r="C434" s="45" t="s">
        <v>1039</v>
      </c>
      <c r="D434" s="45" t="s">
        <v>1041</v>
      </c>
      <c r="E434" s="45" t="s">
        <v>1042</v>
      </c>
      <c r="F434" s="187">
        <v>93.0</v>
      </c>
      <c r="G434" s="180" t="str">
        <f>IFERROR(__xludf.DUMMYFUNCTION("TRIM(REGEXREPLACE(C434, ""[0-9]+[a-f]?\."", """"))"),"How do they send this money?")</f>
        <v>How do they send this money?</v>
      </c>
      <c r="H434" s="180" t="str">
        <f>IFERROR(__xludf.DUMMYFUNCTION("TRIM(REGEXREPLACE(D434, ""[0-9]+[a-f]?\."", """"))"),"Comment envoie t-ils cet argent?")</f>
        <v>Comment envoie t-ils cet argent?</v>
      </c>
      <c r="I434" s="180" t="str">
        <f>IFERROR(__xludf.DUMMYFUNCTION("TRIM(REGEXREPLACE(E434, ""[0-9]+[a-f]?\."", """"))"),"Ta yaya ya aika wannan kuɗin?")</f>
        <v>Ta yaya ya aika wannan kuɗin?</v>
      </c>
      <c r="J434" s="180" t="str">
        <f t="shared" ref="J434:L434" si="93">$F434 &amp; ". "&amp;G434</f>
        <v>93. How do they send this money?</v>
      </c>
      <c r="K434" s="180" t="str">
        <f t="shared" si="93"/>
        <v>93. Comment envoie t-ils cet argent?</v>
      </c>
      <c r="L434" s="180" t="str">
        <f t="shared" si="93"/>
        <v>93. Ta yaya ya aika wannan kuɗin?</v>
      </c>
    </row>
    <row r="435">
      <c r="A435" s="80" t="s">
        <v>1306</v>
      </c>
      <c r="B435" s="228" t="s">
        <v>2573</v>
      </c>
      <c r="C435" s="45" t="s">
        <v>1043</v>
      </c>
      <c r="D435" s="45" t="s">
        <v>1045</v>
      </c>
      <c r="E435" s="45" t="s">
        <v>1046</v>
      </c>
      <c r="F435" s="187">
        <v>94.0</v>
      </c>
      <c r="G435" s="180" t="str">
        <f>IFERROR(__xludf.DUMMYFUNCTION("TRIM(REGEXREPLACE(C435, ""[0-9]+[a-f]?\."", """"))"),"Think about the next six months, starting from today. To the best of your knowledge does ${pm_name} plan to move somewhere outside of Tahoua and remain away for more than a month?")</f>
        <v>Think about the next six months, starting from today. To the best of your knowledge does ${pm_name} plan to move somewhere outside of Tahoua and remain away for more than a month?</v>
      </c>
      <c r="H435" s="180" t="str">
        <f>IFERROR(__xludf.DUMMYFUNCTION("TRIM(REGEXREPLACE(D435, ""[0-9]+[a-f]?\."", """"))"),"Pensez aux six prochains mois, à partir d’aujourd’hui. À votre connaissance, ${pm_name} envisage-t-il de déménager quelque part en dehors de Tahoua et de rester absent pendant plus d'un mois ?")</f>
        <v>Pensez aux six prochains mois, à partir d’aujourd’hui. À votre connaissance, ${pm_name} envisage-t-il de déménager quelque part en dehors de Tahoua et de rester absent pendant plus d'un mois ?</v>
      </c>
      <c r="I435" s="180" t="str">
        <f>IFERROR(__xludf.DUMMYFUNCTION("TRIM(REGEXREPLACE(E435, ""[0-9]+[a-f]?\."", """"))"),"Ku tuna da watanni shida masu zuwa daga yau, A saninku ko ${pm_name} yanada niyyar yin bulaguro zuwa wani wuri ba'a cikin jahar Tawa ba kuma ya zauna a can tsawon fiye da wata ?")</f>
        <v>Ku tuna da watanni shida masu zuwa daga yau, A saninku ko ${pm_name} yanada niyyar yin bulaguro zuwa wani wuri ba'a cikin jahar Tawa ba kuma ya zauna a can tsawon fiye da wata ?</v>
      </c>
      <c r="J435" s="180" t="str">
        <f t="shared" ref="J435:L435" si="94">$F435 &amp; ". "&amp;G435</f>
        <v>94. Think about the next six months, starting from today. To the best of your knowledge does ${pm_name} plan to move somewhere outside of Tahoua and remain away for more than a month?</v>
      </c>
      <c r="K435" s="180" t="str">
        <f t="shared" si="94"/>
        <v>94. Pensez aux six prochains mois, à partir d’aujourd’hui. À votre connaissance, ${pm_name} envisage-t-il de déménager quelque part en dehors de Tahoua et de rester absent pendant plus d'un mois ?</v>
      </c>
      <c r="L435" s="180" t="str">
        <f t="shared" si="94"/>
        <v>94. Ku tuna da watanni shida masu zuwa daga yau, A saninku ko ${pm_name} yanada niyyar yin bulaguro zuwa wani wuri ba'a cikin jahar Tawa ba kuma ya zauna a can tsawon fiye da wata ?</v>
      </c>
    </row>
    <row r="436">
      <c r="A436" s="218" t="s">
        <v>38</v>
      </c>
      <c r="B436" s="64" t="s">
        <v>2577</v>
      </c>
      <c r="C436" s="45" t="s">
        <v>1048</v>
      </c>
      <c r="D436" s="45" t="s">
        <v>1049</v>
      </c>
      <c r="E436" s="45" t="s">
        <v>1050</v>
      </c>
      <c r="F436" s="187">
        <v>95.0</v>
      </c>
      <c r="G436" s="180" t="str">
        <f>IFERROR(__xludf.DUMMYFUNCTION("TRIM(REGEXREPLACE(C436, ""[0-9]+[a-f]?\."", """"))"),"If ${pm_name} migrates, where would they intended to travel?")</f>
        <v>If ${pm_name} migrates, where would they intended to travel?</v>
      </c>
      <c r="H436" s="180" t="str">
        <f>IFERROR(__xludf.DUMMYFUNCTION("TRIM(REGEXREPLACE(D436, ""[0-9]+[a-f]?\."", """"))"),"Si ${pm_name} voyage, où aurait-il l'intention d'aller ?")</f>
        <v>Si ${pm_name} voyage, où aurait-il l'intention d'aller ?</v>
      </c>
      <c r="I436" s="180" t="str">
        <f>IFERROR(__xludf.DUMMYFUNCTION("TRIM(REGEXREPLACE(E436, ""[0-9]+[a-f]?\."", """"))"),"Idan ${pm_name} zai yi tahiya, ina zaya iya tafiya?")</f>
        <v>Idan ${pm_name} zai yi tahiya, ina zaya iya tafiya?</v>
      </c>
      <c r="J436" s="180" t="str">
        <f t="shared" ref="J436:L436" si="95">$F436 &amp; ". "&amp;G436</f>
        <v>95. If ${pm_name} migrates, where would they intended to travel?</v>
      </c>
      <c r="K436" s="180" t="str">
        <f t="shared" si="95"/>
        <v>95. Si ${pm_name} voyage, où aurait-il l'intention d'aller ?</v>
      </c>
      <c r="L436" s="180" t="str">
        <f t="shared" si="95"/>
        <v>95. Idan ${pm_name} zai yi tahiya, ina zaya iya tafiya?</v>
      </c>
    </row>
    <row r="437">
      <c r="A437" s="80" t="s">
        <v>1586</v>
      </c>
      <c r="B437" s="228" t="s">
        <v>2581</v>
      </c>
      <c r="C437" s="45" t="s">
        <v>1052</v>
      </c>
      <c r="D437" s="45" t="s">
        <v>1053</v>
      </c>
      <c r="E437" s="45" t="s">
        <v>1055</v>
      </c>
      <c r="F437" s="187">
        <v>96.0</v>
      </c>
      <c r="G437" s="180" t="str">
        <f>IFERROR(__xludf.DUMMYFUNCTION("TRIM(REGEXREPLACE(C437, ""[0-9]+[a-f]?\."", """"))"),"What is the name of the country ${pm_name} would move to?")</f>
        <v>What is the name of the country ${pm_name} would move to?</v>
      </c>
      <c r="H437" s="180" t="str">
        <f>IFERROR(__xludf.DUMMYFUNCTION("TRIM(REGEXREPLACE(D437, ""[0-9]+[a-f]?\."", """"))"),"Quel est le nom du pays dans lequel ${pm_name} souhaiterait voyager ?")</f>
        <v>Quel est le nom du pays dans lequel ${pm_name} souhaiterait voyager ?</v>
      </c>
      <c r="I437" s="180" t="str">
        <f>IFERROR(__xludf.DUMMYFUNCTION("TRIM(REGEXREPLACE(E437, ""[0-9]+[a-f]?\."", """"))"),"Menene sunan ƙasar da ${pm_name} yake son tahiya?")</f>
        <v>Menene sunan ƙasar da ${pm_name} yake son tahiya?</v>
      </c>
      <c r="J437" s="180" t="str">
        <f t="shared" ref="J437:L437" si="96">$F437 &amp; ". "&amp;G437</f>
        <v>96. What is the name of the country ${pm_name} would move to?</v>
      </c>
      <c r="K437" s="180" t="str">
        <f t="shared" si="96"/>
        <v>96. Quel est le nom du pays dans lequel ${pm_name} souhaiterait voyager ?</v>
      </c>
      <c r="L437" s="180" t="str">
        <f t="shared" si="96"/>
        <v>96. Menene sunan ƙasar da ${pm_name} yake son tahiya?</v>
      </c>
    </row>
    <row r="438">
      <c r="A438" s="80" t="s">
        <v>1573</v>
      </c>
      <c r="B438" s="228" t="s">
        <v>2586</v>
      </c>
      <c r="C438" s="45" t="s">
        <v>1056</v>
      </c>
      <c r="D438" s="45" t="s">
        <v>1057</v>
      </c>
      <c r="E438" s="45" t="s">
        <v>1058</v>
      </c>
      <c r="F438" s="187">
        <v>97.0</v>
      </c>
      <c r="G438" s="180" t="str">
        <f>IFERROR(__xludf.DUMMYFUNCTION("TRIM(REGEXREPLACE(C438, ""[0-9]+[a-f]?\."", """"))"),"Where in Niger would ${pm_name} move to?")</f>
        <v>Where in Niger would ${pm_name} move to?</v>
      </c>
      <c r="H438" s="180" t="str">
        <f>IFERROR(__xludf.DUMMYFUNCTION("TRIM(REGEXREPLACE(D438, ""[0-9]+[a-f]?\."", """"))"),"Où au Niger ${pm_name} se déplcerait-il ?")</f>
        <v>Où au Niger ${pm_name} se déplcerait-il ?</v>
      </c>
      <c r="I438" s="180" t="str">
        <f>IFERROR(__xludf.DUMMYFUNCTION("TRIM(REGEXREPLACE(E438, ""[0-9]+[a-f]?\."", """"))"),"Ina a Nijar ${pm_name} zai koma?")</f>
        <v>Ina a Nijar ${pm_name} zai koma?</v>
      </c>
      <c r="J438" s="180" t="str">
        <f t="shared" ref="J438:L438" si="97">$F438 &amp; ". "&amp;G438</f>
        <v>97. Where in Niger would ${pm_name} move to?</v>
      </c>
      <c r="K438" s="180" t="str">
        <f t="shared" si="97"/>
        <v>97. Où au Niger ${pm_name} se déplcerait-il ?</v>
      </c>
      <c r="L438" s="180" t="str">
        <f t="shared" si="97"/>
        <v>97. Ina a Nijar ${pm_name} zai koma?</v>
      </c>
    </row>
    <row r="439">
      <c r="A439" s="80" t="s">
        <v>1624</v>
      </c>
      <c r="B439" s="228" t="s">
        <v>2588</v>
      </c>
      <c r="C439" s="45" t="s">
        <v>1060</v>
      </c>
      <c r="D439" s="45" t="s">
        <v>1061</v>
      </c>
      <c r="E439" s="45" t="s">
        <v>1062</v>
      </c>
      <c r="F439" s="187">
        <v>98.0</v>
      </c>
      <c r="G439" s="180" t="str">
        <f>IFERROR(__xludf.DUMMYFUNCTION("TRIM(REGEXREPLACE(C439, ""[0-9]+[a-f]?\."", """"))"),"What is the name of the town ${pm_name} would move to?")</f>
        <v>What is the name of the town ${pm_name} would move to?</v>
      </c>
      <c r="H439" s="180" t="str">
        <f>IFERROR(__xludf.DUMMYFUNCTION("TRIM(REGEXREPLACE(D439, ""[0-9]+[a-f]?\."", """"))"),"Quel est le nom de la ville où ${pm_name} irait ?")</f>
        <v>Quel est le nom de la ville où ${pm_name} irait ?</v>
      </c>
      <c r="I439" s="180" t="str">
        <f>IFERROR(__xludf.DUMMYFUNCTION("TRIM(REGEXREPLACE(E439, ""[0-9]+[a-f]?\."", """"))"),"Menene sunan garin da ${pm_name} zai ƙaura ?")</f>
        <v>Menene sunan garin da ${pm_name} zai ƙaura ?</v>
      </c>
      <c r="J439" s="180" t="str">
        <f t="shared" ref="J439:L439" si="98">$F439 &amp; ". "&amp;G439</f>
        <v>98. What is the name of the town ${pm_name} would move to?</v>
      </c>
      <c r="K439" s="180" t="str">
        <f t="shared" si="98"/>
        <v>98. Quel est le nom de la ville où ${pm_name} irait ?</v>
      </c>
      <c r="L439" s="180" t="str">
        <f t="shared" si="98"/>
        <v>98. Menene sunan garin da ${pm_name} zai ƙaura ?</v>
      </c>
    </row>
    <row r="440">
      <c r="A440" s="80" t="s">
        <v>1306</v>
      </c>
      <c r="B440" s="228" t="s">
        <v>2594</v>
      </c>
      <c r="C440" s="45" t="s">
        <v>1064</v>
      </c>
      <c r="D440" s="45" t="s">
        <v>1065</v>
      </c>
      <c r="E440" s="45" t="s">
        <v>1066</v>
      </c>
      <c r="F440" s="187">
        <v>99.0</v>
      </c>
      <c r="G440" s="180" t="str">
        <f>IFERROR(__xludf.DUMMYFUNCTION("TRIM(REGEXREPLACE(C440, ""[0-9]+[a-f]?\."", """"))"),"Have you and ${pm_name} discussed his plans or desire to travel to another country to find work in the past month?")</f>
        <v>Have you and ${pm_name} discussed his plans or desire to travel to another country to find work in the past month?</v>
      </c>
      <c r="H440" s="180" t="str">
        <f>IFERROR(__xludf.DUMMYFUNCTION("TRIM(REGEXREPLACE(D440, ""[0-9]+[a-f]?\."", """"))"),"Avez-vous discuté vous et ${pm_name} de ses projets ou de son désir de voyager dans un autre pays pour trouver du travail au cours du mois dernier ?")</f>
        <v>Avez-vous discuté vous et ${pm_name} de ses projets ou de son désir de voyager dans un autre pays pour trouver du travail au cours du mois dernier ?</v>
      </c>
      <c r="I440" s="180" t="str">
        <f>IFERROR(__xludf.DUMMYFUNCTION("TRIM(REGEXREPLACE(E440, ""[0-9]+[a-f]?\."", """"))"),"Ko kun tattauna ku da ${pm_name} kan shiriye-shiriyenshi ko sha'awar tafiyarshi wata ƙasa don neman aiki a cikin watan da ya gabata?")</f>
        <v>Ko kun tattauna ku da ${pm_name} kan shiriye-shiriyenshi ko sha'awar tafiyarshi wata ƙasa don neman aiki a cikin watan da ya gabata?</v>
      </c>
      <c r="J440" s="180" t="str">
        <f t="shared" ref="J440:L440" si="99">$F440 &amp; ". "&amp;G440</f>
        <v>99. Have you and ${pm_name} discussed his plans or desire to travel to another country to find work in the past month?</v>
      </c>
      <c r="K440" s="180" t="str">
        <f t="shared" si="99"/>
        <v>99. Avez-vous discuté vous et ${pm_name} de ses projets ou de son désir de voyager dans un autre pays pour trouver du travail au cours du mois dernier ?</v>
      </c>
      <c r="L440" s="180" t="str">
        <f t="shared" si="99"/>
        <v>99. Ko kun tattauna ku da ${pm_name} kan shiriye-shiriyenshi ko sha'awar tafiyarshi wata ƙasa don neman aiki a cikin watan da ya gabata?</v>
      </c>
    </row>
    <row r="441">
      <c r="A441" s="80" t="s">
        <v>1306</v>
      </c>
      <c r="B441" s="228" t="s">
        <v>2597</v>
      </c>
      <c r="C441" s="45" t="s">
        <v>1067</v>
      </c>
      <c r="D441" s="45" t="s">
        <v>1069</v>
      </c>
      <c r="E441" s="45" t="s">
        <v>1070</v>
      </c>
      <c r="F441" s="187">
        <v>100.0</v>
      </c>
      <c r="G441" s="180" t="str">
        <f>IFERROR(__xludf.DUMMYFUNCTION("TRIM(REGEXREPLACE(C441, ""[0-9]+[a-f]?\."", """"))"),"Have you discussed with ${pm_name} how his household responsibilities would be managed if he migrates?")</f>
        <v>Have you discussed with ${pm_name} how his household responsibilities would be managed if he migrates?</v>
      </c>
      <c r="H441" s="180" t="str">
        <f>IFERROR(__xludf.DUMMYFUNCTION("TRIM(REGEXREPLACE(D441, ""[0-9]+[a-f]?\."", """"))"),"Avez-vous discuté avec ${pm_name} de la manière dont ses responsabilités domestiques seraient gérées s'il migre ?")</f>
        <v>Avez-vous discuté avec ${pm_name} de la manière dont ses responsabilités domestiques seraient gérées s'il migre ?</v>
      </c>
      <c r="I441" s="180" t="str">
        <f>IFERROR(__xludf.DUMMYFUNCTION("TRIM(REGEXREPLACE(E441, ""[0-9]+[a-f]?\."", """"))"),"Ko kun tattauna da ${pm_name} yadda za a gudanar da ayyukan da suka rataya a wuyanshi idan ya yi hijira?")</f>
        <v>Ko kun tattauna da ${pm_name} yadda za a gudanar da ayyukan da suka rataya a wuyanshi idan ya yi hijira?</v>
      </c>
      <c r="J441" s="180" t="str">
        <f t="shared" ref="J441:L441" si="100">$F441 &amp; ". "&amp;G441</f>
        <v>100. Have you discussed with ${pm_name} how his household responsibilities would be managed if he migrates?</v>
      </c>
      <c r="K441" s="180" t="str">
        <f t="shared" si="100"/>
        <v>100. Avez-vous discuté avec ${pm_name} de la manière dont ses responsabilités domestiques seraient gérées s'il migre ?</v>
      </c>
      <c r="L441" s="180" t="str">
        <f t="shared" si="100"/>
        <v>100. Ko kun tattauna da ${pm_name} yadda za a gudanar da ayyukan da suka rataya a wuyanshi idan ya yi hijira?</v>
      </c>
    </row>
    <row r="442">
      <c r="A442" s="269" t="s">
        <v>1306</v>
      </c>
      <c r="B442" s="228" t="s">
        <v>2602</v>
      </c>
      <c r="C442" s="45" t="s">
        <v>1072</v>
      </c>
      <c r="D442" s="45" t="s">
        <v>1073</v>
      </c>
      <c r="E442" s="45" t="s">
        <v>1074</v>
      </c>
      <c r="F442" s="187">
        <v>101.0</v>
      </c>
      <c r="G442" s="180" t="str">
        <f>IFERROR(__xludf.DUMMYFUNCTION("TRIM(REGEXREPLACE(C442, ""[0-9]+[a-f]?\."", """"))"),"In the past month has ${pm_name} put aside any money for the future?")</f>
        <v>In the past month has ${pm_name} put aside any money for the future?</v>
      </c>
      <c r="H442" s="180" t="str">
        <f>IFERROR(__xludf.DUMMYFUNCTION("TRIM(REGEXREPLACE(D442, ""[0-9]+[a-f]?\."", """"))"),"Au cours du mois dernier, ${pm_name} a-t-il mis de l'argent de côté pour l'avenir ?")</f>
        <v>Au cours du mois dernier, ${pm_name} a-t-il mis de l'argent de côté pour l'avenir ?</v>
      </c>
      <c r="I442" s="180" t="str">
        <f>IFERROR(__xludf.DUMMYFUNCTION("TRIM(REGEXREPLACE(E442, ""[0-9]+[a-f]?\."", """"))"),"A cikin watan da ya gabata ko ${pm_name} ya ajiye wani kuɗi don gaba?")</f>
        <v>A cikin watan da ya gabata ko ${pm_name} ya ajiye wani kuɗi don gaba?</v>
      </c>
      <c r="J442" s="180" t="str">
        <f t="shared" ref="J442:L442" si="101">$F442 &amp; ". "&amp;G442</f>
        <v>101. In the past month has ${pm_name} put aside any money for the future?</v>
      </c>
      <c r="K442" s="180" t="str">
        <f t="shared" si="101"/>
        <v>101. Au cours du mois dernier, ${pm_name} a-t-il mis de l'argent de côté pour l'avenir ?</v>
      </c>
      <c r="L442" s="180" t="str">
        <f t="shared" si="101"/>
        <v>101. A cikin watan da ya gabata ko ${pm_name} ya ajiye wani kuɗi don gaba?</v>
      </c>
    </row>
    <row r="443" hidden="1">
      <c r="A443" s="144" t="s">
        <v>127</v>
      </c>
      <c r="B443" s="270" t="s">
        <v>2610</v>
      </c>
      <c r="C443" s="147"/>
      <c r="D443" s="226"/>
      <c r="E443" s="226"/>
      <c r="F443" s="187">
        <v>285.0</v>
      </c>
      <c r="G443" s="180" t="str">
        <f>IFERROR(__xludf.DUMMYFUNCTION("TRIM(REGEXREPLACE(C443, ""[0-9]+[a-f]?\."", """"))"),"")</f>
        <v/>
      </c>
      <c r="H443" s="180" t="str">
        <f>IFERROR(__xludf.DUMMYFUNCTION("TRIM(REGEXREPLACE(D443, ""[0-9]+[a-f]?\."", """"))"),"")</f>
        <v/>
      </c>
      <c r="I443" s="180" t="str">
        <f>IFERROR(__xludf.DUMMYFUNCTION("TRIM(REGEXREPLACE(E443, ""[0-9]+[a-f]?\."", """"))"),"")</f>
        <v/>
      </c>
      <c r="J443" s="180" t="s">
        <v>2612</v>
      </c>
      <c r="K443" s="180" t="s">
        <v>2613</v>
      </c>
      <c r="L443" s="180" t="s">
        <v>2614</v>
      </c>
    </row>
    <row r="444" hidden="1">
      <c r="A444" s="144" t="s">
        <v>68</v>
      </c>
      <c r="B444" s="148" t="s">
        <v>2617</v>
      </c>
      <c r="C444" s="147"/>
      <c r="D444" s="226"/>
      <c r="E444" s="226"/>
      <c r="F444" s="187">
        <v>286.0</v>
      </c>
      <c r="G444" s="180" t="str">
        <f>IFERROR(__xludf.DUMMYFUNCTION("TRIM(REGEXREPLACE(C444, ""[0-9]+[a-f]?\."", """"))"),"")</f>
        <v/>
      </c>
      <c r="H444" s="180" t="str">
        <f>IFERROR(__xludf.DUMMYFUNCTION("TRIM(REGEXREPLACE(D444, ""[0-9]+[a-f]?\."", """"))"),"")</f>
        <v/>
      </c>
      <c r="I444" s="180" t="str">
        <f>IFERROR(__xludf.DUMMYFUNCTION("TRIM(REGEXREPLACE(E444, ""[0-9]+[a-f]?\."", """"))"),"")</f>
        <v/>
      </c>
      <c r="J444" s="180" t="s">
        <v>2623</v>
      </c>
      <c r="K444" s="180" t="s">
        <v>2624</v>
      </c>
      <c r="L444" s="180" t="s">
        <v>2625</v>
      </c>
    </row>
    <row r="445" hidden="1">
      <c r="A445" s="151" t="s">
        <v>133</v>
      </c>
      <c r="B445" s="147" t="s">
        <v>2626</v>
      </c>
      <c r="C445" s="147"/>
      <c r="D445" s="226"/>
      <c r="E445" s="226"/>
      <c r="F445" s="187">
        <v>287.0</v>
      </c>
      <c r="G445" s="180" t="str">
        <f>IFERROR(__xludf.DUMMYFUNCTION("TRIM(REGEXREPLACE(C445, ""[0-9]+[a-f]?\."", """"))"),"")</f>
        <v/>
      </c>
      <c r="H445" s="180" t="str">
        <f>IFERROR(__xludf.DUMMYFUNCTION("TRIM(REGEXREPLACE(D445, ""[0-9]+[a-f]?\."", """"))"),"")</f>
        <v/>
      </c>
      <c r="I445" s="180" t="str">
        <f>IFERROR(__xludf.DUMMYFUNCTION("TRIM(REGEXREPLACE(E445, ""[0-9]+[a-f]?\."", """"))"),"")</f>
        <v/>
      </c>
      <c r="J445" s="180" t="s">
        <v>2628</v>
      </c>
      <c r="K445" s="180" t="s">
        <v>2629</v>
      </c>
      <c r="L445" s="180" t="s">
        <v>2630</v>
      </c>
    </row>
    <row r="446" hidden="1">
      <c r="A446" s="264" t="s">
        <v>127</v>
      </c>
      <c r="B446" s="265" t="s">
        <v>2631</v>
      </c>
      <c r="C446" s="198"/>
      <c r="D446" s="198"/>
      <c r="E446" s="198"/>
      <c r="F446" s="187">
        <v>288.0</v>
      </c>
      <c r="G446" s="180" t="str">
        <f>IFERROR(__xludf.DUMMYFUNCTION("TRIM(REGEXREPLACE(C446, ""[0-9]+[a-f]?\."", """"))"),"")</f>
        <v/>
      </c>
      <c r="H446" s="180" t="str">
        <f>IFERROR(__xludf.DUMMYFUNCTION("TRIM(REGEXREPLACE(D446, ""[0-9]+[a-f]?\."", """"))"),"")</f>
        <v/>
      </c>
      <c r="I446" s="180" t="str">
        <f>IFERROR(__xludf.DUMMYFUNCTION("TRIM(REGEXREPLACE(E446, ""[0-9]+[a-f]?\."", """"))"),"")</f>
        <v/>
      </c>
      <c r="J446" s="180" t="s">
        <v>2635</v>
      </c>
      <c r="K446" s="180" t="s">
        <v>2636</v>
      </c>
      <c r="L446" s="180" t="s">
        <v>2637</v>
      </c>
    </row>
    <row r="447">
      <c r="A447" s="218" t="s">
        <v>38</v>
      </c>
      <c r="B447" s="64" t="s">
        <v>2638</v>
      </c>
      <c r="C447" s="45" t="s">
        <v>1093</v>
      </c>
      <c r="D447" s="45" t="s">
        <v>1094</v>
      </c>
      <c r="E447" s="45" t="s">
        <v>1095</v>
      </c>
      <c r="F447" s="187">
        <v>102.0</v>
      </c>
      <c r="G447" s="180" t="str">
        <f>IFERROR(__xludf.DUMMYFUNCTION("TRIM(REGEXREPLACE(C447, ""[0-9]+[a-f]?\."", """"))"),"The following questions ask what you would expect to happen if ${pm_name} decided to travel to a neighboring country for work for at least one month.")</f>
        <v>The following questions ask what you would expect to happen if ${pm_name} decided to travel to a neighboring country for work for at least one month.</v>
      </c>
      <c r="H447" s="180" t="str">
        <f>IFERROR(__xludf.DUMMYFUNCTION("TRIM(REGEXREPLACE(D447, ""[0-9]+[a-f]?\."", """"))"),"Les questions suivantes vous demandent ce à quoi vous vous attendriez si ${pm_name} décidait de se rendre dans un pays voisin pour travailler pendant au moins un mois.")</f>
        <v>Les questions suivantes vous demandent ce à quoi vous vous attendriez si ${pm_name} décidait de se rendre dans un pays voisin pour travailler pendant au moins un mois.</v>
      </c>
      <c r="I447" s="180" t="str">
        <f>IFERROR(__xludf.DUMMYFUNCTION("TRIM(REGEXREPLACE(E447, ""[0-9]+[a-f]?\."", """"))"),"Tambayoyi masu zuwa suna magana akan abin da kuke tsammanin zai faru idan ${pm_name} ya yanke shawarar tafiya zuwa ƙasar maƙwabta don aiki na aƙalla wata ɗaya.")</f>
        <v>Tambayoyi masu zuwa suna magana akan abin da kuke tsammanin zai faru idan ${pm_name} ya yanke shawarar tafiya zuwa ƙasar maƙwabta don aiki na aƙalla wata ɗaya.</v>
      </c>
      <c r="J447" s="180" t="str">
        <f t="shared" ref="J447:L447" si="102">$F447 &amp; ". "&amp;G447</f>
        <v>102. The following questions ask what you would expect to happen if ${pm_name} decided to travel to a neighboring country for work for at least one month.</v>
      </c>
      <c r="K447" s="180" t="str">
        <f t="shared" si="102"/>
        <v>102. Les questions suivantes vous demandent ce à quoi vous vous attendriez si ${pm_name} décidait de se rendre dans un pays voisin pour travailler pendant au moins un mois.</v>
      </c>
      <c r="L447" s="180" t="str">
        <f t="shared" si="102"/>
        <v>102. Tambayoyi masu zuwa suna magana akan abin da kuke tsammanin zai faru idan ${pm_name} ya yanke shawarar tafiya zuwa ƙasar maƙwabta don aiki na aƙalla wata ɗaya.</v>
      </c>
    </row>
    <row r="448">
      <c r="A448" s="271" t="s">
        <v>268</v>
      </c>
      <c r="B448" s="249" t="s">
        <v>2644</v>
      </c>
      <c r="C448" s="45" t="s">
        <v>1097</v>
      </c>
      <c r="D448" s="45" t="s">
        <v>1098</v>
      </c>
      <c r="E448" s="45" t="s">
        <v>1099</v>
      </c>
      <c r="F448" s="187">
        <v>103.0</v>
      </c>
      <c r="G448" s="180" t="str">
        <f>IFERROR(__xludf.DUMMYFUNCTION("TRIM(REGEXREPLACE(C448, ""[0-9]+[a-f]?\."", """"))"),"How much money would you expect them to earn each month (before paying your expenses) in CFA?")</f>
        <v>How much money would you expect them to earn each month (before paying your expenses) in CFA?</v>
      </c>
      <c r="H448" s="180" t="str">
        <f>IFERROR(__xludf.DUMMYFUNCTION("TRIM(REGEXREPLACE(D448, ""[0-9]+[a-f]?\."", """"))"),"Combien d'argent espérez-vous qu'il gagne chaque mois (sans dépense) en CFA ?")</f>
        <v>Combien d'argent espérez-vous qu'il gagne chaque mois (sans dépense) en CFA ?</v>
      </c>
      <c r="I448" s="180" t="str">
        <f>IFERROR(__xludf.DUMMYFUNCTION("TRIM(REGEXREPLACE(E448, ""[0-9]+[a-f]?\."", """"))"),"Nawa kuke tsammanin zai iya samu kowane wata (kafin kashe kuɗinku)?")</f>
        <v>Nawa kuke tsammanin zai iya samu kowane wata (kafin kashe kuɗinku)?</v>
      </c>
      <c r="J448" s="180" t="str">
        <f t="shared" ref="J448:L448" si="103">$F448 &amp; ". "&amp;G448</f>
        <v>103. How much money would you expect them to earn each month (before paying your expenses) in CFA?</v>
      </c>
      <c r="K448" s="180" t="str">
        <f t="shared" si="103"/>
        <v>103. Combien d'argent espérez-vous qu'il gagne chaque mois (sans dépense) en CFA ?</v>
      </c>
      <c r="L448" s="180" t="str">
        <f t="shared" si="103"/>
        <v>103. Nawa kuke tsammanin zai iya samu kowane wata (kafin kashe kuɗinku)?</v>
      </c>
    </row>
    <row r="449">
      <c r="A449" s="248" t="s">
        <v>268</v>
      </c>
      <c r="B449" s="249" t="s">
        <v>2649</v>
      </c>
      <c r="C449" s="45" t="s">
        <v>1102</v>
      </c>
      <c r="D449" s="45" t="s">
        <v>1103</v>
      </c>
      <c r="E449" s="45" t="s">
        <v>1104</v>
      </c>
      <c r="F449" s="187">
        <v>104.0</v>
      </c>
      <c r="G449" s="180" t="str">
        <f>IFERROR(__xludf.DUMMYFUNCTION("TRIM(REGEXREPLACE(C449, ""[0-9]+[a-f]?\."", """"))"),"Imagine that five years from now ${pm_name} is are living in another West African country like Cote d'Ivoire or Nigeria. How much money do you think you would earn per month in CFA?")</f>
        <v>Imagine that five years from now ${pm_name} is are living in another West African country like Cote d'Ivoire or Nigeria. How much money do you think you would earn per month in CFA?</v>
      </c>
      <c r="H449" s="180" t="str">
        <f>IFERROR(__xludf.DUMMYFUNCTION("TRIM(REGEXREPLACE(D449, ""[0-9]+[a-f]?\."", """"))"),"Imaginez que dans cinq ans, ${pm_name} vivra dans un autre pays d'Afrique de l'Ouest comme la Côte d'Ivoire ou le Nigeria. Combien d’argent pensez-vous gagner par mois en CFA ?")</f>
        <v>Imaginez que dans cinq ans, ${pm_name} vivra dans un autre pays d'Afrique de l'Ouest comme la Côte d'Ivoire ou le Nigeria. Combien d’argent pensez-vous gagner par mois en CFA ?</v>
      </c>
      <c r="I449" s="180" t="str">
        <f>IFERROR(__xludf.DUMMYFUNCTION("TRIM(REGEXREPLACE(E449, ""[0-9]+[a-f]?\."", """"))"),"Ka yi tunanin cewa shekaru biyar masu zuwa daga yanzu ${pm_name} yana rayuwa a wata ƙasa ta Yammacin Afirka kamar Cote d'Ivoire ko Najeriya. Kudi nawa kuke tsammanin za ku samu kowane wata a CFA?")</f>
        <v>Ka yi tunanin cewa shekaru biyar masu zuwa daga yanzu ${pm_name} yana rayuwa a wata ƙasa ta Yammacin Afirka kamar Cote d'Ivoire ko Najeriya. Kudi nawa kuke tsammanin za ku samu kowane wata a CFA?</v>
      </c>
      <c r="J449" s="180" t="str">
        <f t="shared" ref="J449:L449" si="104">$F449 &amp; ". "&amp;G449</f>
        <v>104. Imagine that five years from now ${pm_name} is are living in another West African country like Cote d'Ivoire or Nigeria. How much money do you think you would earn per month in CFA?</v>
      </c>
      <c r="K449" s="180" t="str">
        <f t="shared" si="104"/>
        <v>104. Imaginez que dans cinq ans, ${pm_name} vivra dans un autre pays d'Afrique de l'Ouest comme la Côte d'Ivoire ou le Nigeria. Combien d’argent pensez-vous gagner par mois en CFA ?</v>
      </c>
      <c r="L449" s="180" t="str">
        <f t="shared" si="104"/>
        <v>104. Ka yi tunanin cewa shekaru biyar masu zuwa daga yanzu ${pm_name} yana rayuwa a wata ƙasa ta Yammacin Afirka kamar Cote d'Ivoire ko Najeriya. Kudi nawa kuke tsammanin za ku samu kowane wata a CFA?</v>
      </c>
    </row>
    <row r="450">
      <c r="A450" s="248" t="s">
        <v>268</v>
      </c>
      <c r="B450" s="249" t="s">
        <v>2650</v>
      </c>
      <c r="C450" s="45" t="s">
        <v>1106</v>
      </c>
      <c r="D450" s="45" t="s">
        <v>1107</v>
      </c>
      <c r="E450" s="45" t="s">
        <v>1108</v>
      </c>
      <c r="F450" s="187">
        <v>105.0</v>
      </c>
      <c r="G450" s="180" t="str">
        <f>IFERROR(__xludf.DUMMYFUNCTION("TRIM(REGEXREPLACE(C450, ""[0-9]+[a-f]?\."", """"))"),"How much money would you expect them to share with your household each month in CFA?")</f>
        <v>How much money would you expect them to share with your household each month in CFA?</v>
      </c>
      <c r="H450" s="180" t="str">
        <f>IFERROR(__xludf.DUMMYFUNCTION("TRIM(REGEXREPLACE(D450, ""[0-9]+[a-f]?\."", """"))"),"Combien d'argent vous attendez-vous à ce qu'il partage avec votre ménage chaque mois en CFA ?")</f>
        <v>Combien d'argent vous attendez-vous à ce qu'il partage avec votre ménage chaque mois en CFA ?</v>
      </c>
      <c r="I450" s="180" t="str">
        <f>IFERROR(__xludf.DUMMYFUNCTION("TRIM(REGEXREPLACE(E450, ""[0-9]+[a-f]?\."", """"))"),"Nawa kuke tsammanin za ya baiya da gidanku kowane wata?")</f>
        <v>Nawa kuke tsammanin za ya baiya da gidanku kowane wata?</v>
      </c>
      <c r="J450" s="180" t="str">
        <f t="shared" ref="J450:L450" si="105">$F450 &amp; ". "&amp;G450</f>
        <v>105. How much money would you expect them to share with your household each month in CFA?</v>
      </c>
      <c r="K450" s="180" t="str">
        <f t="shared" si="105"/>
        <v>105. Combien d'argent vous attendez-vous à ce qu'il partage avec votre ménage chaque mois en CFA ?</v>
      </c>
      <c r="L450" s="180" t="str">
        <f t="shared" si="105"/>
        <v>105. Nawa kuke tsammanin za ya baiya da gidanku kowane wata?</v>
      </c>
    </row>
    <row r="451">
      <c r="A451" s="248" t="s">
        <v>268</v>
      </c>
      <c r="B451" s="249" t="s">
        <v>2655</v>
      </c>
      <c r="C451" s="45" t="s">
        <v>1110</v>
      </c>
      <c r="D451" s="45" t="s">
        <v>1111</v>
      </c>
      <c r="E451" s="45" t="s">
        <v>1112</v>
      </c>
      <c r="F451" s="187">
        <v>106.0</v>
      </c>
      <c r="G451" s="180" t="str">
        <f>IFERROR(__xludf.DUMMYFUNCTION("TRIM(REGEXREPLACE(C451, ""[0-9]+[a-f]?\."", """"))"),"How much money would you expect ${pm_name} to put aside to save for the future each month?")</f>
        <v>How much money would you expect ${pm_name} to put aside to save for the future each month?</v>
      </c>
      <c r="H451" s="180" t="str">
        <f>IFERROR(__xludf.DUMMYFUNCTION("TRIM(REGEXREPLACE(D451, ""[0-9]+[a-f]?\."", """"))"),"Combien d'argent pensez-vous que ${pm_name} mettrait de côté chaque mois pour épargner ?")</f>
        <v>Combien d'argent pensez-vous que ${pm_name} mettrait de côté chaque mois pour épargner ?</v>
      </c>
      <c r="I451" s="180" t="str">
        <f>IFERROR(__xludf.DUMMYFUNCTION("TRIM(REGEXREPLACE(E451, ""[0-9]+[a-f]?\."", """"))"),"Nawa kuke tsammanin ${pm_name} za ya warewa a kowane wata don gaba ?")</f>
        <v>Nawa kuke tsammanin ${pm_name} za ya warewa a kowane wata don gaba ?</v>
      </c>
      <c r="J451" s="180" t="str">
        <f t="shared" ref="J451:L451" si="106">$F451 &amp; ". "&amp;G451</f>
        <v>106. How much money would you expect ${pm_name} to put aside to save for the future each month?</v>
      </c>
      <c r="K451" s="180" t="str">
        <f t="shared" si="106"/>
        <v>106. Combien d'argent pensez-vous que ${pm_name} mettrait de côté chaque mois pour épargner ?</v>
      </c>
      <c r="L451" s="180" t="str">
        <f t="shared" si="106"/>
        <v>106. Nawa kuke tsammanin ${pm_name} za ya warewa a kowane wata don gaba ?</v>
      </c>
    </row>
    <row r="452">
      <c r="A452" s="248" t="s">
        <v>268</v>
      </c>
      <c r="B452" s="249" t="s">
        <v>2657</v>
      </c>
      <c r="C452" s="45" t="s">
        <v>1114</v>
      </c>
      <c r="D452" s="45" t="s">
        <v>1115</v>
      </c>
      <c r="E452" s="45" t="s">
        <v>1116</v>
      </c>
      <c r="F452" s="187">
        <v>107.0</v>
      </c>
      <c r="G452" s="180" t="str">
        <f>IFERROR(__xludf.DUMMYFUNCTION("TRIM(REGEXREPLACE(C452, ""[0-9]+[a-f]?\."", """"))"),"How many times would you expect them to contact members of your household each month?")</f>
        <v>How many times would you expect them to contact members of your household each month?</v>
      </c>
      <c r="H452" s="180" t="str">
        <f>IFERROR(__xludf.DUMMYFUNCTION("TRIM(REGEXREPLACE(D452, ""[0-9]+[a-f]?\."", """"))"),"Combien de fois vous attendriez-vous à ce qu'il contacte les membres de votre ménage chaque mois ?")</f>
        <v>Combien de fois vous attendriez-vous à ce qu'il contacte les membres de votre ménage chaque mois ?</v>
      </c>
      <c r="I452" s="180" t="str">
        <f>IFERROR(__xludf.DUMMYFUNCTION("TRIM(REGEXREPLACE(E452, ""[0-9]+[a-f]?\."", """"))"),"Sau nawa za ku yi tsammanin su tuntuɓi ƴan gidanku kowane wata?")</f>
        <v>Sau nawa za ku yi tsammanin su tuntuɓi ƴan gidanku kowane wata?</v>
      </c>
      <c r="J452" s="180" t="str">
        <f t="shared" ref="J452:L452" si="107">$F452 &amp; ". "&amp;G452</f>
        <v>107. How many times would you expect them to contact members of your household each month?</v>
      </c>
      <c r="K452" s="180" t="str">
        <f t="shared" si="107"/>
        <v>107. Combien de fois vous attendriez-vous à ce qu'il contacte les membres de votre ménage chaque mois ?</v>
      </c>
      <c r="L452" s="180" t="str">
        <f t="shared" si="107"/>
        <v>107. Sau nawa za ku yi tsammanin su tuntuɓi ƴan gidanku kowane wata?</v>
      </c>
    </row>
    <row r="453" hidden="1">
      <c r="A453" s="151" t="s">
        <v>237</v>
      </c>
      <c r="B453" s="226" t="s">
        <v>2626</v>
      </c>
      <c r="C453" s="226"/>
      <c r="D453" s="226"/>
      <c r="E453" s="226"/>
      <c r="F453" s="187">
        <v>295.0</v>
      </c>
      <c r="G453" s="180" t="str">
        <f>IFERROR(__xludf.DUMMYFUNCTION("TRIM(REGEXREPLACE(C453, ""[0-9]+[a-f]?\."", """"))"),"")</f>
        <v/>
      </c>
      <c r="H453" s="180" t="str">
        <f>IFERROR(__xludf.DUMMYFUNCTION("TRIM(REGEXREPLACE(D453, ""[0-9]+[a-f]?\."", """"))"),"")</f>
        <v/>
      </c>
      <c r="I453" s="180" t="str">
        <f>IFERROR(__xludf.DUMMYFUNCTION("TRIM(REGEXREPLACE(E453, ""[0-9]+[a-f]?\."", """"))"),"")</f>
        <v/>
      </c>
      <c r="J453" s="180" t="s">
        <v>2663</v>
      </c>
      <c r="K453" s="180" t="s">
        <v>2664</v>
      </c>
      <c r="L453" s="180" t="s">
        <v>2666</v>
      </c>
    </row>
    <row r="454" hidden="1">
      <c r="A454" s="151" t="s">
        <v>133</v>
      </c>
      <c r="B454" s="147" t="s">
        <v>2669</v>
      </c>
      <c r="C454" s="147"/>
      <c r="D454" s="226"/>
      <c r="E454" s="226"/>
      <c r="F454" s="187">
        <v>296.0</v>
      </c>
      <c r="G454" s="180" t="str">
        <f>IFERROR(__xludf.DUMMYFUNCTION("TRIM(REGEXREPLACE(C454, ""[0-9]+[a-f]?\."", """"))"),"")</f>
        <v/>
      </c>
      <c r="H454" s="180" t="str">
        <f>IFERROR(__xludf.DUMMYFUNCTION("TRIM(REGEXREPLACE(D454, ""[0-9]+[a-f]?\."", """"))"),"")</f>
        <v/>
      </c>
      <c r="I454" s="180" t="str">
        <f>IFERROR(__xludf.DUMMYFUNCTION("TRIM(REGEXREPLACE(E454, ""[0-9]+[a-f]?\."", """"))"),"")</f>
        <v/>
      </c>
      <c r="J454" s="180" t="s">
        <v>2671</v>
      </c>
      <c r="K454" s="180" t="s">
        <v>2672</v>
      </c>
      <c r="L454" s="180" t="s">
        <v>2673</v>
      </c>
    </row>
    <row r="455">
      <c r="A455" s="80" t="s">
        <v>2509</v>
      </c>
      <c r="B455" s="228" t="s">
        <v>2674</v>
      </c>
      <c r="C455" s="45" t="s">
        <v>1122</v>
      </c>
      <c r="D455" s="45" t="s">
        <v>1123</v>
      </c>
      <c r="E455" s="45" t="s">
        <v>1124</v>
      </c>
      <c r="F455" s="187">
        <v>108.0</v>
      </c>
      <c r="G455" s="180" t="str">
        <f>IFERROR(__xludf.DUMMYFUNCTION("TRIM(REGEXREPLACE(C455, ""[0-9]+[a-f]?\."", """"))"),"Now I will ask about things you or your family may have done in preparation for ${pm_name}'s migration.")</f>
        <v>Now I will ask about things you or your family may have done in preparation for ${pm_name}'s migration.</v>
      </c>
      <c r="H455" s="180" t="str">
        <f>IFERROR(__xludf.DUMMYFUNCTION("TRIM(REGEXREPLACE(D455, ""[0-9]+[a-f]?\."", """"))"),"Je vais maintenant vous poser des questions sur les choses que vous ou votre famille avez pu faire en préparation de la migration de ${pm_name}.")</f>
        <v>Je vais maintenant vous poser des questions sur les choses que vous ou votre famille avez pu faire en préparation de la migration de ${pm_name}.</v>
      </c>
      <c r="I455" s="180" t="str">
        <f>IFERROR(__xludf.DUMMYFUNCTION("TRIM(REGEXREPLACE(E455, ""[0-9]+[a-f]?\."", """"))"),"Yanzu zan yi muku tambayoyi game da abubuwan da ku ko danginku kuka yi don shirye-shiryen zuwa biɗan ${pm_name}.")</f>
        <v>Yanzu zan yi muku tambayoyi game da abubuwan da ku ko danginku kuka yi don shirye-shiryen zuwa biɗan ${pm_name}.</v>
      </c>
      <c r="J455" s="180" t="str">
        <f t="shared" ref="J455:L455" si="108">$F455 &amp; ". "&amp;G455</f>
        <v>108. Now I will ask about things you or your family may have done in preparation for ${pm_name}'s migration.</v>
      </c>
      <c r="K455" s="180" t="str">
        <f t="shared" si="108"/>
        <v>108. Je vais maintenant vous poser des questions sur les choses que vous ou votre famille avez pu faire en préparation de la migration de ${pm_name}.</v>
      </c>
      <c r="L455" s="180" t="str">
        <f t="shared" si="108"/>
        <v>108. Yanzu zan yi muku tambayoyi game da abubuwan da ku ko danginku kuka yi don shirye-shiryen zuwa biɗan ${pm_name}.</v>
      </c>
    </row>
    <row r="456">
      <c r="A456" s="80" t="s">
        <v>2509</v>
      </c>
      <c r="B456" s="228" t="s">
        <v>2682</v>
      </c>
      <c r="C456" s="45" t="s">
        <v>1128</v>
      </c>
      <c r="D456" s="45" t="s">
        <v>1129</v>
      </c>
      <c r="E456" s="45" t="s">
        <v>1130</v>
      </c>
      <c r="F456" s="187">
        <v>109.0</v>
      </c>
      <c r="G456" s="180" t="str">
        <f>IFERROR(__xludf.DUMMYFUNCTION("TRIM(REGEXREPLACE(C456, ""[0-9]+[a-f]?\."", """"))"),"Gathered resources in order to prepare for their migration? This could include saving money, selling assets, or taking a loan.")</f>
        <v>Gathered resources in order to prepare for their migration? This could include saving money, selling assets, or taking a loan.</v>
      </c>
      <c r="H456" s="180" t="str">
        <f>IFERROR(__xludf.DUMMYFUNCTION("TRIM(REGEXREPLACE(D456, ""[0-9]+[a-f]?\."", """"))"),"A-t-il rassemblé des ressources pour préparer sa migration ? Il peut s'agir d'économiser de l'argent, de vendre des actifs ou de contracter un prêt.")</f>
        <v>A-t-il rassemblé des ressources pour préparer sa migration ? Il peut s'agir d'économiser de l'argent, de vendre des actifs ou de contracter un prêt.</v>
      </c>
      <c r="I456" s="180" t="str">
        <f>IFERROR(__xludf.DUMMYFUNCTION("TRIM(REGEXREPLACE(E456, ""[0-9]+[a-f]?\."", """"))"),"Ko ya yi tanadin guzuri don shirya zuwa biɗarshi? Wannan na iya haɗawa da ajiyar kuɗi, saida kadarori, ko ɗaukan bashi.")</f>
        <v>Ko ya yi tanadin guzuri don shirya zuwa biɗarshi? Wannan na iya haɗawa da ajiyar kuɗi, saida kadarori, ko ɗaukan bashi.</v>
      </c>
      <c r="J456" s="180" t="str">
        <f t="shared" ref="J456:L456" si="109">$F456 &amp; ". "&amp;G456</f>
        <v>109. Gathered resources in order to prepare for their migration? This could include saving money, selling assets, or taking a loan.</v>
      </c>
      <c r="K456" s="180" t="str">
        <f t="shared" si="109"/>
        <v>109. A-t-il rassemblé des ressources pour préparer sa migration ? Il peut s'agir d'économiser de l'argent, de vendre des actifs ou de contracter un prêt.</v>
      </c>
      <c r="L456" s="180" t="str">
        <f t="shared" si="109"/>
        <v>109. Ko ya yi tanadin guzuri don shirya zuwa biɗarshi? Wannan na iya haɗawa da ajiyar kuɗi, saida kadarori, ko ɗaukan bashi.</v>
      </c>
    </row>
    <row r="457" hidden="1">
      <c r="A457" s="180"/>
      <c r="B457" s="182"/>
      <c r="C457" s="182"/>
      <c r="D457" s="182"/>
      <c r="E457" s="182"/>
      <c r="F457" s="187">
        <v>274.0</v>
      </c>
      <c r="G457" s="180" t="str">
        <f>IFERROR(__xludf.DUMMYFUNCTION("TRIM(REGEXREPLACE(C457, ""[0-9]+[a-f]?\."", """"))"),"")</f>
        <v/>
      </c>
      <c r="H457" s="180" t="str">
        <f>IFERROR(__xludf.DUMMYFUNCTION("TRIM(REGEXREPLACE(D457, ""[0-9]+[a-f]?\."", """"))"),"")</f>
        <v/>
      </c>
      <c r="I457" s="180" t="str">
        <f>IFERROR(__xludf.DUMMYFUNCTION("TRIM(REGEXREPLACE(E457, ""[0-9]+[a-f]?\."", """"))"),"")</f>
        <v/>
      </c>
      <c r="J457" s="180" t="s">
        <v>2687</v>
      </c>
      <c r="K457" s="180" t="s">
        <v>2688</v>
      </c>
      <c r="L457" s="180" t="s">
        <v>2690</v>
      </c>
    </row>
    <row r="458">
      <c r="A458" s="80" t="s">
        <v>2509</v>
      </c>
      <c r="B458" s="228" t="s">
        <v>2691</v>
      </c>
      <c r="C458" s="45" t="s">
        <v>1131</v>
      </c>
      <c r="D458" s="45" t="s">
        <v>1133</v>
      </c>
      <c r="E458" s="45" t="s">
        <v>1134</v>
      </c>
      <c r="F458" s="187">
        <v>110.0</v>
      </c>
      <c r="G458" s="180" t="str">
        <f>IFERROR(__xludf.DUMMYFUNCTION("TRIM(REGEXREPLACE(C458, ""[0-9]+[a-f]?\."", """"))"),"prepared any legal paperwork, such as marriage documents, birth certificates, or proof of property?")</f>
        <v>prepared any legal paperwork, such as marriage documents, birth certificates, or proof of property?</v>
      </c>
      <c r="H458" s="180" t="str">
        <f>IFERROR(__xludf.DUMMYFUNCTION("TRIM(REGEXREPLACE(D458, ""[0-9]+[a-f]?\."", """"))"),"A-t-il préparé des documents juridiques, tels que des documents de mariage, des certificats de naissance ou une preuve de propriété ?")</f>
        <v>A-t-il préparé des documents juridiques, tels que des documents de mariage, des certificats de naissance ou une preuve de propriété ?</v>
      </c>
      <c r="I458" s="180" t="str">
        <f>IFERROR(__xludf.DUMMYFUNCTION("TRIM(REGEXREPLACE(E458, ""[0-9]+[a-f]?\."", """"))"),"Shirya duk wata takarda ta doka, kamar takardun aure, takardun haifuwa, ko shaidar dukiya?")</f>
        <v>Shirya duk wata takarda ta doka, kamar takardun aure, takardun haifuwa, ko shaidar dukiya?</v>
      </c>
      <c r="J458" s="180" t="str">
        <f t="shared" ref="J458:L458" si="110">$F458 &amp; ". "&amp;G458</f>
        <v>110. prepared any legal paperwork, such as marriage documents, birth certificates, or proof of property?</v>
      </c>
      <c r="K458" s="180" t="str">
        <f t="shared" si="110"/>
        <v>110. A-t-il préparé des documents juridiques, tels que des documents de mariage, des certificats de naissance ou une preuve de propriété ?</v>
      </c>
      <c r="L458" s="180" t="str">
        <f t="shared" si="110"/>
        <v>110. Shirya duk wata takarda ta doka, kamar takardun aure, takardun haifuwa, ko shaidar dukiya?</v>
      </c>
    </row>
    <row r="459">
      <c r="A459" s="80" t="s">
        <v>2509</v>
      </c>
      <c r="B459" s="228" t="s">
        <v>2695</v>
      </c>
      <c r="C459" s="45" t="s">
        <v>1139</v>
      </c>
      <c r="D459" s="45" t="s">
        <v>1140</v>
      </c>
      <c r="E459" s="45" t="s">
        <v>1141</v>
      </c>
      <c r="F459" s="187">
        <v>111.0</v>
      </c>
      <c r="G459" s="180" t="str">
        <f>IFERROR(__xludf.DUMMYFUNCTION("TRIM(REGEXREPLACE(C459, ""[0-9]+[a-f]?\."", """"))"),"Contacted anybody in the places ${pm_name} might want to go?")</f>
        <v>Contacted anybody in the places ${pm_name} might want to go?</v>
      </c>
      <c r="H459" s="180" t="str">
        <f>IFERROR(__xludf.DUMMYFUNCTION("TRIM(REGEXREPLACE(D459, ""[0-9]+[a-f]?\."", """"))"),"A-t-il contacté quelqu'un dans les endroits où ${pm_name} pourrait vouloir aller ?")</f>
        <v>A-t-il contacté quelqu'un dans les endroits où ${pm_name} pourrait vouloir aller ?</v>
      </c>
      <c r="I459" s="180" t="str">
        <f>IFERROR(__xludf.DUMMYFUNCTION("TRIM(REGEXREPLACE(E459, ""[0-9]+[a-f]?\."", """"))"),"An tuntuɓi wani a wuraren da mai zuwa ${pm_name} zai iya zuwa?")</f>
        <v>An tuntuɓi wani a wuraren da mai zuwa ${pm_name} zai iya zuwa?</v>
      </c>
      <c r="J459" s="180" t="str">
        <f t="shared" ref="J459:L459" si="111">$F459 &amp; ". "&amp;G459</f>
        <v>111. Contacted anybody in the places ${pm_name} might want to go?</v>
      </c>
      <c r="K459" s="180" t="str">
        <f t="shared" si="111"/>
        <v>111. A-t-il contacté quelqu'un dans les endroits où ${pm_name} pourrait vouloir aller ?</v>
      </c>
      <c r="L459" s="180" t="str">
        <f t="shared" si="111"/>
        <v>111. An tuntuɓi wani a wuraren da mai zuwa ${pm_name} zai iya zuwa?</v>
      </c>
    </row>
    <row r="460" hidden="1">
      <c r="A460" s="151" t="s">
        <v>237</v>
      </c>
      <c r="B460" s="226" t="s">
        <v>2669</v>
      </c>
      <c r="C460" s="226"/>
      <c r="D460" s="226"/>
      <c r="E460" s="226"/>
      <c r="F460" s="187">
        <v>301.0</v>
      </c>
      <c r="G460" s="180" t="str">
        <f>IFERROR(__xludf.DUMMYFUNCTION("TRIM(REGEXREPLACE(C460, ""[0-9]+[a-f]?\."", """"))"),"")</f>
        <v/>
      </c>
      <c r="H460" s="180" t="str">
        <f>IFERROR(__xludf.DUMMYFUNCTION("TRIM(REGEXREPLACE(D460, ""[0-9]+[a-f]?\."", """"))"),"")</f>
        <v/>
      </c>
      <c r="I460" s="180" t="str">
        <f>IFERROR(__xludf.DUMMYFUNCTION("TRIM(REGEXREPLACE(E460, ""[0-9]+[a-f]?\."", """"))"),"")</f>
        <v/>
      </c>
      <c r="J460" s="180" t="s">
        <v>2703</v>
      </c>
      <c r="K460" s="180" t="s">
        <v>2704</v>
      </c>
      <c r="L460" s="180" t="s">
        <v>2705</v>
      </c>
    </row>
    <row r="461">
      <c r="A461" s="218" t="s">
        <v>38</v>
      </c>
      <c r="B461" s="64" t="s">
        <v>2707</v>
      </c>
      <c r="C461" s="45" t="s">
        <v>1149</v>
      </c>
      <c r="D461" s="45" t="s">
        <v>1150</v>
      </c>
      <c r="E461" s="45" t="s">
        <v>1151</v>
      </c>
      <c r="F461" s="187">
        <v>112.0</v>
      </c>
      <c r="G461" s="180" t="str">
        <f>IFERROR(__xludf.DUMMYFUNCTION("TRIM(REGEXREPLACE(C461, ""[0-9]+[a-f]?\."", """"))"),"The next few questions ask about your knowledge of official rules for people from Niger to travel to neighboring countries")</f>
        <v>The next few questions ask about your knowledge of official rules for people from Niger to travel to neighboring countries</v>
      </c>
      <c r="H461" s="180" t="str">
        <f>IFERROR(__xludf.DUMMYFUNCTION("TRIM(REGEXREPLACE(D461,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461" s="180" t="str">
        <f>IFERROR(__xludf.DUMMYFUNCTION("TRIM(REGEXREPLACE(E461, ""[0-9]+[a-f]?\."", """"))"),"Tambayoyi masu zuwa za'a yi su game da saninku bisa dokokinda suke bawa mutanen Nijar damar zuwa biɗa kasashen makwabta")</f>
        <v>Tambayoyi masu zuwa za'a yi su game da saninku bisa dokokinda suke bawa mutanen Nijar damar zuwa biɗa kasashen makwabta</v>
      </c>
      <c r="J461" s="180" t="str">
        <f t="shared" ref="J461:L461" si="112">$F461 &amp; ". "&amp;G461</f>
        <v>112. The next few questions ask about your knowledge of official rules for people from Niger to travel to neighboring countries</v>
      </c>
      <c r="K461" s="180" t="str">
        <f t="shared" si="112"/>
        <v>112. Les prochaines questions portent sur votre connaissance des règles officielles permettant aux Nigériens de se rendre dans les pays voisins.</v>
      </c>
      <c r="L461" s="180" t="str">
        <f t="shared" si="112"/>
        <v>112. Tambayoyi masu zuwa za'a yi su game da saninku bisa dokokinda suke bawa mutanen Nijar damar zuwa biɗa kasashen makwabta</v>
      </c>
    </row>
    <row r="462">
      <c r="A462" s="80" t="s">
        <v>2711</v>
      </c>
      <c r="B462" s="228" t="s">
        <v>2712</v>
      </c>
      <c r="C462" s="45" t="s">
        <v>1154</v>
      </c>
      <c r="D462" s="45" t="s">
        <v>1155</v>
      </c>
      <c r="E462" s="45" t="s">
        <v>1156</v>
      </c>
      <c r="F462" s="187">
        <v>113.0</v>
      </c>
      <c r="G462" s="180" t="str">
        <f>IFERROR(__xludf.DUMMYFUNCTION("TRIM(REGEXREPLACE(C462, ""[0-9]+[a-f]?\."", """"))"),"Suppose you want to travel to Cote d'Ivoire, what documents would you need to bring with you to travel there legally?")</f>
        <v>Suppose you want to travel to Cote d'Ivoire, what documents would you need to bring with you to travel there legally?</v>
      </c>
      <c r="H462" s="180" t="str">
        <f>IFERROR(__xludf.DUMMYFUNCTION("TRIM(REGEXREPLACE(D462, ""[0-9]+[a-f]?\."", """"))"),"Supposons que vous souhaiteriez vous rendre en Côte d'Ivoire, quels documents devriez-vous apporter pour vous y rendre légalement ?")</f>
        <v>Supposons que vous souhaiteriez vous rendre en Côte d'Ivoire, quels documents devriez-vous apporter pour vous y rendre légalement ?</v>
      </c>
      <c r="I462" s="180" t="str">
        <f>IFERROR(__xludf.DUMMYFUNCTION("TRIM(REGEXREPLACE(E462, ""[0-9]+[a-f]?\."", """"))"),"A ce kuna son tafiya zuwa Cote d'Ivoire, waɗanne takardu za ku buƙaci ku kawo tare da ku don tafiya can bisa doka?")</f>
        <v>A ce kuna son tafiya zuwa Cote d'Ivoire, waɗanne takardu za ku buƙaci ku kawo tare da ku don tafiya can bisa doka?</v>
      </c>
      <c r="J462" s="180" t="str">
        <f t="shared" ref="J462:L462" si="113">$F462 &amp; ". "&amp;G462</f>
        <v>113. Suppose you want to travel to Cote d'Ivoire, what documents would you need to bring with you to travel there legally?</v>
      </c>
      <c r="K462" s="180" t="str">
        <f t="shared" si="113"/>
        <v>113. Supposons que vous souhaiteriez vous rendre en Côte d'Ivoire, quels documents devriez-vous apporter pour vous y rendre légalement ?</v>
      </c>
      <c r="L462" s="180" t="str">
        <f t="shared" si="113"/>
        <v>113. A ce kuna son tafiya zuwa Cote d'Ivoire, waɗanne takardu za ku buƙaci ku kawo tare da ku don tafiya can bisa doka?</v>
      </c>
    </row>
    <row r="463" hidden="1">
      <c r="A463" s="180"/>
      <c r="B463" s="182"/>
      <c r="C463" s="182"/>
      <c r="D463" s="182"/>
      <c r="E463" s="182"/>
      <c r="F463" s="187">
        <v>319.0</v>
      </c>
      <c r="G463" s="180" t="str">
        <f>IFERROR(__xludf.DUMMYFUNCTION("TRIM(REGEXREPLACE(C463, ""[0-9]+[a-f]?\."", """"))"),"")</f>
        <v/>
      </c>
      <c r="H463" s="180" t="str">
        <f>IFERROR(__xludf.DUMMYFUNCTION("TRIM(REGEXREPLACE(D463, ""[0-9]+[a-f]?\."", """"))"),"")</f>
        <v/>
      </c>
      <c r="I463" s="180" t="str">
        <f>IFERROR(__xludf.DUMMYFUNCTION("TRIM(REGEXREPLACE(E463, ""[0-9]+[a-f]?\."", """"))"),"")</f>
        <v/>
      </c>
      <c r="J463" s="180" t="s">
        <v>2717</v>
      </c>
      <c r="K463" s="180" t="s">
        <v>2718</v>
      </c>
      <c r="L463" s="180" t="s">
        <v>2719</v>
      </c>
    </row>
    <row r="464">
      <c r="A464" s="80" t="s">
        <v>2711</v>
      </c>
      <c r="B464" s="228" t="s">
        <v>2720</v>
      </c>
      <c r="C464" s="45" t="s">
        <v>1158</v>
      </c>
      <c r="D464" s="45" t="s">
        <v>1159</v>
      </c>
      <c r="E464" s="45" t="s">
        <v>1160</v>
      </c>
      <c r="F464" s="187">
        <v>114.0</v>
      </c>
      <c r="G464" s="180" t="str">
        <f>IFERROR(__xludf.DUMMYFUNCTION("TRIM(REGEXREPLACE(C464, ""[0-9]+[a-f]?\."", """"))"),"Suppose you instead want to travel to Libya, what documents would you need to bring with you to travel there legally?")</f>
        <v>Suppose you instead want to travel to Libya, what documents would you need to bring with you to travel there legally?</v>
      </c>
      <c r="H464" s="180" t="str">
        <f>IFERROR(__xludf.DUMMYFUNCTION("TRIM(REGEXREPLACE(D464,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464" s="180" t="str">
        <f>IFERROR(__xludf.DUMMYFUNCTION("TRIM(REGEXREPLACE(E464, ""[0-9]+[a-f]?\."", """"))"),"A ce a maimakon haka kuna son tafiya Libya, waɗanne takardu za ku buƙaci kawowa tare da ku don tafiya can bisa doka?")</f>
        <v>A ce a maimakon haka kuna son tafiya Libya, waɗanne takardu za ku buƙaci kawowa tare da ku don tafiya can bisa doka?</v>
      </c>
      <c r="J464" s="180" t="str">
        <f t="shared" ref="J464:L464" si="114">$F464 &amp; ". "&amp;G464</f>
        <v>114. Suppose you instead want to travel to Libya, what documents would you need to bring with you to travel there legally?</v>
      </c>
      <c r="K464" s="180" t="str">
        <f t="shared" si="114"/>
        <v>114. Supposons que vous vouliez plutôt vous rendre en Libye, quels documents devriez-vous apporter avec vous pour vous y rendre légalement ?</v>
      </c>
      <c r="L464" s="180" t="str">
        <f t="shared" si="114"/>
        <v>114. A ce a maimakon haka kuna son tafiya Libya, waɗanne takardu za ku buƙaci kawowa tare da ku don tafiya can bisa doka?</v>
      </c>
    </row>
    <row r="465">
      <c r="A465" s="248" t="s">
        <v>268</v>
      </c>
      <c r="B465" s="249" t="s">
        <v>2725</v>
      </c>
      <c r="C465" s="45" t="s">
        <v>1163</v>
      </c>
      <c r="D465" s="45" t="s">
        <v>1164</v>
      </c>
      <c r="E465" s="45" t="s">
        <v>1165</v>
      </c>
      <c r="F465" s="187">
        <v>115.0</v>
      </c>
      <c r="G465" s="180" t="str">
        <f>IFERROR(__xludf.DUMMYFUNCTION("TRIM(REGEXREPLACE(C465, ""[0-9]+[a-f]?\."", """"))"),"If you want to travel to Nigeria to find work, how long can you work there without getting a formal work authorization (in months)?")</f>
        <v>If you want to travel to Nigeria to find work, how long can you work there without getting a formal work authorization (in months)?</v>
      </c>
      <c r="H465" s="180" t="str">
        <f>IFERROR(__xludf.DUMMYFUNCTION("TRIM(REGEXREPLACE(D465,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465" s="180" t="str">
        <f>IFERROR(__xludf.DUMMYFUNCTION("TRIM(REGEXREPLACE(E465, ""[0-9]+[a-f]?\."", """"))"),"Idan kuna son tafiya Najeriya don neman aiki, tsawon wane lokaci za ku iya yin aiki a can ba tare da samun takardar izinin aiki a cikin doka (a cikin watanni)?")</f>
        <v>Idan kuna son tafiya Najeriya don neman aiki, tsawon wane lokaci za ku iya yin aiki a can ba tare da samun takardar izinin aiki a cikin doka (a cikin watanni)?</v>
      </c>
      <c r="J465" s="180" t="str">
        <f t="shared" ref="J465:L465" si="115">$F465 &amp; ". "&amp;G465</f>
        <v>115. If you want to travel to Nigeria to find work, how long can you work there without getting a formal work authorization (in months)?</v>
      </c>
      <c r="K465" s="180" t="str">
        <f t="shared" si="115"/>
        <v>115. Si vous souhaitez vous rendre au Nigeria pour trouver du travail, combien de temps pouvez-vous y travailler sans obtenir une autorisation de travail formelle (en mois) ?</v>
      </c>
      <c r="L465" s="180" t="str">
        <f t="shared" si="115"/>
        <v>115. Idan kuna son tafiya Najeriya don neman aiki, tsawon wane lokaci za ku iya yin aiki a can ba tare da samun takardar izinin aiki a cikin doka (a cikin watanni)?</v>
      </c>
    </row>
    <row r="466" hidden="1">
      <c r="A466" s="180"/>
      <c r="B466" s="182"/>
      <c r="C466" s="182"/>
      <c r="D466" s="182"/>
      <c r="E466" s="182"/>
      <c r="F466" s="187">
        <v>322.0</v>
      </c>
      <c r="G466" s="180" t="str">
        <f>IFERROR(__xludf.DUMMYFUNCTION("TRIM(REGEXREPLACE(C466, ""[0-9]+[a-f]?\."", """"))"),"")</f>
        <v/>
      </c>
      <c r="H466" s="180" t="str">
        <f>IFERROR(__xludf.DUMMYFUNCTION("TRIM(REGEXREPLACE(D466, ""[0-9]+[a-f]?\."", """"))"),"")</f>
        <v/>
      </c>
      <c r="I466" s="180" t="str">
        <f>IFERROR(__xludf.DUMMYFUNCTION("TRIM(REGEXREPLACE(E466, ""[0-9]+[a-f]?\."", """"))"),"")</f>
        <v/>
      </c>
      <c r="J466" s="180" t="s">
        <v>2727</v>
      </c>
      <c r="K466" s="180" t="s">
        <v>2728</v>
      </c>
      <c r="L466" s="180" t="s">
        <v>2729</v>
      </c>
    </row>
    <row r="467" hidden="1">
      <c r="A467" s="180"/>
      <c r="B467" s="182"/>
      <c r="C467" s="182"/>
      <c r="D467" s="182"/>
      <c r="E467" s="182"/>
      <c r="F467" s="187">
        <v>323.0</v>
      </c>
      <c r="G467" s="180" t="str">
        <f>IFERROR(__xludf.DUMMYFUNCTION("TRIM(REGEXREPLACE(C467, ""[0-9]+[a-f]?\."", """"))"),"")</f>
        <v/>
      </c>
      <c r="H467" s="180" t="str">
        <f>IFERROR(__xludf.DUMMYFUNCTION("TRIM(REGEXREPLACE(D467, ""[0-9]+[a-f]?\."", """"))"),"")</f>
        <v/>
      </c>
      <c r="I467" s="180" t="str">
        <f>IFERROR(__xludf.DUMMYFUNCTION("TRIM(REGEXREPLACE(E467, ""[0-9]+[a-f]?\."", """"))"),"")</f>
        <v/>
      </c>
      <c r="J467" s="180" t="s">
        <v>2731</v>
      </c>
      <c r="K467" s="180" t="s">
        <v>2732</v>
      </c>
      <c r="L467" s="180" t="s">
        <v>2733</v>
      </c>
    </row>
    <row r="468" hidden="1">
      <c r="A468" s="180"/>
      <c r="B468" s="182"/>
      <c r="C468" s="182"/>
      <c r="D468" s="182"/>
      <c r="E468" s="182"/>
      <c r="F468" s="187">
        <v>324.0</v>
      </c>
      <c r="G468" s="180" t="str">
        <f>IFERROR(__xludf.DUMMYFUNCTION("TRIM(REGEXREPLACE(C468, ""[0-9]+[a-f]?\."", """"))"),"")</f>
        <v/>
      </c>
      <c r="H468" s="180" t="str">
        <f>IFERROR(__xludf.DUMMYFUNCTION("TRIM(REGEXREPLACE(D468, ""[0-9]+[a-f]?\."", """"))"),"")</f>
        <v/>
      </c>
      <c r="I468" s="180" t="str">
        <f>IFERROR(__xludf.DUMMYFUNCTION("TRIM(REGEXREPLACE(E468, ""[0-9]+[a-f]?\."", """"))"),"")</f>
        <v/>
      </c>
      <c r="J468" s="180" t="s">
        <v>2734</v>
      </c>
      <c r="K468" s="180" t="s">
        <v>2735</v>
      </c>
      <c r="L468" s="180" t="s">
        <v>2736</v>
      </c>
    </row>
    <row r="469" hidden="1">
      <c r="A469" s="180"/>
      <c r="B469" s="182"/>
      <c r="C469" s="182"/>
      <c r="D469" s="182"/>
      <c r="E469" s="182"/>
      <c r="F469" s="187">
        <v>272.0</v>
      </c>
      <c r="G469" s="180" t="str">
        <f>IFERROR(__xludf.DUMMYFUNCTION("TRIM(REGEXREPLACE(C469, ""[0-9]+[a-f]?\."", """"))"),"")</f>
        <v/>
      </c>
      <c r="H469" s="180" t="str">
        <f>IFERROR(__xludf.DUMMYFUNCTION("TRIM(REGEXREPLACE(D469, ""[0-9]+[a-f]?\."", """"))"),"")</f>
        <v/>
      </c>
      <c r="I469" s="180" t="str">
        <f>IFERROR(__xludf.DUMMYFUNCTION("TRIM(REGEXREPLACE(E469, ""[0-9]+[a-f]?\."", """"))"),"")</f>
        <v/>
      </c>
      <c r="J469" s="180" t="s">
        <v>2739</v>
      </c>
      <c r="K469" s="180" t="s">
        <v>2740</v>
      </c>
      <c r="L469" s="180" t="s">
        <v>2741</v>
      </c>
    </row>
    <row r="470">
      <c r="A470" s="80" t="s">
        <v>2742</v>
      </c>
      <c r="B470" s="228" t="s">
        <v>2743</v>
      </c>
      <c r="C470" s="45" t="s">
        <v>1166</v>
      </c>
      <c r="D470" s="45" t="s">
        <v>1167</v>
      </c>
      <c r="E470" s="45" t="s">
        <v>1168</v>
      </c>
      <c r="F470" s="187">
        <v>116.0</v>
      </c>
      <c r="G470" s="180" t="str">
        <f>IFERROR(__xludf.DUMMYFUNCTION("TRIM(REGEXREPLACE(C470, ""[0-9]+[a-f]?\."", """"))"),"If you want to travel to Senegal, what vaccinations are required in order to travel there legally?")</f>
        <v>If you want to travel to Senegal, what vaccinations are required in order to travel there legally?</v>
      </c>
      <c r="H470" s="180" t="str">
        <f>IFERROR(__xludf.DUMMYFUNCTION("TRIM(REGEXREPLACE(D470, ""[0-9]+[a-f]?\."", """"))"),"Si vous souhaitez vous rendre au Sénégal, quels vaccins sont nécessaires pour y voyager légalement ?")</f>
        <v>Si vous souhaitez vous rendre au Sénégal, quels vaccins sont nécessaires pour y voyager légalement ?</v>
      </c>
      <c r="I470" s="180" t="str">
        <f>IFERROR(__xludf.DUMMYFUNCTION("TRIM(REGEXREPLACE(E470, ""[0-9]+[a-f]?\."", """"))"),"Idan kuna son tafiya Senegal, waɗanne alluran rigakafi ake wajabta muku don tafiya can bisa doka?")</f>
        <v>Idan kuna son tafiya Senegal, waɗanne alluran rigakafi ake wajabta muku don tafiya can bisa doka?</v>
      </c>
      <c r="J470" s="180" t="str">
        <f t="shared" ref="J470:L470" si="116">$F470 &amp; ". "&amp;G470</f>
        <v>116. If you want to travel to Senegal, what vaccinations are required in order to travel there legally?</v>
      </c>
      <c r="K470" s="180" t="str">
        <f t="shared" si="116"/>
        <v>116. Si vous souhaitez vous rendre au Sénégal, quels vaccins sont nécessaires pour y voyager légalement ?</v>
      </c>
      <c r="L470" s="180" t="str">
        <f t="shared" si="116"/>
        <v>116. Idan kuna son tafiya Senegal, waɗanne alluran rigakafi ake wajabta muku don tafiya can bisa doka?</v>
      </c>
    </row>
    <row r="471" hidden="1">
      <c r="A471" s="151"/>
      <c r="B471" s="226"/>
      <c r="C471" s="226"/>
      <c r="D471" s="226"/>
      <c r="E471" s="226"/>
      <c r="F471" s="187">
        <v>307.0</v>
      </c>
      <c r="G471" s="180" t="str">
        <f>IFERROR(__xludf.DUMMYFUNCTION("TRIM(REGEXREPLACE(C471, ""[0-9]+[a-f]?\."", """"))"),"")</f>
        <v/>
      </c>
      <c r="H471" s="180" t="str">
        <f>IFERROR(__xludf.DUMMYFUNCTION("TRIM(REGEXREPLACE(D471, ""[0-9]+[a-f]?\."", """"))"),"")</f>
        <v/>
      </c>
      <c r="I471" s="180" t="str">
        <f>IFERROR(__xludf.DUMMYFUNCTION("TRIM(REGEXREPLACE(E471, ""[0-9]+[a-f]?\."", """"))"),"")</f>
        <v/>
      </c>
      <c r="J471" s="180" t="s">
        <v>2745</v>
      </c>
      <c r="K471" s="180" t="s">
        <v>2746</v>
      </c>
      <c r="L471" s="180" t="s">
        <v>2747</v>
      </c>
    </row>
    <row r="472">
      <c r="A472" s="80" t="s">
        <v>2748</v>
      </c>
      <c r="B472" s="227" t="s">
        <v>2749</v>
      </c>
      <c r="C472" s="45" t="s">
        <v>1174</v>
      </c>
      <c r="D472" s="45" t="s">
        <v>1175</v>
      </c>
      <c r="E472" s="45" t="s">
        <v>1176</v>
      </c>
      <c r="F472" s="187">
        <v>117.0</v>
      </c>
      <c r="G472" s="180" t="str">
        <f>IFERROR(__xludf.DUMMYFUNCTION("TRIM(REGEXREPLACE(C472, ""[0-9]+[a-f]?\."", """"))"),"What are the potential risks of migrating?")</f>
        <v>What are the potential risks of migrating?</v>
      </c>
      <c r="H472" s="180" t="str">
        <f>IFERROR(__xludf.DUMMYFUNCTION("TRIM(REGEXREPLACE(D472, ""[0-9]+[a-f]?\."", """"))"),"Quels sont les risques potentiels liés à la migration ?")</f>
        <v>Quels sont les risques potentiels liés à la migration ?</v>
      </c>
      <c r="I472" s="180" t="str">
        <f>IFERROR(__xludf.DUMMYFUNCTION("TRIM(REGEXREPLACE(E472, ""[0-9]+[a-f]?\."", """"))"),"Menene haɗarin zuwa biɗa?")</f>
        <v>Menene haɗarin zuwa biɗa?</v>
      </c>
      <c r="J472" s="180" t="str">
        <f t="shared" ref="J472:L472" si="117">$F472 &amp; ". "&amp;G472</f>
        <v>117. What are the potential risks of migrating?</v>
      </c>
      <c r="K472" s="180" t="str">
        <f t="shared" si="117"/>
        <v>117. Quels sont les risques potentiels liés à la migration ?</v>
      </c>
      <c r="L472" s="180" t="str">
        <f t="shared" si="117"/>
        <v>117. Menene haɗarin zuwa biɗa?</v>
      </c>
    </row>
    <row r="473" hidden="1">
      <c r="A473" s="180"/>
      <c r="B473" s="182"/>
      <c r="C473" s="182"/>
      <c r="D473" s="182"/>
      <c r="E473" s="182"/>
      <c r="F473" s="183"/>
      <c r="G473" s="180" t="str">
        <f>IFERROR(__xludf.DUMMYFUNCTION("TRIM(REGEXREPLACE(C473, ""[0-9]+[a-f]?\."", """"))"),"")</f>
        <v/>
      </c>
      <c r="H473" s="180" t="str">
        <f>IFERROR(__xludf.DUMMYFUNCTION("TRIM(REGEXREPLACE(D473, ""[0-9]+[a-f]?\."", """"))"),"")</f>
        <v/>
      </c>
      <c r="I473" s="180" t="str">
        <f>IFERROR(__xludf.DUMMYFUNCTION("TRIM(REGEXREPLACE(E473, ""[0-9]+[a-f]?\."", """"))"),"")</f>
        <v/>
      </c>
      <c r="J473" s="180"/>
      <c r="K473" s="180"/>
      <c r="L473" s="184"/>
    </row>
    <row r="474" hidden="1">
      <c r="A474" s="180"/>
      <c r="B474" s="182"/>
      <c r="C474" s="182"/>
      <c r="D474" s="182"/>
      <c r="E474" s="182"/>
      <c r="F474" s="187">
        <v>276.0</v>
      </c>
      <c r="G474" s="180" t="str">
        <f>IFERROR(__xludf.DUMMYFUNCTION("TRIM(REGEXREPLACE(C474, ""[0-9]+[a-f]?\."", """"))"),"")</f>
        <v/>
      </c>
      <c r="H474" s="180" t="str">
        <f>IFERROR(__xludf.DUMMYFUNCTION("TRIM(REGEXREPLACE(D474, ""[0-9]+[a-f]?\."", """"))"),"")</f>
        <v/>
      </c>
      <c r="I474" s="180" t="str">
        <f>IFERROR(__xludf.DUMMYFUNCTION("TRIM(REGEXREPLACE(E474, ""[0-9]+[a-f]?\."", """"))"),"")</f>
        <v/>
      </c>
      <c r="J474" s="180" t="s">
        <v>2752</v>
      </c>
      <c r="K474" s="180" t="s">
        <v>2753</v>
      </c>
      <c r="L474" s="180" t="s">
        <v>2754</v>
      </c>
    </row>
    <row r="475" hidden="1">
      <c r="A475" s="180"/>
      <c r="B475" s="182"/>
      <c r="C475" s="182"/>
      <c r="D475" s="182"/>
      <c r="E475" s="182"/>
      <c r="F475" s="187">
        <v>277.0</v>
      </c>
      <c r="G475" s="180" t="str">
        <f>IFERROR(__xludf.DUMMYFUNCTION("TRIM(REGEXREPLACE(C475, ""[0-9]+[a-f]?\."", """"))"),"")</f>
        <v/>
      </c>
      <c r="H475" s="180" t="str">
        <f>IFERROR(__xludf.DUMMYFUNCTION("TRIM(REGEXREPLACE(D475, ""[0-9]+[a-f]?\."", """"))"),"")</f>
        <v/>
      </c>
      <c r="I475" s="180" t="str">
        <f>IFERROR(__xludf.DUMMYFUNCTION("TRIM(REGEXREPLACE(E475, ""[0-9]+[a-f]?\."", """"))"),"")</f>
        <v/>
      </c>
      <c r="J475" s="180" t="s">
        <v>2758</v>
      </c>
      <c r="K475" s="180" t="s">
        <v>2759</v>
      </c>
      <c r="L475" s="180" t="s">
        <v>2760</v>
      </c>
    </row>
    <row r="476" hidden="1">
      <c r="A476" s="180"/>
      <c r="B476" s="182"/>
      <c r="C476" s="182"/>
      <c r="D476" s="182"/>
      <c r="E476" s="182"/>
      <c r="F476" s="187">
        <v>278.0</v>
      </c>
      <c r="G476" s="180" t="str">
        <f>IFERROR(__xludf.DUMMYFUNCTION("TRIM(REGEXREPLACE(C476, ""[0-9]+[a-f]?\."", """"))"),"")</f>
        <v/>
      </c>
      <c r="H476" s="180" t="str">
        <f>IFERROR(__xludf.DUMMYFUNCTION("TRIM(REGEXREPLACE(D476, ""[0-9]+[a-f]?\."", """"))"),"")</f>
        <v/>
      </c>
      <c r="I476" s="180" t="str">
        <f>IFERROR(__xludf.DUMMYFUNCTION("TRIM(REGEXREPLACE(E476, ""[0-9]+[a-f]?\."", """"))"),"")</f>
        <v/>
      </c>
      <c r="J476" s="180" t="s">
        <v>2761</v>
      </c>
      <c r="K476" s="180" t="s">
        <v>2763</v>
      </c>
      <c r="L476" s="180" t="s">
        <v>2764</v>
      </c>
    </row>
    <row r="477" hidden="1">
      <c r="A477" s="180"/>
      <c r="B477" s="182"/>
      <c r="C477" s="182"/>
      <c r="D477" s="182"/>
      <c r="E477" s="182"/>
      <c r="F477" s="187">
        <v>279.0</v>
      </c>
      <c r="G477" s="180" t="str">
        <f>IFERROR(__xludf.DUMMYFUNCTION("TRIM(REGEXREPLACE(C477, ""[0-9]+[a-f]?\."", """"))"),"")</f>
        <v/>
      </c>
      <c r="H477" s="180" t="str">
        <f>IFERROR(__xludf.DUMMYFUNCTION("TRIM(REGEXREPLACE(D477, ""[0-9]+[a-f]?\."", """"))"),"")</f>
        <v/>
      </c>
      <c r="I477" s="180" t="str">
        <f>IFERROR(__xludf.DUMMYFUNCTION("TRIM(REGEXREPLACE(E477, ""[0-9]+[a-f]?\."", """"))"),"")</f>
        <v/>
      </c>
      <c r="J477" s="180" t="s">
        <v>2765</v>
      </c>
      <c r="K477" s="180" t="s">
        <v>2766</v>
      </c>
      <c r="L477" s="180" t="s">
        <v>2768</v>
      </c>
    </row>
    <row r="478">
      <c r="A478" s="85" t="s">
        <v>2770</v>
      </c>
      <c r="B478" s="227" t="s">
        <v>2772</v>
      </c>
      <c r="C478" s="45" t="s">
        <v>1179</v>
      </c>
      <c r="D478" s="45" t="s">
        <v>1180</v>
      </c>
      <c r="E478" s="45" t="s">
        <v>1181</v>
      </c>
      <c r="F478" s="187">
        <v>118.0</v>
      </c>
      <c r="G478" s="180" t="str">
        <f>IFERROR(__xludf.DUMMYFUNCTION("TRIM(REGEXREPLACE(C478,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478" s="180" t="str">
        <f>IFERROR(__xludf.DUMMYFUNCTION("TRIM(REGEXREPLACE(D478,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478" s="180" t="str">
        <f>IFERROR(__xludf.DUMMYFUNCTION("TRIM(REGEXREPLACE(E478, ""[0-9]+[a-f]?\."", """"))"),"Wadanne abubuwa ne za ku iya yi don rage wasu haɗarin da ke tattare da tafiya zuwa wata ƙasa maƙwabta don neman aiki?")</f>
        <v>Wadanne abubuwa ne za ku iya yi don rage wasu haɗarin da ke tattare da tafiya zuwa wata ƙasa maƙwabta don neman aiki?</v>
      </c>
      <c r="J478" s="180" t="str">
        <f t="shared" ref="J478:L478" si="118">$F478 &amp; ". "&amp;G478</f>
        <v>118. What are some things that you could do to mitigate some of the risks associated with traveling to a neighboring country to find work?</v>
      </c>
      <c r="K478" s="180" t="str">
        <f t="shared" si="118"/>
        <v>118. Quelles mesures pourriez-vous prendre pour atténuer certains des risques associés au voyage dans un pays voisin pour trouver du travail ?</v>
      </c>
      <c r="L478" s="180" t="str">
        <f t="shared" si="118"/>
        <v>118. Wadanne abubuwa ne za ku iya yi don rage wasu haɗarin da ke tattare da tafiya zuwa wata ƙasa maƙwabta don neman aiki?</v>
      </c>
    </row>
    <row r="479" hidden="1">
      <c r="A479" s="151" t="s">
        <v>237</v>
      </c>
      <c r="B479" s="226" t="s">
        <v>2487</v>
      </c>
      <c r="C479" s="226" t="s">
        <v>2488</v>
      </c>
      <c r="D479" s="226" t="s">
        <v>2489</v>
      </c>
      <c r="E479" s="226" t="s">
        <v>2490</v>
      </c>
      <c r="F479" s="187">
        <v>310.0</v>
      </c>
      <c r="G479" s="180" t="str">
        <f>IFERROR(__xludf.DUMMYFUNCTION("TRIM(REGEXREPLACE(C479, ""[0-9]+[a-f]?\."", """"))"),"Questions about PM")</f>
        <v>Questions about PM</v>
      </c>
      <c r="H479" s="180" t="str">
        <f>IFERROR(__xludf.DUMMYFUNCTION("TRIM(REGEXREPLACE(D479, ""[0-9]+[a-f]?\."", """"))"),"Questions sur le Potentiel Migrant")</f>
        <v>Questions sur le Potentiel Migrant</v>
      </c>
      <c r="I479" s="180" t="str">
        <f>IFERROR(__xludf.DUMMYFUNCTION("TRIM(REGEXREPLACE(E479, ""[0-9]+[a-f]?\."", """"))"),"Tambayoyi bisa mai nufin zuwa biɗa")</f>
        <v>Tambayoyi bisa mai nufin zuwa biɗa</v>
      </c>
      <c r="J479" s="180" t="s">
        <v>2775</v>
      </c>
      <c r="K479" s="180" t="s">
        <v>2776</v>
      </c>
      <c r="L479" s="180" t="s">
        <v>2778</v>
      </c>
    </row>
    <row r="480" hidden="1">
      <c r="A480" s="102"/>
      <c r="B480" s="103" t="s">
        <v>50</v>
      </c>
      <c r="C480" s="191"/>
      <c r="D480" s="191"/>
      <c r="E480" s="191"/>
      <c r="F480" s="187">
        <v>311.0</v>
      </c>
      <c r="G480" s="180" t="str">
        <f>IFERROR(__xludf.DUMMYFUNCTION("TRIM(REGEXREPLACE(C480, ""[0-9]+[a-f]?\."", """"))"),"")</f>
        <v/>
      </c>
      <c r="H480" s="180" t="str">
        <f>IFERROR(__xludf.DUMMYFUNCTION("TRIM(REGEXREPLACE(D480, ""[0-9]+[a-f]?\."", """"))"),"")</f>
        <v/>
      </c>
      <c r="I480" s="180" t="str">
        <f>IFERROR(__xludf.DUMMYFUNCTION("TRIM(REGEXREPLACE(E480, ""[0-9]+[a-f]?\."", """"))"),"")</f>
        <v/>
      </c>
      <c r="J480" s="180" t="s">
        <v>2781</v>
      </c>
      <c r="K480" s="180" t="s">
        <v>2782</v>
      </c>
      <c r="L480" s="180" t="s">
        <v>2783</v>
      </c>
    </row>
    <row r="481">
      <c r="A481" s="80" t="s">
        <v>2784</v>
      </c>
      <c r="B481" s="228" t="s">
        <v>2785</v>
      </c>
      <c r="C481" s="45" t="s">
        <v>2786</v>
      </c>
      <c r="D481" s="45" t="s">
        <v>1193</v>
      </c>
      <c r="E481" s="45" t="s">
        <v>1194</v>
      </c>
      <c r="F481" s="187">
        <v>119.0</v>
      </c>
      <c r="G481" s="180" t="str">
        <f>IFERROR(__xludf.DUMMYFUNCTION("TRIM(REGEXREPLACE(C481, ""[0-9]+[a-f]?\."", """"))"),"Now, I'd like you to think about your life five years from now. 
 In five years, how likely are you to live in Tahoua region, including at home, compared to somewhere else")</f>
        <v>Now, I'd like you to think about your life five years from now. 
 In five years, how likely are you to live in Tahoua region, including at home, compared to somewhere else</v>
      </c>
      <c r="H481" s="180" t="str">
        <f>IFERROR(__xludf.DUMMYFUNCTION("TRIM(REGEXREPLACE(D481, ""[0-9]+[a-f]?\."", """"))"),"Maintenant, j'aimerais que vous pensiez à votre vie dans les cinq ans à venir. Dans les cinq ans à venir, quelle est la probabilité que vous viviez dans la région de Tahoua, y compris chez vous, ou ailleurs ?")</f>
        <v>Maintenant, j'aimerais que vous pensiez à votre vie dans les cinq ans à venir. Dans les cinq ans à venir, quelle est la probabilité que vous viviez dans la région de Tahoua, y compris chez vous, ou ailleurs ?</v>
      </c>
      <c r="I481" s="180" t="str">
        <f>IFERROR(__xludf.DUMMYFUNCTION("TRIM(REGEXREPLACE(E481, ""[0-9]+[a-f]?\."", """"))"),"Yanzu, Ina son ku yi tunani game da rayuwar ku a cikin shekaru biyar masu zuwa daga yanzu. A cikin shekaru biyar masu zuwa, yaya kuke ganin yiwuwar zamanku a jahar Tahoua, har da ƙauyenku, ko a wani wuri dabam?")</f>
        <v>Yanzu, Ina son ku yi tunani game da rayuwar ku a cikin shekaru biyar masu zuwa daga yanzu. A cikin shekaru biyar masu zuwa, yaya kuke ganin yiwuwar zamanku a jahar Tahoua, har da ƙauyenku, ko a wani wuri dabam?</v>
      </c>
      <c r="J481" s="180" t="str">
        <f t="shared" ref="J481:L481" si="119">$F481 &amp; ". "&amp;G481</f>
        <v>119. Now, I'd like you to think about your life five years from now. 
 In five years, how likely are you to live in Tahoua region, including at home, compared to somewhere else</v>
      </c>
      <c r="K481" s="180" t="str">
        <f t="shared" si="119"/>
        <v>119. Maintenant, j'aimerais que vous pensiez à votre vie dans les cinq ans à venir. Dans les cinq ans à venir, quelle est la probabilité que vous viviez dans la région de Tahoua, y compris chez vous, ou ailleurs ?</v>
      </c>
      <c r="L481" s="180" t="str">
        <f t="shared" si="119"/>
        <v>119. Yanzu, Ina son ku yi tunani game da rayuwar ku a cikin shekaru biyar masu zuwa daga yanzu. A cikin shekaru biyar masu zuwa, yaya kuke ganin yiwuwar zamanku a jahar Tahoua, har da ƙauyenku, ko a wani wuri dabam?</v>
      </c>
    </row>
    <row r="482" hidden="1">
      <c r="A482" s="180"/>
      <c r="B482" s="182"/>
      <c r="C482" s="182"/>
      <c r="D482" s="182"/>
      <c r="E482" s="182"/>
      <c r="F482" s="183"/>
      <c r="G482" s="180" t="str">
        <f>IFERROR(__xludf.DUMMYFUNCTION("TRIM(REGEXREPLACE(C482, ""[0-9]+[a-f]?\."", """"))"),"")</f>
        <v/>
      </c>
      <c r="H482" s="180" t="str">
        <f>IFERROR(__xludf.DUMMYFUNCTION("TRIM(REGEXREPLACE(D482, ""[0-9]+[a-f]?\."", """"))"),"")</f>
        <v/>
      </c>
      <c r="I482" s="180" t="str">
        <f>IFERROR(__xludf.DUMMYFUNCTION("TRIM(REGEXREPLACE(E482, ""[0-9]+[a-f]?\."", """"))"),"")</f>
        <v/>
      </c>
      <c r="J482" s="180"/>
      <c r="K482" s="180"/>
      <c r="L482" s="184"/>
    </row>
    <row r="483" hidden="1">
      <c r="A483" s="180"/>
      <c r="B483" s="182"/>
      <c r="C483" s="182"/>
      <c r="D483" s="182"/>
      <c r="E483" s="182"/>
      <c r="F483" s="187">
        <v>284.0</v>
      </c>
      <c r="G483" s="180" t="str">
        <f>IFERROR(__xludf.DUMMYFUNCTION("TRIM(REGEXREPLACE(C483, ""[0-9]+[a-f]?\."", """"))"),"")</f>
        <v/>
      </c>
      <c r="H483" s="180" t="str">
        <f>IFERROR(__xludf.DUMMYFUNCTION("TRIM(REGEXREPLACE(D483, ""[0-9]+[a-f]?\."", """"))"),"")</f>
        <v/>
      </c>
      <c r="I483" s="180" t="str">
        <f>IFERROR(__xludf.DUMMYFUNCTION("TRIM(REGEXREPLACE(E483, ""[0-9]+[a-f]?\."", """"))"),"")</f>
        <v/>
      </c>
      <c r="J483" s="180" t="s">
        <v>2792</v>
      </c>
      <c r="K483" s="180" t="s">
        <v>2794</v>
      </c>
      <c r="L483" s="180" t="s">
        <v>2796</v>
      </c>
    </row>
    <row r="484">
      <c r="A484" s="80" t="s">
        <v>2798</v>
      </c>
      <c r="B484" s="228" t="s">
        <v>2799</v>
      </c>
      <c r="C484" s="45" t="s">
        <v>1197</v>
      </c>
      <c r="D484" s="45" t="s">
        <v>1198</v>
      </c>
      <c r="E484" s="45" t="s">
        <v>1199</v>
      </c>
      <c r="F484" s="187">
        <v>120.0</v>
      </c>
      <c r="G484" s="180" t="str">
        <f>IFERROR(__xludf.DUMMYFUNCTION("TRIM(REGEXREPLACE(C484, ""[0-9]+[a-f]?\."", """"))"),"Five years from now, are you more likely to live somewhere else in Niger or in another country?")</f>
        <v>Five years from now, are you more likely to live somewhere else in Niger or in another country?</v>
      </c>
      <c r="H484" s="180" t="str">
        <f>IFERROR(__xludf.DUMMYFUNCTION("TRIM(REGEXREPLACE(D484, ""[0-9]+[a-f]?\."", """"))"),"Dans cinq ans, pensez vous vivre ailleurs au Niger ou dans un autre pays ?")</f>
        <v>Dans cinq ans, pensez vous vivre ailleurs au Niger ou dans un autre pays ?</v>
      </c>
      <c r="I484" s="180" t="str">
        <f>IFERROR(__xludf.DUMMYFUNCTION("TRIM(REGEXREPLACE(E484, ""[0-9]+[a-f]?\."", """"))"),"Cikin shekaru biyar masu zuwa, ko kuna tunanin zama a wani wuri a Nijar ko a wata ƙasa daban?")</f>
        <v>Cikin shekaru biyar masu zuwa, ko kuna tunanin zama a wani wuri a Nijar ko a wata ƙasa daban?</v>
      </c>
      <c r="J484" s="180" t="str">
        <f t="shared" ref="J484:L484" si="120">$F484 &amp; ". "&amp;G484</f>
        <v>120. Five years from now, are you more likely to live somewhere else in Niger or in another country?</v>
      </c>
      <c r="K484" s="180" t="str">
        <f t="shared" si="120"/>
        <v>120. Dans cinq ans, pensez vous vivre ailleurs au Niger ou dans un autre pays ?</v>
      </c>
      <c r="L484" s="180" t="str">
        <f t="shared" si="120"/>
        <v>120. Cikin shekaru biyar masu zuwa, ko kuna tunanin zama a wani wuri a Nijar ko a wata ƙasa daban?</v>
      </c>
    </row>
    <row r="485" hidden="1">
      <c r="A485" s="144" t="s">
        <v>127</v>
      </c>
      <c r="B485" s="273" t="s">
        <v>2801</v>
      </c>
      <c r="C485" s="147"/>
      <c r="D485" s="226"/>
      <c r="E485" s="226"/>
      <c r="F485" s="187">
        <v>314.0</v>
      </c>
      <c r="G485" s="180" t="str">
        <f>IFERROR(__xludf.DUMMYFUNCTION("TRIM(REGEXREPLACE(C485, ""[0-9]+[a-f]?\."", """"))"),"")</f>
        <v/>
      </c>
      <c r="H485" s="180" t="str">
        <f>IFERROR(__xludf.DUMMYFUNCTION("TRIM(REGEXREPLACE(D485, ""[0-9]+[a-f]?\."", """"))"),"")</f>
        <v/>
      </c>
      <c r="I485" s="180" t="str">
        <f>IFERROR(__xludf.DUMMYFUNCTION("TRIM(REGEXREPLACE(E485, ""[0-9]+[a-f]?\."", """"))"),"")</f>
        <v/>
      </c>
      <c r="J485" s="180" t="s">
        <v>2805</v>
      </c>
      <c r="K485" s="180" t="s">
        <v>2806</v>
      </c>
      <c r="L485" s="180" t="s">
        <v>2808</v>
      </c>
    </row>
    <row r="486" hidden="1">
      <c r="A486" s="144" t="s">
        <v>68</v>
      </c>
      <c r="B486" s="148" t="s">
        <v>2809</v>
      </c>
      <c r="C486" s="147"/>
      <c r="D486" s="226"/>
      <c r="E486" s="226"/>
      <c r="F486" s="187">
        <v>315.0</v>
      </c>
      <c r="G486" s="180" t="str">
        <f>IFERROR(__xludf.DUMMYFUNCTION("TRIM(REGEXREPLACE(C486, ""[0-9]+[a-f]?\."", """"))"),"")</f>
        <v/>
      </c>
      <c r="H486" s="180" t="str">
        <f>IFERROR(__xludf.DUMMYFUNCTION("TRIM(REGEXREPLACE(D486, ""[0-9]+[a-f]?\."", """"))"),"")</f>
        <v/>
      </c>
      <c r="I486" s="180" t="str">
        <f>IFERROR(__xludf.DUMMYFUNCTION("TRIM(REGEXREPLACE(E486, ""[0-9]+[a-f]?\."", """"))"),"")</f>
        <v/>
      </c>
      <c r="J486" s="180" t="s">
        <v>2810</v>
      </c>
      <c r="K486" s="180" t="s">
        <v>2811</v>
      </c>
      <c r="L486" s="180" t="s">
        <v>2812</v>
      </c>
    </row>
    <row r="487" hidden="1">
      <c r="A487" s="254"/>
      <c r="B487" s="191"/>
      <c r="C487" s="191"/>
      <c r="D487" s="191"/>
      <c r="E487" s="191"/>
      <c r="F487" s="187">
        <v>316.0</v>
      </c>
      <c r="G487" s="180" t="str">
        <f>IFERROR(__xludf.DUMMYFUNCTION("TRIM(REGEXREPLACE(C487, ""[0-9]+[a-f]?\."", """"))"),"")</f>
        <v/>
      </c>
      <c r="H487" s="180" t="str">
        <f>IFERROR(__xludf.DUMMYFUNCTION("TRIM(REGEXREPLACE(D487, ""[0-9]+[a-f]?\."", """"))"),"")</f>
        <v/>
      </c>
      <c r="I487" s="180" t="str">
        <f>IFERROR(__xludf.DUMMYFUNCTION("TRIM(REGEXREPLACE(E487, ""[0-9]+[a-f]?\."", """"))"),"")</f>
        <v/>
      </c>
      <c r="J487" s="180" t="s">
        <v>2814</v>
      </c>
      <c r="K487" s="180" t="s">
        <v>2815</v>
      </c>
      <c r="L487" s="180" t="s">
        <v>2816</v>
      </c>
    </row>
    <row r="488" hidden="1">
      <c r="A488" s="180"/>
      <c r="B488" s="182"/>
      <c r="C488" s="182"/>
      <c r="D488" s="182"/>
      <c r="E488" s="182"/>
      <c r="F488" s="187">
        <v>288.0</v>
      </c>
      <c r="G488" s="180" t="str">
        <f>IFERROR(__xludf.DUMMYFUNCTION("TRIM(REGEXREPLACE(C488, ""[0-9]+[a-f]?\."", """"))"),"")</f>
        <v/>
      </c>
      <c r="H488" s="180" t="str">
        <f>IFERROR(__xludf.DUMMYFUNCTION("TRIM(REGEXREPLACE(D488, ""[0-9]+[a-f]?\."", """"))"),"")</f>
        <v/>
      </c>
      <c r="I488" s="180" t="str">
        <f>IFERROR(__xludf.DUMMYFUNCTION("TRIM(REGEXREPLACE(E488, ""[0-9]+[a-f]?\."", """"))"),"")</f>
        <v/>
      </c>
      <c r="J488" s="180" t="s">
        <v>2817</v>
      </c>
      <c r="K488" s="180" t="s">
        <v>2818</v>
      </c>
      <c r="L488" s="180" t="s">
        <v>2819</v>
      </c>
    </row>
    <row r="489" hidden="1">
      <c r="A489" s="180"/>
      <c r="B489" s="182"/>
      <c r="C489" s="182"/>
      <c r="D489" s="182"/>
      <c r="E489" s="182"/>
      <c r="F489" s="187">
        <v>327.0</v>
      </c>
      <c r="G489" s="180" t="str">
        <f>IFERROR(__xludf.DUMMYFUNCTION("TRIM(REGEXREPLACE(C489, ""[0-9]+[a-f]?\."", """"))"),"")</f>
        <v/>
      </c>
      <c r="H489" s="180" t="str">
        <f>IFERROR(__xludf.DUMMYFUNCTION("TRIM(REGEXREPLACE(D489, ""[0-9]+[a-f]?\."", """"))"),"")</f>
        <v/>
      </c>
      <c r="I489" s="180" t="str">
        <f>IFERROR(__xludf.DUMMYFUNCTION("TRIM(REGEXREPLACE(E489, ""[0-9]+[a-f]?\."", """"))"),"")</f>
        <v/>
      </c>
      <c r="J489" s="180" t="s">
        <v>2821</v>
      </c>
      <c r="K489" s="180" t="s">
        <v>2822</v>
      </c>
      <c r="L489" s="180" t="s">
        <v>2823</v>
      </c>
    </row>
    <row r="490" hidden="1">
      <c r="A490" s="151" t="s">
        <v>133</v>
      </c>
      <c r="B490" s="147" t="s">
        <v>2824</v>
      </c>
      <c r="C490" s="147" t="s">
        <v>2825</v>
      </c>
      <c r="D490" s="226"/>
      <c r="E490" s="226"/>
      <c r="F490" s="187">
        <v>317.0</v>
      </c>
      <c r="G490" s="180" t="str">
        <f>IFERROR(__xludf.DUMMYFUNCTION("TRIM(REGEXREPLACE(C490, ""[0-9]+[a-f]?\."", """"))"),"Spouse consultation")</f>
        <v>Spouse consultation</v>
      </c>
      <c r="H490" s="180" t="str">
        <f>IFERROR(__xludf.DUMMYFUNCTION("TRIM(REGEXREPLACE(D490, ""[0-9]+[a-f]?\."", """"))"),"")</f>
        <v/>
      </c>
      <c r="I490" s="180" t="str">
        <f>IFERROR(__xludf.DUMMYFUNCTION("TRIM(REGEXREPLACE(E490, ""[0-9]+[a-f]?\."", """"))"),"")</f>
        <v/>
      </c>
      <c r="J490" s="180" t="s">
        <v>2826</v>
      </c>
      <c r="K490" s="180" t="s">
        <v>2827</v>
      </c>
      <c r="L490" s="180" t="s">
        <v>2828</v>
      </c>
    </row>
    <row r="491" hidden="1">
      <c r="A491" s="144" t="s">
        <v>127</v>
      </c>
      <c r="B491" s="144" t="s">
        <v>2829</v>
      </c>
      <c r="C491" s="147"/>
      <c r="D491" s="226"/>
      <c r="E491" s="226"/>
      <c r="F491" s="187">
        <v>318.0</v>
      </c>
      <c r="G491" s="180" t="str">
        <f>IFERROR(__xludf.DUMMYFUNCTION("TRIM(REGEXREPLACE(C491, ""[0-9]+[a-f]?\."", """"))"),"")</f>
        <v/>
      </c>
      <c r="H491" s="180" t="str">
        <f>IFERROR(__xludf.DUMMYFUNCTION("TRIM(REGEXREPLACE(D491, ""[0-9]+[a-f]?\."", """"))"),"")</f>
        <v/>
      </c>
      <c r="I491" s="180" t="str">
        <f>IFERROR(__xludf.DUMMYFUNCTION("TRIM(REGEXREPLACE(E491, ""[0-9]+[a-f]?\."", """"))"),"")</f>
        <v/>
      </c>
      <c r="J491" s="180" t="s">
        <v>2832</v>
      </c>
      <c r="K491" s="180" t="s">
        <v>2834</v>
      </c>
      <c r="L491" s="180" t="s">
        <v>2836</v>
      </c>
    </row>
    <row r="492">
      <c r="A492" s="218" t="s">
        <v>38</v>
      </c>
      <c r="B492" s="64" t="s">
        <v>2837</v>
      </c>
      <c r="C492" s="45" t="s">
        <v>1227</v>
      </c>
      <c r="D492" s="45" t="s">
        <v>1228</v>
      </c>
      <c r="E492" s="45" t="s">
        <v>1229</v>
      </c>
      <c r="F492" s="187">
        <v>121.0</v>
      </c>
      <c r="G492" s="180" t="str">
        <f>IFERROR(__xludf.DUMMYFUNCTION("TRIM(REGEXREPLACE(C492, ""[0-9]+[a-f]?\."", """"))"),"The next set of questions are about your opinions regarding the roles that women and men play")</f>
        <v>The next set of questions are about your opinions regarding the roles that women and men play</v>
      </c>
      <c r="H492" s="180" t="str">
        <f>IFERROR(__xludf.DUMMYFUNCTION("TRIM(REGEXREPLACE(D492, ""[0-9]+[a-f]?\."", """"))"),"La prochaine série de questions porte sur vos opinions concernant les rôles que jouent les femmes et les hommes")</f>
        <v>La prochaine série de questions porte sur vos opinions concernant les rôles que jouent les femmes et les hommes</v>
      </c>
      <c r="I492" s="180" t="str">
        <f>IFERROR(__xludf.DUMMYFUNCTION("TRIM(REGEXREPLACE(E492, ""[0-9]+[a-f]?\."", """"))"),"Tambayoyi na gaba sun ta'allaka ne da ra'ayoyin ku game da rawar da mata da maza suke takawa.")</f>
        <v>Tambayoyi na gaba sun ta'allaka ne da ra'ayoyin ku game da rawar da mata da maza suke takawa.</v>
      </c>
      <c r="J492" s="180" t="str">
        <f t="shared" ref="J492:L492" si="121">$F492 &amp; ". "&amp;G492</f>
        <v>121. The next set of questions are about your opinions regarding the roles that women and men play</v>
      </c>
      <c r="K492" s="180" t="str">
        <f t="shared" si="121"/>
        <v>121. La prochaine série de questions porte sur vos opinions concernant les rôles que jouent les femmes et les hommes</v>
      </c>
      <c r="L492" s="180" t="str">
        <f t="shared" si="121"/>
        <v>121. Tambayoyi na gaba sun ta'allaka ne da ra'ayoyin ku game da rawar da mata da maza suke takawa.</v>
      </c>
    </row>
    <row r="493">
      <c r="A493" s="80" t="s">
        <v>1988</v>
      </c>
      <c r="B493" s="228" t="s">
        <v>2839</v>
      </c>
      <c r="C493" s="45" t="s">
        <v>1233</v>
      </c>
      <c r="D493" s="45" t="s">
        <v>1234</v>
      </c>
      <c r="E493" s="45" t="s">
        <v>1236</v>
      </c>
      <c r="F493" s="187">
        <v>122.0</v>
      </c>
      <c r="G493" s="180" t="str">
        <f>IFERROR(__xludf.DUMMYFUNCTION("TRIM(REGEXREPLACE(C493, ""[0-9]+[a-f]?\."", """"))"),"How often, if ever do you talk about the role of women in society with other people?")</f>
        <v>How often, if ever do you talk about the role of women in society with other people?</v>
      </c>
      <c r="H493" s="180" t="str">
        <f>IFERROR(__xludf.DUMMYFUNCTION("TRIM(REGEXREPLACE(D493, ""[0-9]+[a-f]?\."", """"))"),"À quelle fréquence, si jamais cela arrive, parlez-vous du rôle des femmes dans la société avec d'autres personnes ?")</f>
        <v>À quelle fréquence, si jamais cela arrive, parlez-vous du rôle des femmes dans la société avec d'autres personnes ?</v>
      </c>
      <c r="I493" s="180" t="str">
        <f>IFERROR(__xludf.DUMMYFUNCTION("TRIM(REGEXREPLACE(E493, ""[0-9]+[a-f]?\."", """"))"),"Sau nawa, idan ya na faruwa, kuke yin magana game da taka rawan mata a cikin al'umma tare da sauran mutane?")</f>
        <v>Sau nawa, idan ya na faruwa, kuke yin magana game da taka rawan mata a cikin al'umma tare da sauran mutane?</v>
      </c>
      <c r="J493" s="180" t="str">
        <f t="shared" ref="J493:L493" si="122">$F493 &amp; ". "&amp;G493</f>
        <v>122. How often, if ever do you talk about the role of women in society with other people?</v>
      </c>
      <c r="K493" s="180" t="str">
        <f t="shared" si="122"/>
        <v>122. À quelle fréquence, si jamais cela arrive, parlez-vous du rôle des femmes dans la société avec d'autres personnes ?</v>
      </c>
      <c r="L493" s="180" t="str">
        <f t="shared" si="122"/>
        <v>122. Sau nawa, idan ya na faruwa, kuke yin magana game da taka rawan mata a cikin al'umma tare da sauran mutane?</v>
      </c>
    </row>
    <row r="494">
      <c r="A494" s="218" t="s">
        <v>38</v>
      </c>
      <c r="B494" s="64" t="s">
        <v>2844</v>
      </c>
      <c r="C494" s="45" t="s">
        <v>1238</v>
      </c>
      <c r="D494" s="45" t="s">
        <v>1239</v>
      </c>
      <c r="E494" s="45" t="s">
        <v>1240</v>
      </c>
      <c r="F494" s="187">
        <v>123.0</v>
      </c>
      <c r="G494" s="180" t="str">
        <f>IFERROR(__xludf.DUMMYFUNCTION("TRIM(REGEXREPLACE(C494, ""[0-9]+[a-f]?\."", """"))"),"In your opinion, how much influence a wife should have over the following decisions within a couple?")</f>
        <v>In your opinion, how much influence a wife should have over the following decisions within a couple?</v>
      </c>
      <c r="H494" s="180" t="str">
        <f>IFERROR(__xludf.DUMMYFUNCTION("TRIM(REGEXREPLACE(D494, ""[0-9]+[a-f]?\."", """"))"),"Selon vous, quelle influence une épouse devrait-elle avoir sur les décisions suivantes au sein d'un couple ?")</f>
        <v>Selon vous, quelle influence une épouse devrait-elle avoir sur les décisions suivantes au sein d'un couple ?</v>
      </c>
      <c r="I494" s="180" t="str">
        <f>IFERROR(__xludf.DUMMYFUNCTION("TRIM(REGEXREPLACE(E494, ""[0-9]+[a-f]?\."", """"))"),"A ra'ayinka, wane tasiri mace ya kamata ta yi bisa yanke shawarwari da zan zana a tsakanin ta da mijinta?")</f>
        <v>A ra'ayinka, wane tasiri mace ya kamata ta yi bisa yanke shawarwari da zan zana a tsakanin ta da mijinta?</v>
      </c>
      <c r="J494" s="180" t="str">
        <f t="shared" ref="J494:L494" si="123">$F494 &amp; ". "&amp;G494</f>
        <v>123. In your opinion, how much influence a wife should have over the following decisions within a couple?</v>
      </c>
      <c r="K494" s="180" t="str">
        <f t="shared" si="123"/>
        <v>123. Selon vous, quelle influence une épouse devrait-elle avoir sur les décisions suivantes au sein d'un couple ?</v>
      </c>
      <c r="L494" s="180" t="str">
        <f t="shared" si="123"/>
        <v>123. A ra'ayinka, wane tasiri mace ya kamata ta yi bisa yanke shawarwari da zan zana a tsakanin ta da mijinta?</v>
      </c>
    </row>
    <row r="495">
      <c r="A495" s="80" t="s">
        <v>2847</v>
      </c>
      <c r="B495" s="228" t="s">
        <v>2849</v>
      </c>
      <c r="C495" s="45" t="s">
        <v>1244</v>
      </c>
      <c r="D495" s="45" t="s">
        <v>1245</v>
      </c>
      <c r="E495" s="45" t="s">
        <v>1246</v>
      </c>
      <c r="F495" s="187">
        <v>124.0</v>
      </c>
      <c r="G495" s="180" t="str">
        <f>IFERROR(__xludf.DUMMYFUNCTION("TRIM(REGEXREPLACE(C495, ""[0-9]+[a-f]?\."", """"))"),"Daily household expenses (Less than 500 CFA)")</f>
        <v>Daily household expenses (Less than 500 CFA)</v>
      </c>
      <c r="H495" s="180" t="str">
        <f>IFERROR(__xludf.DUMMYFUNCTION("TRIM(REGEXREPLACE(D495, ""[0-9]+[a-f]?\."", """"))"),"Dépenses quotidiennes du ménage (Moins de 500 CFA)")</f>
        <v>Dépenses quotidiennes du ménage (Moins de 500 CFA)</v>
      </c>
      <c r="I495" s="180" t="str">
        <f>IFERROR(__xludf.DUMMYFUNCTION("TRIM(REGEXREPLACE(E495, ""[0-9]+[a-f]?\."", """"))"),"Kashe kashen kuɗin gida na yau da kullun ( Kasa da dala ɗari)")</f>
        <v>Kashe kashen kuɗin gida na yau da kullun ( Kasa da dala ɗari)</v>
      </c>
      <c r="J495" s="180" t="str">
        <f t="shared" ref="J495:L495" si="124">$F495 &amp; ". "&amp;G495</f>
        <v>124. Daily household expenses (Less than 500 CFA)</v>
      </c>
      <c r="K495" s="180" t="str">
        <f t="shared" si="124"/>
        <v>124. Dépenses quotidiennes du ménage (Moins de 500 CFA)</v>
      </c>
      <c r="L495" s="180" t="str">
        <f t="shared" si="124"/>
        <v>124. Kashe kashen kuɗin gida na yau da kullun ( Kasa da dala ɗari)</v>
      </c>
    </row>
    <row r="496">
      <c r="A496" s="80" t="s">
        <v>2847</v>
      </c>
      <c r="B496" s="228" t="s">
        <v>2852</v>
      </c>
      <c r="C496" s="45" t="s">
        <v>1248</v>
      </c>
      <c r="D496" s="45" t="s">
        <v>1249</v>
      </c>
      <c r="E496" s="45" t="s">
        <v>1250</v>
      </c>
      <c r="F496" s="187">
        <v>125.0</v>
      </c>
      <c r="G496" s="180" t="str">
        <f>IFERROR(__xludf.DUMMYFUNCTION("TRIM(REGEXREPLACE(C496, ""[0-9]+[a-f]?\."", """"))"),"Household purchases worth more than 500 CFA")</f>
        <v>Household purchases worth more than 500 CFA</v>
      </c>
      <c r="H496" s="180" t="str">
        <f>IFERROR(__xludf.DUMMYFUNCTION("TRIM(REGEXREPLACE(D496, ""[0-9]+[a-f]?\."", """"))"),"Achats liés au bien être des ménages d'une valeur supérieure à 500 CFA")</f>
        <v>Achats liés au bien être des ménages d'une valeur supérieure à 500 CFA</v>
      </c>
      <c r="I496" s="180" t="str">
        <f>IFERROR(__xludf.DUMMYFUNCTION("TRIM(REGEXREPLACE(E496, ""[0-9]+[a-f]?\."", """"))"),"Sayayyar gida na sama da ɗari")</f>
        <v>Sayayyar gida na sama da ɗari</v>
      </c>
      <c r="J496" s="180" t="str">
        <f t="shared" ref="J496:L496" si="125">$F496 &amp; ". "&amp;G496</f>
        <v>125. Household purchases worth more than 500 CFA</v>
      </c>
      <c r="K496" s="180" t="str">
        <f t="shared" si="125"/>
        <v>125. Achats liés au bien être des ménages d'une valeur supérieure à 500 CFA</v>
      </c>
      <c r="L496" s="180" t="str">
        <f t="shared" si="125"/>
        <v>125. Sayayyar gida na sama da ɗari</v>
      </c>
    </row>
    <row r="497">
      <c r="A497" s="80" t="s">
        <v>2847</v>
      </c>
      <c r="B497" s="228" t="s">
        <v>2857</v>
      </c>
      <c r="C497" s="45" t="s">
        <v>1252</v>
      </c>
      <c r="D497" s="45" t="s">
        <v>1254</v>
      </c>
      <c r="E497" s="45" t="s">
        <v>1255</v>
      </c>
      <c r="F497" s="187">
        <v>126.0</v>
      </c>
      <c r="G497" s="180" t="str">
        <f>IFERROR(__xludf.DUMMYFUNCTION("TRIM(REGEXREPLACE(C497, ""[0-9]+[a-f]?\."", """"))"),"Family planning (how many children to have)")</f>
        <v>Family planning (how many children to have)</v>
      </c>
      <c r="H497" s="180" t="str">
        <f>IFERROR(__xludf.DUMMYFUNCTION("TRIM(REGEXREPLACE(D497, ""[0-9]+[a-f]?\."", """"))"),"Planification familiale (combien d'enfants avoir)")</f>
        <v>Planification familiale (combien d'enfants avoir)</v>
      </c>
      <c r="I497" s="180" t="str">
        <f>IFERROR(__xludf.DUMMYFUNCTION("TRIM(REGEXREPLACE(E497, ""[0-9]+[a-f]?\."", """"))"),"Tsarin iyali (ƴaƴa nawa za a haifa)")</f>
        <v>Tsarin iyali (ƴaƴa nawa za a haifa)</v>
      </c>
      <c r="J497" s="180" t="str">
        <f t="shared" ref="J497:L497" si="126">$F497 &amp; ". "&amp;G497</f>
        <v>126. Family planning (how many children to have)</v>
      </c>
      <c r="K497" s="180" t="str">
        <f t="shared" si="126"/>
        <v>126. Planification familiale (combien d'enfants avoir)</v>
      </c>
      <c r="L497" s="180" t="str">
        <f t="shared" si="126"/>
        <v>126. Tsarin iyali (ƴaƴa nawa za a haifa)</v>
      </c>
    </row>
    <row r="498">
      <c r="A498" s="80" t="s">
        <v>2847</v>
      </c>
      <c r="B498" s="228" t="s">
        <v>2858</v>
      </c>
      <c r="C498" s="45" t="s">
        <v>1258</v>
      </c>
      <c r="D498" s="45" t="s">
        <v>1259</v>
      </c>
      <c r="E498" s="45" t="s">
        <v>1260</v>
      </c>
      <c r="F498" s="187">
        <v>127.0</v>
      </c>
      <c r="G498" s="180" t="str">
        <f>IFERROR(__xludf.DUMMYFUNCTION("TRIM(REGEXREPLACE(C498, ""[0-9]+[a-f]?\."", """"))"),"Whether the husband will migrate to find work")</f>
        <v>Whether the husband will migrate to find work</v>
      </c>
      <c r="H498" s="180" t="str">
        <f>IFERROR(__xludf.DUMMYFUNCTION("TRIM(REGEXREPLACE(D498, ""[0-9]+[a-f]?\."", """"))"),"Si le mari va migrer pour trouver du travail")</f>
        <v>Si le mari va migrer pour trouver du travail</v>
      </c>
      <c r="I498" s="180" t="str">
        <f>IFERROR(__xludf.DUMMYFUNCTION("TRIM(REGEXREPLACE(E498, ""[0-9]+[a-f]?\."", """"))"),"Ko mijin zai yi tahiya don neman aiki")</f>
        <v>Ko mijin zai yi tahiya don neman aiki</v>
      </c>
      <c r="J498" s="180" t="str">
        <f t="shared" ref="J498:L498" si="127">$F498 &amp; ". "&amp;G498</f>
        <v>127. Whether the husband will migrate to find work</v>
      </c>
      <c r="K498" s="180" t="str">
        <f t="shared" si="127"/>
        <v>127. Si le mari va migrer pour trouver du travail</v>
      </c>
      <c r="L498" s="180" t="str">
        <f t="shared" si="127"/>
        <v>127. Ko mijin zai yi tahiya don neman aiki</v>
      </c>
    </row>
    <row r="499">
      <c r="A499" s="80" t="s">
        <v>2847</v>
      </c>
      <c r="B499" s="228" t="s">
        <v>2860</v>
      </c>
      <c r="C499" s="45" t="s">
        <v>1263</v>
      </c>
      <c r="D499" s="45" t="s">
        <v>1264</v>
      </c>
      <c r="E499" s="45" t="s">
        <v>1265</v>
      </c>
      <c r="F499" s="187">
        <v>128.0</v>
      </c>
      <c r="G499" s="180" t="str">
        <f>IFERROR(__xludf.DUMMYFUNCTION("TRIM(REGEXREPLACE(C499, ""[0-9]+[a-f]?\."", """"))"),"Who to vote for in local elections?")</f>
        <v>Who to vote for in local elections?</v>
      </c>
      <c r="H499" s="180" t="str">
        <f>IFERROR(__xludf.DUMMYFUNCTION("TRIM(REGEXREPLACE(D499, ""[0-9]+[a-f]?\."", """"))"),"Pour qui voter aux élections municipales ?")</f>
        <v>Pour qui voter aux élections municipales ?</v>
      </c>
      <c r="I499" s="180" t="str">
        <f>IFERROR(__xludf.DUMMYFUNCTION("TRIM(REGEXREPLACE(E499, ""[0-9]+[a-f]?\."", """"))"),"Wanene za'a zaɓa a zaɓen ƙananan hukumomi?")</f>
        <v>Wanene za'a zaɓa a zaɓen ƙananan hukumomi?</v>
      </c>
      <c r="J499" s="180" t="str">
        <f t="shared" ref="J499:L499" si="128">$F499 &amp; ". "&amp;G499</f>
        <v>128. Who to vote for in local elections?</v>
      </c>
      <c r="K499" s="180" t="str">
        <f t="shared" si="128"/>
        <v>128. Pour qui voter aux élections municipales ?</v>
      </c>
      <c r="L499" s="180" t="str">
        <f t="shared" si="128"/>
        <v>128. Wanene za'a zaɓa a zaɓen ƙananan hukumomi?</v>
      </c>
    </row>
    <row r="500">
      <c r="A500" s="80" t="s">
        <v>2847</v>
      </c>
      <c r="B500" s="228" t="s">
        <v>2865</v>
      </c>
      <c r="C500" s="45" t="s">
        <v>1269</v>
      </c>
      <c r="D500" s="45" t="s">
        <v>1270</v>
      </c>
      <c r="E500" s="45" t="s">
        <v>1271</v>
      </c>
      <c r="F500" s="187">
        <v>129.0</v>
      </c>
      <c r="G500" s="180" t="str">
        <f>IFERROR(__xludf.DUMMYFUNCTION("TRIM(REGEXREPLACE(C500, ""[0-9]+[a-f]?\."", """"))"),"To whom your daughter should marry?")</f>
        <v>To whom your daughter should marry?</v>
      </c>
      <c r="H500" s="180" t="str">
        <f>IFERROR(__xludf.DUMMYFUNCTION("TRIM(REGEXREPLACE(D500, ""[0-9]+[a-f]?\."", """"))"),"Avec qui votre fille devrait-elle se marier ?")</f>
        <v>Avec qui votre fille devrait-elle se marier ?</v>
      </c>
      <c r="I500" s="180" t="str">
        <f>IFERROR(__xludf.DUMMYFUNCTION("TRIM(REGEXREPLACE(E500, ""[0-9]+[a-f]?\."", """"))"),"Wa ya kamata ƴarku ta aura?")</f>
        <v>Wa ya kamata ƴarku ta aura?</v>
      </c>
      <c r="J500" s="180" t="str">
        <f t="shared" ref="J500:L500" si="129">$F500 &amp; ". "&amp;G500</f>
        <v>129. To whom your daughter should marry?</v>
      </c>
      <c r="K500" s="180" t="str">
        <f t="shared" si="129"/>
        <v>129. Avec qui votre fille devrait-elle se marier ?</v>
      </c>
      <c r="L500" s="180" t="str">
        <f t="shared" si="129"/>
        <v>129. Wa ya kamata ƴarku ta aura?</v>
      </c>
    </row>
    <row r="501" hidden="1">
      <c r="A501" s="180"/>
      <c r="B501" s="182"/>
      <c r="C501" s="182"/>
      <c r="D501" s="182"/>
      <c r="E501" s="182"/>
      <c r="F501" s="187">
        <v>305.0</v>
      </c>
      <c r="G501" s="180" t="str">
        <f>IFERROR(__xludf.DUMMYFUNCTION("TRIM(REGEXREPLACE(C501, ""[0-9]+[a-f]?\."", """"))"),"")</f>
        <v/>
      </c>
      <c r="H501" s="180" t="str">
        <f>IFERROR(__xludf.DUMMYFUNCTION("TRIM(REGEXREPLACE(D501, ""[0-9]+[a-f]?\."", """"))"),"")</f>
        <v/>
      </c>
      <c r="I501" s="180" t="str">
        <f>IFERROR(__xludf.DUMMYFUNCTION("TRIM(REGEXREPLACE(E501, ""[0-9]+[a-f]?\."", """"))"),"")</f>
        <v/>
      </c>
      <c r="J501" s="180" t="s">
        <v>2870</v>
      </c>
      <c r="K501" s="180" t="s">
        <v>2871</v>
      </c>
      <c r="L501" s="180" t="s">
        <v>2872</v>
      </c>
    </row>
    <row r="502" hidden="1">
      <c r="A502" s="180"/>
      <c r="B502" s="182"/>
      <c r="C502" s="182"/>
      <c r="D502" s="182"/>
      <c r="E502" s="182"/>
      <c r="F502" s="187">
        <v>306.0</v>
      </c>
      <c r="G502" s="180" t="str">
        <f>IFERROR(__xludf.DUMMYFUNCTION("TRIM(REGEXREPLACE(C502, ""[0-9]+[a-f]?\."", """"))"),"")</f>
        <v/>
      </c>
      <c r="H502" s="180" t="str">
        <f>IFERROR(__xludf.DUMMYFUNCTION("TRIM(REGEXREPLACE(D502, ""[0-9]+[a-f]?\."", """"))"),"")</f>
        <v/>
      </c>
      <c r="I502" s="180" t="str">
        <f>IFERROR(__xludf.DUMMYFUNCTION("TRIM(REGEXREPLACE(E502, ""[0-9]+[a-f]?\."", """"))"),"")</f>
        <v/>
      </c>
      <c r="J502" s="180" t="s">
        <v>2874</v>
      </c>
      <c r="K502" s="180" t="s">
        <v>2875</v>
      </c>
      <c r="L502" s="180" t="s">
        <v>2876</v>
      </c>
    </row>
    <row r="503">
      <c r="A503" s="80" t="s">
        <v>2847</v>
      </c>
      <c r="B503" s="228" t="s">
        <v>2877</v>
      </c>
      <c r="C503" s="45" t="s">
        <v>1272</v>
      </c>
      <c r="D503" s="45" t="s">
        <v>1273</v>
      </c>
      <c r="E503" s="45" t="s">
        <v>1275</v>
      </c>
      <c r="F503" s="187">
        <v>130.0</v>
      </c>
      <c r="G503" s="180" t="str">
        <f>IFERROR(__xludf.DUMMYFUNCTION("TRIM(REGEXREPLACE(C503, ""[0-9]+[a-f]?\."", """"))"),"Children's enrollment in school")</f>
        <v>Children's enrollment in school</v>
      </c>
      <c r="H503" s="180" t="str">
        <f>IFERROR(__xludf.DUMMYFUNCTION("TRIM(REGEXREPLACE(D503, ""[0-9]+[a-f]?\."", """"))"),"Inscription des enfants à l'école")</f>
        <v>Inscription des enfants à l'école</v>
      </c>
      <c r="I503" s="180" t="str">
        <f>IFERROR(__xludf.DUMMYFUNCTION("TRIM(REGEXREPLACE(E503, ""[0-9]+[a-f]?\."", """"))"),"Rubuta yara a makaranta")</f>
        <v>Rubuta yara a makaranta</v>
      </c>
      <c r="J503" s="180" t="str">
        <f t="shared" ref="J503:L503" si="130">$F503 &amp; ". "&amp;G503</f>
        <v>130. Children's enrollment in school</v>
      </c>
      <c r="K503" s="180" t="str">
        <f t="shared" si="130"/>
        <v>130. Inscription des enfants à l'école</v>
      </c>
      <c r="L503" s="180" t="str">
        <f t="shared" si="130"/>
        <v>130. Rubuta yara a makaranta</v>
      </c>
    </row>
    <row r="504" hidden="1">
      <c r="A504" s="180"/>
      <c r="B504" s="182"/>
      <c r="C504" s="182"/>
      <c r="D504" s="182"/>
      <c r="E504" s="182"/>
      <c r="F504" s="187">
        <v>333.0</v>
      </c>
      <c r="G504" s="180" t="str">
        <f>IFERROR(__xludf.DUMMYFUNCTION("TRIM(REGEXREPLACE(C504, ""[0-9]+[a-f]?\."", """"))"),"")</f>
        <v/>
      </c>
      <c r="H504" s="180" t="str">
        <f>IFERROR(__xludf.DUMMYFUNCTION("TRIM(REGEXREPLACE(D504, ""[0-9]+[a-f]?\."", """"))"),"")</f>
        <v/>
      </c>
      <c r="I504" s="180" t="str">
        <f>IFERROR(__xludf.DUMMYFUNCTION("TRIM(REGEXREPLACE(E504, ""[0-9]+[a-f]?\."", """"))"),"")</f>
        <v/>
      </c>
      <c r="J504" s="180" t="s">
        <v>2881</v>
      </c>
      <c r="K504" s="180" t="s">
        <v>2882</v>
      </c>
      <c r="L504" s="180" t="s">
        <v>2884</v>
      </c>
    </row>
    <row r="505" hidden="1">
      <c r="A505" s="180"/>
      <c r="B505" s="182"/>
      <c r="C505" s="182"/>
      <c r="D505" s="182"/>
      <c r="E505" s="182"/>
      <c r="F505" s="187">
        <v>334.0</v>
      </c>
      <c r="G505" s="180" t="str">
        <f>IFERROR(__xludf.DUMMYFUNCTION("TRIM(REGEXREPLACE(C505, ""[0-9]+[a-f]?\."", """"))"),"")</f>
        <v/>
      </c>
      <c r="H505" s="180" t="str">
        <f>IFERROR(__xludf.DUMMYFUNCTION("TRIM(REGEXREPLACE(D505, ""[0-9]+[a-f]?\."", """"))"),"")</f>
        <v/>
      </c>
      <c r="I505" s="180" t="str">
        <f>IFERROR(__xludf.DUMMYFUNCTION("TRIM(REGEXREPLACE(E505, ""[0-9]+[a-f]?\."", """"))"),"")</f>
        <v/>
      </c>
      <c r="J505" s="180" t="s">
        <v>2885</v>
      </c>
      <c r="K505" s="180" t="s">
        <v>2886</v>
      </c>
      <c r="L505" s="180" t="s">
        <v>2887</v>
      </c>
    </row>
    <row r="506" hidden="1">
      <c r="A506" s="180"/>
      <c r="B506" s="182"/>
      <c r="C506" s="182"/>
      <c r="D506" s="182"/>
      <c r="E506" s="182"/>
      <c r="F506" s="187">
        <v>297.0</v>
      </c>
      <c r="G506" s="180" t="str">
        <f>IFERROR(__xludf.DUMMYFUNCTION("TRIM(REGEXREPLACE(C506, ""[0-9]+[a-f]?\."", """"))"),"")</f>
        <v/>
      </c>
      <c r="H506" s="180" t="str">
        <f>IFERROR(__xludf.DUMMYFUNCTION("TRIM(REGEXREPLACE(D506, ""[0-9]+[a-f]?\."", """"))"),"")</f>
        <v/>
      </c>
      <c r="I506" s="180" t="str">
        <f>IFERROR(__xludf.DUMMYFUNCTION("TRIM(REGEXREPLACE(E506, ""[0-9]+[a-f]?\."", """"))"),"")</f>
        <v/>
      </c>
      <c r="J506" s="180" t="s">
        <v>2888</v>
      </c>
      <c r="K506" s="180" t="s">
        <v>2889</v>
      </c>
      <c r="L506" s="180" t="s">
        <v>2890</v>
      </c>
    </row>
    <row r="507" hidden="1">
      <c r="A507" s="180"/>
      <c r="B507" s="182"/>
      <c r="C507" s="182"/>
      <c r="D507" s="182"/>
      <c r="E507" s="182"/>
      <c r="F507" s="187">
        <v>311.0</v>
      </c>
      <c r="G507" s="180" t="str">
        <f>IFERROR(__xludf.DUMMYFUNCTION("TRIM(REGEXREPLACE(C507, ""[0-9]+[a-f]?\."", """"))"),"")</f>
        <v/>
      </c>
      <c r="H507" s="180" t="str">
        <f>IFERROR(__xludf.DUMMYFUNCTION("TRIM(REGEXREPLACE(D507, ""[0-9]+[a-f]?\."", """"))"),"")</f>
        <v/>
      </c>
      <c r="I507" s="180" t="str">
        <f>IFERROR(__xludf.DUMMYFUNCTION("TRIM(REGEXREPLACE(E507, ""[0-9]+[a-f]?\."", """"))"),"")</f>
        <v/>
      </c>
      <c r="J507" s="180" t="s">
        <v>2894</v>
      </c>
      <c r="K507" s="180" t="s">
        <v>2896</v>
      </c>
      <c r="L507" s="180" t="s">
        <v>2897</v>
      </c>
    </row>
    <row r="508" hidden="1">
      <c r="A508" s="180"/>
      <c r="B508" s="182"/>
      <c r="C508" s="182"/>
      <c r="D508" s="182"/>
      <c r="E508" s="182"/>
      <c r="F508" s="187">
        <v>298.0</v>
      </c>
      <c r="G508" s="180" t="str">
        <f>IFERROR(__xludf.DUMMYFUNCTION("TRIM(REGEXREPLACE(C508, ""[0-9]+[a-f]?\."", """"))"),"")</f>
        <v/>
      </c>
      <c r="H508" s="180" t="str">
        <f>IFERROR(__xludf.DUMMYFUNCTION("TRIM(REGEXREPLACE(D508, ""[0-9]+[a-f]?\."", """"))"),"")</f>
        <v/>
      </c>
      <c r="I508" s="180" t="str">
        <f>IFERROR(__xludf.DUMMYFUNCTION("TRIM(REGEXREPLACE(E508, ""[0-9]+[a-f]?\."", """"))"),"")</f>
        <v/>
      </c>
      <c r="J508" s="180" t="s">
        <v>2898</v>
      </c>
      <c r="K508" s="180" t="s">
        <v>2899</v>
      </c>
      <c r="L508" s="180" t="s">
        <v>2900</v>
      </c>
    </row>
    <row r="509" hidden="1">
      <c r="A509" s="180"/>
      <c r="B509" s="182"/>
      <c r="C509" s="182"/>
      <c r="D509" s="182"/>
      <c r="E509" s="182"/>
      <c r="F509" s="187">
        <v>299.0</v>
      </c>
      <c r="G509" s="180" t="str">
        <f>IFERROR(__xludf.DUMMYFUNCTION("TRIM(REGEXREPLACE(C509, ""[0-9]+[a-f]?\."", """"))"),"")</f>
        <v/>
      </c>
      <c r="H509" s="180" t="str">
        <f>IFERROR(__xludf.DUMMYFUNCTION("TRIM(REGEXREPLACE(D509, ""[0-9]+[a-f]?\."", """"))"),"")</f>
        <v/>
      </c>
      <c r="I509" s="180" t="str">
        <f>IFERROR(__xludf.DUMMYFUNCTION("TRIM(REGEXREPLACE(E509, ""[0-9]+[a-f]?\."", """"))"),"")</f>
        <v/>
      </c>
      <c r="J509" s="180" t="s">
        <v>2901</v>
      </c>
      <c r="K509" s="180" t="s">
        <v>2902</v>
      </c>
      <c r="L509" s="180" t="s">
        <v>2903</v>
      </c>
    </row>
    <row r="510" hidden="1">
      <c r="A510" s="151" t="s">
        <v>237</v>
      </c>
      <c r="B510" s="226" t="s">
        <v>2824</v>
      </c>
      <c r="C510" s="226" t="s">
        <v>2825</v>
      </c>
      <c r="D510" s="226"/>
      <c r="E510" s="226"/>
      <c r="F510" s="187">
        <v>329.0</v>
      </c>
      <c r="G510" s="180" t="str">
        <f>IFERROR(__xludf.DUMMYFUNCTION("TRIM(REGEXREPLACE(C510, ""[0-9]+[a-f]?\."", """"))"),"Spouse consultation")</f>
        <v>Spouse consultation</v>
      </c>
      <c r="H510" s="180" t="str">
        <f>IFERROR(__xludf.DUMMYFUNCTION("TRIM(REGEXREPLACE(D510, ""[0-9]+[a-f]?\."", """"))"),"")</f>
        <v/>
      </c>
      <c r="I510" s="180" t="str">
        <f>IFERROR(__xludf.DUMMYFUNCTION("TRIM(REGEXREPLACE(E510, ""[0-9]+[a-f]?\."", """"))"),"")</f>
        <v/>
      </c>
      <c r="J510" s="180" t="s">
        <v>2907</v>
      </c>
      <c r="K510" s="180" t="s">
        <v>2908</v>
      </c>
      <c r="L510" s="180" t="s">
        <v>2908</v>
      </c>
    </row>
    <row r="511" hidden="1">
      <c r="A511" s="180"/>
      <c r="B511" s="182"/>
      <c r="C511" s="182"/>
      <c r="D511" s="182"/>
      <c r="E511" s="182"/>
      <c r="F511" s="187">
        <v>335.0</v>
      </c>
      <c r="G511" s="180" t="str">
        <f>IFERROR(__xludf.DUMMYFUNCTION("TRIM(REGEXREPLACE(C511, ""[0-9]+[a-f]?\."", """"))"),"")</f>
        <v/>
      </c>
      <c r="H511" s="180" t="str">
        <f>IFERROR(__xludf.DUMMYFUNCTION("TRIM(REGEXREPLACE(D511, ""[0-9]+[a-f]?\."", """"))"),"")</f>
        <v/>
      </c>
      <c r="I511" s="180" t="str">
        <f>IFERROR(__xludf.DUMMYFUNCTION("TRIM(REGEXREPLACE(E511, ""[0-9]+[a-f]?\."", """"))"),"")</f>
        <v/>
      </c>
      <c r="J511" s="180" t="s">
        <v>2909</v>
      </c>
      <c r="K511" s="180" t="s">
        <v>2910</v>
      </c>
      <c r="L511" s="180" t="s">
        <v>2911</v>
      </c>
    </row>
    <row r="512" hidden="1">
      <c r="A512" s="180"/>
      <c r="B512" s="182"/>
      <c r="C512" s="182"/>
      <c r="D512" s="182"/>
      <c r="E512" s="182"/>
      <c r="F512" s="187">
        <v>316.0</v>
      </c>
      <c r="G512" s="180" t="str">
        <f>IFERROR(__xludf.DUMMYFUNCTION("TRIM(REGEXREPLACE(C512, ""[0-9]+[a-f]?\."", """"))"),"")</f>
        <v/>
      </c>
      <c r="H512" s="180" t="str">
        <f>IFERROR(__xludf.DUMMYFUNCTION("TRIM(REGEXREPLACE(D512, ""[0-9]+[a-f]?\."", """"))"),"")</f>
        <v/>
      </c>
      <c r="I512" s="180" t="str">
        <f>IFERROR(__xludf.DUMMYFUNCTION("TRIM(REGEXREPLACE(E512, ""[0-9]+[a-f]?\."", """"))"),"")</f>
        <v/>
      </c>
      <c r="J512" s="180" t="s">
        <v>2912</v>
      </c>
      <c r="K512" s="180" t="s">
        <v>2913</v>
      </c>
      <c r="L512" s="180" t="s">
        <v>2914</v>
      </c>
    </row>
    <row r="513" hidden="1">
      <c r="A513" s="180"/>
      <c r="B513" s="182"/>
      <c r="C513" s="182"/>
      <c r="D513" s="182"/>
      <c r="E513" s="182"/>
      <c r="F513" s="187">
        <v>317.0</v>
      </c>
      <c r="G513" s="180" t="str">
        <f>IFERROR(__xludf.DUMMYFUNCTION("TRIM(REGEXREPLACE(C513, ""[0-9]+[a-f]?\."", """"))"),"")</f>
        <v/>
      </c>
      <c r="H513" s="180" t="str">
        <f>IFERROR(__xludf.DUMMYFUNCTION("TRIM(REGEXREPLACE(D513, ""[0-9]+[a-f]?\."", """"))"),"")</f>
        <v/>
      </c>
      <c r="I513" s="180" t="str">
        <f>IFERROR(__xludf.DUMMYFUNCTION("TRIM(REGEXREPLACE(E513, ""[0-9]+[a-f]?\."", """"))"),"")</f>
        <v/>
      </c>
      <c r="J513" s="180" t="s">
        <v>2915</v>
      </c>
      <c r="K513" s="180" t="s">
        <v>2916</v>
      </c>
      <c r="L513" s="180" t="s">
        <v>2917</v>
      </c>
    </row>
    <row r="514" hidden="1">
      <c r="A514" s="180"/>
      <c r="B514" s="182"/>
      <c r="C514" s="182"/>
      <c r="D514" s="182"/>
      <c r="E514" s="182"/>
      <c r="F514" s="187">
        <v>301.0</v>
      </c>
      <c r="G514" s="180" t="str">
        <f>IFERROR(__xludf.DUMMYFUNCTION("TRIM(REGEXREPLACE(C514, ""[0-9]+[a-f]?\."", """"))"),"")</f>
        <v/>
      </c>
      <c r="H514" s="180" t="str">
        <f>IFERROR(__xludf.DUMMYFUNCTION("TRIM(REGEXREPLACE(D514, ""[0-9]+[a-f]?\."", """"))"),"")</f>
        <v/>
      </c>
      <c r="I514" s="180" t="str">
        <f>IFERROR(__xludf.DUMMYFUNCTION("TRIM(REGEXREPLACE(E514, ""[0-9]+[a-f]?\."", """"))"),"")</f>
        <v/>
      </c>
      <c r="J514" s="180" t="s">
        <v>2921</v>
      </c>
      <c r="K514" s="180" t="s">
        <v>2922</v>
      </c>
      <c r="L514" s="180" t="s">
        <v>2923</v>
      </c>
    </row>
    <row r="515" hidden="1">
      <c r="A515" s="180"/>
      <c r="B515" s="182"/>
      <c r="C515" s="182"/>
      <c r="D515" s="182"/>
      <c r="E515" s="182"/>
      <c r="F515" s="187">
        <v>302.0</v>
      </c>
      <c r="G515" s="180" t="str">
        <f>IFERROR(__xludf.DUMMYFUNCTION("TRIM(REGEXREPLACE(C515, ""[0-9]+[a-f]?\."", """"))"),"")</f>
        <v/>
      </c>
      <c r="H515" s="180" t="str">
        <f>IFERROR(__xludf.DUMMYFUNCTION("TRIM(REGEXREPLACE(D515, ""[0-9]+[a-f]?\."", """"))"),"")</f>
        <v/>
      </c>
      <c r="I515" s="180" t="str">
        <f>IFERROR(__xludf.DUMMYFUNCTION("TRIM(REGEXREPLACE(E515, ""[0-9]+[a-f]?\."", """"))"),"")</f>
        <v/>
      </c>
      <c r="J515" s="180" t="s">
        <v>2924</v>
      </c>
      <c r="K515" s="180" t="s">
        <v>2925</v>
      </c>
      <c r="L515" s="180" t="s">
        <v>2926</v>
      </c>
    </row>
    <row r="516" hidden="1">
      <c r="A516" s="180"/>
      <c r="B516" s="182"/>
      <c r="C516" s="182"/>
      <c r="D516" s="182"/>
      <c r="E516" s="182"/>
      <c r="F516" s="187">
        <v>303.0</v>
      </c>
      <c r="G516" s="180" t="str">
        <f>IFERROR(__xludf.DUMMYFUNCTION("TRIM(REGEXREPLACE(C516, ""[0-9]+[a-f]?\."", """"))"),"")</f>
        <v/>
      </c>
      <c r="H516" s="180" t="str">
        <f>IFERROR(__xludf.DUMMYFUNCTION("TRIM(REGEXREPLACE(D516, ""[0-9]+[a-f]?\."", """"))"),"")</f>
        <v/>
      </c>
      <c r="I516" s="180" t="str">
        <f>IFERROR(__xludf.DUMMYFUNCTION("TRIM(REGEXREPLACE(E516, ""[0-9]+[a-f]?\."", """"))"),"")</f>
        <v/>
      </c>
      <c r="J516" s="180" t="s">
        <v>2930</v>
      </c>
      <c r="K516" s="180" t="s">
        <v>2931</v>
      </c>
      <c r="L516" s="180" t="s">
        <v>2933</v>
      </c>
    </row>
    <row r="517" hidden="1">
      <c r="A517" s="180"/>
      <c r="B517" s="182"/>
      <c r="C517" s="182"/>
      <c r="D517" s="182"/>
      <c r="E517" s="182"/>
      <c r="F517" s="187">
        <v>304.0</v>
      </c>
      <c r="G517" s="180" t="str">
        <f>IFERROR(__xludf.DUMMYFUNCTION("TRIM(REGEXREPLACE(C517, ""[0-9]+[a-f]?\."", """"))"),"")</f>
        <v/>
      </c>
      <c r="H517" s="180" t="str">
        <f>IFERROR(__xludf.DUMMYFUNCTION("TRIM(REGEXREPLACE(D517, ""[0-9]+[a-f]?\."", """"))"),"")</f>
        <v/>
      </c>
      <c r="I517" s="180" t="str">
        <f>IFERROR(__xludf.DUMMYFUNCTION("TRIM(REGEXREPLACE(E517, ""[0-9]+[a-f]?\."", """"))"),"")</f>
        <v/>
      </c>
      <c r="J517" s="180" t="s">
        <v>2934</v>
      </c>
      <c r="K517" s="180" t="s">
        <v>2935</v>
      </c>
      <c r="L517" s="180" t="s">
        <v>2936</v>
      </c>
    </row>
    <row r="518" hidden="1">
      <c r="A518" s="180"/>
      <c r="B518" s="182"/>
      <c r="C518" s="182"/>
      <c r="D518" s="182"/>
      <c r="E518" s="182"/>
      <c r="F518" s="187">
        <v>305.0</v>
      </c>
      <c r="G518" s="180" t="str">
        <f>IFERROR(__xludf.DUMMYFUNCTION("TRIM(REGEXREPLACE(C518, ""[0-9]+[a-f]?\."", """"))"),"")</f>
        <v/>
      </c>
      <c r="H518" s="180" t="str">
        <f>IFERROR(__xludf.DUMMYFUNCTION("TRIM(REGEXREPLACE(D518, ""[0-9]+[a-f]?\."", """"))"),"")</f>
        <v/>
      </c>
      <c r="I518" s="180" t="str">
        <f>IFERROR(__xludf.DUMMYFUNCTION("TRIM(REGEXREPLACE(E518, ""[0-9]+[a-f]?\."", """"))"),"")</f>
        <v/>
      </c>
      <c r="J518" s="180" t="s">
        <v>2937</v>
      </c>
      <c r="K518" s="180" t="s">
        <v>2938</v>
      </c>
      <c r="L518" s="180" t="s">
        <v>2939</v>
      </c>
    </row>
    <row r="519" hidden="1">
      <c r="A519" s="180"/>
      <c r="B519" s="182"/>
      <c r="C519" s="182"/>
      <c r="D519" s="182"/>
      <c r="E519" s="182"/>
      <c r="F519" s="187">
        <v>306.0</v>
      </c>
      <c r="G519" s="180" t="str">
        <f>IFERROR(__xludf.DUMMYFUNCTION("TRIM(REGEXREPLACE(C519, ""[0-9]+[a-f]?\."", """"))"),"")</f>
        <v/>
      </c>
      <c r="H519" s="180" t="str">
        <f>IFERROR(__xludf.DUMMYFUNCTION("TRIM(REGEXREPLACE(D519, ""[0-9]+[a-f]?\."", """"))"),"")</f>
        <v/>
      </c>
      <c r="I519" s="180" t="str">
        <f>IFERROR(__xludf.DUMMYFUNCTION("TRIM(REGEXREPLACE(E519, ""[0-9]+[a-f]?\."", """"))"),"")</f>
        <v/>
      </c>
      <c r="J519" s="180" t="s">
        <v>2940</v>
      </c>
      <c r="K519" s="180" t="s">
        <v>2941</v>
      </c>
      <c r="L519" s="180" t="s">
        <v>2942</v>
      </c>
    </row>
    <row r="520" hidden="1">
      <c r="A520" s="254"/>
      <c r="B520" s="191"/>
      <c r="C520" s="191" t="s">
        <v>50</v>
      </c>
      <c r="D520" s="191" t="s">
        <v>50</v>
      </c>
      <c r="E520" s="191" t="s">
        <v>50</v>
      </c>
      <c r="F520" s="187">
        <v>330.0</v>
      </c>
      <c r="G520" s="180" t="str">
        <f>IFERROR(__xludf.DUMMYFUNCTION("TRIM(REGEXREPLACE(C520, ""[0-9]+[a-f]?\."", """"))"),"")</f>
        <v/>
      </c>
      <c r="H520" s="180" t="str">
        <f>IFERROR(__xludf.DUMMYFUNCTION("TRIM(REGEXREPLACE(D520, ""[0-9]+[a-f]?\."", """"))"),"")</f>
        <v/>
      </c>
      <c r="I520" s="180" t="str">
        <f>IFERROR(__xludf.DUMMYFUNCTION("TRIM(REGEXREPLACE(E520, ""[0-9]+[a-f]?\."", """"))"),"")</f>
        <v/>
      </c>
      <c r="J520" s="180" t="s">
        <v>2943</v>
      </c>
      <c r="K520" s="180" t="s">
        <v>2944</v>
      </c>
      <c r="L520" s="180" t="s">
        <v>2945</v>
      </c>
    </row>
    <row r="521" hidden="1">
      <c r="A521" s="151" t="s">
        <v>133</v>
      </c>
      <c r="B521" s="147" t="s">
        <v>2946</v>
      </c>
      <c r="C521" s="147" t="s">
        <v>2947</v>
      </c>
      <c r="D521" s="226"/>
      <c r="E521" s="226"/>
      <c r="F521" s="187">
        <v>331.0</v>
      </c>
      <c r="G521" s="180" t="str">
        <f>IFERROR(__xludf.DUMMYFUNCTION("TRIM(REGEXREPLACE(C521, ""[0-9]+[a-f]?\."", """"))"),"Family consultation")</f>
        <v>Family consultation</v>
      </c>
      <c r="H521" s="180" t="str">
        <f>IFERROR(__xludf.DUMMYFUNCTION("TRIM(REGEXREPLACE(D521, ""[0-9]+[a-f]?\."", """"))"),"")</f>
        <v/>
      </c>
      <c r="I521" s="180" t="str">
        <f>IFERROR(__xludf.DUMMYFUNCTION("TRIM(REGEXREPLACE(E521, ""[0-9]+[a-f]?\."", """"))"),"")</f>
        <v/>
      </c>
      <c r="J521" s="180" t="s">
        <v>2948</v>
      </c>
      <c r="K521" s="180" t="s">
        <v>2949</v>
      </c>
      <c r="L521" s="180" t="s">
        <v>2950</v>
      </c>
    </row>
    <row r="522">
      <c r="A522" s="266" t="s">
        <v>38</v>
      </c>
      <c r="B522" s="64" t="s">
        <v>2951</v>
      </c>
      <c r="C522" s="45" t="s">
        <v>1289</v>
      </c>
      <c r="D522" s="45" t="s">
        <v>1290</v>
      </c>
      <c r="E522" s="45" t="s">
        <v>1291</v>
      </c>
      <c r="F522" s="187">
        <v>131.0</v>
      </c>
      <c r="G522" s="180" t="str">
        <f>IFERROR(__xludf.DUMMYFUNCTION("TRIM(REGEXREPLACE(C522,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522" s="180" t="str">
        <f>IFERROR(__xludf.DUMMYFUNCTION("TRIM(REGEXREPLACE(D522,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522" s="180" t="str">
        <f>IFERROR(__xludf.DUMMYFUNCTION("TRIM(REGEXREPLACE(E522,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522" s="180" t="str">
        <f t="shared" ref="J522:L522" si="131">$F522 &amp; ". "&amp;G522</f>
        <v>131. I am now going to mention some things that families sometimes speak about. Please tell me if you and other adults in your household talk about these things</v>
      </c>
      <c r="K522" s="180" t="str">
        <f t="shared" si="131"/>
        <v>131. Je vais maintenant évoquer certaines choses dont les familles parlent parfois. S'il vous plaît, dites-moi si vous et d'autres adultes de votre ménage parlez de ces choses.</v>
      </c>
      <c r="L522" s="180" t="str">
        <f t="shared" si="131"/>
        <v>131. Yanzu zan ambaci wasu abubuwa da wani lokaci mutane suke magana akai. Don Allah ku gaya mani idan ku da sauran mutanen gidanku kuna magana akan waɗannan abubuwan</v>
      </c>
    </row>
    <row r="523" hidden="1">
      <c r="A523" s="180"/>
      <c r="B523" s="182"/>
      <c r="C523" s="182"/>
      <c r="D523" s="182"/>
      <c r="E523" s="182"/>
      <c r="F523" s="187">
        <v>310.0</v>
      </c>
      <c r="G523" s="180" t="str">
        <f>IFERROR(__xludf.DUMMYFUNCTION("TRIM(REGEXREPLACE(C523, ""[0-9]+[a-f]?\."", """"))"),"")</f>
        <v/>
      </c>
      <c r="H523" s="180" t="str">
        <f>IFERROR(__xludf.DUMMYFUNCTION("TRIM(REGEXREPLACE(D523, ""[0-9]+[a-f]?\."", """"))"),"")</f>
        <v/>
      </c>
      <c r="I523" s="180" t="str">
        <f>IFERROR(__xludf.DUMMYFUNCTION("TRIM(REGEXREPLACE(E523, ""[0-9]+[a-f]?\."", """"))"),"")</f>
        <v/>
      </c>
      <c r="J523" s="180" t="s">
        <v>2955</v>
      </c>
      <c r="K523" s="180" t="s">
        <v>2956</v>
      </c>
      <c r="L523" s="180" t="s">
        <v>2957</v>
      </c>
    </row>
    <row r="524" hidden="1">
      <c r="A524" s="180"/>
      <c r="B524" s="182"/>
      <c r="C524" s="182"/>
      <c r="D524" s="182"/>
      <c r="E524" s="182"/>
      <c r="F524" s="187">
        <v>311.0</v>
      </c>
      <c r="G524" s="180" t="str">
        <f>IFERROR(__xludf.DUMMYFUNCTION("TRIM(REGEXREPLACE(C524, ""[0-9]+[a-f]?\."", """"))"),"")</f>
        <v/>
      </c>
      <c r="H524" s="180" t="str">
        <f>IFERROR(__xludf.DUMMYFUNCTION("TRIM(REGEXREPLACE(D524, ""[0-9]+[a-f]?\."", """"))"),"")</f>
        <v/>
      </c>
      <c r="I524" s="180" t="str">
        <f>IFERROR(__xludf.DUMMYFUNCTION("TRIM(REGEXREPLACE(E524, ""[0-9]+[a-f]?\."", """"))"),"")</f>
        <v/>
      </c>
      <c r="J524" s="180" t="s">
        <v>2961</v>
      </c>
      <c r="K524" s="180" t="s">
        <v>2962</v>
      </c>
      <c r="L524" s="180" t="s">
        <v>2963</v>
      </c>
    </row>
    <row r="525" hidden="1">
      <c r="A525" s="180"/>
      <c r="B525" s="182"/>
      <c r="C525" s="182"/>
      <c r="D525" s="182"/>
      <c r="E525" s="182"/>
      <c r="F525" s="187">
        <v>336.0</v>
      </c>
      <c r="G525" s="180" t="str">
        <f>IFERROR(__xludf.DUMMYFUNCTION("TRIM(REGEXREPLACE(C525, ""[0-9]+[a-f]?\."", """"))"),"")</f>
        <v/>
      </c>
      <c r="H525" s="180" t="str">
        <f>IFERROR(__xludf.DUMMYFUNCTION("TRIM(REGEXREPLACE(D525, ""[0-9]+[a-f]?\."", """"))"),"")</f>
        <v/>
      </c>
      <c r="I525" s="180" t="str">
        <f>IFERROR(__xludf.DUMMYFUNCTION("TRIM(REGEXREPLACE(E525, ""[0-9]+[a-f]?\."", """"))"),"")</f>
        <v/>
      </c>
      <c r="J525" s="180" t="s">
        <v>2965</v>
      </c>
      <c r="K525" s="180" t="s">
        <v>2965</v>
      </c>
      <c r="L525" s="180" t="s">
        <v>2965</v>
      </c>
    </row>
    <row r="526" hidden="1">
      <c r="A526" s="180"/>
      <c r="B526" s="182"/>
      <c r="C526" s="182"/>
      <c r="D526" s="182"/>
      <c r="E526" s="182"/>
      <c r="F526" s="187">
        <v>337.0</v>
      </c>
      <c r="G526" s="180" t="str">
        <f>IFERROR(__xludf.DUMMYFUNCTION("TRIM(REGEXREPLACE(C526, ""[0-9]+[a-f]?\."", """"))"),"")</f>
        <v/>
      </c>
      <c r="H526" s="180" t="str">
        <f>IFERROR(__xludf.DUMMYFUNCTION("TRIM(REGEXREPLACE(D526, ""[0-9]+[a-f]?\."", """"))"),"")</f>
        <v/>
      </c>
      <c r="I526" s="180" t="str">
        <f>IFERROR(__xludf.DUMMYFUNCTION("TRIM(REGEXREPLACE(E526, ""[0-9]+[a-f]?\."", """"))"),"")</f>
        <v/>
      </c>
      <c r="J526" s="180" t="s">
        <v>2966</v>
      </c>
      <c r="K526" s="180" t="s">
        <v>2967</v>
      </c>
      <c r="L526" s="180" t="s">
        <v>2968</v>
      </c>
    </row>
    <row r="527" hidden="1">
      <c r="A527" s="180"/>
      <c r="B527" s="182"/>
      <c r="C527" s="182"/>
      <c r="D527" s="182"/>
      <c r="E527" s="182"/>
      <c r="F527" s="187">
        <v>338.0</v>
      </c>
      <c r="G527" s="180" t="str">
        <f>IFERROR(__xludf.DUMMYFUNCTION("TRIM(REGEXREPLACE(C527, ""[0-9]+[a-f]?\."", """"))"),"")</f>
        <v/>
      </c>
      <c r="H527" s="180" t="str">
        <f>IFERROR(__xludf.DUMMYFUNCTION("TRIM(REGEXREPLACE(D527, ""[0-9]+[a-f]?\."", """"))"),"")</f>
        <v/>
      </c>
      <c r="I527" s="180" t="str">
        <f>IFERROR(__xludf.DUMMYFUNCTION("TRIM(REGEXREPLACE(E527, ""[0-9]+[a-f]?\."", """"))"),"")</f>
        <v/>
      </c>
      <c r="J527" s="180" t="s">
        <v>2969</v>
      </c>
      <c r="K527" s="180" t="s">
        <v>2970</v>
      </c>
      <c r="L527" s="180" t="s">
        <v>2970</v>
      </c>
    </row>
    <row r="528" hidden="1">
      <c r="A528" s="180"/>
      <c r="B528" s="182"/>
      <c r="C528" s="182"/>
      <c r="D528" s="182"/>
      <c r="E528" s="182"/>
      <c r="F528" s="187">
        <v>339.0</v>
      </c>
      <c r="G528" s="180" t="str">
        <f>IFERROR(__xludf.DUMMYFUNCTION("TRIM(REGEXREPLACE(C528, ""[0-9]+[a-f]?\."", """"))"),"")</f>
        <v/>
      </c>
      <c r="H528" s="180" t="str">
        <f>IFERROR(__xludf.DUMMYFUNCTION("TRIM(REGEXREPLACE(D528, ""[0-9]+[a-f]?\."", """"))"),"")</f>
        <v/>
      </c>
      <c r="I528" s="180" t="str">
        <f>IFERROR(__xludf.DUMMYFUNCTION("TRIM(REGEXREPLACE(E528, ""[0-9]+[a-f]?\."", """"))"),"")</f>
        <v/>
      </c>
      <c r="J528" s="180" t="s">
        <v>2971</v>
      </c>
      <c r="K528" s="180" t="s">
        <v>2972</v>
      </c>
      <c r="L528" s="180" t="s">
        <v>2972</v>
      </c>
    </row>
    <row r="529" hidden="1">
      <c r="A529" s="180"/>
      <c r="B529" s="182"/>
      <c r="C529" s="182"/>
      <c r="D529" s="182"/>
      <c r="E529" s="182"/>
      <c r="F529" s="187">
        <v>340.0</v>
      </c>
      <c r="G529" s="180" t="str">
        <f>IFERROR(__xludf.DUMMYFUNCTION("TRIM(REGEXREPLACE(C529, ""[0-9]+[a-f]?\."", """"))"),"")</f>
        <v/>
      </c>
      <c r="H529" s="180" t="str">
        <f>IFERROR(__xludf.DUMMYFUNCTION("TRIM(REGEXREPLACE(D529, ""[0-9]+[a-f]?\."", """"))"),"")</f>
        <v/>
      </c>
      <c r="I529" s="180" t="str">
        <f>IFERROR(__xludf.DUMMYFUNCTION("TRIM(REGEXREPLACE(E529, ""[0-9]+[a-f]?\."", """"))"),"")</f>
        <v/>
      </c>
      <c r="J529" s="180" t="s">
        <v>2973</v>
      </c>
      <c r="K529" s="180" t="s">
        <v>2974</v>
      </c>
      <c r="L529" s="180" t="s">
        <v>2975</v>
      </c>
    </row>
    <row r="530">
      <c r="A530" s="269" t="s">
        <v>1988</v>
      </c>
      <c r="B530" s="228" t="s">
        <v>2976</v>
      </c>
      <c r="C530" s="45" t="s">
        <v>1293</v>
      </c>
      <c r="D530" s="45" t="s">
        <v>1294</v>
      </c>
      <c r="E530" s="45" t="s">
        <v>1295</v>
      </c>
      <c r="F530" s="187">
        <v>132.0</v>
      </c>
      <c r="G530" s="180" t="str">
        <f>IFERROR(__xludf.DUMMYFUNCTION("TRIM(REGEXREPLACE(C530, ""[0-9]+[a-f]?\."", """"))"),"Things that happen at work or in the fields?")</f>
        <v>Things that happen at work or in the fields?</v>
      </c>
      <c r="H530" s="180" t="str">
        <f>IFERROR(__xludf.DUMMYFUNCTION("TRIM(REGEXREPLACE(D530, ""[0-9]+[a-f]?\."", """"))"),"Des choses qui se passent au travail ou dans les champs ?")</f>
        <v>Des choses qui se passent au travail ou dans les champs ?</v>
      </c>
      <c r="I530" s="180" t="str">
        <f>IFERROR(__xludf.DUMMYFUNCTION("TRIM(REGEXREPLACE(E530, ""[0-9]+[a-f]?\."", """"))"),"Abubuwan da ke faruwa a wurin aiki ko a gona?")</f>
        <v>Abubuwan da ke faruwa a wurin aiki ko a gona?</v>
      </c>
      <c r="J530" s="180" t="str">
        <f t="shared" ref="J530:L530" si="132">$F530 &amp; ". "&amp;G530</f>
        <v>132. Things that happen at work or in the fields?</v>
      </c>
      <c r="K530" s="180" t="str">
        <f t="shared" si="132"/>
        <v>132. Des choses qui se passent au travail ou dans les champs ?</v>
      </c>
      <c r="L530" s="180" t="str">
        <f t="shared" si="132"/>
        <v>132. Abubuwan da ke faruwa a wurin aiki ko a gona?</v>
      </c>
    </row>
    <row r="531">
      <c r="A531" s="269" t="s">
        <v>1988</v>
      </c>
      <c r="B531" s="228" t="s">
        <v>2977</v>
      </c>
      <c r="C531" s="45" t="s">
        <v>1296</v>
      </c>
      <c r="D531" s="45" t="s">
        <v>1297</v>
      </c>
      <c r="E531" s="45" t="s">
        <v>1298</v>
      </c>
      <c r="F531" s="187">
        <v>133.0</v>
      </c>
      <c r="G531" s="180" t="str">
        <f>IFERROR(__xludf.DUMMYFUNCTION("TRIM(REGEXREPLACE(C531, ""[0-9]+[a-f]?\."", """"))"),"Things that happen in the community?")</f>
        <v>Things that happen in the community?</v>
      </c>
      <c r="H531" s="180" t="str">
        <f>IFERROR(__xludf.DUMMYFUNCTION("TRIM(REGEXREPLACE(D531, ""[0-9]+[a-f]?\."", """"))"),"Des choses qui se passent dans la communauté ?")</f>
        <v>Des choses qui se passent dans la communauté ?</v>
      </c>
      <c r="I531" s="180" t="str">
        <f>IFERROR(__xludf.DUMMYFUNCTION("TRIM(REGEXREPLACE(E531, ""[0-9]+[a-f]?\."", """"))"),"Abubuwan da ke faruwa a cikin al'umma?")</f>
        <v>Abubuwan da ke faruwa a cikin al'umma?</v>
      </c>
      <c r="J531" s="180" t="str">
        <f t="shared" ref="J531:L531" si="133">$F531 &amp; ". "&amp;G531</f>
        <v>133. Things that happen in the community?</v>
      </c>
      <c r="K531" s="180" t="str">
        <f t="shared" si="133"/>
        <v>133. Des choses qui se passent dans la communauté ?</v>
      </c>
      <c r="L531" s="180" t="str">
        <f t="shared" si="133"/>
        <v>133. Abubuwan da ke faruwa a cikin al'umma?</v>
      </c>
    </row>
    <row r="532" hidden="1">
      <c r="A532" s="180"/>
      <c r="B532" s="182"/>
      <c r="C532" s="182"/>
      <c r="D532" s="182"/>
      <c r="E532" s="182"/>
      <c r="F532" s="187">
        <v>343.0</v>
      </c>
      <c r="G532" s="180" t="str">
        <f>IFERROR(__xludf.DUMMYFUNCTION("TRIM(REGEXREPLACE(C532, ""[0-9]+[a-f]?\."", """"))"),"")</f>
        <v/>
      </c>
      <c r="H532" s="180" t="str">
        <f>IFERROR(__xludf.DUMMYFUNCTION("TRIM(REGEXREPLACE(D532, ""[0-9]+[a-f]?\."", """"))"),"")</f>
        <v/>
      </c>
      <c r="I532" s="180" t="str">
        <f>IFERROR(__xludf.DUMMYFUNCTION("TRIM(REGEXREPLACE(E532, ""[0-9]+[a-f]?\."", """"))"),"")</f>
        <v/>
      </c>
      <c r="J532" s="180" t="s">
        <v>2979</v>
      </c>
      <c r="K532" s="180" t="s">
        <v>2980</v>
      </c>
      <c r="L532" s="180" t="s">
        <v>2980</v>
      </c>
    </row>
    <row r="533" hidden="1">
      <c r="A533" s="180"/>
      <c r="B533" s="182"/>
      <c r="C533" s="182"/>
      <c r="D533" s="182"/>
      <c r="E533" s="182"/>
      <c r="F533" s="187">
        <v>344.0</v>
      </c>
      <c r="G533" s="180" t="str">
        <f>IFERROR(__xludf.DUMMYFUNCTION("TRIM(REGEXREPLACE(C533, ""[0-9]+[a-f]?\."", """"))"),"")</f>
        <v/>
      </c>
      <c r="H533" s="180" t="str">
        <f>IFERROR(__xludf.DUMMYFUNCTION("TRIM(REGEXREPLACE(D533, ""[0-9]+[a-f]?\."", """"))"),"")</f>
        <v/>
      </c>
      <c r="I533" s="180" t="str">
        <f>IFERROR(__xludf.DUMMYFUNCTION("TRIM(REGEXREPLACE(E533, ""[0-9]+[a-f]?\."", """"))"),"")</f>
        <v/>
      </c>
      <c r="J533" s="180" t="s">
        <v>2981</v>
      </c>
      <c r="K533" s="180" t="s">
        <v>2982</v>
      </c>
      <c r="L533" s="180" t="s">
        <v>2983</v>
      </c>
    </row>
    <row r="534">
      <c r="A534" s="269" t="s">
        <v>1988</v>
      </c>
      <c r="B534" s="228" t="s">
        <v>2984</v>
      </c>
      <c r="C534" s="45" t="s">
        <v>1299</v>
      </c>
      <c r="D534" s="45" t="s">
        <v>1300</v>
      </c>
      <c r="E534" s="45" t="s">
        <v>1301</v>
      </c>
      <c r="F534" s="187">
        <v>134.0</v>
      </c>
      <c r="G534" s="180" t="str">
        <f>IFERROR(__xludf.DUMMYFUNCTION("TRIM(REGEXREPLACE(C534, ""[0-9]+[a-f]?\."", """"))"),"Who to vote for in local elections?")</f>
        <v>Who to vote for in local elections?</v>
      </c>
      <c r="H534" s="180" t="str">
        <f>IFERROR(__xludf.DUMMYFUNCTION("TRIM(REGEXREPLACE(D534, ""[0-9]+[a-f]?\."", """"))"),"Pour qui voter aux élections municipales ?")</f>
        <v>Pour qui voter aux élections municipales ?</v>
      </c>
      <c r="I534" s="180" t="str">
        <f>IFERROR(__xludf.DUMMYFUNCTION("TRIM(REGEXREPLACE(E534, ""[0-9]+[a-f]?\."", """"))"),"Wanene za'a zaɓa a zaɓen ƙananan hukumomi?")</f>
        <v>Wanene za'a zaɓa a zaɓen ƙananan hukumomi?</v>
      </c>
      <c r="J534" s="180" t="str">
        <f t="shared" ref="J534:L534" si="134">$F534 &amp; ". "&amp;G534</f>
        <v>134. Who to vote for in local elections?</v>
      </c>
      <c r="K534" s="180" t="str">
        <f t="shared" si="134"/>
        <v>134. Pour qui voter aux élections municipales ?</v>
      </c>
      <c r="L534" s="180" t="str">
        <f t="shared" si="134"/>
        <v>134. Wanene za'a zaɓa a zaɓen ƙananan hukumomi?</v>
      </c>
    </row>
    <row r="535">
      <c r="A535" s="269" t="s">
        <v>1988</v>
      </c>
      <c r="B535" s="228" t="s">
        <v>2985</v>
      </c>
      <c r="C535" s="45" t="s">
        <v>1303</v>
      </c>
      <c r="D535" s="45" t="s">
        <v>1304</v>
      </c>
      <c r="E535" s="45" t="s">
        <v>1305</v>
      </c>
      <c r="F535" s="187">
        <v>135.0</v>
      </c>
      <c r="G535" s="180" t="str">
        <f>IFERROR(__xludf.DUMMYFUNCTION("TRIM(REGEXREPLACE(C535, ""[0-9]+[a-f]?\."", """"))"),"How to you invest your money such as whether to improve your house")</f>
        <v>How to you invest your money such as whether to improve your house</v>
      </c>
      <c r="H535" s="180" t="str">
        <f>IFERROR(__xludf.DUMMYFUNCTION("TRIM(REGEXREPLACE(D535, ""[0-9]+[a-f]?\."", """"))"),"Comment investir votre argent, par exemple pour améliorer votre maison")</f>
        <v>Comment investir votre argent, par exemple pour améliorer votre maison</v>
      </c>
      <c r="I535" s="180" t="str">
        <f>IFERROR(__xludf.DUMMYFUNCTION("TRIM(REGEXREPLACE(E535, ""[0-9]+[a-f]?\."", """"))"),"Yadda za ku kashe kuɗin ku, kamar gyaran gidanku")</f>
        <v>Yadda za ku kashe kuɗin ku, kamar gyaran gidanku</v>
      </c>
      <c r="J535" s="180" t="str">
        <f t="shared" ref="J535:L535" si="135">$F535 &amp; ". "&amp;G535</f>
        <v>135. How to you invest your money such as whether to improve your house</v>
      </c>
      <c r="K535" s="180" t="str">
        <f t="shared" si="135"/>
        <v>135. Comment investir votre argent, par exemple pour améliorer votre maison</v>
      </c>
      <c r="L535" s="180" t="str">
        <f t="shared" si="135"/>
        <v>135. Yadda za ku kashe kuɗin ku, kamar gyaran gidanku</v>
      </c>
    </row>
    <row r="536">
      <c r="A536" s="269" t="s">
        <v>1988</v>
      </c>
      <c r="B536" s="228" t="s">
        <v>2986</v>
      </c>
      <c r="C536" s="45" t="s">
        <v>1311</v>
      </c>
      <c r="D536" s="45" t="s">
        <v>1312</v>
      </c>
      <c r="E536" s="45" t="s">
        <v>1313</v>
      </c>
      <c r="F536" s="187">
        <v>136.0</v>
      </c>
      <c r="G536" s="180" t="str">
        <f>IFERROR(__xludf.DUMMYFUNCTION("TRIM(REGEXREPLACE(C536, ""[0-9]+[a-f]?\."", """"))"),"Household members decisions to migrate")</f>
        <v>Household members decisions to migrate</v>
      </c>
      <c r="H536" s="180" t="str">
        <f>IFERROR(__xludf.DUMMYFUNCTION("TRIM(REGEXREPLACE(D536, ""[0-9]+[a-f]?\."", """"))"),"Planification familiale (quand avoir des enfants)")</f>
        <v>Planification familiale (quand avoir des enfants)</v>
      </c>
      <c r="I536" s="180" t="str">
        <f>IFERROR(__xludf.DUMMYFUNCTION("TRIM(REGEXREPLACE(E536, ""[0-9]+[a-f]?\."", """"))"),"Tsarin iyali (lokacin ɗaukan ciki)")</f>
        <v>Tsarin iyali (lokacin ɗaukan ciki)</v>
      </c>
      <c r="J536" s="180" t="str">
        <f t="shared" ref="J536:L536" si="136">$F536 &amp; ". "&amp;G536</f>
        <v>136. Household members decisions to migrate</v>
      </c>
      <c r="K536" s="180" t="str">
        <f t="shared" si="136"/>
        <v>136. Planification familiale (quand avoir des enfants)</v>
      </c>
      <c r="L536" s="180" t="str">
        <f t="shared" si="136"/>
        <v>136. Tsarin iyali (lokacin ɗaukan ciki)</v>
      </c>
    </row>
    <row r="537" hidden="1">
      <c r="A537" s="180"/>
      <c r="B537" s="182"/>
      <c r="C537" s="182"/>
      <c r="D537" s="182"/>
      <c r="E537" s="182"/>
      <c r="F537" s="187">
        <v>348.0</v>
      </c>
      <c r="G537" s="180" t="str">
        <f>IFERROR(__xludf.DUMMYFUNCTION("TRIM(REGEXREPLACE(C537, ""[0-9]+[a-f]?\."", """"))"),"")</f>
        <v/>
      </c>
      <c r="H537" s="180" t="str">
        <f>IFERROR(__xludf.DUMMYFUNCTION("TRIM(REGEXREPLACE(D537, ""[0-9]+[a-f]?\."", """"))"),"")</f>
        <v/>
      </c>
      <c r="I537" s="180" t="str">
        <f>IFERROR(__xludf.DUMMYFUNCTION("TRIM(REGEXREPLACE(E537, ""[0-9]+[a-f]?\."", """"))"),"")</f>
        <v/>
      </c>
      <c r="J537" s="180" t="s">
        <v>2987</v>
      </c>
      <c r="K537" s="180" t="s">
        <v>2988</v>
      </c>
      <c r="L537" s="180" t="s">
        <v>2989</v>
      </c>
    </row>
    <row r="538" hidden="1">
      <c r="A538" s="180"/>
      <c r="B538" s="182"/>
      <c r="C538" s="182"/>
      <c r="D538" s="182"/>
      <c r="E538" s="182"/>
      <c r="F538" s="187">
        <v>349.0</v>
      </c>
      <c r="G538" s="180" t="str">
        <f>IFERROR(__xludf.DUMMYFUNCTION("TRIM(REGEXREPLACE(C538, ""[0-9]+[a-f]?\."", """"))"),"")</f>
        <v/>
      </c>
      <c r="H538" s="180" t="str">
        <f>IFERROR(__xludf.DUMMYFUNCTION("TRIM(REGEXREPLACE(D538, ""[0-9]+[a-f]?\."", """"))"),"")</f>
        <v/>
      </c>
      <c r="I538" s="180" t="str">
        <f>IFERROR(__xludf.DUMMYFUNCTION("TRIM(REGEXREPLACE(E538, ""[0-9]+[a-f]?\."", """"))"),"")</f>
        <v/>
      </c>
      <c r="J538" s="180" t="s">
        <v>2993</v>
      </c>
      <c r="K538" s="180" t="s">
        <v>2994</v>
      </c>
      <c r="L538" s="180" t="s">
        <v>2995</v>
      </c>
    </row>
    <row r="539" hidden="1">
      <c r="A539" s="180"/>
      <c r="B539" s="182"/>
      <c r="C539" s="182"/>
      <c r="D539" s="182"/>
      <c r="E539" s="182"/>
      <c r="F539" s="187">
        <v>350.0</v>
      </c>
      <c r="G539" s="180" t="str">
        <f>IFERROR(__xludf.DUMMYFUNCTION("TRIM(REGEXREPLACE(C539, ""[0-9]+[a-f]?\."", """"))"),"")</f>
        <v/>
      </c>
      <c r="H539" s="180" t="str">
        <f>IFERROR(__xludf.DUMMYFUNCTION("TRIM(REGEXREPLACE(D539, ""[0-9]+[a-f]?\."", """"))"),"")</f>
        <v/>
      </c>
      <c r="I539" s="180" t="str">
        <f>IFERROR(__xludf.DUMMYFUNCTION("TRIM(REGEXREPLACE(E539, ""[0-9]+[a-f]?\."", """"))"),"")</f>
        <v/>
      </c>
      <c r="J539" s="180" t="s">
        <v>2996</v>
      </c>
      <c r="K539" s="180" t="s">
        <v>2997</v>
      </c>
      <c r="L539" s="180" t="s">
        <v>2998</v>
      </c>
    </row>
    <row r="540" hidden="1">
      <c r="A540" s="180"/>
      <c r="B540" s="182"/>
      <c r="C540" s="182"/>
      <c r="D540" s="182"/>
      <c r="E540" s="182"/>
      <c r="F540" s="187">
        <v>327.0</v>
      </c>
      <c r="G540" s="180" t="str">
        <f>IFERROR(__xludf.DUMMYFUNCTION("TRIM(REGEXREPLACE(C540, ""[0-9]+[a-f]?\."", """"))"),"")</f>
        <v/>
      </c>
      <c r="H540" s="180" t="str">
        <f>IFERROR(__xludf.DUMMYFUNCTION("TRIM(REGEXREPLACE(D540, ""[0-9]+[a-f]?\."", """"))"),"")</f>
        <v/>
      </c>
      <c r="I540" s="180" t="str">
        <f>IFERROR(__xludf.DUMMYFUNCTION("TRIM(REGEXREPLACE(E540, ""[0-9]+[a-f]?\."", """"))"),"")</f>
        <v/>
      </c>
      <c r="J540" s="180" t="s">
        <v>3001</v>
      </c>
      <c r="K540" s="180" t="s">
        <v>3003</v>
      </c>
      <c r="L540" s="180" t="s">
        <v>3004</v>
      </c>
    </row>
    <row r="541" hidden="1">
      <c r="A541" s="180"/>
      <c r="B541" s="182"/>
      <c r="C541" s="182"/>
      <c r="D541" s="182"/>
      <c r="E541" s="182"/>
      <c r="F541" s="187">
        <v>351.0</v>
      </c>
      <c r="G541" s="180" t="str">
        <f>IFERROR(__xludf.DUMMYFUNCTION("TRIM(REGEXREPLACE(C541, ""[0-9]+[a-f]?\."", """"))"),"")</f>
        <v/>
      </c>
      <c r="H541" s="180" t="str">
        <f>IFERROR(__xludf.DUMMYFUNCTION("TRIM(REGEXREPLACE(D541, ""[0-9]+[a-f]?\."", """"))"),"")</f>
        <v/>
      </c>
      <c r="I541" s="180" t="str">
        <f>IFERROR(__xludf.DUMMYFUNCTION("TRIM(REGEXREPLACE(E541, ""[0-9]+[a-f]?\."", """"))"),"")</f>
        <v/>
      </c>
      <c r="J541" s="180" t="s">
        <v>3005</v>
      </c>
      <c r="K541" s="180" t="s">
        <v>3006</v>
      </c>
      <c r="L541" s="180" t="s">
        <v>3007</v>
      </c>
    </row>
    <row r="542">
      <c r="A542" s="269" t="s">
        <v>1306</v>
      </c>
      <c r="B542" s="228" t="s">
        <v>3008</v>
      </c>
      <c r="C542" s="45" t="s">
        <v>1314</v>
      </c>
      <c r="D542" s="45" t="s">
        <v>1315</v>
      </c>
      <c r="E542" s="45" t="s">
        <v>1316</v>
      </c>
      <c r="F542" s="187">
        <v>137.0</v>
      </c>
      <c r="G542" s="180" t="str">
        <f>IFERROR(__xludf.DUMMYFUNCTION("TRIM(REGEXREPLACE(C542, ""[0-9]+[a-f]?\."", """"))"),"Do you and members of your household ever disagree about any of these topics?")</f>
        <v>Do you and members of your household ever disagree about any of these topics?</v>
      </c>
      <c r="H542" s="180" t="str">
        <f>IFERROR(__xludf.DUMMYFUNCTION("TRIM(REGEXREPLACE(D542, ""[0-9]+[a-f]?\."", """"))"),"Vous et votre conjoint êtes-vous déjà en désaccord sur ces sujets ?")</f>
        <v>Vous et votre conjoint êtes-vous déjà en désaccord sur ces sujets ?</v>
      </c>
      <c r="I542" s="180" t="str">
        <f>IFERROR(__xludf.DUMMYFUNCTION("TRIM(REGEXREPLACE(E542, ""[0-9]+[a-f]?\."", """"))"),"Ko kai da matarka kun taɓa samun saɓani game da waɗannan batutuwa?")</f>
        <v>Ko kai da matarka kun taɓa samun saɓani game da waɗannan batutuwa?</v>
      </c>
      <c r="J542" s="180" t="str">
        <f t="shared" ref="J542:L542" si="137">$F542 &amp; ". "&amp;G542</f>
        <v>137. Do you and members of your household ever disagree about any of these topics?</v>
      </c>
      <c r="K542" s="180" t="str">
        <f t="shared" si="137"/>
        <v>137. Vous et votre conjoint êtes-vous déjà en désaccord sur ces sujets ?</v>
      </c>
      <c r="L542" s="180" t="str">
        <f t="shared" si="137"/>
        <v>137. Ko kai da matarka kun taɓa samun saɓani game da waɗannan batutuwa?</v>
      </c>
    </row>
    <row r="543" hidden="1">
      <c r="A543" s="180"/>
      <c r="B543" s="182"/>
      <c r="C543" s="182"/>
      <c r="D543" s="182"/>
      <c r="E543" s="182"/>
      <c r="F543" s="187">
        <v>353.0</v>
      </c>
      <c r="G543" s="180" t="str">
        <f>IFERROR(__xludf.DUMMYFUNCTION("TRIM(REGEXREPLACE(C543, ""[0-9]+[a-f]?\."", """"))"),"")</f>
        <v/>
      </c>
      <c r="H543" s="180" t="str">
        <f>IFERROR(__xludf.DUMMYFUNCTION("TRIM(REGEXREPLACE(D543, ""[0-9]+[a-f]?\."", """"))"),"")</f>
        <v/>
      </c>
      <c r="I543" s="180" t="str">
        <f>IFERROR(__xludf.DUMMYFUNCTION("TRIM(REGEXREPLACE(E543, ""[0-9]+[a-f]?\."", """"))"),"")</f>
        <v/>
      </c>
      <c r="J543" s="180" t="s">
        <v>3012</v>
      </c>
      <c r="K543" s="180" t="s">
        <v>3013</v>
      </c>
      <c r="L543" s="180" t="s">
        <v>3014</v>
      </c>
    </row>
    <row r="544" hidden="1">
      <c r="A544" s="180"/>
      <c r="B544" s="182"/>
      <c r="C544" s="182"/>
      <c r="D544" s="182"/>
      <c r="E544" s="182"/>
      <c r="F544" s="187">
        <v>354.0</v>
      </c>
      <c r="G544" s="180" t="str">
        <f>IFERROR(__xludf.DUMMYFUNCTION("TRIM(REGEXREPLACE(C544, ""[0-9]+[a-f]?\."", """"))"),"")</f>
        <v/>
      </c>
      <c r="H544" s="180" t="str">
        <f>IFERROR(__xludf.DUMMYFUNCTION("TRIM(REGEXREPLACE(D544, ""[0-9]+[a-f]?\."", """"))"),"")</f>
        <v/>
      </c>
      <c r="I544" s="180" t="str">
        <f>IFERROR(__xludf.DUMMYFUNCTION("TRIM(REGEXREPLACE(E544, ""[0-9]+[a-f]?\."", """"))"),"")</f>
        <v/>
      </c>
      <c r="J544" s="180" t="s">
        <v>3015</v>
      </c>
      <c r="K544" s="180" t="s">
        <v>3016</v>
      </c>
      <c r="L544" s="180" t="s">
        <v>3017</v>
      </c>
    </row>
    <row r="545" hidden="1">
      <c r="A545" s="180"/>
      <c r="B545" s="182"/>
      <c r="C545" s="182"/>
      <c r="D545" s="182"/>
      <c r="E545" s="182"/>
      <c r="F545" s="187">
        <v>355.0</v>
      </c>
      <c r="G545" s="180" t="str">
        <f>IFERROR(__xludf.DUMMYFUNCTION("TRIM(REGEXREPLACE(C545, ""[0-9]+[a-f]?\."", """"))"),"")</f>
        <v/>
      </c>
      <c r="H545" s="180" t="str">
        <f>IFERROR(__xludf.DUMMYFUNCTION("TRIM(REGEXREPLACE(D545, ""[0-9]+[a-f]?\."", """"))"),"")</f>
        <v/>
      </c>
      <c r="I545" s="180" t="str">
        <f>IFERROR(__xludf.DUMMYFUNCTION("TRIM(REGEXREPLACE(E545, ""[0-9]+[a-f]?\."", """"))"),"")</f>
        <v/>
      </c>
      <c r="J545" s="180" t="s">
        <v>3018</v>
      </c>
      <c r="K545" s="180" t="s">
        <v>3019</v>
      </c>
      <c r="L545" s="180" t="s">
        <v>3021</v>
      </c>
    </row>
    <row r="546" hidden="1">
      <c r="A546" s="180"/>
      <c r="B546" s="182"/>
      <c r="C546" s="182"/>
      <c r="D546" s="182"/>
      <c r="E546" s="182"/>
      <c r="F546" s="187">
        <v>356.0</v>
      </c>
      <c r="G546" s="180" t="str">
        <f>IFERROR(__xludf.DUMMYFUNCTION("TRIM(REGEXREPLACE(C546, ""[0-9]+[a-f]?\."", """"))"),"")</f>
        <v/>
      </c>
      <c r="H546" s="180" t="str">
        <f>IFERROR(__xludf.DUMMYFUNCTION("TRIM(REGEXREPLACE(D546, ""[0-9]+[a-f]?\."", """"))"),"")</f>
        <v/>
      </c>
      <c r="I546" s="180" t="str">
        <f>IFERROR(__xludf.DUMMYFUNCTION("TRIM(REGEXREPLACE(E546, ""[0-9]+[a-f]?\."", """"))"),"")</f>
        <v/>
      </c>
      <c r="J546" s="180" t="s">
        <v>3023</v>
      </c>
      <c r="K546" s="180" t="s">
        <v>3024</v>
      </c>
      <c r="L546" s="180" t="s">
        <v>3025</v>
      </c>
    </row>
    <row r="547" hidden="1">
      <c r="A547" s="180"/>
      <c r="B547" s="182"/>
      <c r="C547" s="182"/>
      <c r="D547" s="182"/>
      <c r="E547" s="182"/>
      <c r="F547" s="187">
        <v>357.0</v>
      </c>
      <c r="G547" s="180" t="str">
        <f>IFERROR(__xludf.DUMMYFUNCTION("TRIM(REGEXREPLACE(C547, ""[0-9]+[a-f]?\."", """"))"),"")</f>
        <v/>
      </c>
      <c r="H547" s="180" t="str">
        <f>IFERROR(__xludf.DUMMYFUNCTION("TRIM(REGEXREPLACE(D547, ""[0-9]+[a-f]?\."", """"))"),"")</f>
        <v/>
      </c>
      <c r="I547" s="180" t="str">
        <f>IFERROR(__xludf.DUMMYFUNCTION("TRIM(REGEXREPLACE(E547, ""[0-9]+[a-f]?\."", """"))"),"")</f>
        <v/>
      </c>
      <c r="J547" s="180" t="s">
        <v>3030</v>
      </c>
      <c r="K547" s="180" t="s">
        <v>3031</v>
      </c>
      <c r="L547" s="180" t="s">
        <v>3032</v>
      </c>
    </row>
    <row r="548" hidden="1">
      <c r="A548" s="180"/>
      <c r="B548" s="182"/>
      <c r="C548" s="182"/>
      <c r="D548" s="182"/>
      <c r="E548" s="182"/>
      <c r="F548" s="187">
        <v>358.0</v>
      </c>
      <c r="G548" s="180" t="str">
        <f>IFERROR(__xludf.DUMMYFUNCTION("TRIM(REGEXREPLACE(C548, ""[0-9]+[a-f]?\."", """"))"),"")</f>
        <v/>
      </c>
      <c r="H548" s="180" t="str">
        <f>IFERROR(__xludf.DUMMYFUNCTION("TRIM(REGEXREPLACE(D548, ""[0-9]+[a-f]?\."", """"))"),"")</f>
        <v/>
      </c>
      <c r="I548" s="180" t="str">
        <f>IFERROR(__xludf.DUMMYFUNCTION("TRIM(REGEXREPLACE(E548, ""[0-9]+[a-f]?\."", """"))"),"")</f>
        <v/>
      </c>
      <c r="J548" s="180" t="s">
        <v>3033</v>
      </c>
      <c r="K548" s="180" t="s">
        <v>3034</v>
      </c>
      <c r="L548" s="180" t="s">
        <v>3035</v>
      </c>
    </row>
    <row r="549" hidden="1">
      <c r="A549" s="180"/>
      <c r="B549" s="182"/>
      <c r="C549" s="182"/>
      <c r="D549" s="182"/>
      <c r="E549" s="182"/>
      <c r="F549" s="187">
        <v>359.0</v>
      </c>
      <c r="G549" s="180" t="str">
        <f>IFERROR(__xludf.DUMMYFUNCTION("TRIM(REGEXREPLACE(C549, ""[0-9]+[a-f]?\."", """"))"),"")</f>
        <v/>
      </c>
      <c r="H549" s="180" t="str">
        <f>IFERROR(__xludf.DUMMYFUNCTION("TRIM(REGEXREPLACE(D549, ""[0-9]+[a-f]?\."", """"))"),"")</f>
        <v/>
      </c>
      <c r="I549" s="180" t="str">
        <f>IFERROR(__xludf.DUMMYFUNCTION("TRIM(REGEXREPLACE(E549, ""[0-9]+[a-f]?\."", """"))"),"")</f>
        <v/>
      </c>
      <c r="J549" s="180" t="s">
        <v>3038</v>
      </c>
      <c r="K549" s="180" t="s">
        <v>3039</v>
      </c>
      <c r="L549" s="180" t="s">
        <v>3040</v>
      </c>
    </row>
    <row r="550" hidden="1">
      <c r="A550" s="180"/>
      <c r="B550" s="182"/>
      <c r="C550" s="182"/>
      <c r="D550" s="182"/>
      <c r="E550" s="182"/>
      <c r="F550" s="187">
        <v>360.0</v>
      </c>
      <c r="G550" s="180" t="str">
        <f>IFERROR(__xludf.DUMMYFUNCTION("TRIM(REGEXREPLACE(C550, ""[0-9]+[a-f]?\."", """"))"),"")</f>
        <v/>
      </c>
      <c r="H550" s="180" t="str">
        <f>IFERROR(__xludf.DUMMYFUNCTION("TRIM(REGEXREPLACE(D550, ""[0-9]+[a-f]?\."", """"))"),"")</f>
        <v/>
      </c>
      <c r="I550" s="180" t="str">
        <f>IFERROR(__xludf.DUMMYFUNCTION("TRIM(REGEXREPLACE(E550, ""[0-9]+[a-f]?\."", """"))"),"")</f>
        <v/>
      </c>
      <c r="J550" s="180" t="s">
        <v>3041</v>
      </c>
      <c r="K550" s="180" t="s">
        <v>3043</v>
      </c>
      <c r="L550" s="180" t="s">
        <v>3045</v>
      </c>
    </row>
    <row r="551" hidden="1">
      <c r="A551" s="180"/>
      <c r="B551" s="182"/>
      <c r="C551" s="182"/>
      <c r="D551" s="182"/>
      <c r="E551" s="182"/>
      <c r="F551" s="187">
        <v>361.0</v>
      </c>
      <c r="G551" s="180" t="str">
        <f>IFERROR(__xludf.DUMMYFUNCTION("TRIM(REGEXREPLACE(C551, ""[0-9]+[a-f]?\."", """"))"),"")</f>
        <v/>
      </c>
      <c r="H551" s="180" t="str">
        <f>IFERROR(__xludf.DUMMYFUNCTION("TRIM(REGEXREPLACE(D551, ""[0-9]+[a-f]?\."", """"))"),"")</f>
        <v/>
      </c>
      <c r="I551" s="180" t="str">
        <f>IFERROR(__xludf.DUMMYFUNCTION("TRIM(REGEXREPLACE(E551, ""[0-9]+[a-f]?\."", """"))"),"")</f>
        <v/>
      </c>
      <c r="J551" s="180" t="s">
        <v>3050</v>
      </c>
      <c r="K551" s="180" t="s">
        <v>3051</v>
      </c>
      <c r="L551" s="180" t="s">
        <v>3052</v>
      </c>
    </row>
    <row r="552" hidden="1">
      <c r="A552" s="180"/>
      <c r="B552" s="182"/>
      <c r="C552" s="182"/>
      <c r="D552" s="182"/>
      <c r="E552" s="182"/>
      <c r="F552" s="187">
        <v>362.0</v>
      </c>
      <c r="G552" s="180" t="str">
        <f>IFERROR(__xludf.DUMMYFUNCTION("TRIM(REGEXREPLACE(C552, ""[0-9]+[a-f]?\."", """"))"),"")</f>
        <v/>
      </c>
      <c r="H552" s="180" t="str">
        <f>IFERROR(__xludf.DUMMYFUNCTION("TRIM(REGEXREPLACE(D552, ""[0-9]+[a-f]?\."", """"))"),"")</f>
        <v/>
      </c>
      <c r="I552" s="180" t="str">
        <f>IFERROR(__xludf.DUMMYFUNCTION("TRIM(REGEXREPLACE(E552, ""[0-9]+[a-f]?\."", """"))"),"")</f>
        <v/>
      </c>
      <c r="J552" s="180" t="s">
        <v>3053</v>
      </c>
      <c r="K552" s="180" t="s">
        <v>3054</v>
      </c>
      <c r="L552" s="180" t="s">
        <v>3055</v>
      </c>
    </row>
    <row r="553" hidden="1">
      <c r="A553" s="180"/>
      <c r="B553" s="182"/>
      <c r="C553" s="182"/>
      <c r="D553" s="182"/>
      <c r="E553" s="182"/>
      <c r="F553" s="187">
        <v>363.0</v>
      </c>
      <c r="G553" s="180" t="str">
        <f>IFERROR(__xludf.DUMMYFUNCTION("TRIM(REGEXREPLACE(C553, ""[0-9]+[a-f]?\."", """"))"),"")</f>
        <v/>
      </c>
      <c r="H553" s="180" t="str">
        <f>IFERROR(__xludf.DUMMYFUNCTION("TRIM(REGEXREPLACE(D553, ""[0-9]+[a-f]?\."", """"))"),"")</f>
        <v/>
      </c>
      <c r="I553" s="180" t="str">
        <f>IFERROR(__xludf.DUMMYFUNCTION("TRIM(REGEXREPLACE(E553, ""[0-9]+[a-f]?\."", """"))"),"")</f>
        <v/>
      </c>
      <c r="J553" s="180" t="s">
        <v>3056</v>
      </c>
      <c r="K553" s="180" t="s">
        <v>3057</v>
      </c>
      <c r="L553" s="180" t="s">
        <v>3058</v>
      </c>
    </row>
    <row r="554" hidden="1">
      <c r="A554" s="180"/>
      <c r="B554" s="182"/>
      <c r="C554" s="182"/>
      <c r="D554" s="182"/>
      <c r="E554" s="182"/>
      <c r="F554" s="187">
        <v>339.0</v>
      </c>
      <c r="G554" s="180" t="str">
        <f>IFERROR(__xludf.DUMMYFUNCTION("TRIM(REGEXREPLACE(C554, ""[0-9]+[a-f]?\."", """"))"),"")</f>
        <v/>
      </c>
      <c r="H554" s="180" t="str">
        <f>IFERROR(__xludf.DUMMYFUNCTION("TRIM(REGEXREPLACE(D554, ""[0-9]+[a-f]?\."", """"))"),"")</f>
        <v/>
      </c>
      <c r="I554" s="180" t="str">
        <f>IFERROR(__xludf.DUMMYFUNCTION("TRIM(REGEXREPLACE(E554, ""[0-9]+[a-f]?\."", """"))"),"")</f>
        <v/>
      </c>
      <c r="J554" s="180" t="s">
        <v>3065</v>
      </c>
      <c r="K554" s="180" t="s">
        <v>3066</v>
      </c>
      <c r="L554" s="180" t="s">
        <v>3067</v>
      </c>
    </row>
    <row r="555" hidden="1">
      <c r="A555" s="180"/>
      <c r="B555" s="182"/>
      <c r="C555" s="182"/>
      <c r="D555" s="182"/>
      <c r="E555" s="182"/>
      <c r="F555" s="187">
        <v>340.0</v>
      </c>
      <c r="G555" s="180" t="str">
        <f>IFERROR(__xludf.DUMMYFUNCTION("TRIM(REGEXREPLACE(C555, ""[0-9]+[a-f]?\."", """"))"),"")</f>
        <v/>
      </c>
      <c r="H555" s="180" t="str">
        <f>IFERROR(__xludf.DUMMYFUNCTION("TRIM(REGEXREPLACE(D555, ""[0-9]+[a-f]?\."", """"))"),"")</f>
        <v/>
      </c>
      <c r="I555" s="180" t="str">
        <f>IFERROR(__xludf.DUMMYFUNCTION("TRIM(REGEXREPLACE(E555, ""[0-9]+[a-f]?\."", """"))"),"")</f>
        <v/>
      </c>
      <c r="J555" s="180" t="s">
        <v>3068</v>
      </c>
      <c r="K555" s="180" t="s">
        <v>3069</v>
      </c>
      <c r="L555" s="180" t="s">
        <v>3070</v>
      </c>
    </row>
    <row r="556">
      <c r="A556" s="269" t="s">
        <v>1306</v>
      </c>
      <c r="B556" s="228" t="s">
        <v>3071</v>
      </c>
      <c r="C556" s="45" t="s">
        <v>1319</v>
      </c>
      <c r="D556" s="45" t="s">
        <v>1320</v>
      </c>
      <c r="E556" s="45" t="s">
        <v>1321</v>
      </c>
      <c r="F556" s="187">
        <v>138.0</v>
      </c>
      <c r="G556" s="180" t="str">
        <f>IFERROR(__xludf.DUMMYFUNCTION("TRIM(REGEXREPLACE(C556, ""[0-9]+[a-f]?\."", """"))"),"Do these conversations ever get contentious?")</f>
        <v>Do these conversations ever get contentious?</v>
      </c>
      <c r="H556" s="180" t="str">
        <f>IFERROR(__xludf.DUMMYFUNCTION("TRIM(REGEXREPLACE(D556, ""[0-9]+[a-f]?\."", """"))"),"Ces conversations deviennent-elles parfois controversées ?")</f>
        <v>Ces conversations deviennent-elles parfois controversées ?</v>
      </c>
      <c r="I556" s="180" t="str">
        <f>IFERROR(__xludf.DUMMYFUNCTION("TRIM(REGEXREPLACE(E556, ""[0-9]+[a-f]?\."", """"))"),"Ko waɗannan hirarrakin sun taɓa zama sabani?")</f>
        <v>Ko waɗannan hirarrakin sun taɓa zama sabani?</v>
      </c>
      <c r="J556" s="180" t="str">
        <f t="shared" ref="J556:L556" si="138">$F556 &amp; ". "&amp;G556</f>
        <v>138. Do these conversations ever get contentious?</v>
      </c>
      <c r="K556" s="180" t="str">
        <f t="shared" si="138"/>
        <v>138. Ces conversations deviennent-elles parfois controversées ?</v>
      </c>
      <c r="L556" s="180" t="str">
        <f t="shared" si="138"/>
        <v>138. Ko waɗannan hirarrakin sun taɓa zama sabani?</v>
      </c>
    </row>
    <row r="557" hidden="1">
      <c r="A557" s="144" t="s">
        <v>127</v>
      </c>
      <c r="B557" s="144" t="s">
        <v>3076</v>
      </c>
      <c r="C557" s="147"/>
      <c r="D557" s="226"/>
      <c r="E557" s="226"/>
      <c r="F557" s="187">
        <v>340.0</v>
      </c>
      <c r="G557" s="180" t="str">
        <f>IFERROR(__xludf.DUMMYFUNCTION("TRIM(REGEXREPLACE(C557, ""[0-9]+[a-f]?\."", """"))"),"")</f>
        <v/>
      </c>
      <c r="H557" s="180" t="str">
        <f>IFERROR(__xludf.DUMMYFUNCTION("TRIM(REGEXREPLACE(D557, ""[0-9]+[a-f]?\."", """"))"),"")</f>
        <v/>
      </c>
      <c r="I557" s="180" t="str">
        <f>IFERROR(__xludf.DUMMYFUNCTION("TRIM(REGEXREPLACE(E557, ""[0-9]+[a-f]?\."", """"))"),"")</f>
        <v/>
      </c>
      <c r="J557" s="180" t="s">
        <v>3080</v>
      </c>
      <c r="K557" s="180" t="s">
        <v>3081</v>
      </c>
      <c r="L557" s="180" t="s">
        <v>3082</v>
      </c>
    </row>
    <row r="558" hidden="1">
      <c r="A558" s="144" t="s">
        <v>68</v>
      </c>
      <c r="B558" s="252" t="s">
        <v>3083</v>
      </c>
      <c r="C558" s="226"/>
      <c r="D558" s="226"/>
      <c r="E558" s="226"/>
      <c r="F558" s="187">
        <v>341.0</v>
      </c>
      <c r="G558" s="180" t="str">
        <f>IFERROR(__xludf.DUMMYFUNCTION("TRIM(REGEXREPLACE(C558, ""[0-9]+[a-f]?\."", """"))"),"")</f>
        <v/>
      </c>
      <c r="H558" s="180" t="str">
        <f>IFERROR(__xludf.DUMMYFUNCTION("TRIM(REGEXREPLACE(D558, ""[0-9]+[a-f]?\."", """"))"),"")</f>
        <v/>
      </c>
      <c r="I558" s="180" t="str">
        <f>IFERROR(__xludf.DUMMYFUNCTION("TRIM(REGEXREPLACE(E558, ""[0-9]+[a-f]?\."", """"))"),"")</f>
        <v/>
      </c>
      <c r="J558" s="180" t="s">
        <v>3084</v>
      </c>
      <c r="K558" s="180" t="s">
        <v>3085</v>
      </c>
      <c r="L558" s="180" t="s">
        <v>3086</v>
      </c>
    </row>
    <row r="559" hidden="1">
      <c r="A559" s="151" t="s">
        <v>237</v>
      </c>
      <c r="B559" s="226" t="s">
        <v>2946</v>
      </c>
      <c r="C559" s="226" t="s">
        <v>2947</v>
      </c>
      <c r="D559" s="226"/>
      <c r="E559" s="226"/>
      <c r="F559" s="187">
        <v>342.0</v>
      </c>
      <c r="G559" s="180" t="str">
        <f>IFERROR(__xludf.DUMMYFUNCTION("TRIM(REGEXREPLACE(C559, ""[0-9]+[a-f]?\."", """"))"),"Family consultation")</f>
        <v>Family consultation</v>
      </c>
      <c r="H559" s="180" t="str">
        <f>IFERROR(__xludf.DUMMYFUNCTION("TRIM(REGEXREPLACE(D559, ""[0-9]+[a-f]?\."", """"))"),"")</f>
        <v/>
      </c>
      <c r="I559" s="180" t="str">
        <f>IFERROR(__xludf.DUMMYFUNCTION("TRIM(REGEXREPLACE(E559, ""[0-9]+[a-f]?\."", """"))"),"")</f>
        <v/>
      </c>
      <c r="J559" s="180" t="s">
        <v>3093</v>
      </c>
      <c r="K559" s="180" t="s">
        <v>3094</v>
      </c>
      <c r="L559" s="180" t="s">
        <v>3095</v>
      </c>
    </row>
    <row r="560" hidden="1">
      <c r="A560" s="254"/>
      <c r="B560" s="191"/>
      <c r="C560" s="191" t="s">
        <v>50</v>
      </c>
      <c r="D560" s="191" t="s">
        <v>50</v>
      </c>
      <c r="E560" s="191" t="s">
        <v>50</v>
      </c>
      <c r="F560" s="187">
        <v>343.0</v>
      </c>
      <c r="G560" s="180" t="str">
        <f>IFERROR(__xludf.DUMMYFUNCTION("TRIM(REGEXREPLACE(C560, ""[0-9]+[a-f]?\."", """"))"),"")</f>
        <v/>
      </c>
      <c r="H560" s="180" t="str">
        <f>IFERROR(__xludf.DUMMYFUNCTION("TRIM(REGEXREPLACE(D560, ""[0-9]+[a-f]?\."", """"))"),"")</f>
        <v/>
      </c>
      <c r="I560" s="180" t="str">
        <f>IFERROR(__xludf.DUMMYFUNCTION("TRIM(REGEXREPLACE(E560, ""[0-9]+[a-f]?\."", """"))"),"")</f>
        <v/>
      </c>
      <c r="J560" s="180" t="s">
        <v>3096</v>
      </c>
      <c r="K560" s="180" t="s">
        <v>3097</v>
      </c>
      <c r="L560" s="180" t="s">
        <v>3098</v>
      </c>
    </row>
    <row r="561" hidden="1">
      <c r="A561" s="151" t="s">
        <v>133</v>
      </c>
      <c r="B561" s="147" t="s">
        <v>3099</v>
      </c>
      <c r="C561" s="147" t="s">
        <v>3100</v>
      </c>
      <c r="D561" s="226"/>
      <c r="E561" s="226"/>
      <c r="F561" s="187">
        <v>344.0</v>
      </c>
      <c r="G561" s="180" t="str">
        <f>IFERROR(__xludf.DUMMYFUNCTION("TRIM(REGEXREPLACE(C561, ""[0-9]+[a-f]?\."", """"))"),"Society Opinions")</f>
        <v>Society Opinions</v>
      </c>
      <c r="H561" s="180" t="str">
        <f>IFERROR(__xludf.DUMMYFUNCTION("TRIM(REGEXREPLACE(D561, ""[0-9]+[a-f]?\."", """"))"),"")</f>
        <v/>
      </c>
      <c r="I561" s="180" t="str">
        <f>IFERROR(__xludf.DUMMYFUNCTION("TRIM(REGEXREPLACE(E561, ""[0-9]+[a-f]?\."", """"))"),"")</f>
        <v/>
      </c>
      <c r="J561" s="180" t="s">
        <v>3101</v>
      </c>
      <c r="K561" s="180" t="s">
        <v>3102</v>
      </c>
      <c r="L561" s="180" t="s">
        <v>3104</v>
      </c>
    </row>
    <row r="562" hidden="1">
      <c r="A562" s="144" t="s">
        <v>127</v>
      </c>
      <c r="B562" s="275" t="s">
        <v>3108</v>
      </c>
      <c r="C562" s="147"/>
      <c r="D562" s="226"/>
      <c r="E562" s="226"/>
      <c r="F562" s="187">
        <v>345.0</v>
      </c>
      <c r="G562" s="180" t="str">
        <f>IFERROR(__xludf.DUMMYFUNCTION("TRIM(REGEXREPLACE(C562, ""[0-9]+[a-f]?\."", """"))"),"")</f>
        <v/>
      </c>
      <c r="H562" s="180" t="str">
        <f>IFERROR(__xludf.DUMMYFUNCTION("TRIM(REGEXREPLACE(D562, ""[0-9]+[a-f]?\."", """"))"),"")</f>
        <v/>
      </c>
      <c r="I562" s="180" t="str">
        <f>IFERROR(__xludf.DUMMYFUNCTION("TRIM(REGEXREPLACE(E562, ""[0-9]+[a-f]?\."", """"))"),"")</f>
        <v/>
      </c>
      <c r="J562" s="180" t="s">
        <v>3111</v>
      </c>
      <c r="K562" s="180" t="s">
        <v>3112</v>
      </c>
      <c r="L562" s="180" t="s">
        <v>3113</v>
      </c>
    </row>
    <row r="563">
      <c r="A563" s="218" t="s">
        <v>38</v>
      </c>
      <c r="B563" s="64" t="s">
        <v>3114</v>
      </c>
      <c r="C563" s="45" t="s">
        <v>1350</v>
      </c>
      <c r="D563" s="45" t="s">
        <v>1351</v>
      </c>
      <c r="E563" s="45" t="s">
        <v>1352</v>
      </c>
      <c r="F563" s="187">
        <v>139.0</v>
      </c>
      <c r="G563" s="180" t="str">
        <f>IFERROR(__xludf.DUMMYFUNCTION("TRIM(REGEXREPLACE(C563, ""[0-9]+[a-f]?\."", """"))"),"Now I wil ask you about your opinions about people who are different from you and the type of society you want to live in.")</f>
        <v>Now I wil ask you about your opinions about people who are different from you and the type of society you want to live in.</v>
      </c>
      <c r="H563" s="180" t="str">
        <f>IFERROR(__xludf.DUMMYFUNCTION("TRIM(REGEXREPLACE(D563, ""[0-9]+[a-f]?\."", """"))"),"Maintenant, je vais vous demander votre opinion sur les personnes différentes de vous et sur le type de société dans laquelle vous souhaitez vivre.")</f>
        <v>Maintenant, je vais vous demander votre opinion sur les personnes différentes de vous et sur le type de société dans laquelle vous souhaitez vivre.</v>
      </c>
      <c r="I563" s="180" t="str">
        <f>IFERROR(__xludf.DUMMYFUNCTION("TRIM(REGEXREPLACE(E563, ""[0-9]+[a-f]?\."", """"))"),"Yanzu zan tambaye ra'ayinku game da wasu mutane daban, da kuma irin al'ummar da kuke son rayuwa a ciki.")</f>
        <v>Yanzu zan tambaye ra'ayinku game da wasu mutane daban, da kuma irin al'ummar da kuke son rayuwa a ciki.</v>
      </c>
      <c r="J563" s="180" t="str">
        <f t="shared" ref="J563:L563" si="139">$F563 &amp; ". "&amp;G563</f>
        <v>139. Now I wil ask you about your opinions about people who are different from you and the type of society you want to live in.</v>
      </c>
      <c r="K563" s="180" t="str">
        <f t="shared" si="139"/>
        <v>139. Maintenant, je vais vous demander votre opinion sur les personnes différentes de vous et sur le type de société dans laquelle vous souhaitez vivre.</v>
      </c>
      <c r="L563" s="180" t="str">
        <f t="shared" si="139"/>
        <v>139. Yanzu zan tambaye ra'ayinku game da wasu mutane daban, da kuma irin al'ummar da kuke son rayuwa a ciki.</v>
      </c>
    </row>
    <row r="564">
      <c r="A564" s="218" t="s">
        <v>38</v>
      </c>
      <c r="B564" s="64" t="s">
        <v>3121</v>
      </c>
      <c r="C564" s="45" t="s">
        <v>1353</v>
      </c>
      <c r="D564" s="45" t="s">
        <v>1354</v>
      </c>
      <c r="E564" s="45" t="s">
        <v>1355</v>
      </c>
      <c r="F564" s="187">
        <v>140.0</v>
      </c>
      <c r="G564" s="180" t="str">
        <f>IFERROR(__xludf.DUMMYFUNCTION("TRIM(REGEXREPLACE(C564,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564" s="180" t="str">
        <f>IFERROR(__xludf.DUMMYFUNCTION("TRIM(REGEXREPLACE(D564,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564" s="180" t="str">
        <f>IFERROR(__xludf.DUMMYFUNCTION("TRIM(REGEXREPLACE(E564,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564" s="180" t="str">
        <f t="shared" ref="J564:L564" si="140">$F564 &amp; ". "&amp;G564</f>
        <v>140. Could you tell me your general feeling about each group of people is positive or negative on a scale of 0 to 10 where 0 is very negative and 10 is very positive</v>
      </c>
      <c r="K564" s="180" t="str">
        <f t="shared" si="140"/>
        <v>140. Pourriez-vous me dire votre sentiment général sur chaque groupe de personnes s'il est positif ou négatif sur une échelle de 0 à 10 où 0 est très négatif et 10 est très positif</v>
      </c>
      <c r="L564" s="180" t="str">
        <f t="shared" si="140"/>
        <v>140. Ko za ku iya gaya mini yanda kuke gani game da kowane gungun mutane, yana da kyau ko baya da kyau akan kuranga 0 zuwa 10 inda 0 ba shi da kyau sosai kuma 10 yana da inganci sosai.</v>
      </c>
    </row>
    <row r="565">
      <c r="A565" s="248" t="s">
        <v>268</v>
      </c>
      <c r="B565" s="249" t="s">
        <v>3122</v>
      </c>
      <c r="C565" s="45" t="s">
        <v>1361</v>
      </c>
      <c r="D565" s="45" t="s">
        <v>1362</v>
      </c>
      <c r="E565" s="45" t="s">
        <v>1363</v>
      </c>
      <c r="F565" s="187">
        <v>141.0</v>
      </c>
      <c r="G565" s="180" t="str">
        <f>IFERROR(__xludf.DUMMYFUNCTION("TRIM(REGEXREPLACE(C565, ""[0-9]+[a-f]?\."", """"))"),"Followers of other religions")</f>
        <v>Followers of other religions</v>
      </c>
      <c r="H565" s="180" t="str">
        <f>IFERROR(__xludf.DUMMYFUNCTION("TRIM(REGEXREPLACE(D565, ""[0-9]+[a-f]?\."", """"))"),"Adeptes d'autres religions")</f>
        <v>Adeptes d'autres religions</v>
      </c>
      <c r="I565" s="180" t="str">
        <f>IFERROR(__xludf.DUMMYFUNCTION("TRIM(REGEXREPLACE(E565, ""[0-9]+[a-f]?\."", """"))"),"Mabiya wasu addinai")</f>
        <v>Mabiya wasu addinai</v>
      </c>
      <c r="J565" s="180" t="str">
        <f t="shared" ref="J565:L565" si="141">$F565 &amp; ". "&amp;G565</f>
        <v>141. Followers of other religions</v>
      </c>
      <c r="K565" s="180" t="str">
        <f t="shared" si="141"/>
        <v>141. Adeptes d'autres religions</v>
      </c>
      <c r="L565" s="180" t="str">
        <f t="shared" si="141"/>
        <v>141. Mabiya wasu addinai</v>
      </c>
    </row>
    <row r="566">
      <c r="A566" s="248" t="s">
        <v>268</v>
      </c>
      <c r="B566" s="249" t="s">
        <v>3123</v>
      </c>
      <c r="C566" s="45" t="s">
        <v>1365</v>
      </c>
      <c r="D566" s="45" t="s">
        <v>1366</v>
      </c>
      <c r="E566" s="45" t="s">
        <v>1367</v>
      </c>
      <c r="F566" s="187">
        <v>142.0</v>
      </c>
      <c r="G566" s="180" t="str">
        <f>IFERROR(__xludf.DUMMYFUNCTION("TRIM(REGEXREPLACE(C566, ""[0-9]+[a-f]?\."", """"))"),"People of different ethnic groups")</f>
        <v>People of different ethnic groups</v>
      </c>
      <c r="H566" s="180" t="str">
        <f>IFERROR(__xludf.DUMMYFUNCTION("TRIM(REGEXREPLACE(D566, ""[0-9]+[a-f]?\."", """"))"),"Personnes de différents groupes ethniques")</f>
        <v>Personnes de différents groupes ethniques</v>
      </c>
      <c r="I566" s="180" t="str">
        <f>IFERROR(__xludf.DUMMYFUNCTION("TRIM(REGEXREPLACE(E566, ""[0-9]+[a-f]?\."", """"))"),"Mutanen wasu kabilu daban")</f>
        <v>Mutanen wasu kabilu daban</v>
      </c>
      <c r="J566" s="180" t="str">
        <f t="shared" ref="J566:L566" si="142">$F566 &amp; ". "&amp;G566</f>
        <v>142. People of different ethnic groups</v>
      </c>
      <c r="K566" s="180" t="str">
        <f t="shared" si="142"/>
        <v>142. Personnes de différents groupes ethniques</v>
      </c>
      <c r="L566" s="180" t="str">
        <f t="shared" si="142"/>
        <v>142. Mutanen wasu kabilu daban</v>
      </c>
    </row>
    <row r="567">
      <c r="A567" s="248" t="s">
        <v>268</v>
      </c>
      <c r="B567" s="249" t="s">
        <v>3124</v>
      </c>
      <c r="C567" s="45" t="s">
        <v>1368</v>
      </c>
      <c r="D567" s="45" t="s">
        <v>1369</v>
      </c>
      <c r="E567" s="45" t="s">
        <v>1370</v>
      </c>
      <c r="F567" s="187">
        <v>143.0</v>
      </c>
      <c r="G567" s="180" t="str">
        <f>IFERROR(__xludf.DUMMYFUNCTION("TRIM(REGEXREPLACE(C567, ""[0-9]+[a-f]?\."", """"))"),"Immigrants who come to Niger as foreign workers")</f>
        <v>Immigrants who come to Niger as foreign workers</v>
      </c>
      <c r="H567" s="180" t="str">
        <f>IFERROR(__xludf.DUMMYFUNCTION("TRIM(REGEXREPLACE(D567, ""[0-9]+[a-f]?\."", """"))"),"Les immigrés qui viennent au Niger en tant que travailleurs étrangers")</f>
        <v>Les immigrés qui viennent au Niger en tant que travailleurs étrangers</v>
      </c>
      <c r="I567" s="180" t="str">
        <f>IFERROR(__xludf.DUMMYFUNCTION("TRIM(REGEXREPLACE(E567, ""[0-9]+[a-f]?\."", """"))"),"Baƙin haure masu zuwa Nijar a matsayin ma'aikata ƴan ƙasashen waje")</f>
        <v>Baƙin haure masu zuwa Nijar a matsayin ma'aikata ƴan ƙasashen waje</v>
      </c>
      <c r="J567" s="180" t="str">
        <f t="shared" ref="J567:L567" si="143">$F567 &amp; ". "&amp;G567</f>
        <v>143. Immigrants who come to Niger as foreign workers</v>
      </c>
      <c r="K567" s="180" t="str">
        <f t="shared" si="143"/>
        <v>143. Les immigrés qui viennent au Niger en tant que travailleurs étrangers</v>
      </c>
      <c r="L567" s="180" t="str">
        <f t="shared" si="143"/>
        <v>143. Baƙin haure masu zuwa Nijar a matsayin ma'aikata ƴan ƙasashen waje</v>
      </c>
    </row>
    <row r="568">
      <c r="A568" s="248" t="s">
        <v>268</v>
      </c>
      <c r="B568" s="249" t="s">
        <v>3125</v>
      </c>
      <c r="C568" s="45" t="s">
        <v>1376</v>
      </c>
      <c r="D568" s="45" t="s">
        <v>1377</v>
      </c>
      <c r="E568" s="45" t="s">
        <v>1378</v>
      </c>
      <c r="F568" s="187">
        <v>144.0</v>
      </c>
      <c r="G568" s="180" t="str">
        <f>IFERROR(__xludf.DUMMYFUNCTION("TRIM(REGEXREPLACE(C568, ""[0-9]+[a-f]?\."", """"))"),"People of a different sect of Islam")</f>
        <v>People of a different sect of Islam</v>
      </c>
      <c r="H568" s="180" t="str">
        <f>IFERROR(__xludf.DUMMYFUNCTION("TRIM(REGEXREPLACE(D568, ""[0-9]+[a-f]?\."", """"))"),"Les gens d'une autre secte de l'Islam")</f>
        <v>Les gens d'une autre secte de l'Islam</v>
      </c>
      <c r="I568" s="180" t="str">
        <f>IFERROR(__xludf.DUMMYFUNCTION("TRIM(REGEXREPLACE(E568, ""[0-9]+[a-f]?\."", """"))"),"Mabiya wasu ɗarikun musulunci")</f>
        <v>Mabiya wasu ɗarikun musulunci</v>
      </c>
      <c r="J568" s="180" t="str">
        <f t="shared" ref="J568:L568" si="144">$F568 &amp; ". "&amp;G568</f>
        <v>144. People of a different sect of Islam</v>
      </c>
      <c r="K568" s="180" t="str">
        <f t="shared" si="144"/>
        <v>144. Les gens d'une autre secte de l'Islam</v>
      </c>
      <c r="L568" s="180" t="str">
        <f t="shared" si="144"/>
        <v>144. Mabiya wasu ɗarikun musulunci</v>
      </c>
    </row>
    <row r="569">
      <c r="A569" s="80" t="s">
        <v>1306</v>
      </c>
      <c r="B569" s="228" t="s">
        <v>3130</v>
      </c>
      <c r="C569" s="45" t="s">
        <v>1381</v>
      </c>
      <c r="D569" s="45" t="s">
        <v>1382</v>
      </c>
      <c r="E569" s="45" t="s">
        <v>1383</v>
      </c>
      <c r="F569" s="187">
        <v>145.0</v>
      </c>
      <c r="G569" s="180" t="str">
        <f>IFERROR(__xludf.DUMMYFUNCTION("TRIM(REGEXREPLACE(C569, ""[0-9]+[a-f]?\."", """"))"),"Imagine one of your daughters wanted to marry someone of a different religious faith, would you give them your permission?")</f>
        <v>Imagine one of your daughters wanted to marry someone of a different religious faith, would you give them your permission?</v>
      </c>
      <c r="H569" s="180" t="str">
        <f>IFERROR(__xludf.DUMMYFUNCTION("TRIM(REGEXREPLACE(D569, ""[0-9]+[a-f]?\."", """"))"),"Imaginez qu'une de vos filles veuille épouser quelqu'un d'une confession religieuse différente, leur donneriez-vous votre permission ?")</f>
        <v>Imaginez qu'une de vos filles veuille épouser quelqu'un d'une confession religieuse différente, leur donneriez-vous votre permission ?</v>
      </c>
      <c r="I569" s="180" t="str">
        <f>IFERROR(__xludf.DUMMYFUNCTION("TRIM(REGEXREPLACE(E569, ""[0-9]+[a-f]?\."", """"))"),"Ku ƙaddara da wata ɗaiyarku ta na son ta auri wani mai biyar wani addini daban, za ku bada izininku?")</f>
        <v>Ku ƙaddara da wata ɗaiyarku ta na son ta auri wani mai biyar wani addini daban, za ku bada izininku?</v>
      </c>
      <c r="J569" s="180" t="str">
        <f t="shared" ref="J569:L569" si="145">$F569 &amp; ". "&amp;G569</f>
        <v>145. Imagine one of your daughters wanted to marry someone of a different religious faith, would you give them your permission?</v>
      </c>
      <c r="K569" s="180" t="str">
        <f t="shared" si="145"/>
        <v>145. Imaginez qu'une de vos filles veuille épouser quelqu'un d'une confession religieuse différente, leur donneriez-vous votre permission ?</v>
      </c>
      <c r="L569" s="180" t="str">
        <f t="shared" si="145"/>
        <v>145. Ku ƙaddara da wata ɗaiyarku ta na son ta auri wani mai biyar wani addini daban, za ku bada izininku?</v>
      </c>
    </row>
    <row r="570">
      <c r="A570" s="80" t="s">
        <v>1306</v>
      </c>
      <c r="B570" s="228" t="s">
        <v>3131</v>
      </c>
      <c r="C570" s="45" t="s">
        <v>1384</v>
      </c>
      <c r="D570" s="45" t="s">
        <v>1385</v>
      </c>
      <c r="E570" s="45" t="s">
        <v>1386</v>
      </c>
      <c r="F570" s="187">
        <v>146.0</v>
      </c>
      <c r="G570" s="180" t="str">
        <f>IFERROR(__xludf.DUMMYFUNCTION("TRIM(REGEXREPLACE(C570, ""[0-9]+[a-f]?\."", """"))"),"Imagine one of your sons wanted to marry someone of a different religious faith, would you give them your permission?")</f>
        <v>Imagine one of your sons wanted to marry someone of a different religious faith, would you give them your permission?</v>
      </c>
      <c r="H570" s="180" t="str">
        <f>IFERROR(__xludf.DUMMYFUNCTION("TRIM(REGEXREPLACE(D570, ""[0-9]+[a-f]?\."", """"))"),"Imaginez que l'un de vos fils veuille épouser quelqu'un d'une confession religieuse différente, leur donneriez-vous votre permission ?")</f>
        <v>Imaginez que l'un de vos fils veuille épouser quelqu'un d'une confession religieuse différente, leur donneriez-vous votre permission ?</v>
      </c>
      <c r="I570" s="180" t="str">
        <f>IFERROR(__xludf.DUMMYFUNCTION("TRIM(REGEXREPLACE(E570, ""[0-9]+[a-f]?\."", """"))"),"Ku ƙaddara da wani ɗanku ya na son ya auri wata ƴan addini daban, za ku bada izininku?")</f>
        <v>Ku ƙaddara da wani ɗanku ya na son ya auri wata ƴan addini daban, za ku bada izininku?</v>
      </c>
      <c r="J570" s="180" t="str">
        <f t="shared" ref="J570:L570" si="146">$F570 &amp; ". "&amp;G570</f>
        <v>146. Imagine one of your sons wanted to marry someone of a different religious faith, would you give them your permission?</v>
      </c>
      <c r="K570" s="180" t="str">
        <f t="shared" si="146"/>
        <v>146. Imaginez que l'un de vos fils veuille épouser quelqu'un d'une confession religieuse différente, leur donneriez-vous votre permission ?</v>
      </c>
      <c r="L570" s="180" t="str">
        <f t="shared" si="146"/>
        <v>146. Ku ƙaddara da wani ɗanku ya na son ya auri wata ƴan addini daban, za ku bada izininku?</v>
      </c>
    </row>
    <row r="571" hidden="1">
      <c r="A571" s="180"/>
      <c r="B571" s="182"/>
      <c r="C571" s="182"/>
      <c r="D571" s="182"/>
      <c r="E571" s="182"/>
      <c r="F571" s="187">
        <v>369.0</v>
      </c>
      <c r="G571" s="180" t="str">
        <f>IFERROR(__xludf.DUMMYFUNCTION("TRIM(REGEXREPLACE(C571, ""[0-9]+[a-f]?\."", """"))"),"")</f>
        <v/>
      </c>
      <c r="H571" s="180" t="str">
        <f>IFERROR(__xludf.DUMMYFUNCTION("TRIM(REGEXREPLACE(D571, ""[0-9]+[a-f]?\."", """"))"),"")</f>
        <v/>
      </c>
      <c r="I571" s="180" t="str">
        <f>IFERROR(__xludf.DUMMYFUNCTION("TRIM(REGEXREPLACE(E571, ""[0-9]+[a-f]?\."", """"))"),"")</f>
        <v/>
      </c>
      <c r="J571" s="180" t="s">
        <v>3138</v>
      </c>
      <c r="K571" s="180" t="s">
        <v>3139</v>
      </c>
      <c r="L571" s="180" t="s">
        <v>3140</v>
      </c>
    </row>
    <row r="572">
      <c r="A572" s="80" t="s">
        <v>1306</v>
      </c>
      <c r="B572" s="228" t="s">
        <v>3144</v>
      </c>
      <c r="C572" s="45" t="s">
        <v>1388</v>
      </c>
      <c r="D572" s="45" t="s">
        <v>1389</v>
      </c>
      <c r="E572" s="45" t="s">
        <v>1390</v>
      </c>
      <c r="F572" s="187">
        <v>147.0</v>
      </c>
      <c r="G572" s="180" t="str">
        <f>IFERROR(__xludf.DUMMYFUNCTION("TRIM(REGEXREPLACE(C572, ""[0-9]+[a-f]?\."", """"))"),"Imagine one of your daughters wanted to marry someone of a different ethnic group, would you give them your permission?")</f>
        <v>Imagine one of your daughters wanted to marry someone of a different ethnic group, would you give them your permission?</v>
      </c>
      <c r="H572" s="180" t="str">
        <f>IFERROR(__xludf.DUMMYFUNCTION("TRIM(REGEXREPLACE(D572, ""[0-9]+[a-f]?\."", """"))"),"Imaginez qu'une de vos filles veuille épouser quelqu'un d'un groupe ethnique différent, leur donneriez-vous votre permission ?")</f>
        <v>Imaginez qu'une de vos filles veuille épouser quelqu'un d'un groupe ethnique différent, leur donneriez-vous votre permission ?</v>
      </c>
      <c r="I572" s="180" t="str">
        <f>IFERROR(__xludf.DUMMYFUNCTION("TRIM(REGEXREPLACE(E572, ""[0-9]+[a-f]?\."", """"))"),"Ku ƙaddara da wata ɗiyarka tana son ta auri ɗan wata kabila daban, za ku bada izininka?")</f>
        <v>Ku ƙaddara da wata ɗiyarka tana son ta auri ɗan wata kabila daban, za ku bada izininka?</v>
      </c>
      <c r="J572" s="180" t="str">
        <f t="shared" ref="J572:L572" si="147">$F572 &amp; ". "&amp;G572</f>
        <v>147. Imagine one of your daughters wanted to marry someone of a different ethnic group, would you give them your permission?</v>
      </c>
      <c r="K572" s="180" t="str">
        <f t="shared" si="147"/>
        <v>147. Imaginez qu'une de vos filles veuille épouser quelqu'un d'un groupe ethnique différent, leur donneriez-vous votre permission ?</v>
      </c>
      <c r="L572" s="180" t="str">
        <f t="shared" si="147"/>
        <v>147. Ku ƙaddara da wata ɗiyarka tana son ta auri ɗan wata kabila daban, za ku bada izininka?</v>
      </c>
    </row>
    <row r="573">
      <c r="A573" s="80" t="s">
        <v>1306</v>
      </c>
      <c r="B573" s="228" t="s">
        <v>3148</v>
      </c>
      <c r="C573" s="45" t="s">
        <v>1392</v>
      </c>
      <c r="D573" s="45" t="s">
        <v>1393</v>
      </c>
      <c r="E573" s="45" t="s">
        <v>1394</v>
      </c>
      <c r="F573" s="187">
        <v>148.0</v>
      </c>
      <c r="G573" s="180" t="str">
        <f>IFERROR(__xludf.DUMMYFUNCTION("TRIM(REGEXREPLACE(C573, ""[0-9]+[a-f]?\."", """"))"),"Imagine one of your sons wanted to marry someone of a different ethnic group, would you give them your permission?")</f>
        <v>Imagine one of your sons wanted to marry someone of a different ethnic group, would you give them your permission?</v>
      </c>
      <c r="H573" s="180" t="str">
        <f>IFERROR(__xludf.DUMMYFUNCTION("TRIM(REGEXREPLACE(D573, ""[0-9]+[a-f]?\."", """"))"),"Imaginez que l'un de vos fils veuille épouser quelqu'un d'un groupe ethnique différent, leur donneriez-vous votre permission ?")</f>
        <v>Imaginez que l'un de vos fils veuille épouser quelqu'un d'un groupe ethnique différent, leur donneriez-vous votre permission ?</v>
      </c>
      <c r="I573" s="180" t="str">
        <f>IFERROR(__xludf.DUMMYFUNCTION("TRIM(REGEXREPLACE(E573, ""[0-9]+[a-f]?\."", """"))"),"Ku ƙaddara da wani ɗanku ya na son ya auri wata ƴar wata ƙabila daban, za ku bada izininku?")</f>
        <v>Ku ƙaddara da wani ɗanku ya na son ya auri wata ƴar wata ƙabila daban, za ku bada izininku?</v>
      </c>
      <c r="J573" s="180" t="str">
        <f t="shared" ref="J573:L573" si="148">$F573 &amp; ". "&amp;G573</f>
        <v>148. Imagine one of your sons wanted to marry someone of a different ethnic group, would you give them your permission?</v>
      </c>
      <c r="K573" s="180" t="str">
        <f t="shared" si="148"/>
        <v>148. Imaginez que l'un de vos fils veuille épouser quelqu'un d'un groupe ethnique différent, leur donneriez-vous votre permission ?</v>
      </c>
      <c r="L573" s="180" t="str">
        <f t="shared" si="148"/>
        <v>148. Ku ƙaddara da wani ɗanku ya na son ya auri wata ƴar wata ƙabila daban, za ku bada izininku?</v>
      </c>
    </row>
    <row r="574">
      <c r="A574" s="80" t="s">
        <v>3155</v>
      </c>
      <c r="B574" s="228" t="s">
        <v>3156</v>
      </c>
      <c r="C574" s="45" t="s">
        <v>3157</v>
      </c>
      <c r="D574" s="45" t="s">
        <v>3158</v>
      </c>
      <c r="E574" s="45" t="s">
        <v>3159</v>
      </c>
      <c r="F574" s="187">
        <v>149.0</v>
      </c>
      <c r="G574" s="180" t="str">
        <f>IFERROR(__xludf.DUMMYFUNCTION("TRIM(REGEXREPLACE(C574,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574" s="180" t="str">
        <f>IFERROR(__xludf.DUMMYFUNCTION("TRIM(REGEXREPLACE(D574,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574" s="180" t="str">
        <f>IFERROR(__xludf.DUMMYFUNCTION("TRIM(REGEXREPLACE(E574, ""[0-9]+[a-f]?\."", """"))"),"1) Tsarin dimoraɗiyya ta fi kowace irin tsari mulki
 2) A wani yanayi ana iya fifita gwamnatin da ba ta dimokraɗiyya ba
 3) Ga mai irina, ba ruwanmu da wace irin gwamnati muke da ita”.")</f>
        <v>1) Tsarin dimoraɗiyya ta fi kowace irin tsari mulki
 2) A wani yanayi ana iya fifita gwamnatin da ba ta dimokraɗiyya ba
 3) Ga mai irina, ba ruwanmu da wace irin gwamnati muke da ita”.</v>
      </c>
      <c r="J574" s="180" t="str">
        <f t="shared" ref="J574:L574" si="149">$F574 &amp; ". "&amp;G574</f>
        <v>149.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K574" s="180" t="str">
        <f t="shared" si="149"/>
        <v>149.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L574" s="180" t="str">
        <f t="shared" si="149"/>
        <v>149. 1) Tsarin dimoraɗiyya ta fi kowace irin tsari mulki
 2) A wani yanayi ana iya fifita gwamnatin da ba ta dimokraɗiyya ba
 3) Ga mai irina, ba ruwanmu da wace irin gwamnati muke da ita”.</v>
      </c>
    </row>
    <row r="575">
      <c r="A575" s="80" t="s">
        <v>3166</v>
      </c>
      <c r="B575" s="228" t="s">
        <v>3167</v>
      </c>
      <c r="C575" s="45" t="s">
        <v>3168</v>
      </c>
      <c r="D575" s="45" t="s">
        <v>3169</v>
      </c>
      <c r="E575" s="45" t="s">
        <v>3170</v>
      </c>
      <c r="F575" s="187">
        <v>150.0</v>
      </c>
      <c r="G575" s="180" t="str">
        <f>IFERROR(__xludf.DUMMYFUNCTION("TRIM(REGEXREPLACE(C575, ""[0-9]+[a-f]?\."", """"))"),"I will read you two statements. Which of the following statements is closest to your view? Choose Statement 1 or Statement 
 A government that enjoys the support of the people should be free to do whatever the people want, even if it is outside the law."&amp;"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575" s="180" t="str">
        <f>IFERROR(__xludf.DUMMYFUNCTION("TRIM(REGEXREPLACE(D575, ""[0-9]+[a-f]?\."", """"))"),"Je vais vous lire deux déclarations. Laquelle des déclarations suivantes est la plus proche de votre point de vue ? Choisissez la déclaration 1 ou la déclaration 
 Un gouvernement qui bénéficie du soutien du peuple devrait être libre de faire ce que le "&amp;"peuple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575" s="180" t="str">
        <f>IFERROR(__xludf.DUMMYFUNCTION("TRIM(REGEXREPLACE(E575, ""[0-9]+[a-f]?\."", """"))"),"Zan karanta muku wasu maganganu guda biyu, a cikin waɗannan maganganu wanne ne ya fi kusa da ra'ayinku? Zabi Bayani na 1 ko Bayani na 
 Gwamnatin da ke samun goyon bayan al’umma tana da ƴancin yin duk abin da jama’a ke so, ko da ba bisa doka ba ne.
 Ayy"&amp;"ukan kowane gwamnati komai farin jininta, dole ne ta bi doka.")</f>
        <v>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c r="J575" s="180" t="str">
        <f t="shared" ref="J575:L575" si="150">$F575 &amp; ". "&amp;G575</f>
        <v>150.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K575" s="180" t="str">
        <f t="shared" si="150"/>
        <v>150.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L575" s="180" t="str">
        <f t="shared" si="150"/>
        <v>150.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row>
    <row r="576">
      <c r="A576" s="80" t="s">
        <v>3166</v>
      </c>
      <c r="B576" s="228" t="s">
        <v>3177</v>
      </c>
      <c r="C576" s="45" t="s">
        <v>3178</v>
      </c>
      <c r="D576" s="45" t="s">
        <v>3179</v>
      </c>
      <c r="E576" s="45" t="s">
        <v>3180</v>
      </c>
      <c r="F576" s="187">
        <v>151.0</v>
      </c>
      <c r="G576" s="180" t="str">
        <f>IFERROR(__xludf.DUMMYFUNCTION("TRIM(REGEXREPLACE(C576,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576" s="180" t="str">
        <f>IFERROR(__xludf.DUMMYFUNCTION("TRIM(REGEXREPLACE(D576, ""[0-9]+[a-f]?\."", """"))"),"Je vais vous lire deux déclarations. Laquelle des déclarations suivantes est la plus proche de votre point de vue ? Choisissez la déclaration 1 ou la déclaration 
 Utiliser la violence pour atteindre vos objectifs n'est jamais justifié, quelle que soit "&amp;"la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576" s="180" t="str">
        <f>IFERROR(__xludf.DUMMYFUNCTION("TRIM(REGEXREPLACE(E576,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576" s="180" t="str">
        <f t="shared" ref="J576:L576" si="151">$F576 &amp; ". "&amp;G576</f>
        <v>151.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K576" s="180" t="str">
        <f t="shared" si="151"/>
        <v>151.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L576" s="180" t="str">
        <f t="shared" si="151"/>
        <v>151.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row>
    <row r="577" hidden="1">
      <c r="A577" s="144" t="s">
        <v>127</v>
      </c>
      <c r="B577" s="144" t="s">
        <v>3187</v>
      </c>
      <c r="C577" s="147"/>
      <c r="D577" s="226"/>
      <c r="E577" s="226"/>
      <c r="F577" s="187">
        <v>359.0</v>
      </c>
      <c r="G577" s="180" t="str">
        <f>IFERROR(__xludf.DUMMYFUNCTION("TRIM(REGEXREPLACE(C577, ""[0-9]+[a-f]?\."", """"))"),"")</f>
        <v/>
      </c>
      <c r="H577" s="180" t="str">
        <f>IFERROR(__xludf.DUMMYFUNCTION("TRIM(REGEXREPLACE(D577, ""[0-9]+[a-f]?\."", """"))"),"")</f>
        <v/>
      </c>
      <c r="I577" s="180" t="str">
        <f>IFERROR(__xludf.DUMMYFUNCTION("TRIM(REGEXREPLACE(E577, ""[0-9]+[a-f]?\."", """"))"),"")</f>
        <v/>
      </c>
      <c r="J577" s="180" t="s">
        <v>3188</v>
      </c>
      <c r="K577" s="180" t="s">
        <v>3189</v>
      </c>
      <c r="L577" s="180" t="s">
        <v>3190</v>
      </c>
    </row>
    <row r="578" hidden="1">
      <c r="A578" s="168" t="s">
        <v>68</v>
      </c>
      <c r="B578" s="252" t="s">
        <v>3191</v>
      </c>
      <c r="C578" s="226"/>
      <c r="D578" s="226"/>
      <c r="E578" s="226"/>
      <c r="F578" s="187">
        <v>360.0</v>
      </c>
      <c r="G578" s="180" t="str">
        <f>IFERROR(__xludf.DUMMYFUNCTION("TRIM(REGEXREPLACE(C578, ""[0-9]+[a-f]?\."", """"))"),"")</f>
        <v/>
      </c>
      <c r="H578" s="180" t="str">
        <f>IFERROR(__xludf.DUMMYFUNCTION("TRIM(REGEXREPLACE(D578, ""[0-9]+[a-f]?\."", """"))"),"")</f>
        <v/>
      </c>
      <c r="I578" s="180" t="str">
        <f>IFERROR(__xludf.DUMMYFUNCTION("TRIM(REGEXREPLACE(E578, ""[0-9]+[a-f]?\."", """"))"),"")</f>
        <v/>
      </c>
      <c r="J578" s="180" t="s">
        <v>3192</v>
      </c>
      <c r="K578" s="180" t="s">
        <v>3194</v>
      </c>
      <c r="L578" s="180" t="s">
        <v>3196</v>
      </c>
    </row>
    <row r="579" hidden="1">
      <c r="A579" s="151" t="s">
        <v>237</v>
      </c>
      <c r="B579" s="226" t="s">
        <v>3099</v>
      </c>
      <c r="C579" s="226" t="s">
        <v>3100</v>
      </c>
      <c r="D579" s="226"/>
      <c r="E579" s="226"/>
      <c r="F579" s="187">
        <v>361.0</v>
      </c>
      <c r="G579" s="180" t="str">
        <f>IFERROR(__xludf.DUMMYFUNCTION("TRIM(REGEXREPLACE(C579, ""[0-9]+[a-f]?\."", """"))"),"Society Opinions")</f>
        <v>Society Opinions</v>
      </c>
      <c r="H579" s="180" t="str">
        <f>IFERROR(__xludf.DUMMYFUNCTION("TRIM(REGEXREPLACE(D579, ""[0-9]+[a-f]?\."", """"))"),"")</f>
        <v/>
      </c>
      <c r="I579" s="180" t="str">
        <f>IFERROR(__xludf.DUMMYFUNCTION("TRIM(REGEXREPLACE(E579, ""[0-9]+[a-f]?\."", """"))"),"")</f>
        <v/>
      </c>
      <c r="J579" s="180" t="s">
        <v>3199</v>
      </c>
      <c r="K579" s="180" t="s">
        <v>3200</v>
      </c>
      <c r="L579" s="180" t="s">
        <v>3201</v>
      </c>
    </row>
    <row r="580" hidden="1">
      <c r="A580" s="151" t="s">
        <v>237</v>
      </c>
      <c r="B580" s="226" t="s">
        <v>1539</v>
      </c>
      <c r="C580" s="226" t="s">
        <v>1540</v>
      </c>
      <c r="D580" s="226"/>
      <c r="E580" s="226"/>
      <c r="F580" s="187">
        <v>362.0</v>
      </c>
      <c r="G580" s="180" t="str">
        <f>IFERROR(__xludf.DUMMYFUNCTION("TRIM(REGEXREPLACE(C580, ""[0-9]+[a-f]?\."", """"))"),"SHM Questionnaire")</f>
        <v>SHM Questionnaire</v>
      </c>
      <c r="H580" s="180" t="str">
        <f>IFERROR(__xludf.DUMMYFUNCTION("TRIM(REGEXREPLACE(D580, ""[0-9]+[a-f]?\."", """"))"),"")</f>
        <v/>
      </c>
      <c r="I580" s="180" t="str">
        <f>IFERROR(__xludf.DUMMYFUNCTION("TRIM(REGEXREPLACE(E580, ""[0-9]+[a-f]?\."", """"))"),"")</f>
        <v/>
      </c>
      <c r="J580" s="180" t="s">
        <v>3202</v>
      </c>
      <c r="K580" s="180" t="s">
        <v>3203</v>
      </c>
      <c r="L580" s="180" t="s">
        <v>3204</v>
      </c>
    </row>
    <row r="581" hidden="1">
      <c r="A581" s="70" t="s">
        <v>127</v>
      </c>
      <c r="B581" s="188" t="s">
        <v>3205</v>
      </c>
      <c r="C581" s="200"/>
      <c r="D581" s="200"/>
      <c r="E581" s="200"/>
      <c r="F581" s="187">
        <v>363.0</v>
      </c>
      <c r="G581" s="180" t="str">
        <f>IFERROR(__xludf.DUMMYFUNCTION("TRIM(REGEXREPLACE(C581, ""[0-9]+[a-f]?\."", """"))"),"")</f>
        <v/>
      </c>
      <c r="H581" s="180" t="str">
        <f>IFERROR(__xludf.DUMMYFUNCTION("TRIM(REGEXREPLACE(D581, ""[0-9]+[a-f]?\."", """"))"),"")</f>
        <v/>
      </c>
      <c r="I581" s="180" t="str">
        <f>IFERROR(__xludf.DUMMYFUNCTION("TRIM(REGEXREPLACE(E581, ""[0-9]+[a-f]?\."", """"))"),"")</f>
        <v/>
      </c>
      <c r="J581" s="180" t="s">
        <v>3206</v>
      </c>
      <c r="K581" s="180" t="s">
        <v>3207</v>
      </c>
      <c r="L581" s="180" t="s">
        <v>3208</v>
      </c>
    </row>
    <row r="582" hidden="1">
      <c r="A582" s="168" t="s">
        <v>68</v>
      </c>
      <c r="B582" s="169" t="s">
        <v>3209</v>
      </c>
      <c r="C582" s="200"/>
      <c r="D582" s="73"/>
      <c r="E582" s="73"/>
      <c r="F582" s="187">
        <v>364.0</v>
      </c>
      <c r="G582" s="180" t="str">
        <f>IFERROR(__xludf.DUMMYFUNCTION("TRIM(REGEXREPLACE(C582, ""[0-9]+[a-f]?\."", """"))"),"")</f>
        <v/>
      </c>
      <c r="H582" s="180" t="str">
        <f>IFERROR(__xludf.DUMMYFUNCTION("TRIM(REGEXREPLACE(D582, ""[0-9]+[a-f]?\."", """"))"),"")</f>
        <v/>
      </c>
      <c r="I582" s="180" t="str">
        <f>IFERROR(__xludf.DUMMYFUNCTION("TRIM(REGEXREPLACE(E582, ""[0-9]+[a-f]?\."", """"))"),"")</f>
        <v/>
      </c>
      <c r="J582" s="180" t="s">
        <v>3210</v>
      </c>
      <c r="K582" s="180" t="s">
        <v>3211</v>
      </c>
      <c r="L582" s="180" t="s">
        <v>3212</v>
      </c>
    </row>
    <row r="583" hidden="1">
      <c r="A583" s="254"/>
      <c r="B583" s="191"/>
      <c r="C583" s="191"/>
      <c r="D583" s="191"/>
      <c r="E583" s="191"/>
      <c r="F583" s="187">
        <v>365.0</v>
      </c>
      <c r="G583" s="180" t="str">
        <f>IFERROR(__xludf.DUMMYFUNCTION("TRIM(REGEXREPLACE(C583, ""[0-9]+[a-f]?\."", """"))"),"")</f>
        <v/>
      </c>
      <c r="H583" s="180" t="str">
        <f>IFERROR(__xludf.DUMMYFUNCTION("TRIM(REGEXREPLACE(D583, ""[0-9]+[a-f]?\."", """"))"),"")</f>
        <v/>
      </c>
      <c r="I583" s="180" t="str">
        <f>IFERROR(__xludf.DUMMYFUNCTION("TRIM(REGEXREPLACE(E583, ""[0-9]+[a-f]?\."", """"))"),"")</f>
        <v/>
      </c>
      <c r="J583" s="180" t="s">
        <v>3213</v>
      </c>
      <c r="K583" s="180" t="s">
        <v>3214</v>
      </c>
      <c r="L583" s="180" t="s">
        <v>3215</v>
      </c>
    </row>
    <row r="584" hidden="1">
      <c r="A584" s="168" t="s">
        <v>127</v>
      </c>
      <c r="B584" s="71" t="s">
        <v>3216</v>
      </c>
      <c r="C584" s="200"/>
      <c r="D584" s="200"/>
      <c r="E584" s="200"/>
      <c r="F584" s="187">
        <v>366.0</v>
      </c>
      <c r="G584" s="180" t="str">
        <f>IFERROR(__xludf.DUMMYFUNCTION("TRIM(REGEXREPLACE(C584, ""[0-9]+[a-f]?\."", """"))"),"")</f>
        <v/>
      </c>
      <c r="H584" s="180" t="str">
        <f>IFERROR(__xludf.DUMMYFUNCTION("TRIM(REGEXREPLACE(D584, ""[0-9]+[a-f]?\."", """"))"),"")</f>
        <v/>
      </c>
      <c r="I584" s="180" t="str">
        <f>IFERROR(__xludf.DUMMYFUNCTION("TRIM(REGEXREPLACE(E584, ""[0-9]+[a-f]?\."", """"))"),"")</f>
        <v/>
      </c>
      <c r="J584" s="180" t="s">
        <v>3218</v>
      </c>
      <c r="K584" s="180" t="s">
        <v>3219</v>
      </c>
      <c r="L584" s="180" t="s">
        <v>3220</v>
      </c>
    </row>
    <row r="585" hidden="1">
      <c r="B585" s="277"/>
      <c r="C585" s="277"/>
      <c r="D585" s="277"/>
      <c r="E585" s="277"/>
      <c r="F585" s="187">
        <v>376.0</v>
      </c>
      <c r="G585" s="180" t="str">
        <f>IFERROR(__xludf.DUMMYFUNCTION("TRIM(REGEXREPLACE(C585, ""[0-9]+[a-f]?\."", """"))"),"")</f>
        <v/>
      </c>
      <c r="H585" s="180" t="str">
        <f>IFERROR(__xludf.DUMMYFUNCTION("TRIM(REGEXREPLACE(D585, ""[0-9]+[a-f]?\."", """"))"),"")</f>
        <v/>
      </c>
      <c r="I585" s="180" t="str">
        <f>IFERROR(__xludf.DUMMYFUNCTION("TRIM(REGEXREPLACE(E585, ""[0-9]+[a-f]?\."", """"))"),"")</f>
        <v/>
      </c>
      <c r="J585" s="180" t="s">
        <v>3221</v>
      </c>
      <c r="K585" s="180" t="s">
        <v>3222</v>
      </c>
      <c r="L585" s="180" t="s">
        <v>3222</v>
      </c>
    </row>
    <row r="586" hidden="1">
      <c r="B586" s="277"/>
      <c r="C586" s="277"/>
      <c r="D586" s="277"/>
      <c r="E586" s="277"/>
      <c r="F586" s="187">
        <v>377.0</v>
      </c>
      <c r="G586" s="180" t="str">
        <f>IFERROR(__xludf.DUMMYFUNCTION("TRIM(REGEXREPLACE(C586, ""[0-9]+[a-f]?\."", """"))"),"")</f>
        <v/>
      </c>
      <c r="H586" s="180" t="str">
        <f>IFERROR(__xludf.DUMMYFUNCTION("TRIM(REGEXREPLACE(D586, ""[0-9]+[a-f]?\."", """"))"),"")</f>
        <v/>
      </c>
      <c r="I586" s="180" t="str">
        <f>IFERROR(__xludf.DUMMYFUNCTION("TRIM(REGEXREPLACE(E586, ""[0-9]+[a-f]?\."", """"))"),"")</f>
        <v/>
      </c>
      <c r="J586" s="180" t="s">
        <v>3223</v>
      </c>
      <c r="K586" s="180" t="s">
        <v>3224</v>
      </c>
      <c r="L586" s="180" t="s">
        <v>3225</v>
      </c>
    </row>
    <row r="587" hidden="1">
      <c r="B587" s="277"/>
      <c r="C587" s="277"/>
      <c r="D587" s="277"/>
      <c r="E587" s="277"/>
      <c r="F587" s="187">
        <v>378.0</v>
      </c>
      <c r="G587" s="180" t="str">
        <f>IFERROR(__xludf.DUMMYFUNCTION("TRIM(REGEXREPLACE(C587, ""[0-9]+[a-f]?\."", """"))"),"")</f>
        <v/>
      </c>
      <c r="H587" s="180" t="str">
        <f>IFERROR(__xludf.DUMMYFUNCTION("TRIM(REGEXREPLACE(D587, ""[0-9]+[a-f]?\."", """"))"),"")</f>
        <v/>
      </c>
      <c r="I587" s="180" t="str">
        <f>IFERROR(__xludf.DUMMYFUNCTION("TRIM(REGEXREPLACE(E587, ""[0-9]+[a-f]?\."", """"))"),"")</f>
        <v/>
      </c>
      <c r="J587" s="180" t="s">
        <v>3226</v>
      </c>
      <c r="K587" s="180" t="s">
        <v>3227</v>
      </c>
      <c r="L587" s="180" t="s">
        <v>3227</v>
      </c>
    </row>
    <row r="588" hidden="1">
      <c r="A588" s="151" t="s">
        <v>133</v>
      </c>
      <c r="B588" s="147" t="s">
        <v>3228</v>
      </c>
      <c r="C588" s="147" t="s">
        <v>3229</v>
      </c>
      <c r="D588" s="226"/>
      <c r="E588" s="226"/>
      <c r="F588" s="187">
        <v>367.0</v>
      </c>
      <c r="G588" s="180" t="str">
        <f>IFERROR(__xludf.DUMMYFUNCTION("TRIM(REGEXREPLACE(C588, ""[0-9]+[a-f]?\."", """"))"),"Woman Questionnaire")</f>
        <v>Woman Questionnaire</v>
      </c>
      <c r="H588" s="180" t="str">
        <f>IFERROR(__xludf.DUMMYFUNCTION("TRIM(REGEXREPLACE(D588, ""[0-9]+[a-f]?\."", """"))"),"")</f>
        <v/>
      </c>
      <c r="I588" s="180" t="str">
        <f>IFERROR(__xludf.DUMMYFUNCTION("TRIM(REGEXREPLACE(E588, ""[0-9]+[a-f]?\."", """"))"),"")</f>
        <v/>
      </c>
      <c r="J588" s="180" t="s">
        <v>3230</v>
      </c>
      <c r="K588" s="180" t="s">
        <v>3231</v>
      </c>
      <c r="L588" s="180" t="s">
        <v>3232</v>
      </c>
    </row>
    <row r="589">
      <c r="A589" s="278" t="s">
        <v>38</v>
      </c>
      <c r="B589" s="279" t="s">
        <v>3233</v>
      </c>
      <c r="C589" s="45" t="s">
        <v>1464</v>
      </c>
      <c r="D589" s="45" t="s">
        <v>3234</v>
      </c>
      <c r="E589" s="45" t="s">
        <v>3235</v>
      </c>
      <c r="F589" s="187">
        <v>152.0</v>
      </c>
      <c r="G589" s="180" t="str">
        <f>IFERROR(__xludf.DUMMYFUNCTION("TRIM(REGEXREPLACE(C589, ""[0-9]+[a-f]?\."", """"))"),"Woman Questions")</f>
        <v>Woman Questions</v>
      </c>
      <c r="H589" s="180" t="str">
        <f>IFERROR(__xludf.DUMMYFUNCTION("TRIM(REGEXREPLACE(D589, ""[0-9]+[a-f]?\."", """"))"),"Questions de femme")</f>
        <v>Questions de femme</v>
      </c>
      <c r="I589" s="180" t="str">
        <f>IFERROR(__xludf.DUMMYFUNCTION("TRIM(REGEXREPLACE(E589, ""[0-9]+[a-f]?\."", """"))"),"Tambayoyin Mata")</f>
        <v>Tambayoyin Mata</v>
      </c>
      <c r="J589" s="180" t="str">
        <f t="shared" ref="J589:L589" si="152">$F589 &amp; ". "&amp;G589</f>
        <v>152. Woman Questions</v>
      </c>
      <c r="K589" s="180" t="str">
        <f t="shared" si="152"/>
        <v>152. Questions de femme</v>
      </c>
      <c r="L589" s="180" t="str">
        <f t="shared" si="152"/>
        <v>152. Tambayoyin Mata</v>
      </c>
    </row>
    <row r="590" hidden="1">
      <c r="A590" s="168" t="s">
        <v>127</v>
      </c>
      <c r="B590" s="71" t="s">
        <v>3236</v>
      </c>
      <c r="C590" s="200"/>
      <c r="D590" s="200"/>
      <c r="E590" s="200"/>
      <c r="F590" s="187">
        <v>369.0</v>
      </c>
      <c r="G590" s="180" t="str">
        <f>IFERROR(__xludf.DUMMYFUNCTION("TRIM(REGEXREPLACE(C590, ""[0-9]+[a-f]?\."", """"))"),"")</f>
        <v/>
      </c>
      <c r="H590" s="180" t="str">
        <f>IFERROR(__xludf.DUMMYFUNCTION("TRIM(REGEXREPLACE(D590, ""[0-9]+[a-f]?\."", """"))"),"")</f>
        <v/>
      </c>
      <c r="I590" s="180" t="str">
        <f>IFERROR(__xludf.DUMMYFUNCTION("TRIM(REGEXREPLACE(E590, ""[0-9]+[a-f]?\."", """"))"),"")</f>
        <v/>
      </c>
      <c r="J590" s="180" t="s">
        <v>3237</v>
      </c>
      <c r="K590" s="180" t="s">
        <v>3238</v>
      </c>
      <c r="L590" s="180" t="s">
        <v>3239</v>
      </c>
    </row>
    <row r="591">
      <c r="A591" s="278" t="s">
        <v>38</v>
      </c>
      <c r="B591" s="279" t="s">
        <v>3240</v>
      </c>
      <c r="C591" s="45" t="s">
        <v>1472</v>
      </c>
      <c r="D591" s="45" t="s">
        <v>3241</v>
      </c>
      <c r="E591" s="45" t="s">
        <v>3242</v>
      </c>
      <c r="F591" s="187">
        <v>153.0</v>
      </c>
      <c r="G591" s="180" t="str">
        <f>IFERROR(__xludf.DUMMYFUNCTION("TRIM(REGEXREPLACE(C591, ""[0-9]+[a-f]?\."", """"))"),"Before we begin, I would like to ask you about the locations of other respondents of this household")</f>
        <v>Before we begin, I would like to ask you about the locations of other respondents of this household</v>
      </c>
      <c r="H591" s="180" t="str">
        <f>IFERROR(__xludf.DUMMYFUNCTION("TRIM(REGEXREPLACE(D591, ""[0-9]+[a-f]?\."", """"))"),"Avant de commencer, j'aimerais vous poser des questions sur l'endroit o' se trouvent les autres répondants de ce ménage.")</f>
        <v>Avant de commencer, j'aimerais vous poser des questions sur l'endroit o' se trouvent les autres répondants de ce ménage.</v>
      </c>
      <c r="I591" s="180" t="str">
        <f>IFERROR(__xludf.DUMMYFUNCTION("TRIM(REGEXREPLACE(E591, ""[0-9]+[a-f]?\."", """"))"),"Kafin mu fara, Ina so in tambaye ku game da wuraren da sauran masu amsa wannan gidan")</f>
        <v>Kafin mu fara, Ina so in tambaye ku game da wuraren da sauran masu amsa wannan gidan</v>
      </c>
      <c r="J591" s="180" t="str">
        <f t="shared" ref="J591:L591" si="153">$F591 &amp; ". "&amp;G591</f>
        <v>153. Before we begin, I would like to ask you about the locations of other respondents of this household</v>
      </c>
      <c r="K591" s="180" t="str">
        <f t="shared" si="153"/>
        <v>153. Avant de commencer, j'aimerais vous poser des questions sur l'endroit o' se trouvent les autres répondants de ce ménage.</v>
      </c>
      <c r="L591" s="180" t="str">
        <f t="shared" si="153"/>
        <v>153. Kafin mu fara, Ina so in tambaye ku game da wuraren da sauran masu amsa wannan gidan</v>
      </c>
    </row>
    <row r="592" hidden="1">
      <c r="B592" s="277"/>
      <c r="C592" s="277"/>
      <c r="D592" s="277"/>
      <c r="E592" s="277"/>
      <c r="F592" s="187">
        <v>370.0</v>
      </c>
      <c r="G592" s="180" t="str">
        <f>IFERROR(__xludf.DUMMYFUNCTION("TRIM(REGEXREPLACE(C592, ""[0-9]+[a-f]?\."", """"))"),"")</f>
        <v/>
      </c>
      <c r="H592" s="180" t="str">
        <f>IFERROR(__xludf.DUMMYFUNCTION("TRIM(REGEXREPLACE(D592, ""[0-9]+[a-f]?\."", """"))"),"")</f>
        <v/>
      </c>
      <c r="I592" s="180" t="str">
        <f>IFERROR(__xludf.DUMMYFUNCTION("TRIM(REGEXREPLACE(E592, ""[0-9]+[a-f]?\."", """"))"),"")</f>
        <v/>
      </c>
      <c r="J592" s="180" t="s">
        <v>3244</v>
      </c>
      <c r="K592" s="180" t="s">
        <v>3245</v>
      </c>
      <c r="L592" s="180" t="s">
        <v>3246</v>
      </c>
    </row>
    <row r="593" hidden="1">
      <c r="B593" s="277"/>
      <c r="C593" s="277"/>
      <c r="D593" s="277"/>
      <c r="E593" s="277"/>
      <c r="F593" s="187">
        <v>364.0</v>
      </c>
      <c r="G593" s="180" t="str">
        <f>IFERROR(__xludf.DUMMYFUNCTION("TRIM(REGEXREPLACE(C593, ""[0-9]+[a-f]?\."", """"))"),"")</f>
        <v/>
      </c>
      <c r="H593" s="180" t="str">
        <f>IFERROR(__xludf.DUMMYFUNCTION("TRIM(REGEXREPLACE(D593, ""[0-9]+[a-f]?\."", """"))"),"")</f>
        <v/>
      </c>
      <c r="I593" s="180" t="str">
        <f>IFERROR(__xludf.DUMMYFUNCTION("TRIM(REGEXREPLACE(E593, ""[0-9]+[a-f]?\."", """"))"),"")</f>
        <v/>
      </c>
      <c r="J593" s="180" t="s">
        <v>3250</v>
      </c>
      <c r="K593" s="180" t="s">
        <v>3251</v>
      </c>
      <c r="L593" s="180" t="s">
        <v>3252</v>
      </c>
    </row>
    <row r="594" hidden="1">
      <c r="B594" s="277"/>
      <c r="C594" s="277"/>
      <c r="D594" s="277"/>
      <c r="E594" s="277"/>
      <c r="F594" s="187">
        <v>365.0</v>
      </c>
      <c r="G594" s="180" t="str">
        <f>IFERROR(__xludf.DUMMYFUNCTION("TRIM(REGEXREPLACE(C594, ""[0-9]+[a-f]?\."", """"))"),"")</f>
        <v/>
      </c>
      <c r="H594" s="180" t="str">
        <f>IFERROR(__xludf.DUMMYFUNCTION("TRIM(REGEXREPLACE(D594, ""[0-9]+[a-f]?\."", """"))"),"")</f>
        <v/>
      </c>
      <c r="I594" s="180" t="str">
        <f>IFERROR(__xludf.DUMMYFUNCTION("TRIM(REGEXREPLACE(E594, ""[0-9]+[a-f]?\."", """"))"),"")</f>
        <v/>
      </c>
      <c r="J594" s="180" t="s">
        <v>3253</v>
      </c>
      <c r="K594" s="180" t="s">
        <v>3254</v>
      </c>
      <c r="L594" s="180" t="s">
        <v>3255</v>
      </c>
    </row>
    <row r="595" hidden="1">
      <c r="B595" s="277"/>
      <c r="C595" s="277"/>
      <c r="D595" s="277"/>
      <c r="E595" s="277"/>
      <c r="F595" s="187">
        <v>366.0</v>
      </c>
      <c r="G595" s="180" t="str">
        <f>IFERROR(__xludf.DUMMYFUNCTION("TRIM(REGEXREPLACE(C595, ""[0-9]+[a-f]?\."", """"))"),"")</f>
        <v/>
      </c>
      <c r="H595" s="180" t="str">
        <f>IFERROR(__xludf.DUMMYFUNCTION("TRIM(REGEXREPLACE(D595, ""[0-9]+[a-f]?\."", """"))"),"")</f>
        <v/>
      </c>
      <c r="I595" s="180" t="str">
        <f>IFERROR(__xludf.DUMMYFUNCTION("TRIM(REGEXREPLACE(E595, ""[0-9]+[a-f]?\."", """"))"),"")</f>
        <v/>
      </c>
      <c r="J595" s="180" t="s">
        <v>3256</v>
      </c>
      <c r="K595" s="180" t="s">
        <v>3257</v>
      </c>
      <c r="L595" s="180" t="s">
        <v>3258</v>
      </c>
    </row>
    <row r="596" hidden="1">
      <c r="B596" s="277"/>
      <c r="C596" s="277"/>
      <c r="D596" s="277"/>
      <c r="E596" s="277"/>
      <c r="F596" s="187">
        <v>367.0</v>
      </c>
      <c r="G596" s="180" t="str">
        <f>IFERROR(__xludf.DUMMYFUNCTION("TRIM(REGEXREPLACE(C596, ""[0-9]+[a-f]?\."", """"))"),"")</f>
        <v/>
      </c>
      <c r="H596" s="180" t="str">
        <f>IFERROR(__xludf.DUMMYFUNCTION("TRIM(REGEXREPLACE(D596, ""[0-9]+[a-f]?\."", """"))"),"")</f>
        <v/>
      </c>
      <c r="I596" s="180" t="str">
        <f>IFERROR(__xludf.DUMMYFUNCTION("TRIM(REGEXREPLACE(E596, ""[0-9]+[a-f]?\."", """"))"),"")</f>
        <v/>
      </c>
      <c r="J596" s="180" t="s">
        <v>3262</v>
      </c>
      <c r="K596" s="180" t="s">
        <v>3263</v>
      </c>
      <c r="L596" s="180" t="s">
        <v>3264</v>
      </c>
    </row>
    <row r="597" hidden="1"/>
    <row r="598" hidden="1">
      <c r="B598" s="277"/>
      <c r="C598" s="277"/>
      <c r="D598" s="277"/>
      <c r="E598" s="277"/>
      <c r="F598" s="187">
        <v>368.0</v>
      </c>
      <c r="G598" s="180" t="str">
        <f>IFERROR(__xludf.DUMMYFUNCTION("TRIM(REGEXREPLACE(C598, ""[0-9]+[a-f]?\."", """"))"),"")</f>
        <v/>
      </c>
      <c r="H598" s="180" t="str">
        <f>IFERROR(__xludf.DUMMYFUNCTION("TRIM(REGEXREPLACE(D598, ""[0-9]+[a-f]?\."", """"))"),"")</f>
        <v/>
      </c>
      <c r="I598" s="180" t="str">
        <f>IFERROR(__xludf.DUMMYFUNCTION("TRIM(REGEXREPLACE(E598, ""[0-9]+[a-f]?\."", """"))"),"")</f>
        <v/>
      </c>
      <c r="J598" s="180" t="s">
        <v>3265</v>
      </c>
      <c r="K598" s="180" t="s">
        <v>3266</v>
      </c>
      <c r="L598" s="180" t="s">
        <v>3267</v>
      </c>
    </row>
    <row r="599" hidden="1">
      <c r="B599" s="277"/>
      <c r="C599" s="277"/>
      <c r="D599" s="277"/>
      <c r="E599" s="277"/>
      <c r="F599" s="187">
        <v>369.0</v>
      </c>
      <c r="G599" s="180" t="str">
        <f>IFERROR(__xludf.DUMMYFUNCTION("TRIM(REGEXREPLACE(C599, ""[0-9]+[a-f]?\."", """"))"),"")</f>
        <v/>
      </c>
      <c r="H599" s="180" t="str">
        <f>IFERROR(__xludf.DUMMYFUNCTION("TRIM(REGEXREPLACE(D599, ""[0-9]+[a-f]?\."", """"))"),"")</f>
        <v/>
      </c>
      <c r="I599" s="180" t="str">
        <f>IFERROR(__xludf.DUMMYFUNCTION("TRIM(REGEXREPLACE(E599, ""[0-9]+[a-f]?\."", """"))"),"")</f>
        <v/>
      </c>
      <c r="J599" s="180" t="s">
        <v>3268</v>
      </c>
      <c r="K599" s="180" t="s">
        <v>3269</v>
      </c>
      <c r="L599" s="180" t="s">
        <v>3270</v>
      </c>
    </row>
    <row r="600" hidden="1">
      <c r="B600" s="277"/>
      <c r="C600" s="277"/>
      <c r="D600" s="277"/>
      <c r="E600" s="277"/>
      <c r="F600" s="187">
        <v>370.0</v>
      </c>
      <c r="G600" s="180" t="str">
        <f>IFERROR(__xludf.DUMMYFUNCTION("TRIM(REGEXREPLACE(C600, ""[0-9]+[a-f]?\."", """"))"),"")</f>
        <v/>
      </c>
      <c r="H600" s="180" t="str">
        <f>IFERROR(__xludf.DUMMYFUNCTION("TRIM(REGEXREPLACE(D600, ""[0-9]+[a-f]?\."", """"))"),"")</f>
        <v/>
      </c>
      <c r="I600" s="180" t="str">
        <f>IFERROR(__xludf.DUMMYFUNCTION("TRIM(REGEXREPLACE(E600, ""[0-9]+[a-f]?\."", """"))"),"")</f>
        <v/>
      </c>
      <c r="J600" s="180" t="s">
        <v>3277</v>
      </c>
      <c r="K600" s="180" t="s">
        <v>3278</v>
      </c>
      <c r="L600" s="180" t="s">
        <v>3279</v>
      </c>
    </row>
    <row r="601">
      <c r="A601" s="280" t="s">
        <v>2509</v>
      </c>
      <c r="B601" s="281" t="s">
        <v>3280</v>
      </c>
      <c r="C601" s="45" t="s">
        <v>3281</v>
      </c>
      <c r="D601" s="45" t="s">
        <v>3282</v>
      </c>
      <c r="E601" s="45" t="s">
        <v>3283</v>
      </c>
      <c r="F601" s="187">
        <v>154.0</v>
      </c>
      <c r="G601" s="180" t="str">
        <f>IFERROR(__xludf.DUMMYFUNCTION("TRIM(REGEXREPLACE(C601, ""[0-9]+[a-f]?\."", """"))"),"Is ${pm_name} currently living in your household?")</f>
        <v>Is ${pm_name} currently living in your household?</v>
      </c>
      <c r="H601" s="180" t="str">
        <f>IFERROR(__xludf.DUMMYFUNCTION("TRIM(REGEXREPLACE(D601, ""[0-9]+[a-f]?\."", """"))"),"${pm_name} vit-il actuellement dans votre ménage?")</f>
        <v>${pm_name} vit-il actuellement dans votre ménage?</v>
      </c>
      <c r="I601" s="180" t="str">
        <f>IFERROR(__xludf.DUMMYFUNCTION("TRIM(REGEXREPLACE(E601, ""[0-9]+[a-f]?\."", """"))"),"Ko ${pm_name} yana zaune a gidan ku a hali yanzu?")</f>
        <v>Ko ${pm_name} yana zaune a gidan ku a hali yanzu?</v>
      </c>
      <c r="J601" s="180" t="str">
        <f t="shared" ref="J601:L601" si="154">$F601 &amp; ". "&amp;G601</f>
        <v>154. Is ${pm_name} currently living in your household?</v>
      </c>
      <c r="K601" s="180" t="str">
        <f t="shared" si="154"/>
        <v>154. ${pm_name} vit-il actuellement dans votre ménage?</v>
      </c>
      <c r="L601" s="180" t="str">
        <f t="shared" si="154"/>
        <v>154. Ko ${pm_name} yana zaune a gidan ku a hali yanzu?</v>
      </c>
    </row>
    <row r="602">
      <c r="A602" s="280" t="s">
        <v>1306</v>
      </c>
      <c r="B602" s="281" t="s">
        <v>3287</v>
      </c>
      <c r="C602" s="45" t="s">
        <v>3288</v>
      </c>
      <c r="D602" s="45" t="s">
        <v>3289</v>
      </c>
      <c r="E602" s="45" t="s">
        <v>3290</v>
      </c>
      <c r="F602" s="187">
        <v>155.0</v>
      </c>
      <c r="G602" s="180" t="str">
        <f>IFERROR(__xludf.DUMMYFUNCTION("TRIM(REGEXREPLACE(C602, ""[0-9]+[a-f]?\."", """"))"),"Where is ${pm_name} living right now?
 Enumerator: Is location in Niger?")</f>
        <v>Where is ${pm_name} living right now?
 Enumerator: Is location in Niger?</v>
      </c>
      <c r="H602" s="180" t="str">
        <f>IFERROR(__xludf.DUMMYFUNCTION("TRIM(REGEXREPLACE(D602, ""[0-9]+[a-f]?\."", """"))"),"Où est ${pm_name} en ce moment?
 Énquêteur: le lieu est-il au Niger?")</f>
        <v>Où est ${pm_name} en ce moment?
 Énquêteur: le lieu est-il au Niger?</v>
      </c>
      <c r="I602" s="180" t="str">
        <f>IFERROR(__xludf.DUMMYFUNCTION("TRIM(REGEXREPLACE(E602, ""[0-9]+[a-f]?\."", """"))"),"Ina ${pm_name} yake a yanzu?
 Dan bincike: Ko wurin a Nijar ne?")</f>
        <v>Ina ${pm_name} yake a yanzu?
 Dan bincike: Ko wurin a Nijar ne?</v>
      </c>
      <c r="J602" s="180" t="str">
        <f t="shared" ref="J602:L602" si="155">$F602 &amp; ". "&amp;G602</f>
        <v>155. Where is ${pm_name} living right now?
 Enumerator: Is location in Niger?</v>
      </c>
      <c r="K602" s="180" t="str">
        <f t="shared" si="155"/>
        <v>155. Où est ${pm_name} en ce moment?
 Énquêteur: le lieu est-il au Niger?</v>
      </c>
      <c r="L602" s="180" t="str">
        <f t="shared" si="155"/>
        <v>155. Ina ${pm_name} yake a yanzu?
 Dan bincike: Ko wurin a Nijar ne?</v>
      </c>
    </row>
    <row r="603">
      <c r="A603" s="280" t="s">
        <v>1573</v>
      </c>
      <c r="B603" s="281" t="s">
        <v>3291</v>
      </c>
      <c r="C603" s="45" t="s">
        <v>3292</v>
      </c>
      <c r="D603" s="45" t="s">
        <v>3293</v>
      </c>
      <c r="E603" s="45" t="s">
        <v>3294</v>
      </c>
      <c r="F603" s="187">
        <v>156.0</v>
      </c>
      <c r="G603" s="180" t="str">
        <f>IFERROR(__xludf.DUMMYFUNCTION("TRIM(REGEXREPLACE(C603, ""[0-9]+[a-f]?\."", """"))"),"Enumerator: Select region in Niger")</f>
        <v>Enumerator: Select region in Niger</v>
      </c>
      <c r="H603" s="180" t="str">
        <f>IFERROR(__xludf.DUMMYFUNCTION("TRIM(REGEXREPLACE(D603, ""[0-9]+[a-f]?\."", """"))"),"Enquêteur : Sélectionnez une région au Niger")</f>
        <v>Enquêteur : Sélectionnez une région au Niger</v>
      </c>
      <c r="I603" s="180" t="str">
        <f>IFERROR(__xludf.DUMMYFUNCTION("TRIM(REGEXREPLACE(E603, ""[0-9]+[a-f]?\."", """"))"),"Ɗan bincike: Zaɓi Jaha ɗaya a Nijar")</f>
        <v>Ɗan bincike: Zaɓi Jaha ɗaya a Nijar</v>
      </c>
      <c r="J603" s="180" t="str">
        <f t="shared" ref="J603:L603" si="156">$F603 &amp; ". "&amp;G603</f>
        <v>156. Enumerator: Select region in Niger</v>
      </c>
      <c r="K603" s="180" t="str">
        <f t="shared" si="156"/>
        <v>156. Enquêteur : Sélectionnez une région au Niger</v>
      </c>
      <c r="L603" s="180" t="str">
        <f t="shared" si="156"/>
        <v>156. Ɗan bincike: Zaɓi Jaha ɗaya a Nijar</v>
      </c>
    </row>
    <row r="604">
      <c r="A604" s="280" t="s">
        <v>2520</v>
      </c>
      <c r="B604" s="281" t="s">
        <v>3298</v>
      </c>
      <c r="C604" s="45" t="s">
        <v>3299</v>
      </c>
      <c r="D604" s="45" t="s">
        <v>3300</v>
      </c>
      <c r="E604" s="45" t="s">
        <v>3301</v>
      </c>
      <c r="F604" s="187">
        <v>157.0</v>
      </c>
      <c r="G604" s="180" t="str">
        <f>IFERROR(__xludf.DUMMYFUNCTION("TRIM(REGEXREPLACE(C604, ""[0-9]+[a-f]?\."", """"))"),"Enumerator: Select country")</f>
        <v>Enumerator: Select country</v>
      </c>
      <c r="H604" s="180" t="str">
        <f>IFERROR(__xludf.DUMMYFUNCTION("TRIM(REGEXREPLACE(D604, ""[0-9]+[a-f]?\."", """"))"),"Enquêteur : sélectionnez le pays")</f>
        <v>Enquêteur : sélectionnez le pays</v>
      </c>
      <c r="I604" s="180" t="str">
        <f>IFERROR(__xludf.DUMMYFUNCTION("TRIM(REGEXREPLACE(E604, ""[0-9]+[a-f]?\."", """"))"),"Ɗan bincike: Zaɓi ƙasa")</f>
        <v>Ɗan bincike: Zaɓi ƙasa</v>
      </c>
      <c r="J604" s="180" t="str">
        <f t="shared" ref="J604:L604" si="157">$F604 &amp; ". "&amp;G604</f>
        <v>157. Enumerator: Select country</v>
      </c>
      <c r="K604" s="180" t="str">
        <f t="shared" si="157"/>
        <v>157. Enquêteur : sélectionnez le pays</v>
      </c>
      <c r="L604" s="180" t="str">
        <f t="shared" si="157"/>
        <v>157. Ɗan bincike: Zaɓi ƙasa</v>
      </c>
    </row>
    <row r="605">
      <c r="A605" s="282" t="s">
        <v>252</v>
      </c>
      <c r="B605" s="283" t="s">
        <v>3306</v>
      </c>
      <c r="C605" s="45" t="s">
        <v>3307</v>
      </c>
      <c r="D605" s="45" t="s">
        <v>3309</v>
      </c>
      <c r="E605" s="45" t="s">
        <v>3310</v>
      </c>
      <c r="F605" s="187">
        <v>158.0</v>
      </c>
      <c r="G605" s="180" t="str">
        <f>IFERROR(__xludf.DUMMYFUNCTION("TRIM(REGEXREPLACE(C605, ""[0-9]+[a-f]?\."", """"))"),"Enumerator: Enter other country")</f>
        <v>Enumerator: Enter other country</v>
      </c>
      <c r="H605" s="180" t="str">
        <f>IFERROR(__xludf.DUMMYFUNCTION("TRIM(REGEXREPLACE(D605, ""[0-9]+[a-f]?\."", """"))"),"Enquêteur : Entrez un autre pays")</f>
        <v>Enquêteur : Entrez un autre pays</v>
      </c>
      <c r="I605" s="180" t="str">
        <f>IFERROR(__xludf.DUMMYFUNCTION("TRIM(REGEXREPLACE(E605, ""[0-9]+[a-f]?\."", """"))"),"Ɗan bincike: Shigar da wata ƙasa")</f>
        <v>Ɗan bincike: Shigar da wata ƙasa</v>
      </c>
      <c r="J605" s="180" t="str">
        <f t="shared" ref="J605:L605" si="158">$F605 &amp; ". "&amp;G605</f>
        <v>158. Enumerator: Enter other country</v>
      </c>
      <c r="K605" s="180" t="str">
        <f t="shared" si="158"/>
        <v>158. Enquêteur : Entrez un autre pays</v>
      </c>
      <c r="L605" s="180" t="str">
        <f t="shared" si="158"/>
        <v>158. Ɗan bincike: Shigar da wata ƙasa</v>
      </c>
    </row>
    <row r="606" hidden="1">
      <c r="B606" s="277"/>
      <c r="C606" s="277"/>
      <c r="D606" s="277"/>
      <c r="E606" s="277"/>
      <c r="F606" s="187">
        <v>376.0</v>
      </c>
      <c r="G606" s="180" t="str">
        <f>IFERROR(__xludf.DUMMYFUNCTION("TRIM(REGEXREPLACE(C606, ""[0-9]+[a-f]?\."", """"))"),"")</f>
        <v/>
      </c>
      <c r="H606" s="180" t="str">
        <f>IFERROR(__xludf.DUMMYFUNCTION("TRIM(REGEXREPLACE(D606, ""[0-9]+[a-f]?\."", """"))"),"")</f>
        <v/>
      </c>
      <c r="I606" s="180" t="str">
        <f>IFERROR(__xludf.DUMMYFUNCTION("TRIM(REGEXREPLACE(E606, ""[0-9]+[a-f]?\."", """"))"),"")</f>
        <v/>
      </c>
      <c r="J606" s="180" t="s">
        <v>3316</v>
      </c>
      <c r="K606" s="180" t="s">
        <v>3317</v>
      </c>
      <c r="L606" s="180" t="s">
        <v>3318</v>
      </c>
    </row>
    <row r="607" hidden="1">
      <c r="B607" s="277"/>
      <c r="C607" s="277"/>
      <c r="D607" s="277"/>
      <c r="E607" s="277"/>
      <c r="F607" s="187">
        <v>383.0</v>
      </c>
      <c r="G607" s="180" t="str">
        <f>IFERROR(__xludf.DUMMYFUNCTION("TRIM(REGEXREPLACE(C607, ""[0-9]+[a-f]?\."", """"))"),"")</f>
        <v/>
      </c>
      <c r="H607" s="180" t="str">
        <f>IFERROR(__xludf.DUMMYFUNCTION("TRIM(REGEXREPLACE(D607, ""[0-9]+[a-f]?\."", """"))"),"")</f>
        <v/>
      </c>
      <c r="I607" s="180" t="str">
        <f>IFERROR(__xludf.DUMMYFUNCTION("TRIM(REGEXREPLACE(E607, ""[0-9]+[a-f]?\."", """"))"),"")</f>
        <v/>
      </c>
      <c r="J607" s="180" t="s">
        <v>3319</v>
      </c>
      <c r="K607" s="180" t="s">
        <v>3320</v>
      </c>
      <c r="L607" s="180" t="s">
        <v>3321</v>
      </c>
    </row>
    <row r="608" hidden="1">
      <c r="B608" s="277"/>
      <c r="C608" s="277"/>
      <c r="D608" s="277"/>
      <c r="E608" s="277"/>
      <c r="F608" s="187">
        <v>384.0</v>
      </c>
      <c r="G608" s="180" t="str">
        <f>IFERROR(__xludf.DUMMYFUNCTION("TRIM(REGEXREPLACE(C608, ""[0-9]+[a-f]?\."", """"))"),"")</f>
        <v/>
      </c>
      <c r="H608" s="180" t="str">
        <f>IFERROR(__xludf.DUMMYFUNCTION("TRIM(REGEXREPLACE(D608, ""[0-9]+[a-f]?\."", """"))"),"")</f>
        <v/>
      </c>
      <c r="I608" s="180" t="str">
        <f>IFERROR(__xludf.DUMMYFUNCTION("TRIM(REGEXREPLACE(E608, ""[0-9]+[a-f]?\."", """"))"),"")</f>
        <v/>
      </c>
      <c r="J608" s="180" t="s">
        <v>3325</v>
      </c>
      <c r="K608" s="180" t="s">
        <v>3326</v>
      </c>
      <c r="L608" s="180" t="s">
        <v>3327</v>
      </c>
    </row>
    <row r="609">
      <c r="A609" s="280" t="s">
        <v>1624</v>
      </c>
      <c r="B609" s="281" t="s">
        <v>3328</v>
      </c>
      <c r="C609" s="45" t="s">
        <v>3329</v>
      </c>
      <c r="D609" s="45" t="s">
        <v>3331</v>
      </c>
      <c r="E609" s="45" t="s">
        <v>3333</v>
      </c>
      <c r="F609" s="187">
        <v>159.0</v>
      </c>
      <c r="G609" s="180" t="str">
        <f>IFERROR(__xludf.DUMMYFUNCTION("TRIM(REGEXREPLACE(C609, ""[0-9]+[a-f]?\."", """"))"),"Enumerator: Select town")</f>
        <v>Enumerator: Select town</v>
      </c>
      <c r="H609" s="180" t="str">
        <f>IFERROR(__xludf.DUMMYFUNCTION("TRIM(REGEXREPLACE(D609, ""[0-9]+[a-f]?\."", """"))"),"Enquêteur : Sélectionnez la ville")</f>
        <v>Enquêteur : Sélectionnez la ville</v>
      </c>
      <c r="I609" s="180" t="str">
        <f>IFERROR(__xludf.DUMMYFUNCTION("TRIM(REGEXREPLACE(E609, ""[0-9]+[a-f]?\."", """"))"),"Ɗan bincike: Zaɓi gari")</f>
        <v>Ɗan bincike: Zaɓi gari</v>
      </c>
      <c r="J609" s="180" t="str">
        <f t="shared" ref="J609:L609" si="159">$F609 &amp; ". "&amp;G609</f>
        <v>159. Enumerator: Select town</v>
      </c>
      <c r="K609" s="180" t="str">
        <f t="shared" si="159"/>
        <v>159. Enquêteur : Sélectionnez la ville</v>
      </c>
      <c r="L609" s="180" t="str">
        <f t="shared" si="159"/>
        <v>159. Ɗan bincike: Zaɓi gari</v>
      </c>
    </row>
    <row r="610">
      <c r="A610" s="282" t="s">
        <v>252</v>
      </c>
      <c r="B610" s="283" t="s">
        <v>3335</v>
      </c>
      <c r="C610" s="45" t="s">
        <v>1505</v>
      </c>
      <c r="D610" s="45" t="s">
        <v>1506</v>
      </c>
      <c r="E610" s="45" t="s">
        <v>1507</v>
      </c>
      <c r="F610" s="187">
        <v>160.0</v>
      </c>
      <c r="G610" s="180" t="str">
        <f>IFERROR(__xludf.DUMMYFUNCTION("TRIM(REGEXREPLACE(C610, ""[0-9]+[a-f]?\."", """"))"),"Enumerator: Enter other town")</f>
        <v>Enumerator: Enter other town</v>
      </c>
      <c r="H610" s="180" t="str">
        <f>IFERROR(__xludf.DUMMYFUNCTION("TRIM(REGEXREPLACE(D610, ""[0-9]+[a-f]?\."", """"))"),"Enquêteur : Entrez un autre ville")</f>
        <v>Enquêteur : Entrez un autre ville</v>
      </c>
      <c r="I610" s="180" t="str">
        <f>IFERROR(__xludf.DUMMYFUNCTION("TRIM(REGEXREPLACE(E610, ""[0-9]+[a-f]?\."", """"))"),"Ɗan bincike: Shigar da wata gari")</f>
        <v>Ɗan bincike: Shigar da wata gari</v>
      </c>
      <c r="J610" s="180" t="str">
        <f t="shared" ref="J610:L610" si="160">$F610 &amp; ". "&amp;G610</f>
        <v>160. Enumerator: Enter other town</v>
      </c>
      <c r="K610" s="180" t="str">
        <f t="shared" si="160"/>
        <v>160. Enquêteur : Entrez un autre ville</v>
      </c>
      <c r="L610" s="180" t="str">
        <f t="shared" si="160"/>
        <v>160. Ɗan bincike: Shigar da wata gari</v>
      </c>
    </row>
    <row r="611">
      <c r="A611" s="280" t="s">
        <v>2509</v>
      </c>
      <c r="B611" s="281" t="s">
        <v>3339</v>
      </c>
      <c r="C611" s="45" t="s">
        <v>1511</v>
      </c>
      <c r="D611" s="45" t="s">
        <v>3341</v>
      </c>
      <c r="E611" s="45" t="s">
        <v>3343</v>
      </c>
      <c r="F611" s="187">
        <v>161.0</v>
      </c>
      <c r="G611" s="180" t="str">
        <f>IFERROR(__xludf.DUMMYFUNCTION("TRIM(REGEXREPLACE(C611, ""[0-9]+[a-f]?\."", """"))"),"Will ${pm_name} be in the household within the next two weeks?")</f>
        <v>Will ${pm_name} be in the household within the next two weeks?</v>
      </c>
      <c r="H611" s="180" t="str">
        <f>IFERROR(__xludf.DUMMYFUNCTION("TRIM(REGEXREPLACE(D611, ""[0-9]+[a-f]?\."", """"))"),"Est-ce que ${pm_name} sera dans le menage dans les deux prochaines semaines ?")</f>
        <v>Est-ce que ${pm_name} sera dans le menage dans les deux prochaines semaines ?</v>
      </c>
      <c r="I611" s="180" t="str">
        <f>IFERROR(__xludf.DUMMYFUNCTION("TRIM(REGEXREPLACE(E611, ""[0-9]+[a-f]?\."", """"))"),"Ko ${pm_name} zai kasance a cikin gida a cikin sati biyu masu zuwa?")</f>
        <v>Ko ${pm_name} zai kasance a cikin gida a cikin sati biyu masu zuwa?</v>
      </c>
      <c r="J611" s="180" t="str">
        <f t="shared" ref="J611:L611" si="161">$F611 &amp; ". "&amp;G611</f>
        <v>161. Will ${pm_name} be in the household within the next two weeks?</v>
      </c>
      <c r="K611" s="180" t="str">
        <f t="shared" si="161"/>
        <v>161. Est-ce que ${pm_name} sera dans le menage dans les deux prochaines semaines ?</v>
      </c>
      <c r="L611" s="180" t="str">
        <f t="shared" si="161"/>
        <v>161. Ko ${pm_name} zai kasance a cikin gida a cikin sati biyu masu zuwa?</v>
      </c>
    </row>
    <row r="612" hidden="1">
      <c r="C612" s="277"/>
      <c r="F612" s="187">
        <v>381.0</v>
      </c>
      <c r="G612" s="180" t="str">
        <f>IFERROR(__xludf.DUMMYFUNCTION("TRIM(REGEXREPLACE(C612, ""[0-9]+[a-f]?\."", """"))"),"")</f>
        <v/>
      </c>
      <c r="H612" s="180" t="str">
        <f>IFERROR(__xludf.DUMMYFUNCTION("TRIM(REGEXREPLACE(D612, ""[0-9]+[a-f]?\."", """"))"),"")</f>
        <v/>
      </c>
      <c r="I612" s="180" t="str">
        <f>IFERROR(__xludf.DUMMYFUNCTION("TRIM(REGEXREPLACE(E612, ""[0-9]+[a-f]?\."", """"))"),"")</f>
        <v/>
      </c>
      <c r="J612" s="180" t="s">
        <v>3347</v>
      </c>
      <c r="K612" s="180" t="s">
        <v>3349</v>
      </c>
      <c r="L612" s="180" t="s">
        <v>3350</v>
      </c>
    </row>
    <row r="613" hidden="1">
      <c r="C613" s="277"/>
      <c r="F613" s="187">
        <v>382.0</v>
      </c>
      <c r="G613" s="180" t="str">
        <f>IFERROR(__xludf.DUMMYFUNCTION("TRIM(REGEXREPLACE(C613, ""[0-9]+[a-f]?\."", """"))"),"")</f>
        <v/>
      </c>
      <c r="H613" s="180" t="str">
        <f>IFERROR(__xludf.DUMMYFUNCTION("TRIM(REGEXREPLACE(D613, ""[0-9]+[a-f]?\."", """"))"),"")</f>
        <v/>
      </c>
      <c r="I613" s="180" t="str">
        <f>IFERROR(__xludf.DUMMYFUNCTION("TRIM(REGEXREPLACE(E613, ""[0-9]+[a-f]?\."", """"))"),"")</f>
        <v/>
      </c>
      <c r="J613" s="180" t="s">
        <v>3354</v>
      </c>
      <c r="K613" s="180" t="s">
        <v>3355</v>
      </c>
      <c r="L613" s="180" t="s">
        <v>3356</v>
      </c>
    </row>
    <row r="614" hidden="1">
      <c r="B614" s="277"/>
      <c r="C614" s="277"/>
      <c r="D614" s="277"/>
      <c r="E614" s="277"/>
      <c r="F614" s="187">
        <v>380.0</v>
      </c>
      <c r="G614" s="180" t="str">
        <f>IFERROR(__xludf.DUMMYFUNCTION("TRIM(REGEXREPLACE(C614, ""[0-9]+[a-f]?\."", """"))"),"")</f>
        <v/>
      </c>
      <c r="H614" s="180" t="str">
        <f>IFERROR(__xludf.DUMMYFUNCTION("TRIM(REGEXREPLACE(D614, ""[0-9]+[a-f]?\."", """"))"),"")</f>
        <v/>
      </c>
      <c r="I614" s="180" t="str">
        <f>IFERROR(__xludf.DUMMYFUNCTION("TRIM(REGEXREPLACE(E614, ""[0-9]+[a-f]?\."", """"))"),"")</f>
        <v/>
      </c>
      <c r="J614" s="180" t="s">
        <v>3357</v>
      </c>
      <c r="K614" s="180" t="s">
        <v>3358</v>
      </c>
      <c r="L614" s="180" t="s">
        <v>3359</v>
      </c>
    </row>
    <row r="615" hidden="1">
      <c r="B615" s="277"/>
      <c r="C615" s="277"/>
      <c r="D615" s="277"/>
      <c r="E615" s="277"/>
      <c r="F615" s="187">
        <v>388.0</v>
      </c>
      <c r="G615" s="180" t="str">
        <f>IFERROR(__xludf.DUMMYFUNCTION("TRIM(REGEXREPLACE(C615, ""[0-9]+[a-f]?\."", """"))"),"")</f>
        <v/>
      </c>
      <c r="H615" s="180" t="str">
        <f>IFERROR(__xludf.DUMMYFUNCTION("TRIM(REGEXREPLACE(D615, ""[0-9]+[a-f]?\."", """"))"),"")</f>
        <v/>
      </c>
      <c r="I615" s="180" t="str">
        <f>IFERROR(__xludf.DUMMYFUNCTION("TRIM(REGEXREPLACE(E615, ""[0-9]+[a-f]?\."", """"))"),"")</f>
        <v/>
      </c>
      <c r="J615" s="180" t="s">
        <v>3360</v>
      </c>
      <c r="K615" s="180" t="s">
        <v>3361</v>
      </c>
      <c r="L615" s="180" t="s">
        <v>3362</v>
      </c>
    </row>
    <row r="616">
      <c r="A616" s="280" t="s">
        <v>2509</v>
      </c>
      <c r="B616" s="281" t="s">
        <v>3364</v>
      </c>
      <c r="C616" s="45" t="s">
        <v>1516</v>
      </c>
      <c r="D616" s="45" t="s">
        <v>1518</v>
      </c>
      <c r="E616" s="45" t="s">
        <v>1519</v>
      </c>
      <c r="F616" s="187">
        <v>162.0</v>
      </c>
      <c r="G616" s="180" t="str">
        <f>IFERROR(__xludf.DUMMYFUNCTION("TRIM(REGEXREPLACE(C616, ""[0-9]+[a-f]?\."", """"))"),"Is ${shm_name} currently living in your household?")</f>
        <v>Is ${shm_name} currently living in your household?</v>
      </c>
      <c r="H616" s="180" t="str">
        <f>IFERROR(__xludf.DUMMYFUNCTION("TRIM(REGEXREPLACE(D616, ""[0-9]+[a-f]?\."", """"))"),"${shm_name} vit-il actuellement dans votre ménage?")</f>
        <v>${shm_name} vit-il actuellement dans votre ménage?</v>
      </c>
      <c r="I616" s="180" t="str">
        <f>IFERROR(__xludf.DUMMYFUNCTION("TRIM(REGEXREPLACE(E616, ""[0-9]+[a-f]?\."", """"))"),"Ko ${shm_name} yana zaune a gidan ku a hali yanzu?")</f>
        <v>Ko ${shm_name} yana zaune a gidan ku a hali yanzu?</v>
      </c>
      <c r="J616" s="180" t="str">
        <f t="shared" ref="J616:L616" si="162">$F616 &amp; ". "&amp;G616</f>
        <v>162. Is ${shm_name} currently living in your household?</v>
      </c>
      <c r="K616" s="180" t="str">
        <f t="shared" si="162"/>
        <v>162. ${shm_name} vit-il actuellement dans votre ménage?</v>
      </c>
      <c r="L616" s="180" t="str">
        <f t="shared" si="162"/>
        <v>162. Ko ${shm_name} yana zaune a gidan ku a hali yanzu?</v>
      </c>
    </row>
    <row r="617">
      <c r="A617" s="280" t="s">
        <v>1306</v>
      </c>
      <c r="B617" s="281" t="s">
        <v>3367</v>
      </c>
      <c r="C617" s="45" t="s">
        <v>3368</v>
      </c>
      <c r="D617" s="45" t="s">
        <v>3369</v>
      </c>
      <c r="E617" s="45" t="s">
        <v>3370</v>
      </c>
      <c r="F617" s="187">
        <v>163.0</v>
      </c>
      <c r="G617" s="180" t="str">
        <f>IFERROR(__xludf.DUMMYFUNCTION("TRIM(REGEXREPLACE(C617, ""[0-9]+[a-f]?\."", """"))"),"Where is ${shm_name} living?
 Enumerator: Is location in Niger?")</f>
        <v>Where is ${shm_name} living?
 Enumerator: Is location in Niger?</v>
      </c>
      <c r="H617" s="180" t="str">
        <f>IFERROR(__xludf.DUMMYFUNCTION("TRIM(REGEXREPLACE(D617, ""[0-9]+[a-f]?\."", """"))"),"Où habite ${shm_name}?
 Enquêteur : le lieu est-il au Niger?")</f>
        <v>Où habite ${shm_name}?
 Enquêteur : le lieu est-il au Niger?</v>
      </c>
      <c r="I617" s="180" t="str">
        <f>IFERROR(__xludf.DUMMYFUNCTION("TRIM(REGEXREPLACE(E617, ""[0-9]+[a-f]?\."", """"))"),"A ina ${shm_name} ya zaune?
 Mai bincike: Wurin a Nijar ne?")</f>
        <v>A ina ${shm_name} ya zaune?
 Mai bincike: Wurin a Nijar ne?</v>
      </c>
      <c r="J617" s="180" t="str">
        <f t="shared" ref="J617:L617" si="163">$F617 &amp; ". "&amp;G617</f>
        <v>163. Where is ${shm_name} living?
 Enumerator: Is location in Niger?</v>
      </c>
      <c r="K617" s="180" t="str">
        <f t="shared" si="163"/>
        <v>163. Où habite ${shm_name}?
 Enquêteur : le lieu est-il au Niger?</v>
      </c>
      <c r="L617" s="180" t="str">
        <f t="shared" si="163"/>
        <v>163. A ina ${shm_name} ya zaune?
 Mai bincike: Wurin a Nijar ne?</v>
      </c>
    </row>
    <row r="618">
      <c r="A618" s="280" t="s">
        <v>1573</v>
      </c>
      <c r="B618" s="281" t="s">
        <v>3374</v>
      </c>
      <c r="C618" s="45" t="s">
        <v>1526</v>
      </c>
      <c r="D618" s="45" t="s">
        <v>1527</v>
      </c>
      <c r="E618" s="45" t="s">
        <v>1528</v>
      </c>
      <c r="F618" s="187">
        <v>164.0</v>
      </c>
      <c r="G618" s="180" t="str">
        <f>IFERROR(__xludf.DUMMYFUNCTION("TRIM(REGEXREPLACE(C618, ""[0-9]+[a-f]?\."", """"))"),"Enumerator: Select region in Niger")</f>
        <v>Enumerator: Select region in Niger</v>
      </c>
      <c r="H618" s="180" t="str">
        <f>IFERROR(__xludf.DUMMYFUNCTION("TRIM(REGEXREPLACE(D618, ""[0-9]+[a-f]?\."", """"))"),"Enquêteur : Sélectionnez une région au Niger")</f>
        <v>Enquêteur : Sélectionnez une région au Niger</v>
      </c>
      <c r="I618" s="180" t="str">
        <f>IFERROR(__xludf.DUMMYFUNCTION("TRIM(REGEXREPLACE(E618, ""[0-9]+[a-f]?\."", """"))"),"Ɗan bincike: Zaɓi Jaha ɗaya a Nijar")</f>
        <v>Ɗan bincike: Zaɓi Jaha ɗaya a Nijar</v>
      </c>
      <c r="J618" s="180" t="str">
        <f t="shared" ref="J618:L618" si="164">$F618 &amp; ". "&amp;G618</f>
        <v>164. Enumerator: Select region in Niger</v>
      </c>
      <c r="K618" s="180" t="str">
        <f t="shared" si="164"/>
        <v>164. Enquêteur : Sélectionnez une région au Niger</v>
      </c>
      <c r="L618" s="180" t="str">
        <f t="shared" si="164"/>
        <v>164. Ɗan bincike: Zaɓi Jaha ɗaya a Nijar</v>
      </c>
    </row>
    <row r="619">
      <c r="A619" s="280" t="s">
        <v>2520</v>
      </c>
      <c r="B619" s="281" t="s">
        <v>3375</v>
      </c>
      <c r="C619" s="45" t="s">
        <v>3376</v>
      </c>
      <c r="D619" s="45" t="s">
        <v>3377</v>
      </c>
      <c r="E619" s="45" t="s">
        <v>3378</v>
      </c>
      <c r="F619" s="187">
        <v>165.0</v>
      </c>
      <c r="G619" s="180" t="str">
        <f>IFERROR(__xludf.DUMMYFUNCTION("TRIM(REGEXREPLACE(C619, ""[0-9]+[a-f]?\."", """"))"),"Enumerator: Select country")</f>
        <v>Enumerator: Select country</v>
      </c>
      <c r="H619" s="180" t="str">
        <f>IFERROR(__xludf.DUMMYFUNCTION("TRIM(REGEXREPLACE(D619, ""[0-9]+[a-f]?\."", """"))"),"Enquêteur : sélectionnez le pays")</f>
        <v>Enquêteur : sélectionnez le pays</v>
      </c>
      <c r="I619" s="180" t="str">
        <f>IFERROR(__xludf.DUMMYFUNCTION("TRIM(REGEXREPLACE(E619, ""[0-9]+[a-f]?\."", """"))"),"Ɗan bincike: Zaɓi ƙasa")</f>
        <v>Ɗan bincike: Zaɓi ƙasa</v>
      </c>
      <c r="J619" s="180" t="str">
        <f t="shared" ref="J619:L619" si="165">$F619 &amp; ". "&amp;G619</f>
        <v>165. Enumerator: Select country</v>
      </c>
      <c r="K619" s="180" t="str">
        <f t="shared" si="165"/>
        <v>165. Enquêteur : sélectionnez le pays</v>
      </c>
      <c r="L619" s="180" t="str">
        <f t="shared" si="165"/>
        <v>165. Ɗan bincike: Zaɓi ƙasa</v>
      </c>
    </row>
    <row r="620">
      <c r="A620" s="282" t="s">
        <v>252</v>
      </c>
      <c r="B620" s="283" t="s">
        <v>3385</v>
      </c>
      <c r="C620" s="45" t="s">
        <v>3386</v>
      </c>
      <c r="D620" s="45" t="s">
        <v>3387</v>
      </c>
      <c r="E620" s="45" t="s">
        <v>3388</v>
      </c>
      <c r="F620" s="187">
        <v>166.0</v>
      </c>
      <c r="G620" s="180" t="str">
        <f>IFERROR(__xludf.DUMMYFUNCTION("TRIM(REGEXREPLACE(C620, ""[0-9]+[a-f]?\."", """"))"),"Enumerator: Enter other country")</f>
        <v>Enumerator: Enter other country</v>
      </c>
      <c r="H620" s="180" t="str">
        <f>IFERROR(__xludf.DUMMYFUNCTION("TRIM(REGEXREPLACE(D620, ""[0-9]+[a-f]?\."", """"))"),"Enquêteur : Entrez un autre pays")</f>
        <v>Enquêteur : Entrez un autre pays</v>
      </c>
      <c r="I620" s="180" t="str">
        <f>IFERROR(__xludf.DUMMYFUNCTION("TRIM(REGEXREPLACE(E620, ""[0-9]+[a-f]?\."", """"))"),"Ɗan bincike: Shigar da wata ƙasa")</f>
        <v>Ɗan bincike: Shigar da wata ƙasa</v>
      </c>
      <c r="J620" s="180" t="str">
        <f t="shared" ref="J620:L620" si="166">$F620 &amp; ". "&amp;G620</f>
        <v>166. Enumerator: Enter other country</v>
      </c>
      <c r="K620" s="180" t="str">
        <f t="shared" si="166"/>
        <v>166. Enquêteur : Entrez un autre pays</v>
      </c>
      <c r="L620" s="180" t="str">
        <f t="shared" si="166"/>
        <v>166. Ɗan bincike: Shigar da wata ƙasa</v>
      </c>
    </row>
    <row r="621">
      <c r="A621" s="280" t="s">
        <v>1624</v>
      </c>
      <c r="B621" s="281" t="s">
        <v>3389</v>
      </c>
      <c r="C621" s="45" t="s">
        <v>3390</v>
      </c>
      <c r="D621" s="45" t="s">
        <v>3391</v>
      </c>
      <c r="E621" s="45" t="s">
        <v>3392</v>
      </c>
      <c r="F621" s="187">
        <v>167.0</v>
      </c>
      <c r="G621" s="180" t="str">
        <f>IFERROR(__xludf.DUMMYFUNCTION("TRIM(REGEXREPLACE(C621, ""[0-9]+[a-f]?\."", """"))"),"Enumerator: Select town")</f>
        <v>Enumerator: Select town</v>
      </c>
      <c r="H621" s="180" t="str">
        <f>IFERROR(__xludf.DUMMYFUNCTION("TRIM(REGEXREPLACE(D621, ""[0-9]+[a-f]?\."", """"))"),"Enquêteur : Sélectionnez la ville")</f>
        <v>Enquêteur : Sélectionnez la ville</v>
      </c>
      <c r="I621" s="180" t="str">
        <f>IFERROR(__xludf.DUMMYFUNCTION("TRIM(REGEXREPLACE(E621, ""[0-9]+[a-f]?\."", """"))"),"Ɗan bincike: Zaɓi gari")</f>
        <v>Ɗan bincike: Zaɓi gari</v>
      </c>
      <c r="J621" s="180" t="str">
        <f t="shared" ref="J621:L621" si="167">$F621 &amp; ". "&amp;G621</f>
        <v>167. Enumerator: Select town</v>
      </c>
      <c r="K621" s="180" t="str">
        <f t="shared" si="167"/>
        <v>167. Enquêteur : Sélectionnez la ville</v>
      </c>
      <c r="L621" s="180" t="str">
        <f t="shared" si="167"/>
        <v>167. Ɗan bincike: Zaɓi gari</v>
      </c>
    </row>
    <row r="622">
      <c r="A622" s="282" t="s">
        <v>252</v>
      </c>
      <c r="B622" s="283" t="s">
        <v>3397</v>
      </c>
      <c r="C622" s="45" t="s">
        <v>1578</v>
      </c>
      <c r="D622" s="45" t="s">
        <v>1579</v>
      </c>
      <c r="E622" s="45" t="s">
        <v>1580</v>
      </c>
      <c r="F622" s="187">
        <v>168.0</v>
      </c>
      <c r="G622" s="180" t="str">
        <f>IFERROR(__xludf.DUMMYFUNCTION("TRIM(REGEXREPLACE(C622, ""[0-9]+[a-f]?\."", """"))"),"Enumerator: Enter other town")</f>
        <v>Enumerator: Enter other town</v>
      </c>
      <c r="H622" s="180" t="str">
        <f>IFERROR(__xludf.DUMMYFUNCTION("TRIM(REGEXREPLACE(D622, ""[0-9]+[a-f]?\."", """"))"),"Enquêteur : Entrez un autre ville")</f>
        <v>Enquêteur : Entrez un autre ville</v>
      </c>
      <c r="I622" s="180" t="str">
        <f>IFERROR(__xludf.DUMMYFUNCTION("TRIM(REGEXREPLACE(E622, ""[0-9]+[a-f]?\."", """"))"),"Ɗan bincike: Shigar da wata gari")</f>
        <v>Ɗan bincike: Shigar da wata gari</v>
      </c>
      <c r="J622" s="180" t="str">
        <f t="shared" ref="J622:L622" si="168">$F622 &amp; ". "&amp;G622</f>
        <v>168. Enumerator: Enter other town</v>
      </c>
      <c r="K622" s="180" t="str">
        <f t="shared" si="168"/>
        <v>168. Enquêteur : Entrez un autre ville</v>
      </c>
      <c r="L622" s="180" t="str">
        <f t="shared" si="168"/>
        <v>168. Ɗan bincike: Shigar da wata gari</v>
      </c>
    </row>
    <row r="623" hidden="1">
      <c r="B623" s="277"/>
      <c r="C623" s="277"/>
      <c r="D623" s="277"/>
      <c r="E623" s="277"/>
      <c r="F623" s="187">
        <v>393.0</v>
      </c>
      <c r="G623" s="180" t="str">
        <f>IFERROR(__xludf.DUMMYFUNCTION("TRIM(REGEXREPLACE(C623, ""[0-9]+[a-f]?\."", """"))"),"")</f>
        <v/>
      </c>
      <c r="H623" s="180" t="str">
        <f>IFERROR(__xludf.DUMMYFUNCTION("TRIM(REGEXREPLACE(D623, ""[0-9]+[a-f]?\."", """"))"),"")</f>
        <v/>
      </c>
      <c r="I623" s="180" t="str">
        <f>IFERROR(__xludf.DUMMYFUNCTION("TRIM(REGEXREPLACE(E623, ""[0-9]+[a-f]?\."", """"))"),"")</f>
        <v/>
      </c>
      <c r="J623" s="180" t="s">
        <v>3401</v>
      </c>
      <c r="K623" s="180" t="s">
        <v>3402</v>
      </c>
      <c r="L623" s="180" t="s">
        <v>3404</v>
      </c>
    </row>
    <row r="624" hidden="1">
      <c r="B624" s="277"/>
      <c r="C624" s="277"/>
      <c r="D624" s="277"/>
      <c r="E624" s="277"/>
      <c r="F624" s="187">
        <v>394.0</v>
      </c>
      <c r="G624" s="180" t="str">
        <f>IFERROR(__xludf.DUMMYFUNCTION("TRIM(REGEXREPLACE(C624, ""[0-9]+[a-f]?\."", """"))"),"")</f>
        <v/>
      </c>
      <c r="H624" s="180" t="str">
        <f>IFERROR(__xludf.DUMMYFUNCTION("TRIM(REGEXREPLACE(D624, ""[0-9]+[a-f]?\."", """"))"),"")</f>
        <v/>
      </c>
      <c r="I624" s="180" t="str">
        <f>IFERROR(__xludf.DUMMYFUNCTION("TRIM(REGEXREPLACE(E624, ""[0-9]+[a-f]?\."", """"))"),"")</f>
        <v/>
      </c>
      <c r="J624" s="180" t="s">
        <v>3407</v>
      </c>
      <c r="K624" s="180" t="s">
        <v>3408</v>
      </c>
      <c r="L624" s="180" t="s">
        <v>3409</v>
      </c>
    </row>
    <row r="625" hidden="1">
      <c r="B625" s="277"/>
      <c r="C625" s="277"/>
      <c r="D625" s="277"/>
      <c r="E625" s="277"/>
      <c r="F625" s="187">
        <v>395.0</v>
      </c>
      <c r="G625" s="180" t="str">
        <f>IFERROR(__xludf.DUMMYFUNCTION("TRIM(REGEXREPLACE(C625, ""[0-9]+[a-f]?\."", """"))"),"")</f>
        <v/>
      </c>
      <c r="H625" s="180" t="str">
        <f>IFERROR(__xludf.DUMMYFUNCTION("TRIM(REGEXREPLACE(D625, ""[0-9]+[a-f]?\."", """"))"),"")</f>
        <v/>
      </c>
      <c r="I625" s="180" t="str">
        <f>IFERROR(__xludf.DUMMYFUNCTION("TRIM(REGEXREPLACE(E625, ""[0-9]+[a-f]?\."", """"))"),"")</f>
        <v/>
      </c>
      <c r="J625" s="180" t="s">
        <v>3410</v>
      </c>
      <c r="K625" s="180" t="s">
        <v>3411</v>
      </c>
      <c r="L625" s="180" t="s">
        <v>3412</v>
      </c>
    </row>
    <row r="626" hidden="1">
      <c r="B626" s="277"/>
      <c r="C626" s="277"/>
      <c r="D626" s="277"/>
      <c r="E626" s="277"/>
      <c r="F626" s="187">
        <v>396.0</v>
      </c>
      <c r="G626" s="180" t="str">
        <f>IFERROR(__xludf.DUMMYFUNCTION("TRIM(REGEXREPLACE(C626, ""[0-9]+[a-f]?\."", """"))"),"")</f>
        <v/>
      </c>
      <c r="H626" s="180" t="str">
        <f>IFERROR(__xludf.DUMMYFUNCTION("TRIM(REGEXREPLACE(D626, ""[0-9]+[a-f]?\."", """"))"),"")</f>
        <v/>
      </c>
      <c r="I626" s="180" t="str">
        <f>IFERROR(__xludf.DUMMYFUNCTION("TRIM(REGEXREPLACE(E626, ""[0-9]+[a-f]?\."", """"))"),"")</f>
        <v/>
      </c>
      <c r="J626" s="180" t="s">
        <v>3416</v>
      </c>
      <c r="K626" s="180" t="s">
        <v>3417</v>
      </c>
      <c r="L626" s="180" t="s">
        <v>3418</v>
      </c>
    </row>
    <row r="627" hidden="1">
      <c r="B627" s="277"/>
      <c r="C627" s="277"/>
      <c r="D627" s="277"/>
      <c r="E627" s="277"/>
      <c r="F627" s="187">
        <v>397.0</v>
      </c>
      <c r="G627" s="180" t="str">
        <f>IFERROR(__xludf.DUMMYFUNCTION("TRIM(REGEXREPLACE(C627, ""[0-9]+[a-f]?\."", """"))"),"")</f>
        <v/>
      </c>
      <c r="H627" s="180" t="str">
        <f>IFERROR(__xludf.DUMMYFUNCTION("TRIM(REGEXREPLACE(D627, ""[0-9]+[a-f]?\."", """"))"),"")</f>
        <v/>
      </c>
      <c r="I627" s="180" t="str">
        <f>IFERROR(__xludf.DUMMYFUNCTION("TRIM(REGEXREPLACE(E627, ""[0-9]+[a-f]?\."", """"))"),"")</f>
        <v/>
      </c>
      <c r="J627" s="180" t="s">
        <v>3419</v>
      </c>
      <c r="K627" s="180" t="s">
        <v>3420</v>
      </c>
      <c r="L627" s="180" t="s">
        <v>3421</v>
      </c>
    </row>
    <row r="628" hidden="1">
      <c r="B628" s="277"/>
      <c r="C628" s="277"/>
      <c r="D628" s="277"/>
      <c r="E628" s="277"/>
      <c r="F628" s="187">
        <v>398.0</v>
      </c>
      <c r="G628" s="180" t="str">
        <f>IFERROR(__xludf.DUMMYFUNCTION("TRIM(REGEXREPLACE(C628, ""[0-9]+[a-f]?\."", """"))"),"")</f>
        <v/>
      </c>
      <c r="H628" s="180" t="str">
        <f>IFERROR(__xludf.DUMMYFUNCTION("TRIM(REGEXREPLACE(D628, ""[0-9]+[a-f]?\."", """"))"),"")</f>
        <v/>
      </c>
      <c r="I628" s="180" t="str">
        <f>IFERROR(__xludf.DUMMYFUNCTION("TRIM(REGEXREPLACE(E628, ""[0-9]+[a-f]?\."", """"))"),"")</f>
        <v/>
      </c>
      <c r="J628" s="180" t="s">
        <v>3422</v>
      </c>
      <c r="K628" s="180" t="s">
        <v>3423</v>
      </c>
      <c r="L628" s="180" t="s">
        <v>3425</v>
      </c>
    </row>
    <row r="629" hidden="1">
      <c r="B629" s="277"/>
      <c r="C629" s="277"/>
      <c r="D629" s="277"/>
      <c r="E629" s="277"/>
      <c r="F629" s="187">
        <v>399.0</v>
      </c>
      <c r="G629" s="180" t="str">
        <f>IFERROR(__xludf.DUMMYFUNCTION("TRIM(REGEXREPLACE(C629, ""[0-9]+[a-f]?\."", """"))"),"")</f>
        <v/>
      </c>
      <c r="H629" s="180" t="str">
        <f>IFERROR(__xludf.DUMMYFUNCTION("TRIM(REGEXREPLACE(D629, ""[0-9]+[a-f]?\."", """"))"),"")</f>
        <v/>
      </c>
      <c r="I629" s="180" t="str">
        <f>IFERROR(__xludf.DUMMYFUNCTION("TRIM(REGEXREPLACE(E629, ""[0-9]+[a-f]?\."", """"))"),"")</f>
        <v/>
      </c>
      <c r="J629" s="180" t="s">
        <v>3429</v>
      </c>
      <c r="K629" s="180" t="s">
        <v>3430</v>
      </c>
      <c r="L629" s="180" t="s">
        <v>3431</v>
      </c>
    </row>
    <row r="630" hidden="1">
      <c r="C630" s="277"/>
      <c r="F630" s="187">
        <v>394.0</v>
      </c>
      <c r="G630" s="180" t="str">
        <f>IFERROR(__xludf.DUMMYFUNCTION("TRIM(REGEXREPLACE(C630, ""[0-9]+[a-f]?\."", """"))"),"")</f>
        <v/>
      </c>
      <c r="H630" s="180" t="str">
        <f>IFERROR(__xludf.DUMMYFUNCTION("TRIM(REGEXREPLACE(D630, ""[0-9]+[a-f]?\."", """"))"),"")</f>
        <v/>
      </c>
      <c r="I630" s="180" t="str">
        <f>IFERROR(__xludf.DUMMYFUNCTION("TRIM(REGEXREPLACE(E630, ""[0-9]+[a-f]?\."", """"))"),"")</f>
        <v/>
      </c>
      <c r="J630" s="180" t="s">
        <v>3432</v>
      </c>
      <c r="K630" s="180" t="s">
        <v>3433</v>
      </c>
      <c r="L630" s="180" t="s">
        <v>3434</v>
      </c>
    </row>
    <row r="631" hidden="1">
      <c r="C631" s="277"/>
      <c r="F631" s="187">
        <v>395.0</v>
      </c>
      <c r="G631" s="180" t="str">
        <f>IFERROR(__xludf.DUMMYFUNCTION("TRIM(REGEXREPLACE(C631, ""[0-9]+[a-f]?\."", """"))"),"")</f>
        <v/>
      </c>
      <c r="H631" s="180" t="str">
        <f>IFERROR(__xludf.DUMMYFUNCTION("TRIM(REGEXREPLACE(D631, ""[0-9]+[a-f]?\."", """"))"),"")</f>
        <v/>
      </c>
      <c r="I631" s="180" t="str">
        <f>IFERROR(__xludf.DUMMYFUNCTION("TRIM(REGEXREPLACE(E631, ""[0-9]+[a-f]?\."", """"))"),"")</f>
        <v/>
      </c>
      <c r="J631" s="180" t="s">
        <v>3435</v>
      </c>
      <c r="K631" s="180" t="s">
        <v>3436</v>
      </c>
      <c r="L631" s="180" t="s">
        <v>3437</v>
      </c>
    </row>
    <row r="632" hidden="1">
      <c r="C632" s="277"/>
      <c r="F632" s="187">
        <v>396.0</v>
      </c>
      <c r="G632" s="180" t="str">
        <f>IFERROR(__xludf.DUMMYFUNCTION("TRIM(REGEXREPLACE(C632, ""[0-9]+[a-f]?\."", """"))"),"")</f>
        <v/>
      </c>
      <c r="H632" s="180" t="str">
        <f>IFERROR(__xludf.DUMMYFUNCTION("TRIM(REGEXREPLACE(D632, ""[0-9]+[a-f]?\."", """"))"),"")</f>
        <v/>
      </c>
      <c r="I632" s="180" t="str">
        <f>IFERROR(__xludf.DUMMYFUNCTION("TRIM(REGEXREPLACE(E632, ""[0-9]+[a-f]?\."", """"))"),"")</f>
        <v/>
      </c>
      <c r="J632" s="180" t="s">
        <v>3438</v>
      </c>
      <c r="K632" s="180" t="s">
        <v>3439</v>
      </c>
      <c r="L632" s="180" t="s">
        <v>3440</v>
      </c>
    </row>
    <row r="633" hidden="1">
      <c r="C633" s="277"/>
      <c r="F633" s="187">
        <v>397.0</v>
      </c>
      <c r="G633" s="180" t="str">
        <f>IFERROR(__xludf.DUMMYFUNCTION("TRIM(REGEXREPLACE(C633, ""[0-9]+[a-f]?\."", """"))"),"")</f>
        <v/>
      </c>
      <c r="H633" s="180" t="str">
        <f>IFERROR(__xludf.DUMMYFUNCTION("TRIM(REGEXREPLACE(D633, ""[0-9]+[a-f]?\."", """"))"),"")</f>
        <v/>
      </c>
      <c r="I633" s="180" t="str">
        <f>IFERROR(__xludf.DUMMYFUNCTION("TRIM(REGEXREPLACE(E633, ""[0-9]+[a-f]?\."", """"))"),"")</f>
        <v/>
      </c>
      <c r="J633" s="180" t="s">
        <v>3441</v>
      </c>
      <c r="K633" s="180" t="s">
        <v>3442</v>
      </c>
      <c r="L633" s="180" t="s">
        <v>3443</v>
      </c>
    </row>
    <row r="634" hidden="1">
      <c r="B634" s="277"/>
      <c r="C634" s="277"/>
      <c r="D634" s="277"/>
      <c r="E634" s="277"/>
      <c r="F634" s="187">
        <v>400.0</v>
      </c>
      <c r="G634" s="180" t="str">
        <f>IFERROR(__xludf.DUMMYFUNCTION("TRIM(REGEXREPLACE(C634, ""[0-9]+[a-f]?\."", """"))"),"")</f>
        <v/>
      </c>
      <c r="H634" s="180" t="str">
        <f>IFERROR(__xludf.DUMMYFUNCTION("TRIM(REGEXREPLACE(D634, ""[0-9]+[a-f]?\."", """"))"),"")</f>
        <v/>
      </c>
      <c r="I634" s="180" t="str">
        <f>IFERROR(__xludf.DUMMYFUNCTION("TRIM(REGEXREPLACE(E634, ""[0-9]+[a-f]?\."", """"))"),"")</f>
        <v/>
      </c>
      <c r="J634" s="180" t="s">
        <v>3448</v>
      </c>
      <c r="K634" s="180" t="s">
        <v>3449</v>
      </c>
      <c r="L634" s="180" t="s">
        <v>3450</v>
      </c>
    </row>
    <row r="635" hidden="1">
      <c r="B635" s="277"/>
      <c r="C635" s="277"/>
      <c r="D635" s="277"/>
      <c r="E635" s="277"/>
      <c r="F635" s="187">
        <v>401.0</v>
      </c>
      <c r="G635" s="180" t="str">
        <f>IFERROR(__xludf.DUMMYFUNCTION("TRIM(REGEXREPLACE(C635, ""[0-9]+[a-f]?\."", """"))"),"")</f>
        <v/>
      </c>
      <c r="H635" s="180" t="str">
        <f>IFERROR(__xludf.DUMMYFUNCTION("TRIM(REGEXREPLACE(D635, ""[0-9]+[a-f]?\."", """"))"),"")</f>
        <v/>
      </c>
      <c r="I635" s="180" t="str">
        <f>IFERROR(__xludf.DUMMYFUNCTION("TRIM(REGEXREPLACE(E635, ""[0-9]+[a-f]?\."", """"))"),"")</f>
        <v/>
      </c>
      <c r="J635" s="180" t="s">
        <v>3451</v>
      </c>
      <c r="K635" s="180" t="s">
        <v>3452</v>
      </c>
      <c r="L635" s="180" t="s">
        <v>3453</v>
      </c>
    </row>
    <row r="636" hidden="1">
      <c r="C636" s="277"/>
      <c r="D636" s="277"/>
      <c r="E636" s="277"/>
      <c r="F636" s="187">
        <v>388.0</v>
      </c>
      <c r="G636" s="180" t="str">
        <f>IFERROR(__xludf.DUMMYFUNCTION("TRIM(REGEXREPLACE(C636, ""[0-9]+[a-f]?\."", """"))"),"")</f>
        <v/>
      </c>
      <c r="H636" s="180" t="str">
        <f>IFERROR(__xludf.DUMMYFUNCTION("TRIM(REGEXREPLACE(D636, ""[0-9]+[a-f]?\."", """"))"),"")</f>
        <v/>
      </c>
      <c r="I636" s="180" t="str">
        <f>IFERROR(__xludf.DUMMYFUNCTION("TRIM(REGEXREPLACE(E636, ""[0-9]+[a-f]?\."", """"))"),"")</f>
        <v/>
      </c>
      <c r="J636" s="180" t="s">
        <v>3454</v>
      </c>
      <c r="K636" s="180" t="s">
        <v>3456</v>
      </c>
      <c r="L636" s="180" t="s">
        <v>3458</v>
      </c>
    </row>
    <row r="637" hidden="1">
      <c r="B637" s="277"/>
      <c r="C637" s="277"/>
      <c r="D637" s="277"/>
      <c r="E637" s="277"/>
      <c r="F637" s="187">
        <v>402.0</v>
      </c>
      <c r="G637" s="180" t="str">
        <f>IFERROR(__xludf.DUMMYFUNCTION("TRIM(REGEXREPLACE(C637, ""[0-9]+[a-f]?\."", """"))"),"")</f>
        <v/>
      </c>
      <c r="H637" s="180" t="str">
        <f>IFERROR(__xludf.DUMMYFUNCTION("TRIM(REGEXREPLACE(D637, ""[0-9]+[a-f]?\."", """"))"),"")</f>
        <v/>
      </c>
      <c r="I637" s="180" t="str">
        <f>IFERROR(__xludf.DUMMYFUNCTION("TRIM(REGEXREPLACE(E637, ""[0-9]+[a-f]?\."", """"))"),"")</f>
        <v/>
      </c>
      <c r="J637" s="180" t="s">
        <v>3460</v>
      </c>
      <c r="K637" s="180" t="s">
        <v>3461</v>
      </c>
      <c r="L637" s="180" t="s">
        <v>3462</v>
      </c>
    </row>
    <row r="638">
      <c r="A638" s="280" t="s">
        <v>2509</v>
      </c>
      <c r="B638" s="281" t="s">
        <v>3463</v>
      </c>
      <c r="C638" s="45" t="s">
        <v>3464</v>
      </c>
      <c r="D638" s="45" t="s">
        <v>3465</v>
      </c>
      <c r="E638" s="45" t="s">
        <v>3466</v>
      </c>
      <c r="F638" s="187">
        <v>169.0</v>
      </c>
      <c r="G638" s="180" t="str">
        <f>IFERROR(__xludf.DUMMYFUNCTION("TRIM(REGEXREPLACE(C638, ""[0-9]+[a-f]?\."", """"))"),"Will ${shm_name} be in the household within the next two weeks?")</f>
        <v>Will ${shm_name} be in the household within the next two weeks?</v>
      </c>
      <c r="H638" s="180" t="str">
        <f>IFERROR(__xludf.DUMMYFUNCTION("TRIM(REGEXREPLACE(D638, ""[0-9]+[a-f]?\."", """"))"),"Est-ce que ${shm_name} sera dans le menage dans les deux prochaines semaines ?")</f>
        <v>Est-ce que ${shm_name} sera dans le menage dans les deux prochaines semaines ?</v>
      </c>
      <c r="I638" s="180" t="str">
        <f>IFERROR(__xludf.DUMMYFUNCTION("TRIM(REGEXREPLACE(E638, ""[0-9]+[a-f]?\."", """"))"),"Shin ${shm_name} zai kasance a cikin gida a cikin sati biyu masu zuwa?")</f>
        <v>Shin ${shm_name} zai kasance a cikin gida a cikin sati biyu masu zuwa?</v>
      </c>
      <c r="J638" s="180" t="str">
        <f t="shared" ref="J638:L638" si="169">$F638 &amp; ". "&amp;G638</f>
        <v>169. Will ${shm_name} be in the household within the next two weeks?</v>
      </c>
      <c r="K638" s="180" t="str">
        <f t="shared" si="169"/>
        <v>169. Est-ce que ${shm_name} sera dans le menage dans les deux prochaines semaines ?</v>
      </c>
      <c r="L638" s="180" t="str">
        <f t="shared" si="169"/>
        <v>169. Shin ${shm_name} zai kasance a cikin gida a cikin sati biyu masu zuwa?</v>
      </c>
    </row>
    <row r="639" hidden="1">
      <c r="A639" s="168" t="s">
        <v>127</v>
      </c>
      <c r="B639" s="71" t="s">
        <v>3470</v>
      </c>
      <c r="C639" s="200"/>
      <c r="D639" s="200"/>
      <c r="E639" s="200"/>
      <c r="F639" s="187">
        <v>387.0</v>
      </c>
      <c r="G639" s="180" t="str">
        <f>IFERROR(__xludf.DUMMYFUNCTION("TRIM(REGEXREPLACE(C639, ""[0-9]+[a-f]?\."", """"))"),"")</f>
        <v/>
      </c>
      <c r="H639" s="180" t="str">
        <f>IFERROR(__xludf.DUMMYFUNCTION("TRIM(REGEXREPLACE(D639, ""[0-9]+[a-f]?\."", """"))"),"")</f>
        <v/>
      </c>
      <c r="I639" s="180" t="str">
        <f>IFERROR(__xludf.DUMMYFUNCTION("TRIM(REGEXREPLACE(E639, ""[0-9]+[a-f]?\."", """"))"),"")</f>
        <v/>
      </c>
      <c r="J639" s="180" t="s">
        <v>3472</v>
      </c>
      <c r="K639" s="180" t="s">
        <v>3474</v>
      </c>
      <c r="L639" s="180" t="s">
        <v>3475</v>
      </c>
    </row>
    <row r="640" hidden="1">
      <c r="A640" s="168" t="s">
        <v>68</v>
      </c>
      <c r="B640" s="71" t="s">
        <v>3478</v>
      </c>
      <c r="C640" s="200"/>
      <c r="D640" s="200"/>
      <c r="E640" s="200"/>
      <c r="F640" s="187">
        <v>388.0</v>
      </c>
      <c r="G640" s="180" t="str">
        <f>IFERROR(__xludf.DUMMYFUNCTION("TRIM(REGEXREPLACE(C640, ""[0-9]+[a-f]?\."", """"))"),"")</f>
        <v/>
      </c>
      <c r="H640" s="180" t="str">
        <f>IFERROR(__xludf.DUMMYFUNCTION("TRIM(REGEXREPLACE(D640, ""[0-9]+[a-f]?\."", """"))"),"")</f>
        <v/>
      </c>
      <c r="I640" s="180" t="str">
        <f>IFERROR(__xludf.DUMMYFUNCTION("TRIM(REGEXREPLACE(E640, ""[0-9]+[a-f]?\."", """"))"),"")</f>
        <v/>
      </c>
      <c r="J640" s="180" t="s">
        <v>3479</v>
      </c>
      <c r="K640" s="180" t="s">
        <v>3480</v>
      </c>
      <c r="L640" s="180" t="s">
        <v>3481</v>
      </c>
    </row>
    <row r="641" hidden="1">
      <c r="A641" s="168" t="s">
        <v>127</v>
      </c>
      <c r="B641" s="71" t="s">
        <v>3482</v>
      </c>
      <c r="C641" s="200"/>
      <c r="D641" s="200"/>
      <c r="E641" s="200"/>
      <c r="F641" s="187">
        <v>389.0</v>
      </c>
      <c r="G641" s="180" t="str">
        <f>IFERROR(__xludf.DUMMYFUNCTION("TRIM(REGEXREPLACE(C641, ""[0-9]+[a-f]?\."", """"))"),"")</f>
        <v/>
      </c>
      <c r="H641" s="180" t="str">
        <f>IFERROR(__xludf.DUMMYFUNCTION("TRIM(REGEXREPLACE(D641, ""[0-9]+[a-f]?\."", """"))"),"")</f>
        <v/>
      </c>
      <c r="I641" s="180" t="str">
        <f>IFERROR(__xludf.DUMMYFUNCTION("TRIM(REGEXREPLACE(E641, ""[0-9]+[a-f]?\."", """"))"),"")</f>
        <v/>
      </c>
      <c r="J641" s="180" t="s">
        <v>3485</v>
      </c>
      <c r="K641" s="180" t="s">
        <v>3486</v>
      </c>
      <c r="L641" s="180" t="s">
        <v>3487</v>
      </c>
    </row>
    <row r="642">
      <c r="A642" s="278" t="s">
        <v>38</v>
      </c>
      <c r="B642" s="279" t="s">
        <v>3488</v>
      </c>
      <c r="C642" s="45" t="s">
        <v>1652</v>
      </c>
      <c r="D642" s="45" t="s">
        <v>1653</v>
      </c>
      <c r="E642" s="45" t="s">
        <v>1654</v>
      </c>
      <c r="F642" s="187">
        <v>170.0</v>
      </c>
      <c r="G642" s="180" t="str">
        <f>IFERROR(__xludf.DUMMYFUNCTION("TRIM(REGEXREPLACE(C642, ""[0-9]+[a-f]?\."", """"))"),"I would like to ask you about different ways you may use money that you earn.")</f>
        <v>I would like to ask you about different ways you may use money that you earn.</v>
      </c>
      <c r="H642" s="180" t="str">
        <f>IFERROR(__xludf.DUMMYFUNCTION("TRIM(REGEXREPLACE(D642, ""[0-9]+[a-f]?\."", """"))"),"Maintenant, je voudrais vous poser des questions sur les différentes façons dont vous pouvez utiliser l'argent que vous gagnez.")</f>
        <v>Maintenant, je voudrais vous poser des questions sur les différentes façons dont vous pouvez utiliser l'argent que vous gagnez.</v>
      </c>
      <c r="I642" s="180" t="str">
        <f>IFERROR(__xludf.DUMMYFUNCTION("TRIM(REGEXREPLACE(E642, ""[0-9]+[a-f]?\."", """"))"),"Yanzu ina so in tambaye ku hanyoyi daban-daban da zaku iya amfani da su wajen kashe kuɗin da kuke samu.")</f>
        <v>Yanzu ina so in tambaye ku hanyoyi daban-daban da zaku iya amfani da su wajen kashe kuɗin da kuke samu.</v>
      </c>
      <c r="J642" s="180" t="str">
        <f t="shared" ref="J642:L642" si="170">$F642 &amp; ". "&amp;G642</f>
        <v>170. I would like to ask you about different ways you may use money that you earn.</v>
      </c>
      <c r="K642" s="180" t="str">
        <f t="shared" si="170"/>
        <v>170. Maintenant, je voudrais vous poser des questions sur les différentes façons dont vous pouvez utiliser l'argent que vous gagnez.</v>
      </c>
      <c r="L642" s="180" t="str">
        <f t="shared" si="170"/>
        <v>170. Yanzu ina so in tambaye ku hanyoyi daban-daban da zaku iya amfani da su wajen kashe kuɗin da kuke samu.</v>
      </c>
    </row>
    <row r="643" hidden="1">
      <c r="B643" s="277"/>
      <c r="C643" s="277"/>
      <c r="D643" s="277"/>
      <c r="E643" s="277"/>
      <c r="F643" s="187">
        <v>406.0</v>
      </c>
      <c r="G643" s="180" t="str">
        <f>IFERROR(__xludf.DUMMYFUNCTION("TRIM(REGEXREPLACE(C643, ""[0-9]+[a-f]?\."", """"))"),"")</f>
        <v/>
      </c>
      <c r="H643" s="180" t="str">
        <f>IFERROR(__xludf.DUMMYFUNCTION("TRIM(REGEXREPLACE(D643, ""[0-9]+[a-f]?\."", """"))"),"")</f>
        <v/>
      </c>
      <c r="I643" s="180" t="str">
        <f>IFERROR(__xludf.DUMMYFUNCTION("TRIM(REGEXREPLACE(E643, ""[0-9]+[a-f]?\."", """"))"),"")</f>
        <v/>
      </c>
      <c r="J643" s="180" t="s">
        <v>3492</v>
      </c>
      <c r="K643" s="180" t="s">
        <v>3493</v>
      </c>
      <c r="L643" s="180" t="s">
        <v>3493</v>
      </c>
    </row>
    <row r="644" hidden="1">
      <c r="B644" s="277"/>
      <c r="C644" s="277"/>
      <c r="D644" s="277"/>
      <c r="E644" s="277"/>
      <c r="F644" s="187">
        <v>407.0</v>
      </c>
      <c r="G644" s="180" t="str">
        <f>IFERROR(__xludf.DUMMYFUNCTION("TRIM(REGEXREPLACE(C644, ""[0-9]+[a-f]?\."", """"))"),"")</f>
        <v/>
      </c>
      <c r="H644" s="180" t="str">
        <f>IFERROR(__xludf.DUMMYFUNCTION("TRIM(REGEXREPLACE(D644, ""[0-9]+[a-f]?\."", """"))"),"")</f>
        <v/>
      </c>
      <c r="I644" s="180" t="str">
        <f>IFERROR(__xludf.DUMMYFUNCTION("TRIM(REGEXREPLACE(E644, ""[0-9]+[a-f]?\."", """"))"),"")</f>
        <v/>
      </c>
      <c r="J644" s="180" t="s">
        <v>3495</v>
      </c>
      <c r="K644" s="180" t="s">
        <v>3496</v>
      </c>
      <c r="L644" s="180" t="s">
        <v>3496</v>
      </c>
    </row>
    <row r="645" hidden="1">
      <c r="C645" s="277"/>
      <c r="D645" s="277"/>
      <c r="E645" s="277"/>
      <c r="F645" s="187">
        <v>397.0</v>
      </c>
      <c r="G645" s="180" t="str">
        <f>IFERROR(__xludf.DUMMYFUNCTION("TRIM(REGEXREPLACE(C645, ""[0-9]+[a-f]?\."", """"))"),"")</f>
        <v/>
      </c>
      <c r="H645" s="180" t="str">
        <f>IFERROR(__xludf.DUMMYFUNCTION("TRIM(REGEXREPLACE(D645, ""[0-9]+[a-f]?\."", """"))"),"")</f>
        <v/>
      </c>
      <c r="I645" s="180" t="str">
        <f>IFERROR(__xludf.DUMMYFUNCTION("TRIM(REGEXREPLACE(E645, ""[0-9]+[a-f]?\."", """"))"),"")</f>
        <v/>
      </c>
      <c r="J645" s="180" t="s">
        <v>3499</v>
      </c>
      <c r="K645" s="180" t="s">
        <v>3500</v>
      </c>
      <c r="L645" s="180" t="s">
        <v>3501</v>
      </c>
    </row>
    <row r="646">
      <c r="A646" s="280" t="s">
        <v>3502</v>
      </c>
      <c r="B646" s="281" t="s">
        <v>3504</v>
      </c>
      <c r="C646" s="45" t="s">
        <v>1661</v>
      </c>
      <c r="D646" s="45" t="s">
        <v>1663</v>
      </c>
      <c r="E646" s="45" t="s">
        <v>1664</v>
      </c>
      <c r="F646" s="187">
        <v>171.0</v>
      </c>
      <c r="G646" s="180" t="str">
        <f>IFERROR(__xludf.DUMMYFUNCTION("TRIM(REGEXREPLACE(C646, ""[0-9]+[a-f]?\."", """"))"),"Do you currently have savings of each of the following types that you have put aside for yourself, separate from your household?")</f>
        <v>Do you currently have savings of each of the following types that you have put aside for yourself, separate from your household?</v>
      </c>
      <c r="H646" s="180" t="str">
        <f>IFERROR(__xludf.DUMMYFUNCTION("TRIM(REGEXREPLACE(D646,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646" s="180" t="str">
        <f>IFERROR(__xludf.DUMMYFUNCTION("TRIM(REGEXREPLACE(E646, ""[0-9]+[a-f]?\."", """"))"),"Ko a halin yanzu kuna da tanadi na kowane nau'in waɗannan nau'ikan da kuka ware wa kanku?")</f>
        <v>Ko a halin yanzu kuna da tanadi na kowane nau'in waɗannan nau'ikan da kuka ware wa kanku?</v>
      </c>
      <c r="J646" s="180" t="str">
        <f t="shared" ref="J646:L646" si="171">$F646 &amp; ". "&amp;G646</f>
        <v>171. Do you currently have savings of each of the following types that you have put aside for yourself, separate from your household?</v>
      </c>
      <c r="K646" s="180" t="str">
        <f t="shared" si="171"/>
        <v>171. Avez-vous actuellement des économies de chacun des types suivants que vous avez mises de côté pour vous-même, séparément de votre ménage ?</v>
      </c>
      <c r="L646" s="180" t="str">
        <f t="shared" si="171"/>
        <v>171. Ko a halin yanzu kuna da tanadi na kowane nau'in waɗannan nau'ikan da kuka ware wa kanku?</v>
      </c>
    </row>
    <row r="647">
      <c r="A647" s="282" t="s">
        <v>252</v>
      </c>
      <c r="B647" s="283" t="s">
        <v>3507</v>
      </c>
      <c r="C647" s="45" t="s">
        <v>1668</v>
      </c>
      <c r="D647" s="45" t="s">
        <v>1669</v>
      </c>
      <c r="E647" s="45" t="s">
        <v>1670</v>
      </c>
      <c r="F647" s="187">
        <v>172.0</v>
      </c>
      <c r="G647" s="180" t="str">
        <f>IFERROR(__xludf.DUMMYFUNCTION("TRIM(REGEXREPLACE(C647, ""[0-9]+[a-f]?\."", """"))"),"Specify other:")</f>
        <v>Specify other:</v>
      </c>
      <c r="H647" s="180" t="str">
        <f>IFERROR(__xludf.DUMMYFUNCTION("TRIM(REGEXREPLACE(D647, ""[0-9]+[a-f]?\."", """"))"),"Précisez autre :")</f>
        <v>Précisez autre :</v>
      </c>
      <c r="I647" s="180" t="str">
        <f>IFERROR(__xludf.DUMMYFUNCTION("TRIM(REGEXREPLACE(E647, ""[0-9]+[a-f]?\."", """"))"),"Ƙayyade wasu:")</f>
        <v>Ƙayyade wasu:</v>
      </c>
      <c r="J647" s="180" t="str">
        <f t="shared" ref="J647:L647" si="172">$F647 &amp; ". "&amp;G647</f>
        <v>172. Specify other:</v>
      </c>
      <c r="K647" s="180" t="str">
        <f t="shared" si="172"/>
        <v>172. Précisez autre :</v>
      </c>
      <c r="L647" s="180" t="str">
        <f t="shared" si="172"/>
        <v>172. Ƙayyade wasu:</v>
      </c>
    </row>
    <row r="648" hidden="1">
      <c r="C648" s="277"/>
      <c r="D648" s="277"/>
      <c r="E648" s="277"/>
      <c r="F648" s="187">
        <v>400.0</v>
      </c>
      <c r="G648" s="180" t="str">
        <f>IFERROR(__xludf.DUMMYFUNCTION("TRIM(REGEXREPLACE(C648, ""[0-9]+[a-f]?\."", """"))"),"")</f>
        <v/>
      </c>
      <c r="H648" s="180" t="str">
        <f>IFERROR(__xludf.DUMMYFUNCTION("TRIM(REGEXREPLACE(D648, ""[0-9]+[a-f]?\."", """"))"),"")</f>
        <v/>
      </c>
      <c r="I648" s="180" t="str">
        <f>IFERROR(__xludf.DUMMYFUNCTION("TRIM(REGEXREPLACE(E648, ""[0-9]+[a-f]?\."", """"))"),"")</f>
        <v/>
      </c>
      <c r="J648" s="180" t="s">
        <v>3512</v>
      </c>
      <c r="K648" s="180" t="s">
        <v>3513</v>
      </c>
      <c r="L648" s="180" t="s">
        <v>3514</v>
      </c>
    </row>
    <row r="649" hidden="1">
      <c r="C649" s="277"/>
      <c r="F649" s="187">
        <v>407.0</v>
      </c>
      <c r="G649" s="180" t="str">
        <f>IFERROR(__xludf.DUMMYFUNCTION("TRIM(REGEXREPLACE(C649, ""[0-9]+[a-f]?\."", """"))"),"")</f>
        <v/>
      </c>
      <c r="H649" s="180" t="str">
        <f>IFERROR(__xludf.DUMMYFUNCTION("TRIM(REGEXREPLACE(D649, ""[0-9]+[a-f]?\."", """"))"),"")</f>
        <v/>
      </c>
      <c r="I649" s="180" t="str">
        <f>IFERROR(__xludf.DUMMYFUNCTION("TRIM(REGEXREPLACE(E649, ""[0-9]+[a-f]?\."", """"))"),"")</f>
        <v/>
      </c>
      <c r="J649" s="180" t="s">
        <v>3515</v>
      </c>
      <c r="K649" s="180" t="s">
        <v>3516</v>
      </c>
      <c r="L649" s="180" t="s">
        <v>3517</v>
      </c>
    </row>
    <row r="650" hidden="1">
      <c r="C650" s="277"/>
      <c r="D650" s="277"/>
      <c r="E650" s="277"/>
      <c r="F650" s="187">
        <v>401.0</v>
      </c>
      <c r="G650" s="180" t="str">
        <f>IFERROR(__xludf.DUMMYFUNCTION("TRIM(REGEXREPLACE(C650, ""[0-9]+[a-f]?\."", """"))"),"")</f>
        <v/>
      </c>
      <c r="H650" s="180" t="str">
        <f>IFERROR(__xludf.DUMMYFUNCTION("TRIM(REGEXREPLACE(D650, ""[0-9]+[a-f]?\."", """"))"),"")</f>
        <v/>
      </c>
      <c r="I650" s="180" t="str">
        <f>IFERROR(__xludf.DUMMYFUNCTION("TRIM(REGEXREPLACE(E650, ""[0-9]+[a-f]?\."", """"))"),"")</f>
        <v/>
      </c>
      <c r="J650" s="180" t="s">
        <v>3524</v>
      </c>
      <c r="K650" s="180" t="s">
        <v>3525</v>
      </c>
      <c r="L650" s="180" t="s">
        <v>3526</v>
      </c>
    </row>
    <row r="651" hidden="1">
      <c r="B651" s="277"/>
      <c r="C651" s="277"/>
      <c r="D651" s="277"/>
      <c r="E651" s="277"/>
      <c r="F651" s="187">
        <v>408.0</v>
      </c>
      <c r="G651" s="180" t="str">
        <f>IFERROR(__xludf.DUMMYFUNCTION("TRIM(REGEXREPLACE(C651, ""[0-9]+[a-f]?\."", """"))"),"")</f>
        <v/>
      </c>
      <c r="H651" s="180" t="str">
        <f>IFERROR(__xludf.DUMMYFUNCTION("TRIM(REGEXREPLACE(D651, ""[0-9]+[a-f]?\."", """"))"),"")</f>
        <v/>
      </c>
      <c r="I651" s="180" t="str">
        <f>IFERROR(__xludf.DUMMYFUNCTION("TRIM(REGEXREPLACE(E651, ""[0-9]+[a-f]?\."", """"))"),"")</f>
        <v/>
      </c>
      <c r="J651" s="180" t="s">
        <v>3527</v>
      </c>
      <c r="K651" s="180" t="s">
        <v>3528</v>
      </c>
      <c r="L651" s="180" t="s">
        <v>3529</v>
      </c>
    </row>
    <row r="652" hidden="1">
      <c r="A652" s="285" t="s">
        <v>426</v>
      </c>
      <c r="B652" s="171" t="s">
        <v>3531</v>
      </c>
      <c r="C652" s="171" t="s">
        <v>3532</v>
      </c>
      <c r="D652" s="171" t="s">
        <v>3534</v>
      </c>
      <c r="E652" s="171" t="s">
        <v>3538</v>
      </c>
      <c r="F652" s="187">
        <v>393.0</v>
      </c>
      <c r="G652" s="180" t="str">
        <f>IFERROR(__xludf.DUMMYFUNCTION("TRIM(REGEXREPLACE(C652, ""[0-9]+[a-f]?\."", """"))"),"Savings Amount")</f>
        <v>Savings Amount</v>
      </c>
      <c r="H652" s="180" t="str">
        <f>IFERROR(__xludf.DUMMYFUNCTION("TRIM(REGEXREPLACE(D652, ""[0-9]+[a-f]?\."", """"))"),"Montant de l'épargne")</f>
        <v>Montant de l'épargne</v>
      </c>
      <c r="I652" s="180" t="str">
        <f>IFERROR(__xludf.DUMMYFUNCTION("TRIM(REGEXREPLACE(E652, ""[0-9]+[a-f]?\."", """"))"),"Yawan kuɗin ajiye")</f>
        <v>Yawan kuɗin ajiye</v>
      </c>
      <c r="J652" s="180" t="s">
        <v>3540</v>
      </c>
      <c r="K652" s="180" t="s">
        <v>3541</v>
      </c>
      <c r="L652" s="180" t="s">
        <v>3542</v>
      </c>
    </row>
    <row r="653" hidden="1">
      <c r="A653" s="168" t="s">
        <v>68</v>
      </c>
      <c r="B653" s="71" t="s">
        <v>3543</v>
      </c>
      <c r="C653" s="289" t="s">
        <v>3544</v>
      </c>
      <c r="D653" s="289" t="s">
        <v>3545</v>
      </c>
      <c r="E653" s="289" t="s">
        <v>3546</v>
      </c>
      <c r="F653" s="187">
        <v>394.0</v>
      </c>
      <c r="G653" s="180" t="str">
        <f>IFERROR(__xludf.DUMMYFUNCTION("TRIM(REGEXREPLACE(C653, ""[0-9]+[a-f]?\."", """"))"),"Savings Type Name")</f>
        <v>Savings Type Name</v>
      </c>
      <c r="H653" s="180" t="str">
        <f>IFERROR(__xludf.DUMMYFUNCTION("TRIM(REGEXREPLACE(D653, ""[0-9]+[a-f]?\."", """"))"),"Nom du type d'épargne")</f>
        <v>Nom du type d'épargne</v>
      </c>
      <c r="I653" s="180" t="str">
        <f>IFERROR(__xludf.DUMMYFUNCTION("TRIM(REGEXREPLACE(E653, ""[0-9]+[a-f]?\."", """"))"),"Sunan Nau'in Ajiya")</f>
        <v>Sunan Nau'in Ajiya</v>
      </c>
      <c r="J653" s="180" t="s">
        <v>3548</v>
      </c>
      <c r="K653" s="180" t="s">
        <v>3550</v>
      </c>
      <c r="L653" s="180" t="s">
        <v>3551</v>
      </c>
    </row>
    <row r="654">
      <c r="A654" s="291" t="s">
        <v>268</v>
      </c>
      <c r="B654" s="292" t="s">
        <v>3553</v>
      </c>
      <c r="C654" s="45" t="s">
        <v>1688</v>
      </c>
      <c r="D654" s="45" t="s">
        <v>1690</v>
      </c>
      <c r="E654" s="45" t="s">
        <v>1691</v>
      </c>
      <c r="F654" s="187">
        <v>173.0</v>
      </c>
      <c r="G654" s="180" t="str">
        <f>IFERROR(__xludf.DUMMYFUNCTION("TRIM(REGEXREPLACE(C654, ""[0-9]+[a-f]?\."", """"))"),"Please share with us your best estimate of the value in CFA ${w_savings_name}")</f>
        <v>Please share with us your best estimate of the value in CFA ${w_savings_name}</v>
      </c>
      <c r="H654" s="180" t="str">
        <f>IFERROR(__xludf.DUMMYFUNCTION("TRIM(REGEXREPLACE(D654, ""[0-9]+[a-f]?\."", """"))"),"Veuillez partager avec nous votre meilleure estimation de la valeur en CFA ${w_savings_name}")</f>
        <v>Veuillez partager avec nous votre meilleure estimation de la valeur en CFA ${w_savings_name}</v>
      </c>
      <c r="I654" s="180" t="str">
        <f>IFERROR(__xludf.DUMMYFUNCTION("TRIM(REGEXREPLACE(E654, ""[0-9]+[a-f]?\."", """"))"),"Da fatan zaku faɗa mana ƙimar da kuke ganin yayi daidai a cikin CFA ${w_savings_name}")</f>
        <v>Da fatan zaku faɗa mana ƙimar da kuke ganin yayi daidai a cikin CFA ${w_savings_name}</v>
      </c>
      <c r="J654" s="180" t="str">
        <f t="shared" ref="J654:L654" si="173">$F654 &amp; ". "&amp;G654</f>
        <v>173. Please share with us your best estimate of the value in CFA ${w_savings_name}</v>
      </c>
      <c r="K654" s="180" t="str">
        <f t="shared" si="173"/>
        <v>173. Veuillez partager avec nous votre meilleure estimation de la valeur en CFA ${w_savings_name}</v>
      </c>
      <c r="L654" s="180" t="str">
        <f t="shared" si="173"/>
        <v>173. Da fatan zaku faɗa mana ƙimar da kuke ganin yayi daidai a cikin CFA ${w_savings_name}</v>
      </c>
    </row>
    <row r="655">
      <c r="A655" s="280" t="s">
        <v>2509</v>
      </c>
      <c r="B655" s="281" t="s">
        <v>3561</v>
      </c>
      <c r="C655" s="45" t="s">
        <v>1692</v>
      </c>
      <c r="D655" s="45" t="s">
        <v>1693</v>
      </c>
      <c r="E655" s="45" t="s">
        <v>1696</v>
      </c>
      <c r="F655" s="187">
        <v>174.0</v>
      </c>
      <c r="G655" s="180" t="str">
        <f>IFERROR(__xludf.DUMMYFUNCTION("TRIM(REGEXREPLACE(C655, ""[0-9]+[a-f]?\."", """"))"),"Do you earn interest on this money ${w_savings_name}?")</f>
        <v>Do you earn interest on this money ${w_savings_name}?</v>
      </c>
      <c r="H655" s="180" t="str">
        <f>IFERROR(__xludf.DUMMYFUNCTION("TRIM(REGEXREPLACE(D655, ""[0-9]+[a-f]?\."", """"))"),"Gagnez-vous des intérêts sur cet argent ${w_savings_name} ?")</f>
        <v>Gagnez-vous des intérêts sur cet argent ${w_savings_name} ?</v>
      </c>
      <c r="I655" s="180" t="str">
        <f>IFERROR(__xludf.DUMMYFUNCTION("TRIM(REGEXREPLACE(E655, ""[0-9]+[a-f]?\."", """"))"),"Kuna samun riba akan wannan kuɗin ${w_savings_name}?")</f>
        <v>Kuna samun riba akan wannan kuɗin ${w_savings_name}?</v>
      </c>
      <c r="J655" s="180" t="str">
        <f t="shared" ref="J655:L655" si="174">$F655 &amp; ". "&amp;G655</f>
        <v>174. Do you earn interest on this money ${w_savings_name}?</v>
      </c>
      <c r="K655" s="180" t="str">
        <f t="shared" si="174"/>
        <v>174. Gagnez-vous des intérêts sur cet argent ${w_savings_name} ?</v>
      </c>
      <c r="L655" s="180" t="str">
        <f t="shared" si="174"/>
        <v>174. Kuna samun riba akan wannan kuɗin ${w_savings_name}?</v>
      </c>
    </row>
    <row r="656" hidden="1">
      <c r="A656" s="285" t="s">
        <v>468</v>
      </c>
      <c r="B656" s="185" t="s">
        <v>3531</v>
      </c>
      <c r="C656" s="185" t="s">
        <v>3532</v>
      </c>
      <c r="D656" s="185" t="s">
        <v>3534</v>
      </c>
      <c r="E656" s="185" t="s">
        <v>3538</v>
      </c>
      <c r="F656" s="187">
        <v>397.0</v>
      </c>
      <c r="G656" s="180" t="str">
        <f>IFERROR(__xludf.DUMMYFUNCTION("TRIM(REGEXREPLACE(C656, ""[0-9]+[a-f]?\."", """"))"),"Savings Amount")</f>
        <v>Savings Amount</v>
      </c>
      <c r="H656" s="180" t="str">
        <f>IFERROR(__xludf.DUMMYFUNCTION("TRIM(REGEXREPLACE(D656, ""[0-9]+[a-f]?\."", """"))"),"Montant de l'épargne")</f>
        <v>Montant de l'épargne</v>
      </c>
      <c r="I656" s="180" t="str">
        <f>IFERROR(__xludf.DUMMYFUNCTION("TRIM(REGEXREPLACE(E656, ""[0-9]+[a-f]?\."", """"))"),"Yawan kuɗin ajiye")</f>
        <v>Yawan kuɗin ajiye</v>
      </c>
      <c r="J656" s="180" t="s">
        <v>3569</v>
      </c>
      <c r="K656" s="180" t="s">
        <v>3570</v>
      </c>
      <c r="L656" s="180" t="s">
        <v>3571</v>
      </c>
    </row>
    <row r="657" hidden="1">
      <c r="A657" s="168" t="s">
        <v>127</v>
      </c>
      <c r="B657" s="71" t="s">
        <v>3572</v>
      </c>
      <c r="C657" s="200"/>
      <c r="D657" s="200"/>
      <c r="E657" s="200"/>
      <c r="F657" s="187">
        <v>398.0</v>
      </c>
      <c r="G657" s="180" t="str">
        <f>IFERROR(__xludf.DUMMYFUNCTION("TRIM(REGEXREPLACE(C657, ""[0-9]+[a-f]?\."", """"))"),"")</f>
        <v/>
      </c>
      <c r="H657" s="180" t="str">
        <f>IFERROR(__xludf.DUMMYFUNCTION("TRIM(REGEXREPLACE(D657, ""[0-9]+[a-f]?\."", """"))"),"")</f>
        <v/>
      </c>
      <c r="I657" s="180" t="str">
        <f>IFERROR(__xludf.DUMMYFUNCTION("TRIM(REGEXREPLACE(E657, ""[0-9]+[a-f]?\."", """"))"),"")</f>
        <v/>
      </c>
      <c r="J657" s="180" t="s">
        <v>3577</v>
      </c>
      <c r="K657" s="180" t="s">
        <v>3579</v>
      </c>
      <c r="L657" s="180" t="s">
        <v>3581</v>
      </c>
    </row>
    <row r="658" hidden="1">
      <c r="A658" s="168" t="s">
        <v>68</v>
      </c>
      <c r="B658" s="71" t="s">
        <v>3582</v>
      </c>
      <c r="C658" s="200"/>
      <c r="D658" s="200"/>
      <c r="E658" s="200"/>
      <c r="F658" s="187">
        <v>399.0</v>
      </c>
      <c r="G658" s="180" t="str">
        <f>IFERROR(__xludf.DUMMYFUNCTION("TRIM(REGEXREPLACE(C658, ""[0-9]+[a-f]?\."", """"))"),"")</f>
        <v/>
      </c>
      <c r="H658" s="180" t="str">
        <f>IFERROR(__xludf.DUMMYFUNCTION("TRIM(REGEXREPLACE(D658, ""[0-9]+[a-f]?\."", """"))"),"")</f>
        <v/>
      </c>
      <c r="I658" s="180" t="str">
        <f>IFERROR(__xludf.DUMMYFUNCTION("TRIM(REGEXREPLACE(E658, ""[0-9]+[a-f]?\."", """"))"),"")</f>
        <v/>
      </c>
      <c r="J658" s="180" t="s">
        <v>3587</v>
      </c>
      <c r="K658" s="180" t="s">
        <v>3588</v>
      </c>
      <c r="L658" s="180" t="s">
        <v>3589</v>
      </c>
    </row>
    <row r="659" hidden="1">
      <c r="B659" s="277"/>
      <c r="C659" s="277"/>
      <c r="D659" s="277"/>
      <c r="E659" s="277"/>
      <c r="F659" s="187">
        <v>414.0</v>
      </c>
      <c r="G659" s="180" t="str">
        <f>IFERROR(__xludf.DUMMYFUNCTION("TRIM(REGEXREPLACE(C659, ""[0-9]+[a-f]?\."", """"))"),"")</f>
        <v/>
      </c>
      <c r="H659" s="180" t="str">
        <f>IFERROR(__xludf.DUMMYFUNCTION("TRIM(REGEXREPLACE(D659, ""[0-9]+[a-f]?\."", """"))"),"")</f>
        <v/>
      </c>
      <c r="I659" s="180" t="str">
        <f>IFERROR(__xludf.DUMMYFUNCTION("TRIM(REGEXREPLACE(E659, ""[0-9]+[a-f]?\."", """"))"),"")</f>
        <v/>
      </c>
      <c r="J659" s="180" t="s">
        <v>3590</v>
      </c>
      <c r="K659" s="180" t="s">
        <v>3591</v>
      </c>
      <c r="L659" s="180" t="s">
        <v>3592</v>
      </c>
    </row>
    <row r="660" hidden="1">
      <c r="B660" s="277"/>
      <c r="C660" s="277"/>
      <c r="D660" s="277"/>
      <c r="E660" s="277"/>
      <c r="F660" s="187">
        <v>415.0</v>
      </c>
      <c r="G660" s="180" t="str">
        <f>IFERROR(__xludf.DUMMYFUNCTION("TRIM(REGEXREPLACE(C660, ""[0-9]+[a-f]?\."", """"))"),"")</f>
        <v/>
      </c>
      <c r="H660" s="180" t="str">
        <f>IFERROR(__xludf.DUMMYFUNCTION("TRIM(REGEXREPLACE(D660, ""[0-9]+[a-f]?\."", """"))"),"")</f>
        <v/>
      </c>
      <c r="I660" s="180" t="str">
        <f>IFERROR(__xludf.DUMMYFUNCTION("TRIM(REGEXREPLACE(E660, ""[0-9]+[a-f]?\."", """"))"),"")</f>
        <v/>
      </c>
      <c r="J660" s="180" t="s">
        <v>3596</v>
      </c>
      <c r="K660" s="180" t="s">
        <v>3597</v>
      </c>
      <c r="L660" s="180" t="s">
        <v>3598</v>
      </c>
    </row>
    <row r="661" hidden="1">
      <c r="A661" s="223"/>
      <c r="B661" s="295"/>
      <c r="C661" s="200"/>
      <c r="D661" s="200"/>
      <c r="E661" s="200"/>
      <c r="F661" s="187">
        <v>400.0</v>
      </c>
      <c r="G661" s="180" t="str">
        <f>IFERROR(__xludf.DUMMYFUNCTION("TRIM(REGEXREPLACE(C661, ""[0-9]+[a-f]?\."", """"))"),"")</f>
        <v/>
      </c>
      <c r="H661" s="180" t="str">
        <f>IFERROR(__xludf.DUMMYFUNCTION("TRIM(REGEXREPLACE(D661, ""[0-9]+[a-f]?\."", """"))"),"")</f>
        <v/>
      </c>
      <c r="I661" s="180" t="str">
        <f>IFERROR(__xludf.DUMMYFUNCTION("TRIM(REGEXREPLACE(E661, ""[0-9]+[a-f]?\."", """"))"),"")</f>
        <v/>
      </c>
      <c r="J661" s="180" t="s">
        <v>3600</v>
      </c>
      <c r="K661" s="180" t="s">
        <v>3601</v>
      </c>
      <c r="L661" s="180" t="s">
        <v>3602</v>
      </c>
    </row>
    <row r="662" hidden="1">
      <c r="A662" s="168" t="s">
        <v>127</v>
      </c>
      <c r="B662" s="71" t="s">
        <v>3603</v>
      </c>
      <c r="C662" s="200"/>
      <c r="D662" s="200"/>
      <c r="E662" s="200"/>
      <c r="F662" s="187">
        <v>401.0</v>
      </c>
      <c r="G662" s="180" t="str">
        <f>IFERROR(__xludf.DUMMYFUNCTION("TRIM(REGEXREPLACE(C662, ""[0-9]+[a-f]?\."", """"))"),"")</f>
        <v/>
      </c>
      <c r="H662" s="180" t="str">
        <f>IFERROR(__xludf.DUMMYFUNCTION("TRIM(REGEXREPLACE(D662, ""[0-9]+[a-f]?\."", """"))"),"")</f>
        <v/>
      </c>
      <c r="I662" s="180" t="str">
        <f>IFERROR(__xludf.DUMMYFUNCTION("TRIM(REGEXREPLACE(E662, ""[0-9]+[a-f]?\."", """"))"),"")</f>
        <v/>
      </c>
      <c r="J662" s="180" t="s">
        <v>3608</v>
      </c>
      <c r="K662" s="180" t="s">
        <v>3609</v>
      </c>
      <c r="L662" s="180" t="s">
        <v>3610</v>
      </c>
    </row>
    <row r="663" hidden="1">
      <c r="A663" s="298" t="s">
        <v>133</v>
      </c>
      <c r="B663" s="299" t="s">
        <v>3612</v>
      </c>
      <c r="C663" s="300"/>
      <c r="D663" s="300"/>
      <c r="E663" s="300"/>
      <c r="F663" s="187">
        <v>402.0</v>
      </c>
      <c r="G663" s="180" t="str">
        <f>IFERROR(__xludf.DUMMYFUNCTION("TRIM(REGEXREPLACE(C663, ""[0-9]+[a-f]?\."", """"))"),"")</f>
        <v/>
      </c>
      <c r="H663" s="180" t="str">
        <f>IFERROR(__xludf.DUMMYFUNCTION("TRIM(REGEXREPLACE(D663, ""[0-9]+[a-f]?\."", """"))"),"")</f>
        <v/>
      </c>
      <c r="I663" s="180" t="str">
        <f>IFERROR(__xludf.DUMMYFUNCTION("TRIM(REGEXREPLACE(E663, ""[0-9]+[a-f]?\."", """"))"),"")</f>
        <v/>
      </c>
      <c r="J663" s="180" t="s">
        <v>3613</v>
      </c>
      <c r="K663" s="180" t="s">
        <v>3614</v>
      </c>
      <c r="L663" s="180" t="s">
        <v>3615</v>
      </c>
    </row>
    <row r="664" hidden="1">
      <c r="C664" s="277"/>
      <c r="D664" s="277"/>
      <c r="E664" s="277"/>
      <c r="F664" s="187">
        <v>411.0</v>
      </c>
      <c r="G664" s="180" t="str">
        <f>IFERROR(__xludf.DUMMYFUNCTION("TRIM(REGEXREPLACE(C664, ""[0-9]+[a-f]?\."", """"))"),"")</f>
        <v/>
      </c>
      <c r="H664" s="180" t="str">
        <f>IFERROR(__xludf.DUMMYFUNCTION("TRIM(REGEXREPLACE(D664, ""[0-9]+[a-f]?\."", """"))"),"")</f>
        <v/>
      </c>
      <c r="I664" s="180" t="str">
        <f>IFERROR(__xludf.DUMMYFUNCTION("TRIM(REGEXREPLACE(E664, ""[0-9]+[a-f]?\."", """"))"),"")</f>
        <v/>
      </c>
      <c r="J664" s="180" t="s">
        <v>3619</v>
      </c>
      <c r="K664" s="180" t="s">
        <v>3621</v>
      </c>
      <c r="L664" s="180" t="s">
        <v>3622</v>
      </c>
    </row>
    <row r="665" hidden="1"/>
    <row r="666" hidden="1">
      <c r="B666" s="277"/>
      <c r="C666" s="277"/>
      <c r="D666" s="277"/>
      <c r="E666" s="277"/>
      <c r="F666" s="187">
        <v>416.0</v>
      </c>
      <c r="G666" s="180" t="str">
        <f>IFERROR(__xludf.DUMMYFUNCTION("TRIM(REGEXREPLACE(C666, ""[0-9]+[a-f]?\."", """"))"),"")</f>
        <v/>
      </c>
      <c r="H666" s="180" t="str">
        <f>IFERROR(__xludf.DUMMYFUNCTION("TRIM(REGEXREPLACE(D666, ""[0-9]+[a-f]?\."", """"))"),"")</f>
        <v/>
      </c>
      <c r="I666" s="180" t="str">
        <f>IFERROR(__xludf.DUMMYFUNCTION("TRIM(REGEXREPLACE(E666, ""[0-9]+[a-f]?\."", """"))"),"")</f>
        <v/>
      </c>
      <c r="J666" s="180" t="s">
        <v>3623</v>
      </c>
      <c r="K666" s="180" t="s">
        <v>3624</v>
      </c>
      <c r="L666" s="180" t="s">
        <v>3624</v>
      </c>
    </row>
    <row r="667" hidden="1">
      <c r="C667" s="277"/>
      <c r="D667" s="277"/>
      <c r="E667" s="277"/>
      <c r="F667" s="187">
        <v>413.0</v>
      </c>
      <c r="G667" s="180" t="str">
        <f>IFERROR(__xludf.DUMMYFUNCTION("TRIM(REGEXREPLACE(C667, ""[0-9]+[a-f]?\."", """"))"),"")</f>
        <v/>
      </c>
      <c r="H667" s="180" t="str">
        <f>IFERROR(__xludf.DUMMYFUNCTION("TRIM(REGEXREPLACE(D667, ""[0-9]+[a-f]?\."", """"))"),"")</f>
        <v/>
      </c>
      <c r="I667" s="180" t="str">
        <f>IFERROR(__xludf.DUMMYFUNCTION("TRIM(REGEXREPLACE(E667, ""[0-9]+[a-f]?\."", """"))"),"")</f>
        <v/>
      </c>
      <c r="J667" s="180" t="s">
        <v>3628</v>
      </c>
      <c r="K667" s="180" t="s">
        <v>3629</v>
      </c>
      <c r="L667" s="180" t="s">
        <v>3630</v>
      </c>
    </row>
    <row r="668">
      <c r="A668" s="278" t="s">
        <v>38</v>
      </c>
      <c r="B668" s="279" t="s">
        <v>3631</v>
      </c>
      <c r="C668" s="45" t="s">
        <v>1765</v>
      </c>
      <c r="D668" s="45" t="s">
        <v>1767</v>
      </c>
      <c r="E668" s="45" t="s">
        <v>1768</v>
      </c>
      <c r="F668" s="187">
        <v>175.0</v>
      </c>
      <c r="G668" s="180" t="str">
        <f>IFERROR(__xludf.DUMMYFUNCTION("TRIM(REGEXREPLACE(C668, ""[0-9]+[a-f]?\."", """"))"),"I would like to ask you a few questions about your health and wellbeing")</f>
        <v>I would like to ask you a few questions about your health and wellbeing</v>
      </c>
      <c r="H668" s="180" t="str">
        <f>IFERROR(__xludf.DUMMYFUNCTION("TRIM(REGEXREPLACE(D668, ""[0-9]+[a-f]?\."", """"))"),"Je voudrais vous poser quelques questions sur votre santé et votre bien-être")</f>
        <v>Je voudrais vous poser quelques questions sur votre santé et votre bien-être</v>
      </c>
      <c r="I668" s="180" t="str">
        <f>IFERROR(__xludf.DUMMYFUNCTION("TRIM(REGEXREPLACE(E668, ""[0-9]+[a-f]?\."", """"))"),"Ina so in yi muku wasu ƴan tambayoyi game da lafiyar jikinku da jin daɗin ku")</f>
        <v>Ina so in yi muku wasu ƴan tambayoyi game da lafiyar jikinku da jin daɗin ku</v>
      </c>
      <c r="J668" s="180" t="str">
        <f t="shared" ref="J668:L668" si="175">$F668 &amp; ". "&amp;G668</f>
        <v>175. I would like to ask you a few questions about your health and wellbeing</v>
      </c>
      <c r="K668" s="180" t="str">
        <f t="shared" si="175"/>
        <v>175. Je voudrais vous poser quelques questions sur votre santé et votre bien-être</v>
      </c>
      <c r="L668" s="180" t="str">
        <f t="shared" si="175"/>
        <v>175. Ina so in yi muku wasu ƴan tambayoyi game da lafiyar jikinku da jin daɗin ku</v>
      </c>
    </row>
    <row r="669">
      <c r="A669" s="280" t="s">
        <v>1843</v>
      </c>
      <c r="B669" s="281" t="s">
        <v>3635</v>
      </c>
      <c r="C669" s="45" t="s">
        <v>1772</v>
      </c>
      <c r="D669" s="45" t="s">
        <v>1773</v>
      </c>
      <c r="E669" s="45" t="s">
        <v>1774</v>
      </c>
      <c r="F669" s="187">
        <v>176.0</v>
      </c>
      <c r="G669" s="180" t="str">
        <f>IFERROR(__xludf.DUMMYFUNCTION("TRIM(REGEXREPLACE(C669, ""[0-9]+[a-f]?\."", """"))"),"In general, how would you characterize your physical health?")</f>
        <v>In general, how would you characterize your physical health?</v>
      </c>
      <c r="H669" s="180" t="str">
        <f>IFERROR(__xludf.DUMMYFUNCTION("TRIM(REGEXREPLACE(D669, ""[0-9]+[a-f]?\."", """"))"),"En général, comment caractériseriez-vous votre santé physique ?")</f>
        <v>En général, comment caractériseriez-vous votre santé physique ?</v>
      </c>
      <c r="I669" s="180" t="str">
        <f>IFERROR(__xludf.DUMMYFUNCTION("TRIM(REGEXREPLACE(E669, ""[0-9]+[a-f]?\."", """"))"),"A taƙaice, yaya za ku siffanta lafiyar jikin ku?")</f>
        <v>A taƙaice, yaya za ku siffanta lafiyar jikin ku?</v>
      </c>
      <c r="J669" s="180" t="str">
        <f t="shared" ref="J669:L669" si="176">$F669 &amp; ". "&amp;G669</f>
        <v>176. In general, how would you characterize your physical health?</v>
      </c>
      <c r="K669" s="180" t="str">
        <f t="shared" si="176"/>
        <v>176. En général, comment caractériseriez-vous votre santé physique ?</v>
      </c>
      <c r="L669" s="180" t="str">
        <f t="shared" si="176"/>
        <v>176. A taƙaice, yaya za ku siffanta lafiyar jikin ku?</v>
      </c>
    </row>
    <row r="670" hidden="1">
      <c r="B670" s="277"/>
      <c r="C670" s="277"/>
      <c r="D670" s="277"/>
      <c r="E670" s="277"/>
      <c r="F670" s="187">
        <v>417.0</v>
      </c>
      <c r="G670" s="180" t="str">
        <f>IFERROR(__xludf.DUMMYFUNCTION("TRIM(REGEXREPLACE(C670, ""[0-9]+[a-f]?\."", """"))"),"")</f>
        <v/>
      </c>
      <c r="H670" s="180" t="str">
        <f>IFERROR(__xludf.DUMMYFUNCTION("TRIM(REGEXREPLACE(D670, ""[0-9]+[a-f]?\."", """"))"),"")</f>
        <v/>
      </c>
      <c r="I670" s="180" t="str">
        <f>IFERROR(__xludf.DUMMYFUNCTION("TRIM(REGEXREPLACE(E670, ""[0-9]+[a-f]?\."", """"))"),"")</f>
        <v/>
      </c>
      <c r="J670" s="180" t="s">
        <v>3636</v>
      </c>
      <c r="K670" s="180" t="s">
        <v>3637</v>
      </c>
      <c r="L670" s="180" t="s">
        <v>3637</v>
      </c>
    </row>
    <row r="671">
      <c r="A671" s="280" t="s">
        <v>1306</v>
      </c>
      <c r="B671" s="281" t="s">
        <v>3638</v>
      </c>
      <c r="C671" s="45" t="s">
        <v>3639</v>
      </c>
      <c r="D671" s="45" t="s">
        <v>3640</v>
      </c>
      <c r="E671" s="45" t="s">
        <v>3641</v>
      </c>
      <c r="F671" s="187">
        <v>177.0</v>
      </c>
      <c r="G671" s="180" t="str">
        <f>IFERROR(__xludf.DUMMYFUNCTION("TRIM(REGEXREPLACE(C671, ""[0-9]+[a-f]?\."", """"))"),"Do you currently suffer from any illness or disability that limits your ability to travel or work?")</f>
        <v>Do you currently suffer from any illness or disability that limits your ability to travel or work?</v>
      </c>
      <c r="H671" s="180" t="str">
        <f>IFERROR(__xludf.DUMMYFUNCTION("TRIM(REGEXREPLACE(D671, ""[0-9]+[a-f]?\."", """"))"),"Souffrez-vous actuellement d'une maladie ou d'un handicap qui limite votre capacité à voyager ou à travailler ?")</f>
        <v>Souffrez-vous actuellement d'une maladie ou d'un handicap qui limite votre capacité à voyager ou à travailler ?</v>
      </c>
      <c r="I671" s="180" t="str">
        <f>IFERROR(__xludf.DUMMYFUNCTION("TRIM(REGEXREPLACE(E671, ""[0-9]+[a-f]?\."", """"))"),"A halin yanzu, ko kuna fama da wata rashin lafiya ko naƙasa da ke iya kawo muku cikas game da tahiya bulaguro ko yin aiki?")</f>
        <v>A halin yanzu, ko kuna fama da wata rashin lafiya ko naƙasa da ke iya kawo muku cikas game da tahiya bulaguro ko yin aiki?</v>
      </c>
      <c r="J671" s="180" t="str">
        <f t="shared" ref="J671:L671" si="177">$F671 &amp; ". "&amp;G671</f>
        <v>177. Do you currently suffer from any illness or disability that limits your ability to travel or work?</v>
      </c>
      <c r="K671" s="180" t="str">
        <f t="shared" si="177"/>
        <v>177. Souffrez-vous actuellement d'une maladie ou d'un handicap qui limite votre capacité à voyager ou à travailler ?</v>
      </c>
      <c r="L671" s="180" t="str">
        <f t="shared" si="177"/>
        <v>177. A halin yanzu, ko kuna fama da wata rashin lafiya ko naƙasa da ke iya kawo muku cikas game da tahiya bulaguro ko yin aiki?</v>
      </c>
    </row>
    <row r="672" hidden="1">
      <c r="B672" s="277"/>
      <c r="C672" s="277"/>
      <c r="D672" s="277"/>
      <c r="E672" s="277"/>
      <c r="F672" s="187">
        <v>419.0</v>
      </c>
      <c r="G672" s="180" t="str">
        <f>IFERROR(__xludf.DUMMYFUNCTION("TRIM(REGEXREPLACE(C672, ""[0-9]+[a-f]?\."", """"))"),"")</f>
        <v/>
      </c>
      <c r="H672" s="180" t="str">
        <f>IFERROR(__xludf.DUMMYFUNCTION("TRIM(REGEXREPLACE(D672, ""[0-9]+[a-f]?\."", """"))"),"")</f>
        <v/>
      </c>
      <c r="I672" s="180" t="str">
        <f>IFERROR(__xludf.DUMMYFUNCTION("TRIM(REGEXREPLACE(E672, ""[0-9]+[a-f]?\."", """"))"),"")</f>
        <v/>
      </c>
      <c r="J672" s="180" t="s">
        <v>3646</v>
      </c>
      <c r="K672" s="180" t="s">
        <v>3647</v>
      </c>
      <c r="L672" s="180" t="s">
        <v>3648</v>
      </c>
    </row>
    <row r="673">
      <c r="A673" s="280" t="s">
        <v>3649</v>
      </c>
      <c r="B673" s="281" t="s">
        <v>3650</v>
      </c>
      <c r="C673" s="45" t="s">
        <v>1792</v>
      </c>
      <c r="D673" s="45" t="s">
        <v>1793</v>
      </c>
      <c r="E673" s="45" t="s">
        <v>1794</v>
      </c>
      <c r="F673" s="187">
        <v>178.0</v>
      </c>
      <c r="G673" s="180" t="str">
        <f>IFERROR(__xludf.DUMMYFUNCTION("TRIM(REGEXREPLACE(C673, ""[0-9]+[a-f]?\."", """"))"),"What illness limits you in this way?")</f>
        <v>What illness limits you in this way?</v>
      </c>
      <c r="H673" s="180" t="str">
        <f>IFERROR(__xludf.DUMMYFUNCTION("TRIM(REGEXREPLACE(D673, ""[0-9]+[a-f]?\."", """"))"),"Quelle maladie vous limite de cette manière ?")</f>
        <v>Quelle maladie vous limite de cette manière ?</v>
      </c>
      <c r="I673" s="180" t="str">
        <f>IFERROR(__xludf.DUMMYFUNCTION("TRIM(REGEXREPLACE(E673, ""[0-9]+[a-f]?\."", """"))"),"Wace cuta ce ke tsaida ku a kan wannan?")</f>
        <v>Wace cuta ce ke tsaida ku a kan wannan?</v>
      </c>
      <c r="J673" s="180" t="str">
        <f t="shared" ref="J673:L673" si="178">$F673 &amp; ". "&amp;G673</f>
        <v>178. What illness limits you in this way?</v>
      </c>
      <c r="K673" s="180" t="str">
        <f t="shared" si="178"/>
        <v>178. Quelle maladie vous limite de cette manière ?</v>
      </c>
      <c r="L673" s="180" t="str">
        <f t="shared" si="178"/>
        <v>178. Wace cuta ce ke tsaida ku a kan wannan?</v>
      </c>
    </row>
    <row r="674">
      <c r="A674" s="282" t="s">
        <v>252</v>
      </c>
      <c r="B674" s="283" t="s">
        <v>3655</v>
      </c>
      <c r="C674" s="45" t="s">
        <v>1797</v>
      </c>
      <c r="D674" s="45" t="s">
        <v>1798</v>
      </c>
      <c r="E674" s="45" t="s">
        <v>1799</v>
      </c>
      <c r="F674" s="187">
        <v>179.0</v>
      </c>
      <c r="G674" s="180" t="str">
        <f>IFERROR(__xludf.DUMMYFUNCTION("TRIM(REGEXREPLACE(C674, ""[0-9]+[a-f]?\."", """"))"),"Other, specify:")</f>
        <v>Other, specify:</v>
      </c>
      <c r="H674" s="180" t="str">
        <f>IFERROR(__xludf.DUMMYFUNCTION("TRIM(REGEXREPLACE(D674, ""[0-9]+[a-f]?\."", """"))"),"Autre précisez:")</f>
        <v>Autre précisez:</v>
      </c>
      <c r="I674" s="180" t="str">
        <f>IFERROR(__xludf.DUMMYFUNCTION("TRIM(REGEXREPLACE(E674, ""[0-9]+[a-f]?\."", """"))"),"Sauran, bayar da cikakkun bayanai:")</f>
        <v>Sauran, bayar da cikakkun bayanai:</v>
      </c>
      <c r="J674" s="180" t="str">
        <f t="shared" ref="J674:L674" si="179">$F674 &amp; ". "&amp;G674</f>
        <v>179. Other, specify:</v>
      </c>
      <c r="K674" s="180" t="str">
        <f t="shared" si="179"/>
        <v>179. Autre précisez:</v>
      </c>
      <c r="L674" s="180" t="str">
        <f t="shared" si="179"/>
        <v>179. Sauran, bayar da cikakkun bayanai:</v>
      </c>
    </row>
    <row r="675">
      <c r="A675" s="280" t="s">
        <v>1306</v>
      </c>
      <c r="B675" s="281" t="s">
        <v>3660</v>
      </c>
      <c r="C675" s="45" t="s">
        <v>3661</v>
      </c>
      <c r="D675" s="45" t="s">
        <v>3662</v>
      </c>
      <c r="E675" s="45" t="s">
        <v>3663</v>
      </c>
      <c r="F675" s="187">
        <v>180.0</v>
      </c>
      <c r="G675" s="180" t="str">
        <f>IFERROR(__xludf.DUMMYFUNCTION("TRIM(REGEXREPLACE(C675, ""[0-9]+[a-f]?\."", """"))"),"In the past three months, did you suffer from an illness or injury that disrupted your daily life?")</f>
        <v>In the past three months, did you suffer from an illness or injury that disrupted your daily life?</v>
      </c>
      <c r="H675" s="180" t="str">
        <f>IFERROR(__xludf.DUMMYFUNCTION("TRIM(REGEXREPLACE(D675, ""[0-9]+[a-f]?\."", """"))"),"Au cours des trois derniers mois, avez-vous souffert d'une maladie ou d'une blessure qui a perturbé votre vie quotidienne ?")</f>
        <v>Au cours des trois derniers mois, avez-vous souffert d'une maladie ou d'une blessure qui a perturbé votre vie quotidienne ?</v>
      </c>
      <c r="I675" s="180" t="str">
        <f>IFERROR(__xludf.DUMMYFUNCTION("TRIM(REGEXREPLACE(E675, ""[0-9]+[a-f]?\."", """"))"),"A cikin watanni uku da suka wuce, ko kun yi fama da wata rashin lafiya ko rauni wanda ya kawo muku cikas a rayuwarku na yau da kullun?")</f>
        <v>A cikin watanni uku da suka wuce, ko kun yi fama da wata rashin lafiya ko rauni wanda ya kawo muku cikas a rayuwarku na yau da kullun?</v>
      </c>
      <c r="J675" s="180" t="str">
        <f t="shared" ref="J675:L675" si="180">$F675 &amp; ". "&amp;G675</f>
        <v>180. In the past three months, did you suffer from an illness or injury that disrupted your daily life?</v>
      </c>
      <c r="K675" s="180" t="str">
        <f t="shared" si="180"/>
        <v>180. Au cours des trois derniers mois, avez-vous souffert d'une maladie ou d'une blessure qui a perturbé votre vie quotidienne ?</v>
      </c>
      <c r="L675" s="180" t="str">
        <f t="shared" si="180"/>
        <v>180. A cikin watanni uku da suka wuce, ko kun yi fama da wata rashin lafiya ko rauni wanda ya kawo muku cikas a rayuwarku na yau da kullun?</v>
      </c>
    </row>
    <row r="676" hidden="1">
      <c r="B676" s="277"/>
      <c r="C676" s="277"/>
      <c r="D676" s="277"/>
      <c r="E676" s="277"/>
      <c r="F676" s="187">
        <v>422.0</v>
      </c>
      <c r="G676" s="180" t="str">
        <f>IFERROR(__xludf.DUMMYFUNCTION("TRIM(REGEXREPLACE(C676, ""[0-9]+[a-f]?\."", """"))"),"")</f>
        <v/>
      </c>
      <c r="H676" s="180" t="str">
        <f>IFERROR(__xludf.DUMMYFUNCTION("TRIM(REGEXREPLACE(D676, ""[0-9]+[a-f]?\."", """"))"),"")</f>
        <v/>
      </c>
      <c r="I676" s="180" t="str">
        <f>IFERROR(__xludf.DUMMYFUNCTION("TRIM(REGEXREPLACE(E676, ""[0-9]+[a-f]?\."", """"))"),"")</f>
        <v/>
      </c>
      <c r="J676" s="180" t="s">
        <v>3668</v>
      </c>
      <c r="K676" s="180" t="s">
        <v>3669</v>
      </c>
      <c r="L676" s="180" t="s">
        <v>3670</v>
      </c>
    </row>
    <row r="677">
      <c r="A677" s="280" t="s">
        <v>3649</v>
      </c>
      <c r="B677" s="281" t="s">
        <v>3671</v>
      </c>
      <c r="C677" s="45" t="s">
        <v>3673</v>
      </c>
      <c r="D677" s="45" t="s">
        <v>3676</v>
      </c>
      <c r="E677" s="45" t="s">
        <v>3677</v>
      </c>
      <c r="F677" s="187">
        <v>181.0</v>
      </c>
      <c r="G677" s="180" t="str">
        <f>IFERROR(__xludf.DUMMYFUNCTION("TRIM(REGEXREPLACE(C677, ""[0-9]+[a-f]?\."", """"))"),"What type of illness or injury did you experience?")</f>
        <v>What type of illness or injury did you experience?</v>
      </c>
      <c r="H677" s="180" t="str">
        <f>IFERROR(__xludf.DUMMYFUNCTION("TRIM(REGEXREPLACE(D677, ""[0-9]+[a-f]?\."", """"))"),"Preciser le type de maladie ou de blessure")</f>
        <v>Preciser le type de maladie ou de blessure</v>
      </c>
      <c r="I677" s="180" t="str">
        <f>IFERROR(__xludf.DUMMYFUNCTION("TRIM(REGEXREPLACE(E677, ""[0-9]+[a-f]?\."", """"))"),"Baiyana irin ciwo ko raunin da kuka yi fama da shi?")</f>
        <v>Baiyana irin ciwo ko raunin da kuka yi fama da shi?</v>
      </c>
      <c r="J677" s="180" t="str">
        <f t="shared" ref="J677:L677" si="181">$F677 &amp; ". "&amp;G677</f>
        <v>181. What type of illness or injury did you experience?</v>
      </c>
      <c r="K677" s="180" t="str">
        <f t="shared" si="181"/>
        <v>181. Preciser le type de maladie ou de blessure</v>
      </c>
      <c r="L677" s="180" t="str">
        <f t="shared" si="181"/>
        <v>181. Baiyana irin ciwo ko raunin da kuka yi fama da shi?</v>
      </c>
    </row>
    <row r="678">
      <c r="A678" s="282" t="s">
        <v>252</v>
      </c>
      <c r="B678" s="283" t="s">
        <v>3680</v>
      </c>
      <c r="C678" s="45" t="s">
        <v>3681</v>
      </c>
      <c r="D678" s="45" t="s">
        <v>3682</v>
      </c>
      <c r="E678" s="45" t="s">
        <v>3683</v>
      </c>
      <c r="F678" s="187">
        <v>182.0</v>
      </c>
      <c r="G678" s="180" t="str">
        <f>IFERROR(__xludf.DUMMYFUNCTION("TRIM(REGEXREPLACE(C678, ""[0-9]+[a-f]?\."", """"))"),"Specify other illness or injury")</f>
        <v>Specify other illness or injury</v>
      </c>
      <c r="H678" s="180" t="str">
        <f>IFERROR(__xludf.DUMMYFUNCTION("TRIM(REGEXREPLACE(D678, ""[0-9]+[a-f]?\."", """"))"),"Preciser le type de maladie ou de blessure")</f>
        <v>Preciser le type de maladie ou de blessure</v>
      </c>
      <c r="I678" s="180" t="str">
        <f>IFERROR(__xludf.DUMMYFUNCTION("TRIM(REGEXREPLACE(E678, ""[0-9]+[a-f]?\."", """"))"),"Baiyana irin ciwo ko raunin da kuka fama?")</f>
        <v>Baiyana irin ciwo ko raunin da kuka fama?</v>
      </c>
      <c r="J678" s="180" t="str">
        <f t="shared" ref="J678:L678" si="182">$F678 &amp; ". "&amp;G678</f>
        <v>182. Specify other illness or injury</v>
      </c>
      <c r="K678" s="180" t="str">
        <f t="shared" si="182"/>
        <v>182. Preciser le type de maladie ou de blessure</v>
      </c>
      <c r="L678" s="180" t="str">
        <f t="shared" si="182"/>
        <v>182. Baiyana irin ciwo ko raunin da kuka fama?</v>
      </c>
    </row>
    <row r="679" hidden="1">
      <c r="C679" s="277"/>
      <c r="D679" s="277"/>
      <c r="E679" s="277"/>
      <c r="F679" s="187">
        <v>420.0</v>
      </c>
      <c r="G679" s="180" t="str">
        <f>IFERROR(__xludf.DUMMYFUNCTION("TRIM(REGEXREPLACE(C679, ""[0-9]+[a-f]?\."", """"))"),"")</f>
        <v/>
      </c>
      <c r="H679" s="180" t="str">
        <f>IFERROR(__xludf.DUMMYFUNCTION("TRIM(REGEXREPLACE(D679, ""[0-9]+[a-f]?\."", """"))"),"")</f>
        <v/>
      </c>
      <c r="I679" s="180" t="str">
        <f>IFERROR(__xludf.DUMMYFUNCTION("TRIM(REGEXREPLACE(E679, ""[0-9]+[a-f]?\."", """"))"),"")</f>
        <v/>
      </c>
      <c r="J679" s="180" t="s">
        <v>3688</v>
      </c>
      <c r="K679" s="180" t="s">
        <v>3689</v>
      </c>
      <c r="L679" s="180" t="s">
        <v>3690</v>
      </c>
    </row>
    <row r="680" hidden="1">
      <c r="C680" s="277"/>
      <c r="D680" s="277"/>
      <c r="E680" s="277"/>
      <c r="F680" s="187">
        <v>421.0</v>
      </c>
      <c r="G680" s="180" t="str">
        <f>IFERROR(__xludf.DUMMYFUNCTION("TRIM(REGEXREPLACE(C680, ""[0-9]+[a-f]?\."", """"))"),"")</f>
        <v/>
      </c>
      <c r="H680" s="180" t="str">
        <f>IFERROR(__xludf.DUMMYFUNCTION("TRIM(REGEXREPLACE(D680, ""[0-9]+[a-f]?\."", """"))"),"")</f>
        <v/>
      </c>
      <c r="I680" s="180" t="str">
        <f>IFERROR(__xludf.DUMMYFUNCTION("TRIM(REGEXREPLACE(E680, ""[0-9]+[a-f]?\."", """"))"),"")</f>
        <v/>
      </c>
      <c r="J680" s="180" t="s">
        <v>3691</v>
      </c>
      <c r="K680" s="180" t="s">
        <v>3692</v>
      </c>
      <c r="L680" s="180" t="s">
        <v>3693</v>
      </c>
    </row>
    <row r="681" hidden="1">
      <c r="C681" s="277"/>
      <c r="D681" s="277"/>
      <c r="E681" s="277"/>
      <c r="F681" s="187">
        <v>422.0</v>
      </c>
      <c r="G681" s="180" t="str">
        <f>IFERROR(__xludf.DUMMYFUNCTION("TRIM(REGEXREPLACE(C681, ""[0-9]+[a-f]?\."", """"))"),"")</f>
        <v/>
      </c>
      <c r="H681" s="180" t="str">
        <f>IFERROR(__xludf.DUMMYFUNCTION("TRIM(REGEXREPLACE(D681, ""[0-9]+[a-f]?\."", """"))"),"")</f>
        <v/>
      </c>
      <c r="I681" s="180" t="str">
        <f>IFERROR(__xludf.DUMMYFUNCTION("TRIM(REGEXREPLACE(E681, ""[0-9]+[a-f]?\."", """"))"),"")</f>
        <v/>
      </c>
      <c r="J681" s="180" t="s">
        <v>3698</v>
      </c>
      <c r="K681" s="180" t="s">
        <v>3699</v>
      </c>
      <c r="L681" s="180" t="s">
        <v>3700</v>
      </c>
    </row>
    <row r="682" hidden="1">
      <c r="C682" s="277"/>
      <c r="D682" s="277"/>
      <c r="E682" s="277"/>
      <c r="F682" s="187">
        <v>423.0</v>
      </c>
      <c r="G682" s="180" t="str">
        <f>IFERROR(__xludf.DUMMYFUNCTION("TRIM(REGEXREPLACE(C682, ""[0-9]+[a-f]?\."", """"))"),"")</f>
        <v/>
      </c>
      <c r="H682" s="180" t="str">
        <f>IFERROR(__xludf.DUMMYFUNCTION("TRIM(REGEXREPLACE(D682, ""[0-9]+[a-f]?\."", """"))"),"")</f>
        <v/>
      </c>
      <c r="I682" s="180" t="str">
        <f>IFERROR(__xludf.DUMMYFUNCTION("TRIM(REGEXREPLACE(E682, ""[0-9]+[a-f]?\."", """"))"),"")</f>
        <v/>
      </c>
      <c r="J682" s="180" t="s">
        <v>3701</v>
      </c>
      <c r="K682" s="180" t="s">
        <v>3702</v>
      </c>
      <c r="L682" s="180" t="s">
        <v>3703</v>
      </c>
    </row>
    <row r="683">
      <c r="A683" s="280" t="s">
        <v>1306</v>
      </c>
      <c r="B683" s="281" t="s">
        <v>3704</v>
      </c>
      <c r="C683" s="45" t="s">
        <v>3705</v>
      </c>
      <c r="D683" s="45" t="s">
        <v>3706</v>
      </c>
      <c r="E683" s="45" t="s">
        <v>3707</v>
      </c>
      <c r="F683" s="187">
        <v>183.0</v>
      </c>
      <c r="G683" s="180" t="str">
        <f>IFERROR(__xludf.DUMMYFUNCTION("TRIM(REGEXREPLACE(C683, ""[0-9]+[a-f]?\."", """"))"),"Did you seek any treatment for any illness or injury?")</f>
        <v>Did you seek any treatment for any illness or injury?</v>
      </c>
      <c r="H683" s="180" t="str">
        <f>IFERROR(__xludf.DUMMYFUNCTION("TRIM(REGEXREPLACE(D683, ""[0-9]+[a-f]?\."", """"))"),"Avez-vous cherché un traitement pour une maladie ou une blessure ?")</f>
        <v>Avez-vous cherché un traitement pour une maladie ou une blessure ?</v>
      </c>
      <c r="I683" s="180" t="str">
        <f>IFERROR(__xludf.DUMMYFUNCTION("TRIM(REGEXREPLACE(E683, ""[0-9]+[a-f]?\."", """"))"),"Ko kun nemi wani magani don wata cuta ko rauni?")</f>
        <v>Ko kun nemi wani magani don wata cuta ko rauni?</v>
      </c>
      <c r="J683" s="180" t="str">
        <f t="shared" ref="J683:L683" si="183">$F683 &amp; ". "&amp;G683</f>
        <v>183. Did you seek any treatment for any illness or injury?</v>
      </c>
      <c r="K683" s="180" t="str">
        <f t="shared" si="183"/>
        <v>183. Avez-vous cherché un traitement pour une maladie ou une blessure ?</v>
      </c>
      <c r="L683" s="180" t="str">
        <f t="shared" si="183"/>
        <v>183. Ko kun nemi wani magani don wata cuta ko rauni?</v>
      </c>
    </row>
    <row r="684">
      <c r="A684" s="278" t="s">
        <v>38</v>
      </c>
      <c r="B684" s="279" t="s">
        <v>3708</v>
      </c>
      <c r="C684" s="45" t="s">
        <v>3709</v>
      </c>
      <c r="D684" s="45" t="s">
        <v>3710</v>
      </c>
      <c r="E684" s="45" t="s">
        <v>3711</v>
      </c>
      <c r="F684" s="187">
        <v>184.0</v>
      </c>
      <c r="G684" s="180" t="str">
        <f>IFERROR(__xludf.DUMMYFUNCTION("TRIM(REGEXREPLACE(C684, ""[0-9]+[a-f]?\."", """"))"),"Now I want to ask you about the past week (7 days)")</f>
        <v>Now I want to ask you about the past week (7 days)</v>
      </c>
      <c r="H684" s="180" t="str">
        <f>IFERROR(__xludf.DUMMYFUNCTION("TRIM(REGEXREPLACE(D684, ""[0-9]+[a-f]?\."", """"))"),"Maintenant, je veux vous poser des questions sur la semaine dernière (7 jours)")</f>
        <v>Maintenant, je veux vous poser des questions sur la semaine dernière (7 jours)</v>
      </c>
      <c r="I684" s="180" t="str">
        <f>IFERROR(__xludf.DUMMYFUNCTION("TRIM(REGEXREPLACE(E684, ""[0-9]+[a-f]?\."", """"))"),"Yanzu ina son in muku tambayoyi bisa satin (makon) da ya wuce (kwana 7)")</f>
        <v>Yanzu ina son in muku tambayoyi bisa satin (makon) da ya wuce (kwana 7)</v>
      </c>
      <c r="J684" s="180" t="str">
        <f t="shared" ref="J684:L684" si="184">$F684 &amp; ". "&amp;G684</f>
        <v>184. Now I want to ask you about the past week (7 days)</v>
      </c>
      <c r="K684" s="180" t="str">
        <f t="shared" si="184"/>
        <v>184. Maintenant, je veux vous poser des questions sur la semaine dernière (7 jours)</v>
      </c>
      <c r="L684" s="180" t="str">
        <f t="shared" si="184"/>
        <v>184. Yanzu ina son in muku tambayoyi bisa satin (makon) da ya wuce (kwana 7)</v>
      </c>
    </row>
    <row r="685">
      <c r="A685" s="291" t="s">
        <v>268</v>
      </c>
      <c r="B685" s="292" t="s">
        <v>3712</v>
      </c>
      <c r="C685" s="45" t="s">
        <v>3713</v>
      </c>
      <c r="D685" s="45" t="s">
        <v>3714</v>
      </c>
      <c r="E685" s="45" t="s">
        <v>3715</v>
      </c>
      <c r="F685" s="187">
        <v>185.0</v>
      </c>
      <c r="G685" s="180" t="str">
        <f>IFERROR(__xludf.DUMMYFUNCTION("TRIM(REGEXREPLACE(C685, ""[0-9]+[a-f]?\."", """"))"),"How many hours of sleep per night did you get on average in the last seven days?")</f>
        <v>How many hours of sleep per night did you get on average in the last seven days?</v>
      </c>
      <c r="H685" s="180" t="str">
        <f>IFERROR(__xludf.DUMMYFUNCTION("TRIM(REGEXREPLACE(D685, ""[0-9]+[a-f]?\."", """"))"),"Combien d'heures de sommeil par nuit avez-vous dormi en moyenne au cours des sept derniers jours ?")</f>
        <v>Combien d'heures de sommeil par nuit avez-vous dormi en moyenne au cours des sept derniers jours ?</v>
      </c>
      <c r="I685" s="180" t="str">
        <f>IFERROR(__xludf.DUMMYFUNCTION("TRIM(REGEXREPLACE(E685, ""[0-9]+[a-f]?\."", """"))"),"Misalin Sa'o'i nawa a taƙaice kuke yin barci a kowane dare a cikin kwanaki bakwai na ƙarshe da suka wuce?")</f>
        <v>Misalin Sa'o'i nawa a taƙaice kuke yin barci a kowane dare a cikin kwanaki bakwai na ƙarshe da suka wuce?</v>
      </c>
      <c r="J685" s="180" t="str">
        <f t="shared" ref="J685:L685" si="185">$F685 &amp; ". "&amp;G685</f>
        <v>185. How many hours of sleep per night did you get on average in the last seven days?</v>
      </c>
      <c r="K685" s="180" t="str">
        <f t="shared" si="185"/>
        <v>185. Combien d'heures de sommeil par nuit avez-vous dormi en moyenne au cours des sept derniers jours ?</v>
      </c>
      <c r="L685" s="180" t="str">
        <f t="shared" si="185"/>
        <v>185. Misalin Sa'o'i nawa a taƙaice kuke yin barci a kowane dare a cikin kwanaki bakwai na ƙarshe da suka wuce?</v>
      </c>
    </row>
    <row r="686" hidden="1">
      <c r="A686" s="302"/>
      <c r="B686" s="300"/>
      <c r="C686" s="300"/>
      <c r="D686" s="303"/>
      <c r="E686" s="303"/>
      <c r="F686" s="187">
        <v>414.0</v>
      </c>
      <c r="G686" s="180" t="str">
        <f>IFERROR(__xludf.DUMMYFUNCTION("TRIM(REGEXREPLACE(C686, ""[0-9]+[a-f]?\."", """"))"),"")</f>
        <v/>
      </c>
      <c r="H686" s="180" t="str">
        <f>IFERROR(__xludf.DUMMYFUNCTION("TRIM(REGEXREPLACE(D686, ""[0-9]+[a-f]?\."", """"))"),"")</f>
        <v/>
      </c>
      <c r="I686" s="180" t="str">
        <f>IFERROR(__xludf.DUMMYFUNCTION("TRIM(REGEXREPLACE(E686, ""[0-9]+[a-f]?\."", """"))"),"")</f>
        <v/>
      </c>
      <c r="J686" s="180" t="s">
        <v>3721</v>
      </c>
      <c r="K686" s="180" t="s">
        <v>3722</v>
      </c>
      <c r="L686" s="180" t="s">
        <v>3723</v>
      </c>
    </row>
    <row r="687" hidden="1">
      <c r="A687" s="298" t="s">
        <v>133</v>
      </c>
      <c r="B687" s="299" t="s">
        <v>3724</v>
      </c>
      <c r="C687" s="300"/>
      <c r="D687" s="300"/>
      <c r="E687" s="300"/>
      <c r="F687" s="187">
        <v>415.0</v>
      </c>
      <c r="G687" s="180" t="str">
        <f>IFERROR(__xludf.DUMMYFUNCTION("TRIM(REGEXREPLACE(C687, ""[0-9]+[a-f]?\."", """"))"),"")</f>
        <v/>
      </c>
      <c r="H687" s="180" t="str">
        <f>IFERROR(__xludf.DUMMYFUNCTION("TRIM(REGEXREPLACE(D687, ""[0-9]+[a-f]?\."", """"))"),"")</f>
        <v/>
      </c>
      <c r="I687" s="180" t="str">
        <f>IFERROR(__xludf.DUMMYFUNCTION("TRIM(REGEXREPLACE(E687, ""[0-9]+[a-f]?\."", """"))"),"")</f>
        <v/>
      </c>
      <c r="J687" s="180" t="s">
        <v>3726</v>
      </c>
      <c r="K687" s="180" t="s">
        <v>3728</v>
      </c>
      <c r="L687" s="180" t="s">
        <v>3729</v>
      </c>
    </row>
    <row r="688" hidden="1">
      <c r="C688" s="277"/>
      <c r="D688" s="277"/>
      <c r="E688" s="277"/>
      <c r="F688" s="187">
        <v>425.0</v>
      </c>
      <c r="G688" s="180" t="str">
        <f>IFERROR(__xludf.DUMMYFUNCTION("TRIM(REGEXREPLACE(C688, ""[0-9]+[a-f]?\."", """"))"),"")</f>
        <v/>
      </c>
      <c r="H688" s="180" t="str">
        <f>IFERROR(__xludf.DUMMYFUNCTION("TRIM(REGEXREPLACE(D688, ""[0-9]+[a-f]?\."", """"))"),"")</f>
        <v/>
      </c>
      <c r="I688" s="180" t="str">
        <f>IFERROR(__xludf.DUMMYFUNCTION("TRIM(REGEXREPLACE(E688, ""[0-9]+[a-f]?\."", """"))"),"")</f>
        <v/>
      </c>
      <c r="J688" s="180" t="s">
        <v>3731</v>
      </c>
      <c r="K688" s="180" t="s">
        <v>3732</v>
      </c>
      <c r="L688" s="180" t="s">
        <v>3733</v>
      </c>
    </row>
    <row r="689" hidden="1">
      <c r="B689" s="277"/>
      <c r="C689" s="277"/>
      <c r="D689" s="277"/>
      <c r="E689" s="277"/>
      <c r="F689" s="187">
        <v>427.0</v>
      </c>
      <c r="G689" s="180" t="str">
        <f>IFERROR(__xludf.DUMMYFUNCTION("TRIM(REGEXREPLACE(C689, ""[0-9]+[a-f]?\."", """"))"),"")</f>
        <v/>
      </c>
      <c r="H689" s="180" t="str">
        <f>IFERROR(__xludf.DUMMYFUNCTION("TRIM(REGEXREPLACE(D689, ""[0-9]+[a-f]?\."", """"))"),"")</f>
        <v/>
      </c>
      <c r="I689" s="180" t="str">
        <f>IFERROR(__xludf.DUMMYFUNCTION("TRIM(REGEXREPLACE(E689, ""[0-9]+[a-f]?\."", """"))"),"")</f>
        <v/>
      </c>
      <c r="J689" s="180" t="s">
        <v>3734</v>
      </c>
      <c r="K689" s="180" t="s">
        <v>3735</v>
      </c>
      <c r="L689" s="180" t="s">
        <v>3736</v>
      </c>
    </row>
    <row r="690" hidden="1">
      <c r="B690" s="277"/>
      <c r="C690" s="277"/>
      <c r="D690" s="277"/>
      <c r="E690" s="277"/>
      <c r="F690" s="187">
        <v>428.0</v>
      </c>
      <c r="G690" s="180" t="str">
        <f>IFERROR(__xludf.DUMMYFUNCTION("TRIM(REGEXREPLACE(C690, ""[0-9]+[a-f]?\."", """"))"),"")</f>
        <v/>
      </c>
      <c r="H690" s="180" t="str">
        <f>IFERROR(__xludf.DUMMYFUNCTION("TRIM(REGEXREPLACE(D690, ""[0-9]+[a-f]?\."", """"))"),"")</f>
        <v/>
      </c>
      <c r="I690" s="180" t="str">
        <f>IFERROR(__xludf.DUMMYFUNCTION("TRIM(REGEXREPLACE(E690, ""[0-9]+[a-f]?\."", """"))"),"")</f>
        <v/>
      </c>
      <c r="J690" s="180" t="s">
        <v>3740</v>
      </c>
      <c r="K690" s="180" t="s">
        <v>3741</v>
      </c>
      <c r="L690" s="180" t="s">
        <v>3742</v>
      </c>
    </row>
    <row r="691" hidden="1">
      <c r="B691" s="277"/>
      <c r="C691" s="277"/>
      <c r="D691" s="277"/>
      <c r="E691" s="277"/>
      <c r="F691" s="187">
        <v>429.0</v>
      </c>
      <c r="G691" s="180" t="str">
        <f>IFERROR(__xludf.DUMMYFUNCTION("TRIM(REGEXREPLACE(C691, ""[0-9]+[a-f]?\."", """"))"),"")</f>
        <v/>
      </c>
      <c r="H691" s="180" t="str">
        <f>IFERROR(__xludf.DUMMYFUNCTION("TRIM(REGEXREPLACE(D691, ""[0-9]+[a-f]?\."", """"))"),"")</f>
        <v/>
      </c>
      <c r="I691" s="180" t="str">
        <f>IFERROR(__xludf.DUMMYFUNCTION("TRIM(REGEXREPLACE(E691, ""[0-9]+[a-f]?\."", """"))"),"")</f>
        <v/>
      </c>
      <c r="J691" s="180" t="s">
        <v>3743</v>
      </c>
      <c r="K691" s="180" t="s">
        <v>3745</v>
      </c>
      <c r="L691" s="180" t="s">
        <v>3746</v>
      </c>
    </row>
    <row r="692" hidden="1"/>
    <row r="693">
      <c r="A693" s="280" t="s">
        <v>1988</v>
      </c>
      <c r="B693" s="281" t="s">
        <v>3748</v>
      </c>
      <c r="C693" s="45" t="s">
        <v>3750</v>
      </c>
      <c r="D693" s="45" t="s">
        <v>3752</v>
      </c>
      <c r="E693" s="45" t="s">
        <v>3753</v>
      </c>
      <c r="F693" s="187">
        <v>186.0</v>
      </c>
      <c r="G693" s="180" t="str">
        <f>IFERROR(__xludf.DUMMYFUNCTION("TRIM(REGEXREPLACE(C693, ""[0-9]+[a-f]?\."", """"))"),"In the past week, how often did you experience the following feelings?")</f>
        <v>In the past week, how often did you experience the following feelings?</v>
      </c>
      <c r="H693" s="180" t="str">
        <f>IFERROR(__xludf.DUMMYFUNCTION("TRIM(REGEXREPLACE(D693, ""[0-9]+[a-f]?\."", """"))"),"Au cours de la semaine dernière, à quelle fréquence avez-vous ressenti les sentiments suivants ?")</f>
        <v>Au cours de la semaine dernière, à quelle fréquence avez-vous ressenti les sentiments suivants ?</v>
      </c>
      <c r="I693" s="180" t="str">
        <f>IFERROR(__xludf.DUMMYFUNCTION("TRIM(REGEXREPLACE(E693, ""[0-9]+[a-f]?\."", """"))"),"A cikin satin da ya wuce, sau nawa kuka ji irin waɗannan abubuwan a ranku?")</f>
        <v>A cikin satin da ya wuce, sau nawa kuka ji irin waɗannan abubuwan a ranku?</v>
      </c>
      <c r="J693" s="180" t="str">
        <f t="shared" ref="J693:L693" si="186">$F693 &amp; ". "&amp;G693</f>
        <v>186. In the past week, how often did you experience the following feelings?</v>
      </c>
      <c r="K693" s="180" t="str">
        <f t="shared" si="186"/>
        <v>186. Au cours de la semaine dernière, à quelle fréquence avez-vous ressenti les sentiments suivants ?</v>
      </c>
      <c r="L693" s="180" t="str">
        <f t="shared" si="186"/>
        <v>186. A cikin satin da ya wuce, sau nawa kuka ji irin waɗannan abubuwan a ranku?</v>
      </c>
    </row>
    <row r="694">
      <c r="A694" s="280" t="s">
        <v>1988</v>
      </c>
      <c r="B694" s="281" t="s">
        <v>3758</v>
      </c>
      <c r="C694" s="45" t="s">
        <v>1866</v>
      </c>
      <c r="D694" s="45" t="s">
        <v>1868</v>
      </c>
      <c r="E694" s="45" t="s">
        <v>1869</v>
      </c>
      <c r="F694" s="187">
        <v>187.0</v>
      </c>
      <c r="G694" s="180" t="str">
        <f>IFERROR(__xludf.DUMMYFUNCTION("TRIM(REGEXREPLACE(C694, ""[0-9]+[a-f]?\."", """"))"),"Enjoyment")</f>
        <v>Enjoyment</v>
      </c>
      <c r="H694" s="180" t="str">
        <f>IFERROR(__xludf.DUMMYFUNCTION("TRIM(REGEXREPLACE(D694, ""[0-9]+[a-f]?\."", """"))"),"Plaisir")</f>
        <v>Plaisir</v>
      </c>
      <c r="I694" s="180" t="str">
        <f>IFERROR(__xludf.DUMMYFUNCTION("TRIM(REGEXREPLACE(E694, ""[0-9]+[a-f]?\."", """"))"),"jin daɗi")</f>
        <v>jin daɗi</v>
      </c>
      <c r="J694" s="180" t="str">
        <f t="shared" ref="J694:L694" si="187">$F694 &amp; ". "&amp;G694</f>
        <v>187. Enjoyment</v>
      </c>
      <c r="K694" s="180" t="str">
        <f t="shared" si="187"/>
        <v>187. Plaisir</v>
      </c>
      <c r="L694" s="180" t="str">
        <f t="shared" si="187"/>
        <v>187. jin daɗi</v>
      </c>
    </row>
    <row r="695">
      <c r="A695" s="280" t="s">
        <v>1988</v>
      </c>
      <c r="B695" s="281" t="s">
        <v>3762</v>
      </c>
      <c r="C695" s="45" t="s">
        <v>1870</v>
      </c>
      <c r="D695" s="45" t="s">
        <v>1871</v>
      </c>
      <c r="E695" s="45" t="s">
        <v>1872</v>
      </c>
      <c r="F695" s="187">
        <v>188.0</v>
      </c>
      <c r="G695" s="180" t="str">
        <f>IFERROR(__xludf.DUMMYFUNCTION("TRIM(REGEXREPLACE(C695, ""[0-9]+[a-f]?\."", """"))"),"Happiness")</f>
        <v>Happiness</v>
      </c>
      <c r="H695" s="180" t="str">
        <f>IFERROR(__xludf.DUMMYFUNCTION("TRIM(REGEXREPLACE(D695, ""[0-9]+[a-f]?\."", """"))"),"Bonheur")</f>
        <v>Bonheur</v>
      </c>
      <c r="I695" s="180" t="str">
        <f>IFERROR(__xludf.DUMMYFUNCTION("TRIM(REGEXREPLACE(E695, ""[0-9]+[a-f]?\."", """"))"),"Farin ciki")</f>
        <v>Farin ciki</v>
      </c>
      <c r="J695" s="180" t="str">
        <f t="shared" ref="J695:L695" si="188">$F695 &amp; ". "&amp;G695</f>
        <v>188. Happiness</v>
      </c>
      <c r="K695" s="180" t="str">
        <f t="shared" si="188"/>
        <v>188. Bonheur</v>
      </c>
      <c r="L695" s="180" t="str">
        <f t="shared" si="188"/>
        <v>188. Farin ciki</v>
      </c>
    </row>
    <row r="696" hidden="1"/>
    <row r="697" hidden="1"/>
    <row r="698" hidden="1"/>
    <row r="699" hidden="1"/>
    <row r="700">
      <c r="A700" s="280" t="s">
        <v>1988</v>
      </c>
      <c r="B700" s="281" t="s">
        <v>3767</v>
      </c>
      <c r="C700" s="45" t="s">
        <v>1878</v>
      </c>
      <c r="D700" s="45" t="s">
        <v>1878</v>
      </c>
      <c r="E700" s="45" t="s">
        <v>1880</v>
      </c>
      <c r="F700" s="187">
        <v>189.0</v>
      </c>
      <c r="G700" s="180" t="str">
        <f>IFERROR(__xludf.DUMMYFUNCTION("TRIM(REGEXREPLACE(C700, ""[0-9]+[a-f]?\."", """"))"),"Stress")</f>
        <v>Stress</v>
      </c>
      <c r="H700" s="180" t="str">
        <f>IFERROR(__xludf.DUMMYFUNCTION("TRIM(REGEXREPLACE(D700, ""[0-9]+[a-f]?\."", """"))"),"Stress")</f>
        <v>Stress</v>
      </c>
      <c r="I700" s="180" t="str">
        <f>IFERROR(__xludf.DUMMYFUNCTION("TRIM(REGEXREPLACE(E700, ""[0-9]+[a-f]?\."", """"))"),"Babbar Damuwa")</f>
        <v>Babbar Damuwa</v>
      </c>
      <c r="J700" s="180" t="str">
        <f t="shared" ref="J700:L700" si="189">$F700 &amp; ". "&amp;G700</f>
        <v>189. Stress</v>
      </c>
      <c r="K700" s="180" t="str">
        <f t="shared" si="189"/>
        <v>189. Stress</v>
      </c>
      <c r="L700" s="180" t="str">
        <f t="shared" si="189"/>
        <v>189. Babbar Damuwa</v>
      </c>
    </row>
    <row r="701" hidden="1">
      <c r="B701" s="277"/>
      <c r="C701" s="277"/>
      <c r="D701" s="277"/>
      <c r="E701" s="277"/>
      <c r="F701" s="187">
        <v>430.0</v>
      </c>
      <c r="G701" s="180" t="str">
        <f>IFERROR(__xludf.DUMMYFUNCTION("TRIM(REGEXREPLACE(C701, ""[0-9]+[a-f]?\."", """"))"),"")</f>
        <v/>
      </c>
      <c r="H701" s="180" t="str">
        <f>IFERROR(__xludf.DUMMYFUNCTION("TRIM(REGEXREPLACE(D701, ""[0-9]+[a-f]?\."", """"))"),"")</f>
        <v/>
      </c>
      <c r="I701" s="180" t="str">
        <f>IFERROR(__xludf.DUMMYFUNCTION("TRIM(REGEXREPLACE(E701, ""[0-9]+[a-f]?\."", """"))"),"")</f>
        <v/>
      </c>
      <c r="J701" s="180" t="s">
        <v>3773</v>
      </c>
      <c r="K701" s="180" t="s">
        <v>3774</v>
      </c>
      <c r="L701" s="180" t="s">
        <v>3775</v>
      </c>
    </row>
    <row r="702">
      <c r="A702" s="280" t="s">
        <v>1988</v>
      </c>
      <c r="B702" s="281" t="s">
        <v>3776</v>
      </c>
      <c r="C702" s="45" t="s">
        <v>3777</v>
      </c>
      <c r="D702" s="45" t="s">
        <v>3778</v>
      </c>
      <c r="E702" s="45" t="s">
        <v>3779</v>
      </c>
      <c r="F702" s="187">
        <v>190.0</v>
      </c>
      <c r="G702" s="180" t="str">
        <f>IFERROR(__xludf.DUMMYFUNCTION("TRIM(REGEXREPLACE(C702, ""[0-9]+[a-f]?\."", """"))"),"Worry")</f>
        <v>Worry</v>
      </c>
      <c r="H702" s="180" t="str">
        <f>IFERROR(__xludf.DUMMYFUNCTION("TRIM(REGEXREPLACE(D702, ""[0-9]+[a-f]?\."", """"))"),"Inquiétude")</f>
        <v>Inquiétude</v>
      </c>
      <c r="I702" s="180" t="str">
        <f>IFERROR(__xludf.DUMMYFUNCTION("TRIM(REGEXREPLACE(E702, ""[0-9]+[a-f]?\."", """"))"),"Damuwa")</f>
        <v>Damuwa</v>
      </c>
      <c r="J702" s="180" t="str">
        <f t="shared" ref="J702:L702" si="190">$F702 &amp; ". "&amp;G702</f>
        <v>190. Worry</v>
      </c>
      <c r="K702" s="180" t="str">
        <f t="shared" si="190"/>
        <v>190. Inquiétude</v>
      </c>
      <c r="L702" s="180" t="str">
        <f t="shared" si="190"/>
        <v>190. Damuwa</v>
      </c>
    </row>
    <row r="703">
      <c r="A703" s="280" t="s">
        <v>1988</v>
      </c>
      <c r="B703" s="281" t="s">
        <v>3781</v>
      </c>
      <c r="C703" s="45" t="s">
        <v>3782</v>
      </c>
      <c r="D703" s="45" t="s">
        <v>3783</v>
      </c>
      <c r="E703" s="45" t="s">
        <v>3784</v>
      </c>
      <c r="F703" s="187">
        <v>191.0</v>
      </c>
      <c r="G703" s="180" t="str">
        <f>IFERROR(__xludf.DUMMYFUNCTION("TRIM(REGEXREPLACE(C703, ""[0-9]+[a-f]?\."", """"))"),"Anger")</f>
        <v>Anger</v>
      </c>
      <c r="H703" s="180" t="str">
        <f>IFERROR(__xludf.DUMMYFUNCTION("TRIM(REGEXREPLACE(D703, ""[0-9]+[a-f]?\."", """"))"),"Colère")</f>
        <v>Colère</v>
      </c>
      <c r="I703" s="180" t="str">
        <f>IFERROR(__xludf.DUMMYFUNCTION("TRIM(REGEXREPLACE(E703, ""[0-9]+[a-f]?\."", """"))"),"Fushi")</f>
        <v>Fushi</v>
      </c>
      <c r="J703" s="180" t="str">
        <f t="shared" ref="J703:L703" si="191">$F703 &amp; ". "&amp;G703</f>
        <v>191. Anger</v>
      </c>
      <c r="K703" s="180" t="str">
        <f t="shared" si="191"/>
        <v>191. Colère</v>
      </c>
      <c r="L703" s="180" t="str">
        <f t="shared" si="191"/>
        <v>191. Fushi</v>
      </c>
    </row>
    <row r="704">
      <c r="A704" s="280" t="s">
        <v>1988</v>
      </c>
      <c r="B704" s="281" t="s">
        <v>3788</v>
      </c>
      <c r="C704" s="45" t="s">
        <v>1896</v>
      </c>
      <c r="D704" s="45" t="s">
        <v>1897</v>
      </c>
      <c r="E704" s="45" t="s">
        <v>1898</v>
      </c>
      <c r="F704" s="187">
        <v>192.0</v>
      </c>
      <c r="G704" s="180" t="str">
        <f>IFERROR(__xludf.DUMMYFUNCTION("TRIM(REGEXREPLACE(C704, ""[0-9]+[a-f]?\."", """"))"),"Physical pain")</f>
        <v>Physical pain</v>
      </c>
      <c r="H704" s="180" t="str">
        <f>IFERROR(__xludf.DUMMYFUNCTION("TRIM(REGEXREPLACE(D704, ""[0-9]+[a-f]?\."", """"))"),"Douleur physique")</f>
        <v>Douleur physique</v>
      </c>
      <c r="I704" s="180" t="str">
        <f>IFERROR(__xludf.DUMMYFUNCTION("TRIM(REGEXREPLACE(E704, ""[0-9]+[a-f]?\."", """"))"),"ciwon jiki")</f>
        <v>ciwon jiki</v>
      </c>
      <c r="J704" s="180" t="str">
        <f t="shared" ref="J704:L704" si="192">$F704 &amp; ". "&amp;G704</f>
        <v>192. Physical pain</v>
      </c>
      <c r="K704" s="180" t="str">
        <f t="shared" si="192"/>
        <v>192. Douleur physique</v>
      </c>
      <c r="L704" s="180" t="str">
        <f t="shared" si="192"/>
        <v>192. ciwon jiki</v>
      </c>
    </row>
    <row r="705">
      <c r="A705" s="280" t="s">
        <v>1988</v>
      </c>
      <c r="B705" s="281" t="s">
        <v>3792</v>
      </c>
      <c r="C705" s="45" t="s">
        <v>1903</v>
      </c>
      <c r="D705" s="45" t="s">
        <v>1904</v>
      </c>
      <c r="E705" s="45" t="s">
        <v>1905</v>
      </c>
      <c r="F705" s="187">
        <v>193.0</v>
      </c>
      <c r="G705" s="180" t="str">
        <f>IFERROR(__xludf.DUMMYFUNCTION("TRIM(REGEXREPLACE(C705, ""[0-9]+[a-f]?\."", """"))"),"Loneliness")</f>
        <v>Loneliness</v>
      </c>
      <c r="H705" s="180" t="str">
        <f>IFERROR(__xludf.DUMMYFUNCTION("TRIM(REGEXREPLACE(D705, ""[0-9]+[a-f]?\."", """"))"),"Solitude")</f>
        <v>Solitude</v>
      </c>
      <c r="I705" s="180" t="str">
        <f>IFERROR(__xludf.DUMMYFUNCTION("TRIM(REGEXREPLACE(E705, ""[0-9]+[a-f]?\."", """"))"),"kadaici")</f>
        <v>kadaici</v>
      </c>
      <c r="J705" s="180" t="str">
        <f t="shared" ref="J705:L705" si="193">$F705 &amp; ". "&amp;G705</f>
        <v>193. Loneliness</v>
      </c>
      <c r="K705" s="180" t="str">
        <f t="shared" si="193"/>
        <v>193. Solitude</v>
      </c>
      <c r="L705" s="180" t="str">
        <f t="shared" si="193"/>
        <v>193. kadaici</v>
      </c>
    </row>
    <row r="706" hidden="1">
      <c r="A706" s="298" t="s">
        <v>237</v>
      </c>
      <c r="B706" s="310" t="s">
        <v>3724</v>
      </c>
      <c r="C706" s="303"/>
      <c r="D706" s="303"/>
      <c r="E706" s="303"/>
      <c r="F706" s="187">
        <v>424.0</v>
      </c>
      <c r="G706" s="180" t="str">
        <f>IFERROR(__xludf.DUMMYFUNCTION("TRIM(REGEXREPLACE(C706, ""[0-9]+[a-f]?\."", """"))"),"")</f>
        <v/>
      </c>
      <c r="H706" s="180" t="str">
        <f>IFERROR(__xludf.DUMMYFUNCTION("TRIM(REGEXREPLACE(D706, ""[0-9]+[a-f]?\."", """"))"),"")</f>
        <v/>
      </c>
      <c r="I706" s="180" t="str">
        <f>IFERROR(__xludf.DUMMYFUNCTION("TRIM(REGEXREPLACE(E706, ""[0-9]+[a-f]?\."", """"))"),"")</f>
        <v/>
      </c>
      <c r="J706" s="180" t="s">
        <v>3793</v>
      </c>
      <c r="K706" s="180" t="s">
        <v>3794</v>
      </c>
      <c r="L706" s="180" t="s">
        <v>3795</v>
      </c>
    </row>
    <row r="707" hidden="1">
      <c r="B707" s="277"/>
      <c r="C707" s="277"/>
      <c r="D707" s="277"/>
      <c r="E707" s="277"/>
      <c r="F707" s="187">
        <v>433.0</v>
      </c>
      <c r="G707" s="180" t="str">
        <f>IFERROR(__xludf.DUMMYFUNCTION("TRIM(REGEXREPLACE(C707, ""[0-9]+[a-f]?\."", """"))"),"")</f>
        <v/>
      </c>
      <c r="H707" s="180" t="str">
        <f>IFERROR(__xludf.DUMMYFUNCTION("TRIM(REGEXREPLACE(D707, ""[0-9]+[a-f]?\."", """"))"),"")</f>
        <v/>
      </c>
      <c r="I707" s="180" t="str">
        <f>IFERROR(__xludf.DUMMYFUNCTION("TRIM(REGEXREPLACE(E707, ""[0-9]+[a-f]?\."", """"))"),"")</f>
        <v/>
      </c>
      <c r="J707" s="180" t="s">
        <v>3796</v>
      </c>
      <c r="K707" s="180" t="s">
        <v>3797</v>
      </c>
      <c r="L707" s="180" t="s">
        <v>3798</v>
      </c>
    </row>
    <row r="708" hidden="1">
      <c r="A708" s="298" t="s">
        <v>133</v>
      </c>
      <c r="B708" s="299" t="s">
        <v>3799</v>
      </c>
      <c r="C708" s="300"/>
      <c r="D708" s="300"/>
      <c r="E708" s="300"/>
      <c r="F708" s="187">
        <v>425.0</v>
      </c>
      <c r="G708" s="180" t="str">
        <f>IFERROR(__xludf.DUMMYFUNCTION("TRIM(REGEXREPLACE(C708, ""[0-9]+[a-f]?\."", """"))"),"")</f>
        <v/>
      </c>
      <c r="H708" s="180" t="str">
        <f>IFERROR(__xludf.DUMMYFUNCTION("TRIM(REGEXREPLACE(D708, ""[0-9]+[a-f]?\."", """"))"),"")</f>
        <v/>
      </c>
      <c r="I708" s="180" t="str">
        <f>IFERROR(__xludf.DUMMYFUNCTION("TRIM(REGEXREPLACE(E708, ""[0-9]+[a-f]?\."", """"))"),"")</f>
        <v/>
      </c>
      <c r="J708" s="180" t="s">
        <v>3800</v>
      </c>
      <c r="K708" s="180" t="s">
        <v>3801</v>
      </c>
      <c r="L708" s="180" t="s">
        <v>3802</v>
      </c>
    </row>
    <row r="709">
      <c r="A709" s="280" t="s">
        <v>2073</v>
      </c>
      <c r="B709" s="281" t="s">
        <v>3803</v>
      </c>
      <c r="C709" s="45" t="s">
        <v>1925</v>
      </c>
      <c r="D709" s="45" t="s">
        <v>1926</v>
      </c>
      <c r="E709" s="45" t="s">
        <v>1927</v>
      </c>
      <c r="F709" s="187">
        <v>194.0</v>
      </c>
      <c r="G709" s="180" t="str">
        <f>IFERROR(__xludf.DUMMYFUNCTION("TRIM(REGEXREPLACE(C709, ""[0-9]+[a-f]?\."", """"))"),"I will now read out several statements. You should tell me whether these statements are true for you by using the following scale.")</f>
        <v>I will now read out several statements. You should tell me whether these statements are true for you by using the following scale.</v>
      </c>
      <c r="H709" s="180" t="str">
        <f>IFERROR(__xludf.DUMMYFUNCTION("TRIM(REGEXREPLACE(D709,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709" s="180" t="str">
        <f>IFERROR(__xludf.DUMMYFUNCTION("TRIM(REGEXREPLACE(E709,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709" s="180" t="str">
        <f t="shared" ref="J709:L709" si="194">$F709 &amp; ". "&amp;G709</f>
        <v>194. I will now read out several statements. You should tell me whether these statements are true for you by using the following scale.</v>
      </c>
      <c r="K709" s="180" t="str">
        <f t="shared" si="194"/>
        <v>194. Je vais maintenant lire plusieurs déclarations. Vous devez me dire si ces affirmations sont vraies pour vous en utilisant l'échelle suivante.</v>
      </c>
      <c r="L709" s="180" t="str">
        <f t="shared" si="194"/>
        <v>194. Yanzu zan karanta wasu maganganu da yawa. Za ku gaya mini ko waɗannan maganganun sun yi daidai da ku ta hanyar yin amfani da kuranga mai zuwa.</v>
      </c>
    </row>
    <row r="710">
      <c r="A710" s="280" t="s">
        <v>2073</v>
      </c>
      <c r="B710" s="281" t="s">
        <v>3805</v>
      </c>
      <c r="C710" s="45" t="s">
        <v>1928</v>
      </c>
      <c r="D710" s="45" t="s">
        <v>1929</v>
      </c>
      <c r="E710" s="45" t="s">
        <v>1930</v>
      </c>
      <c r="F710" s="187">
        <v>195.0</v>
      </c>
      <c r="G710" s="180" t="str">
        <f>IFERROR(__xludf.DUMMYFUNCTION("TRIM(REGEXREPLACE(C710, ""[0-9]+[a-f]?\."", """"))"),"I feel I do not have much to be proud of.")</f>
        <v>I feel I do not have much to be proud of.</v>
      </c>
      <c r="H710" s="180" t="str">
        <f>IFERROR(__xludf.DUMMYFUNCTION("TRIM(REGEXREPLACE(D710, ""[0-9]+[a-f]?\."", """"))"),"Je sens que je n'ai pas beaucoup de raisons d'être fier (comblé).")</f>
        <v>Je sens que je n'ai pas beaucoup de raisons d'être fier (comblé).</v>
      </c>
      <c r="I710" s="180" t="str">
        <f>IFERROR(__xludf.DUMMYFUNCTION("TRIM(REGEXREPLACE(E710, ""[0-9]+[a-f]?\."", """"))"),"Ina jin ba ni da hujjojin jin daɗi.")</f>
        <v>Ina jin ba ni da hujjojin jin daɗi.</v>
      </c>
      <c r="J710" s="180" t="str">
        <f t="shared" ref="J710:L710" si="195">$F710 &amp; ". "&amp;G710</f>
        <v>195. I feel I do not have much to be proud of.</v>
      </c>
      <c r="K710" s="180" t="str">
        <f t="shared" si="195"/>
        <v>195. Je sens que je n'ai pas beaucoup de raisons d'être fier (comblé).</v>
      </c>
      <c r="L710" s="180" t="str">
        <f t="shared" si="195"/>
        <v>195. Ina jin ba ni da hujjojin jin daɗi.</v>
      </c>
    </row>
    <row r="711" hidden="1"/>
    <row r="712" hidden="1">
      <c r="B712" s="277"/>
      <c r="C712" s="277"/>
      <c r="D712" s="277"/>
      <c r="E712" s="277"/>
      <c r="F712" s="187">
        <v>435.0</v>
      </c>
      <c r="G712" s="180" t="str">
        <f>IFERROR(__xludf.DUMMYFUNCTION("TRIM(REGEXREPLACE(C712, ""[0-9]+[a-f]?\."", """"))"),"")</f>
        <v/>
      </c>
      <c r="H712" s="180" t="str">
        <f>IFERROR(__xludf.DUMMYFUNCTION("TRIM(REGEXREPLACE(D712, ""[0-9]+[a-f]?\."", """"))"),"")</f>
        <v/>
      </c>
      <c r="I712" s="180" t="str">
        <f>IFERROR(__xludf.DUMMYFUNCTION("TRIM(REGEXREPLACE(E712, ""[0-9]+[a-f]?\."", """"))"),"")</f>
        <v/>
      </c>
      <c r="J712" s="180" t="s">
        <v>3810</v>
      </c>
      <c r="K712" s="180" t="s">
        <v>3811</v>
      </c>
      <c r="L712" s="180" t="s">
        <v>3812</v>
      </c>
    </row>
    <row r="713" hidden="1">
      <c r="B713" s="277"/>
      <c r="C713" s="277"/>
      <c r="D713" s="277"/>
      <c r="E713" s="277"/>
      <c r="F713" s="187">
        <v>436.0</v>
      </c>
      <c r="G713" s="180" t="str">
        <f>IFERROR(__xludf.DUMMYFUNCTION("TRIM(REGEXREPLACE(C713, ""[0-9]+[a-f]?\."", """"))"),"")</f>
        <v/>
      </c>
      <c r="H713" s="180" t="str">
        <f>IFERROR(__xludf.DUMMYFUNCTION("TRIM(REGEXREPLACE(D713, ""[0-9]+[a-f]?\."", """"))"),"")</f>
        <v/>
      </c>
      <c r="I713" s="180" t="str">
        <f>IFERROR(__xludf.DUMMYFUNCTION("TRIM(REGEXREPLACE(E713, ""[0-9]+[a-f]?\."", """"))"),"")</f>
        <v/>
      </c>
      <c r="J713" s="180" t="s">
        <v>3816</v>
      </c>
      <c r="K713" s="180" t="s">
        <v>3817</v>
      </c>
      <c r="L713" s="180" t="s">
        <v>3818</v>
      </c>
    </row>
    <row r="714" hidden="1">
      <c r="B714" s="277"/>
      <c r="C714" s="277"/>
      <c r="D714" s="277"/>
      <c r="E714" s="277"/>
      <c r="F714" s="187">
        <v>437.0</v>
      </c>
      <c r="G714" s="180" t="str">
        <f>IFERROR(__xludf.DUMMYFUNCTION("TRIM(REGEXREPLACE(C714, ""[0-9]+[a-f]?\."", """"))"),"")</f>
        <v/>
      </c>
      <c r="H714" s="180" t="str">
        <f>IFERROR(__xludf.DUMMYFUNCTION("TRIM(REGEXREPLACE(D714, ""[0-9]+[a-f]?\."", """"))"),"")</f>
        <v/>
      </c>
      <c r="I714" s="180" t="str">
        <f>IFERROR(__xludf.DUMMYFUNCTION("TRIM(REGEXREPLACE(E714, ""[0-9]+[a-f]?\."", """"))"),"")</f>
        <v/>
      </c>
      <c r="J714" s="180" t="s">
        <v>3819</v>
      </c>
      <c r="K714" s="180" t="s">
        <v>3820</v>
      </c>
      <c r="L714" s="180" t="s">
        <v>3823</v>
      </c>
    </row>
    <row r="715" hidden="1">
      <c r="B715" s="277"/>
      <c r="C715" s="277"/>
      <c r="D715" s="277"/>
      <c r="E715" s="277"/>
      <c r="F715" s="187">
        <v>438.0</v>
      </c>
      <c r="G715" s="180" t="str">
        <f>IFERROR(__xludf.DUMMYFUNCTION("TRIM(REGEXREPLACE(C715, ""[0-9]+[a-f]?\."", """"))"),"")</f>
        <v/>
      </c>
      <c r="H715" s="180" t="str">
        <f>IFERROR(__xludf.DUMMYFUNCTION("TRIM(REGEXREPLACE(D715, ""[0-9]+[a-f]?\."", """"))"),"")</f>
        <v/>
      </c>
      <c r="I715" s="180" t="str">
        <f>IFERROR(__xludf.DUMMYFUNCTION("TRIM(REGEXREPLACE(E715, ""[0-9]+[a-f]?\."", """"))"),"")</f>
        <v/>
      </c>
      <c r="J715" s="180" t="s">
        <v>3826</v>
      </c>
      <c r="K715" s="180" t="s">
        <v>3827</v>
      </c>
      <c r="L715" s="180" t="s">
        <v>3828</v>
      </c>
    </row>
    <row r="716" hidden="1">
      <c r="B716" s="277"/>
      <c r="C716" s="277"/>
      <c r="D716" s="277"/>
      <c r="E716" s="277"/>
      <c r="F716" s="187">
        <v>439.0</v>
      </c>
      <c r="G716" s="180" t="str">
        <f>IFERROR(__xludf.DUMMYFUNCTION("TRIM(REGEXREPLACE(C716, ""[0-9]+[a-f]?\."", """"))"),"")</f>
        <v/>
      </c>
      <c r="H716" s="180" t="str">
        <f>IFERROR(__xludf.DUMMYFUNCTION("TRIM(REGEXREPLACE(D716, ""[0-9]+[a-f]?\."", """"))"),"")</f>
        <v/>
      </c>
      <c r="I716" s="180" t="str">
        <f>IFERROR(__xludf.DUMMYFUNCTION("TRIM(REGEXREPLACE(E716, ""[0-9]+[a-f]?\."", """"))"),"")</f>
        <v/>
      </c>
      <c r="J716" s="180" t="s">
        <v>3829</v>
      </c>
      <c r="K716" s="180" t="s">
        <v>3830</v>
      </c>
      <c r="L716" s="180" t="s">
        <v>3833</v>
      </c>
    </row>
    <row r="717">
      <c r="A717" s="280" t="s">
        <v>2073</v>
      </c>
      <c r="B717" s="281" t="s">
        <v>3835</v>
      </c>
      <c r="C717" s="45" t="s">
        <v>1934</v>
      </c>
      <c r="D717" s="45" t="s">
        <v>1935</v>
      </c>
      <c r="E717" s="45" t="s">
        <v>1936</v>
      </c>
      <c r="F717" s="187">
        <v>196.0</v>
      </c>
      <c r="G717" s="180" t="str">
        <f>IFERROR(__xludf.DUMMYFUNCTION("TRIM(REGEXREPLACE(C717, ""[0-9]+[a-f]?\."", """"))"),"At times I think I am no good at all.")</f>
        <v>At times I think I am no good at all.</v>
      </c>
      <c r="H717" s="180" t="str">
        <f>IFERROR(__xludf.DUMMYFUNCTION("TRIM(REGEXREPLACE(D717, ""[0-9]+[a-f]?\."", """"))"),"Parfois, je pense que je suis utile a rien")</f>
        <v>Parfois, je pense que je suis utile a rien</v>
      </c>
      <c r="I717" s="180" t="str">
        <f>IFERROR(__xludf.DUMMYFUNCTION("TRIM(REGEXREPLACE(E717, ""[0-9]+[a-f]?\."", """"))"),"A wasu lokuta ina ganin bani da amfani.")</f>
        <v>A wasu lokuta ina ganin bani da amfani.</v>
      </c>
      <c r="J717" s="180" t="str">
        <f t="shared" ref="J717:L717" si="196">$F717 &amp; ". "&amp;G717</f>
        <v>196. At times I think I am no good at all.</v>
      </c>
      <c r="K717" s="180" t="str">
        <f t="shared" si="196"/>
        <v>196. Parfois, je pense que je suis utile a rien</v>
      </c>
      <c r="L717" s="180" t="str">
        <f t="shared" si="196"/>
        <v>196. A wasu lokuta ina ganin bani da amfani.</v>
      </c>
    </row>
    <row r="718" hidden="1">
      <c r="A718" s="298" t="s">
        <v>237</v>
      </c>
      <c r="B718" s="310" t="s">
        <v>3799</v>
      </c>
      <c r="C718" s="303"/>
      <c r="D718" s="303"/>
      <c r="E718" s="303"/>
      <c r="F718" s="187">
        <v>429.0</v>
      </c>
      <c r="G718" s="180" t="str">
        <f>IFERROR(__xludf.DUMMYFUNCTION("TRIM(REGEXREPLACE(C718, ""[0-9]+[a-f]?\."", """"))"),"")</f>
        <v/>
      </c>
      <c r="H718" s="180" t="str">
        <f>IFERROR(__xludf.DUMMYFUNCTION("TRIM(REGEXREPLACE(D718, ""[0-9]+[a-f]?\."", """"))"),"")</f>
        <v/>
      </c>
      <c r="I718" s="180" t="str">
        <f>IFERROR(__xludf.DUMMYFUNCTION("TRIM(REGEXREPLACE(E718, ""[0-9]+[a-f]?\."", """"))"),"")</f>
        <v/>
      </c>
      <c r="J718" s="180" t="s">
        <v>3839</v>
      </c>
      <c r="K718" s="180" t="s">
        <v>3840</v>
      </c>
      <c r="L718" s="180" t="s">
        <v>3841</v>
      </c>
    </row>
    <row r="719" hidden="1">
      <c r="B719" s="277"/>
      <c r="C719" s="277"/>
      <c r="D719" s="277"/>
      <c r="E719" s="277"/>
      <c r="F719" s="187">
        <v>441.0</v>
      </c>
      <c r="G719" s="180" t="str">
        <f>IFERROR(__xludf.DUMMYFUNCTION("TRIM(REGEXREPLACE(C719, ""[0-9]+[a-f]?\."", """"))"),"")</f>
        <v/>
      </c>
      <c r="H719" s="180" t="str">
        <f>IFERROR(__xludf.DUMMYFUNCTION("TRIM(REGEXREPLACE(D719, ""[0-9]+[a-f]?\."", """"))"),"")</f>
        <v/>
      </c>
      <c r="I719" s="180" t="str">
        <f>IFERROR(__xludf.DUMMYFUNCTION("TRIM(REGEXREPLACE(E719, ""[0-9]+[a-f]?\."", """"))"),"")</f>
        <v/>
      </c>
      <c r="J719" s="180" t="s">
        <v>3842</v>
      </c>
      <c r="K719" s="180" t="s">
        <v>3843</v>
      </c>
      <c r="L719" s="180" t="s">
        <v>3844</v>
      </c>
    </row>
    <row r="720" hidden="1">
      <c r="B720" s="277"/>
      <c r="C720" s="277"/>
      <c r="D720" s="277"/>
      <c r="E720" s="277"/>
      <c r="F720" s="187">
        <v>442.0</v>
      </c>
      <c r="G720" s="180" t="str">
        <f>IFERROR(__xludf.DUMMYFUNCTION("TRIM(REGEXREPLACE(C720, ""[0-9]+[a-f]?\."", """"))"),"")</f>
        <v/>
      </c>
      <c r="H720" s="180" t="str">
        <f>IFERROR(__xludf.DUMMYFUNCTION("TRIM(REGEXREPLACE(D720, ""[0-9]+[a-f]?\."", """"))"),"")</f>
        <v/>
      </c>
      <c r="I720" s="180" t="str">
        <f>IFERROR(__xludf.DUMMYFUNCTION("TRIM(REGEXREPLACE(E720, ""[0-9]+[a-f]?\."", """"))"),"")</f>
        <v/>
      </c>
      <c r="J720" s="180" t="s">
        <v>3852</v>
      </c>
      <c r="K720" s="180" t="s">
        <v>3853</v>
      </c>
      <c r="L720" s="180" t="s">
        <v>3854</v>
      </c>
    </row>
    <row r="721" hidden="1">
      <c r="B721" s="277"/>
      <c r="C721" s="277"/>
      <c r="D721" s="277"/>
      <c r="E721" s="277"/>
      <c r="F721" s="187">
        <v>443.0</v>
      </c>
      <c r="G721" s="180" t="str">
        <f>IFERROR(__xludf.DUMMYFUNCTION("TRIM(REGEXREPLACE(C721, ""[0-9]+[a-f]?\."", """"))"),"")</f>
        <v/>
      </c>
      <c r="H721" s="180" t="str">
        <f>IFERROR(__xludf.DUMMYFUNCTION("TRIM(REGEXREPLACE(D721, ""[0-9]+[a-f]?\."", """"))"),"")</f>
        <v/>
      </c>
      <c r="I721" s="180" t="str">
        <f>IFERROR(__xludf.DUMMYFUNCTION("TRIM(REGEXREPLACE(E721, ""[0-9]+[a-f]?\."", """"))"),"")</f>
        <v/>
      </c>
      <c r="J721" s="180" t="s">
        <v>3855</v>
      </c>
      <c r="K721" s="180" t="s">
        <v>3856</v>
      </c>
      <c r="L721" s="180" t="s">
        <v>3857</v>
      </c>
    </row>
    <row r="722" hidden="1">
      <c r="B722" s="277"/>
      <c r="C722" s="277"/>
      <c r="D722" s="277"/>
      <c r="E722" s="277"/>
      <c r="F722" s="187">
        <v>444.0</v>
      </c>
      <c r="G722" s="180" t="str">
        <f>IFERROR(__xludf.DUMMYFUNCTION("TRIM(REGEXREPLACE(C722, ""[0-9]+[a-f]?\."", """"))"),"")</f>
        <v/>
      </c>
      <c r="H722" s="180" t="str">
        <f>IFERROR(__xludf.DUMMYFUNCTION("TRIM(REGEXREPLACE(D722, ""[0-9]+[a-f]?\."", """"))"),"")</f>
        <v/>
      </c>
      <c r="I722" s="180" t="str">
        <f>IFERROR(__xludf.DUMMYFUNCTION("TRIM(REGEXREPLACE(E722, ""[0-9]+[a-f]?\."", """"))"),"")</f>
        <v/>
      </c>
      <c r="J722" s="180" t="s">
        <v>3860</v>
      </c>
      <c r="K722" s="180" t="s">
        <v>3861</v>
      </c>
      <c r="L722" s="180" t="s">
        <v>3862</v>
      </c>
    </row>
    <row r="723">
      <c r="A723" s="291" t="s">
        <v>268</v>
      </c>
      <c r="B723" s="292" t="s">
        <v>3866</v>
      </c>
      <c r="C723" s="45" t="s">
        <v>3867</v>
      </c>
      <c r="D723" s="45" t="s">
        <v>3868</v>
      </c>
      <c r="E723" s="45" t="s">
        <v>3870</v>
      </c>
      <c r="F723" s="187">
        <v>197.0</v>
      </c>
      <c r="G723" s="180" t="str">
        <f>IFERROR(__xludf.DUMMYFUNCTION("TRIM(REGEXREPLACE(C723,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723" s="180" t="str">
        <f>IFERROR(__xludf.DUMMYFUNCTION("TRIM(REGEXREPLACE(D723,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723" s="180" t="str">
        <f>IFERROR(__xludf.DUMMYFUNCTION("TRIM(REGEXREPLACE(E723,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723" s="180" t="str">
        <f t="shared" ref="J723:L723" si="197">$F723 &amp; ". "&amp;G723</f>
        <v>197.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723" s="180" t="str">
        <f t="shared" si="197"/>
        <v>197.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723" s="180" t="str">
        <f t="shared" si="197"/>
        <v>197.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row>
    <row r="724" hidden="1">
      <c r="A724" s="302"/>
      <c r="B724" s="300"/>
      <c r="C724" s="300"/>
      <c r="D724" s="303"/>
      <c r="E724" s="303"/>
      <c r="F724" s="187">
        <v>431.0</v>
      </c>
      <c r="G724" s="180" t="str">
        <f>IFERROR(__xludf.DUMMYFUNCTION("TRIM(REGEXREPLACE(C724, ""[0-9]+[a-f]?\."", """"))"),"")</f>
        <v/>
      </c>
      <c r="H724" s="180" t="str">
        <f>IFERROR(__xludf.DUMMYFUNCTION("TRIM(REGEXREPLACE(D724, ""[0-9]+[a-f]?\."", """"))"),"")</f>
        <v/>
      </c>
      <c r="I724" s="180" t="str">
        <f>IFERROR(__xludf.DUMMYFUNCTION("TRIM(REGEXREPLACE(E724, ""[0-9]+[a-f]?\."", """"))"),"")</f>
        <v/>
      </c>
      <c r="J724" s="180" t="s">
        <v>3875</v>
      </c>
      <c r="K724" s="180" t="s">
        <v>3876</v>
      </c>
      <c r="L724" s="180" t="s">
        <v>3877</v>
      </c>
    </row>
    <row r="725" hidden="1">
      <c r="A725" s="298" t="s">
        <v>133</v>
      </c>
      <c r="B725" s="299" t="s">
        <v>3878</v>
      </c>
      <c r="C725" s="299" t="s">
        <v>3880</v>
      </c>
      <c r="D725" s="300"/>
      <c r="E725" s="300"/>
      <c r="F725" s="187">
        <v>432.0</v>
      </c>
      <c r="G725" s="180" t="str">
        <f>IFERROR(__xludf.DUMMYFUNCTION("TRIM(REGEXREPLACE(C725, ""[0-9]+[a-f]?\."", """"))"),"Worries")</f>
        <v>Worries</v>
      </c>
      <c r="H725" s="180" t="str">
        <f>IFERROR(__xludf.DUMMYFUNCTION("TRIM(REGEXREPLACE(D725, ""[0-9]+[a-f]?\."", """"))"),"")</f>
        <v/>
      </c>
      <c r="I725" s="180" t="str">
        <f>IFERROR(__xludf.DUMMYFUNCTION("TRIM(REGEXREPLACE(E725, ""[0-9]+[a-f]?\."", """"))"),"")</f>
        <v/>
      </c>
      <c r="J725" s="180" t="s">
        <v>3883</v>
      </c>
      <c r="K725" s="180" t="s">
        <v>3884</v>
      </c>
      <c r="L725" s="180" t="s">
        <v>3885</v>
      </c>
    </row>
    <row r="726" hidden="1">
      <c r="B726" s="277"/>
      <c r="C726" s="277"/>
      <c r="D726" s="277"/>
      <c r="E726" s="277"/>
      <c r="F726" s="187">
        <v>448.0</v>
      </c>
      <c r="G726" s="180" t="str">
        <f>IFERROR(__xludf.DUMMYFUNCTION("TRIM(REGEXREPLACE(C726, ""[0-9]+[a-f]?\."", """"))"),"")</f>
        <v/>
      </c>
      <c r="H726" s="180" t="str">
        <f>IFERROR(__xludf.DUMMYFUNCTION("TRIM(REGEXREPLACE(D726, ""[0-9]+[a-f]?\."", """"))"),"")</f>
        <v/>
      </c>
      <c r="I726" s="180" t="str">
        <f>IFERROR(__xludf.DUMMYFUNCTION("TRIM(REGEXREPLACE(E726, ""[0-9]+[a-f]?\."", """"))"),"")</f>
        <v/>
      </c>
      <c r="J726" s="180" t="s">
        <v>3886</v>
      </c>
      <c r="K726" s="180" t="s">
        <v>3887</v>
      </c>
      <c r="L726" s="180" t="s">
        <v>3889</v>
      </c>
    </row>
    <row r="727" hidden="1"/>
    <row r="728" hidden="1">
      <c r="B728" s="277"/>
      <c r="C728" s="277"/>
      <c r="D728" s="277"/>
      <c r="E728" s="277"/>
      <c r="F728" s="187">
        <v>449.0</v>
      </c>
      <c r="G728" s="180" t="str">
        <f>IFERROR(__xludf.DUMMYFUNCTION("TRIM(REGEXREPLACE(C728, ""[0-9]+[a-f]?\."", """"))"),"")</f>
        <v/>
      </c>
      <c r="H728" s="180" t="str">
        <f>IFERROR(__xludf.DUMMYFUNCTION("TRIM(REGEXREPLACE(D728, ""[0-9]+[a-f]?\."", """"))"),"")</f>
        <v/>
      </c>
      <c r="I728" s="180" t="str">
        <f>IFERROR(__xludf.DUMMYFUNCTION("TRIM(REGEXREPLACE(E728, ""[0-9]+[a-f]?\."", """"))"),"")</f>
        <v/>
      </c>
      <c r="J728" s="180" t="s">
        <v>3893</v>
      </c>
      <c r="K728" s="180" t="s">
        <v>3894</v>
      </c>
      <c r="L728" s="180" t="s">
        <v>3895</v>
      </c>
    </row>
    <row r="729" hidden="1">
      <c r="B729" s="277"/>
      <c r="C729" s="277"/>
      <c r="D729" s="277"/>
      <c r="E729" s="277"/>
      <c r="F729" s="187">
        <v>450.0</v>
      </c>
      <c r="G729" s="180" t="str">
        <f>IFERROR(__xludf.DUMMYFUNCTION("TRIM(REGEXREPLACE(C729, ""[0-9]+[a-f]?\."", """"))"),"")</f>
        <v/>
      </c>
      <c r="H729" s="180" t="str">
        <f>IFERROR(__xludf.DUMMYFUNCTION("TRIM(REGEXREPLACE(D729, ""[0-9]+[a-f]?\."", """"))"),"")</f>
        <v/>
      </c>
      <c r="I729" s="180" t="str">
        <f>IFERROR(__xludf.DUMMYFUNCTION("TRIM(REGEXREPLACE(E729, ""[0-9]+[a-f]?\."", """"))"),"")</f>
        <v/>
      </c>
      <c r="J729" s="180" t="s">
        <v>3897</v>
      </c>
      <c r="K729" s="180" t="s">
        <v>3898</v>
      </c>
      <c r="L729" s="180" t="s">
        <v>3899</v>
      </c>
    </row>
    <row r="730" hidden="1">
      <c r="B730" s="277"/>
      <c r="C730" s="277"/>
      <c r="D730" s="277"/>
      <c r="E730" s="277"/>
      <c r="F730" s="187">
        <v>451.0</v>
      </c>
      <c r="G730" s="180" t="str">
        <f>IFERROR(__xludf.DUMMYFUNCTION("TRIM(REGEXREPLACE(C730, ""[0-9]+[a-f]?\."", """"))"),"")</f>
        <v/>
      </c>
      <c r="H730" s="180" t="str">
        <f>IFERROR(__xludf.DUMMYFUNCTION("TRIM(REGEXREPLACE(D730, ""[0-9]+[a-f]?\."", """"))"),"")</f>
        <v/>
      </c>
      <c r="I730" s="180" t="str">
        <f>IFERROR(__xludf.DUMMYFUNCTION("TRIM(REGEXREPLACE(E730, ""[0-9]+[a-f]?\."", """"))"),"")</f>
        <v/>
      </c>
      <c r="J730" s="180" t="s">
        <v>3904</v>
      </c>
      <c r="K730" s="180" t="s">
        <v>3905</v>
      </c>
      <c r="L730" s="180" t="s">
        <v>3906</v>
      </c>
    </row>
    <row r="731" hidden="1"/>
    <row r="732" hidden="1">
      <c r="B732" s="277"/>
      <c r="C732" s="277"/>
      <c r="D732" s="277"/>
      <c r="E732" s="277"/>
      <c r="F732" s="187">
        <v>452.0</v>
      </c>
      <c r="G732" s="180" t="str">
        <f>IFERROR(__xludf.DUMMYFUNCTION("TRIM(REGEXREPLACE(C732, ""[0-9]+[a-f]?\."", """"))"),"")</f>
        <v/>
      </c>
      <c r="H732" s="180" t="str">
        <f>IFERROR(__xludf.DUMMYFUNCTION("TRIM(REGEXREPLACE(D732, ""[0-9]+[a-f]?\."", """"))"),"")</f>
        <v/>
      </c>
      <c r="I732" s="180" t="str">
        <f>IFERROR(__xludf.DUMMYFUNCTION("TRIM(REGEXREPLACE(E732, ""[0-9]+[a-f]?\."", """"))"),"")</f>
        <v/>
      </c>
      <c r="J732" s="180" t="s">
        <v>3910</v>
      </c>
      <c r="K732" s="180" t="s">
        <v>3911</v>
      </c>
      <c r="L732" s="180" t="s">
        <v>3912</v>
      </c>
    </row>
    <row r="733" hidden="1">
      <c r="B733" s="277"/>
      <c r="C733" s="277"/>
      <c r="D733" s="277"/>
      <c r="E733" s="277"/>
      <c r="F733" s="187">
        <v>453.0</v>
      </c>
      <c r="G733" s="180" t="str">
        <f>IFERROR(__xludf.DUMMYFUNCTION("TRIM(REGEXREPLACE(C733, ""[0-9]+[a-f]?\."", """"))"),"")</f>
        <v/>
      </c>
      <c r="H733" s="180" t="str">
        <f>IFERROR(__xludf.DUMMYFUNCTION("TRIM(REGEXREPLACE(D733, ""[0-9]+[a-f]?\."", """"))"),"")</f>
        <v/>
      </c>
      <c r="I733" s="180" t="str">
        <f>IFERROR(__xludf.DUMMYFUNCTION("TRIM(REGEXREPLACE(E733, ""[0-9]+[a-f]?\."", """"))"),"")</f>
        <v/>
      </c>
      <c r="J733" s="180" t="s">
        <v>3916</v>
      </c>
      <c r="K733" s="180" t="s">
        <v>3917</v>
      </c>
      <c r="L733" s="180" t="s">
        <v>3918</v>
      </c>
    </row>
    <row r="734" hidden="1">
      <c r="B734" s="277"/>
      <c r="C734" s="277"/>
      <c r="D734" s="277"/>
      <c r="E734" s="277"/>
      <c r="F734" s="187">
        <v>454.0</v>
      </c>
      <c r="G734" s="180" t="str">
        <f>IFERROR(__xludf.DUMMYFUNCTION("TRIM(REGEXREPLACE(C734, ""[0-9]+[a-f]?\."", """"))"),"")</f>
        <v/>
      </c>
      <c r="H734" s="180" t="str">
        <f>IFERROR(__xludf.DUMMYFUNCTION("TRIM(REGEXREPLACE(D734, ""[0-9]+[a-f]?\."", """"))"),"")</f>
        <v/>
      </c>
      <c r="I734" s="180" t="str">
        <f>IFERROR(__xludf.DUMMYFUNCTION("TRIM(REGEXREPLACE(E734, ""[0-9]+[a-f]?\."", """"))"),"")</f>
        <v/>
      </c>
      <c r="J734" s="180" t="s">
        <v>3922</v>
      </c>
      <c r="K734" s="180" t="s">
        <v>3923</v>
      </c>
      <c r="L734" s="180" t="s">
        <v>3924</v>
      </c>
    </row>
    <row r="735">
      <c r="A735" s="278" t="s">
        <v>38</v>
      </c>
      <c r="B735" s="279" t="s">
        <v>3925</v>
      </c>
      <c r="C735" s="45" t="s">
        <v>3927</v>
      </c>
      <c r="D735" s="45" t="s">
        <v>3929</v>
      </c>
      <c r="E735" s="45" t="s">
        <v>3931</v>
      </c>
      <c r="F735" s="187">
        <v>198.0</v>
      </c>
      <c r="G735" s="180" t="str">
        <f>IFERROR(__xludf.DUMMYFUNCTION("TRIM(REGEXREPLACE(C735, ""[0-9]+[a-f]?\."", """"))"),"Now I am going to ask you about the areas of your life that worry you.")</f>
        <v>Now I am going to ask you about the areas of your life that worry you.</v>
      </c>
      <c r="H735" s="180" t="str">
        <f>IFERROR(__xludf.DUMMYFUNCTION("TRIM(REGEXREPLACE(D735, ""[0-9]+[a-f]?\."", """"))"),"Je voudrais maintenant vous poser des questions sur les choses qui vous inquiètent dans votre vie.")</f>
        <v>Je voudrais maintenant vous poser des questions sur les choses qui vous inquiètent dans votre vie.</v>
      </c>
      <c r="I735" s="180" t="str">
        <f>IFERROR(__xludf.DUMMYFUNCTION("TRIM(REGEXREPLACE(E735, ""[0-9]+[a-f]?\."", """"))"),"Yanzu ina son in tambaye ku bisa abubuwan da ke damun ku a cikin rayuwar ku.")</f>
        <v>Yanzu ina son in tambaye ku bisa abubuwan da ke damun ku a cikin rayuwar ku.</v>
      </c>
      <c r="J735" s="180" t="str">
        <f t="shared" ref="J735:L735" si="198">$F735 &amp; ". "&amp;G735</f>
        <v>198. Now I am going to ask you about the areas of your life that worry you.</v>
      </c>
      <c r="K735" s="180" t="str">
        <f t="shared" si="198"/>
        <v>198. Je voudrais maintenant vous poser des questions sur les choses qui vous inquiètent dans votre vie.</v>
      </c>
      <c r="L735" s="180" t="str">
        <f t="shared" si="198"/>
        <v>198. Yanzu ina son in tambaye ku bisa abubuwan da ke damun ku a cikin rayuwar ku.</v>
      </c>
    </row>
    <row r="736">
      <c r="A736" s="280" t="s">
        <v>2122</v>
      </c>
      <c r="B736" s="281" t="s">
        <v>3932</v>
      </c>
      <c r="C736" s="45" t="s">
        <v>3933</v>
      </c>
      <c r="D736" s="45" t="s">
        <v>3935</v>
      </c>
      <c r="E736" s="45" t="s">
        <v>3936</v>
      </c>
      <c r="F736" s="187">
        <v>199.0</v>
      </c>
      <c r="G736" s="180" t="str">
        <f>IFERROR(__xludf.DUMMYFUNCTION("TRIM(REGEXREPLACE(C736, ""[0-9]+[a-f]?\."", """"))"),"How stressed are you about the following areas of your life?")</f>
        <v>How stressed are you about the following areas of your life?</v>
      </c>
      <c r="H736" s="180" t="str">
        <f>IFERROR(__xludf.DUMMYFUNCTION("TRIM(REGEXREPLACE(D736, ""[0-9]+[a-f]?\."", """"))"),"Dans quelle mesure êtes-vous stressé par les domaines suivants de votre vie ?")</f>
        <v>Dans quelle mesure êtes-vous stressé par les domaines suivants de votre vie ?</v>
      </c>
      <c r="I736" s="180" t="str">
        <f>IFERROR(__xludf.DUMMYFUNCTION("TRIM(REGEXREPLACE(E736, ""[0-9]+[a-f]?\."", """"))"),"Yaya damuwarku game da abubuwa na rayuwarku da zan zana?")</f>
        <v>Yaya damuwarku game da abubuwa na rayuwarku da zan zana?</v>
      </c>
      <c r="J736" s="180" t="str">
        <f t="shared" ref="J736:L736" si="199">$F736 &amp; ". "&amp;G736</f>
        <v>199. How stressed are you about the following areas of your life?</v>
      </c>
      <c r="K736" s="180" t="str">
        <f t="shared" si="199"/>
        <v>199. Dans quelle mesure êtes-vous stressé par les domaines suivants de votre vie ?</v>
      </c>
      <c r="L736" s="180" t="str">
        <f t="shared" si="199"/>
        <v>199. Yaya damuwarku game da abubuwa na rayuwarku da zan zana?</v>
      </c>
    </row>
    <row r="737" hidden="1"/>
    <row r="738" hidden="1"/>
    <row r="739" hidden="1"/>
    <row r="740">
      <c r="A740" s="280" t="s">
        <v>2122</v>
      </c>
      <c r="B740" s="281" t="s">
        <v>3942</v>
      </c>
      <c r="C740" s="45" t="s">
        <v>3943</v>
      </c>
      <c r="D740" s="45" t="s">
        <v>3944</v>
      </c>
      <c r="E740" s="45" t="s">
        <v>3945</v>
      </c>
      <c r="F740" s="187">
        <v>200.0</v>
      </c>
      <c r="G740" s="180" t="str">
        <f>IFERROR(__xludf.DUMMYFUNCTION("TRIM(REGEXREPLACE(C740, ""[0-9]+[a-f]?\."", """"))"),"Your own health problems, illness")</f>
        <v>Your own health problems, illness</v>
      </c>
      <c r="H740" s="180" t="str">
        <f>IFERROR(__xludf.DUMMYFUNCTION("TRIM(REGEXREPLACE(D740, ""[0-9]+[a-f]?\."", """"))"),"Vos propres problèmes de santé")</f>
        <v>Vos propres problèmes de santé</v>
      </c>
      <c r="I740" s="180" t="str">
        <f>IFERROR(__xludf.DUMMYFUNCTION("TRIM(REGEXREPLACE(E740, ""[0-9]+[a-f]?\."", """"))"),"Matsalolin lafiyar jikinku")</f>
        <v>Matsalolin lafiyar jikinku</v>
      </c>
      <c r="J740" s="180" t="str">
        <f t="shared" ref="J740:L740" si="200">$F740 &amp; ". "&amp;G740</f>
        <v>200. Your own health problems, illness</v>
      </c>
      <c r="K740" s="180" t="str">
        <f t="shared" si="200"/>
        <v>200. Vos propres problèmes de santé</v>
      </c>
      <c r="L740" s="180" t="str">
        <f t="shared" si="200"/>
        <v>200. Matsalolin lafiyar jikinku</v>
      </c>
    </row>
    <row r="741">
      <c r="A741" s="280" t="s">
        <v>2122</v>
      </c>
      <c r="B741" s="281" t="s">
        <v>3946</v>
      </c>
      <c r="C741" s="45" t="s">
        <v>3947</v>
      </c>
      <c r="D741" s="45" t="s">
        <v>3948</v>
      </c>
      <c r="E741" s="45" t="s">
        <v>3949</v>
      </c>
      <c r="F741" s="187">
        <v>201.0</v>
      </c>
      <c r="G741" s="180" t="str">
        <f>IFERROR(__xludf.DUMMYFUNCTION("TRIM(REGEXREPLACE(C741, ""[0-9]+[a-f]?\."", """"))"),"Problems at home and with relatives")</f>
        <v>Problems at home and with relatives</v>
      </c>
      <c r="H741" s="180" t="str">
        <f>IFERROR(__xludf.DUMMYFUNCTION("TRIM(REGEXREPLACE(D741, ""[0-9]+[a-f]?\."", """"))"),"Problèmes dans le ménage et avec les proches")</f>
        <v>Problèmes dans le ménage et avec les proches</v>
      </c>
      <c r="I741" s="180" t="str">
        <f>IFERROR(__xludf.DUMMYFUNCTION("TRIM(REGEXREPLACE(E741, ""[0-9]+[a-f]?\."", """"))"),"Matsaloli na cikin gida da na dangi")</f>
        <v>Matsaloli na cikin gida da na dangi</v>
      </c>
      <c r="J741" s="180" t="str">
        <f t="shared" ref="J741:L741" si="201">$F741 &amp; ". "&amp;G741</f>
        <v>201. Problems at home and with relatives</v>
      </c>
      <c r="K741" s="180" t="str">
        <f t="shared" si="201"/>
        <v>201. Problèmes dans le ménage et avec les proches</v>
      </c>
      <c r="L741" s="180" t="str">
        <f t="shared" si="201"/>
        <v>201. Matsaloli na cikin gida da na dangi</v>
      </c>
    </row>
    <row r="742">
      <c r="A742" s="280" t="s">
        <v>2122</v>
      </c>
      <c r="B742" s="281" t="s">
        <v>3950</v>
      </c>
      <c r="C742" s="45" t="s">
        <v>3952</v>
      </c>
      <c r="D742" s="45" t="s">
        <v>3953</v>
      </c>
      <c r="E742" s="45" t="s">
        <v>3954</v>
      </c>
      <c r="F742" s="187">
        <v>202.0</v>
      </c>
      <c r="G742" s="180" t="str">
        <f>IFERROR(__xludf.DUMMYFUNCTION("TRIM(REGEXREPLACE(C742, ""[0-9]+[a-f]?\."", """"))"),"Accidents and disasters")</f>
        <v>Accidents and disasters</v>
      </c>
      <c r="H742" s="180" t="str">
        <f>IFERROR(__xludf.DUMMYFUNCTION("TRIM(REGEXREPLACE(D742, ""[0-9]+[a-f]?\."", """"))"),"Accidents et catastrophes")</f>
        <v>Accidents et catastrophes</v>
      </c>
      <c r="I742" s="180" t="str">
        <f>IFERROR(__xludf.DUMMYFUNCTION("TRIM(REGEXREPLACE(E742, ""[0-9]+[a-f]?\."", """"))"),"Hatsari da bala'o'i")</f>
        <v>Hatsari da bala'o'i</v>
      </c>
      <c r="J742" s="180" t="str">
        <f t="shared" ref="J742:L742" si="202">$F742 &amp; ". "&amp;G742</f>
        <v>202. Accidents and disasters</v>
      </c>
      <c r="K742" s="180" t="str">
        <f t="shared" si="202"/>
        <v>202. Accidents et catastrophes</v>
      </c>
      <c r="L742" s="180" t="str">
        <f t="shared" si="202"/>
        <v>202. Hatsari da bala'o'i</v>
      </c>
    </row>
    <row r="743" hidden="1"/>
    <row r="744" hidden="1">
      <c r="B744" s="277"/>
      <c r="C744" s="277"/>
      <c r="D744" s="277"/>
      <c r="E744" s="277"/>
      <c r="F744" s="187">
        <v>456.0</v>
      </c>
      <c r="G744" s="180" t="str">
        <f>IFERROR(__xludf.DUMMYFUNCTION("TRIM(REGEXREPLACE(C744, ""[0-9]+[a-f]?\."", """"))"),"")</f>
        <v/>
      </c>
      <c r="H744" s="180" t="str">
        <f>IFERROR(__xludf.DUMMYFUNCTION("TRIM(REGEXREPLACE(D744, ""[0-9]+[a-f]?\."", """"))"),"")</f>
        <v/>
      </c>
      <c r="I744" s="180" t="str">
        <f>IFERROR(__xludf.DUMMYFUNCTION("TRIM(REGEXREPLACE(E744, ""[0-9]+[a-f]?\."", """"))"),"")</f>
        <v/>
      </c>
      <c r="J744" s="180" t="s">
        <v>3961</v>
      </c>
      <c r="K744" s="180" t="s">
        <v>3962</v>
      </c>
      <c r="L744" s="180" t="s">
        <v>3963</v>
      </c>
    </row>
    <row r="745" hidden="1">
      <c r="B745" s="277"/>
      <c r="C745" s="277"/>
      <c r="D745" s="277"/>
      <c r="E745" s="277"/>
      <c r="F745" s="187">
        <v>457.0</v>
      </c>
      <c r="G745" s="180" t="str">
        <f>IFERROR(__xludf.DUMMYFUNCTION("TRIM(REGEXREPLACE(C745, ""[0-9]+[a-f]?\."", """"))"),"")</f>
        <v/>
      </c>
      <c r="H745" s="180" t="str">
        <f>IFERROR(__xludf.DUMMYFUNCTION("TRIM(REGEXREPLACE(D745, ""[0-9]+[a-f]?\."", """"))"),"")</f>
        <v/>
      </c>
      <c r="I745" s="180" t="str">
        <f>IFERROR(__xludf.DUMMYFUNCTION("TRIM(REGEXREPLACE(E745, ""[0-9]+[a-f]?\."", """"))"),"")</f>
        <v/>
      </c>
      <c r="J745" s="180" t="s">
        <v>3965</v>
      </c>
      <c r="K745" s="180" t="s">
        <v>3968</v>
      </c>
      <c r="L745" s="180" t="s">
        <v>3971</v>
      </c>
    </row>
    <row r="746">
      <c r="A746" s="280" t="s">
        <v>2122</v>
      </c>
      <c r="B746" s="281" t="s">
        <v>3973</v>
      </c>
      <c r="C746" s="45" t="s">
        <v>3974</v>
      </c>
      <c r="D746" s="45" t="s">
        <v>3975</v>
      </c>
      <c r="E746" s="45" t="s">
        <v>3976</v>
      </c>
      <c r="F746" s="187">
        <v>203.0</v>
      </c>
      <c r="G746" s="180" t="str">
        <f>IFERROR(__xludf.DUMMYFUNCTION("TRIM(REGEXREPLACE(C746, ""[0-9]+[a-f]?\."", """"))"),"Not enough money for basic needs (sucha as food and clothing)")</f>
        <v>Not enough money for basic needs (sucha as food and clothing)</v>
      </c>
      <c r="H746" s="180" t="str">
        <f>IFERROR(__xludf.DUMMYFUNCTION("TRIM(REGEXREPLACE(D746, ""[0-9]+[a-f]?\."", """"))"),"Pas assez d'argent pour les besoins de base (tels que la nourriture et les vêtements)")</f>
        <v>Pas assez d'argent pour les besoins de base (tels que la nourriture et les vêtements)</v>
      </c>
      <c r="I746" s="180" t="str">
        <f>IFERROR(__xludf.DUMMYFUNCTION("TRIM(REGEXREPLACE(E746, ""[0-9]+[a-f]?\."", """"))"),"Rashin isassun kuɗi don buƙatun asali (kamar abinci da sutura)")</f>
        <v>Rashin isassun kuɗi don buƙatun asali (kamar abinci da sutura)</v>
      </c>
      <c r="J746" s="180" t="str">
        <f t="shared" ref="J746:L746" si="203">$F746 &amp; ". "&amp;G746</f>
        <v>203. Not enough money for basic needs (sucha as food and clothing)</v>
      </c>
      <c r="K746" s="180" t="str">
        <f t="shared" si="203"/>
        <v>203. Pas assez d'argent pour les besoins de base (tels que la nourriture et les vêtements)</v>
      </c>
      <c r="L746" s="180" t="str">
        <f t="shared" si="203"/>
        <v>203. Rashin isassun kuɗi don buƙatun asali (kamar abinci da sutura)</v>
      </c>
    </row>
    <row r="747">
      <c r="A747" s="280" t="s">
        <v>2122</v>
      </c>
      <c r="B747" s="281" t="s">
        <v>3977</v>
      </c>
      <c r="C747" s="45" t="s">
        <v>3980</v>
      </c>
      <c r="D747" s="45" t="s">
        <v>3983</v>
      </c>
      <c r="E747" s="45" t="s">
        <v>3984</v>
      </c>
      <c r="F747" s="187">
        <v>204.0</v>
      </c>
      <c r="G747" s="180" t="str">
        <f>IFERROR(__xludf.DUMMYFUNCTION("TRIM(REGEXREPLACE(C747, ""[0-9]+[a-f]?\."", """"))"),"Not being able to educate all children")</f>
        <v>Not being able to educate all children</v>
      </c>
      <c r="H747" s="180" t="str">
        <f>IFERROR(__xludf.DUMMYFUNCTION("TRIM(REGEXREPLACE(D747, ""[0-9]+[a-f]?\."", """"))"),"Ne pas pouvoir scolariser tous les enfants")</f>
        <v>Ne pas pouvoir scolariser tous les enfants</v>
      </c>
      <c r="I747" s="180" t="str">
        <f>IFERROR(__xludf.DUMMYFUNCTION("TRIM(REGEXREPLACE(E747, ""[0-9]+[a-f]?\."", """"))"),"Rashin iya rubuta dukkan yara a makarantar boko")</f>
        <v>Rashin iya rubuta dukkan yara a makarantar boko</v>
      </c>
      <c r="J747" s="180" t="str">
        <f t="shared" ref="J747:L747" si="204">$F747 &amp; ". "&amp;G747</f>
        <v>204. Not being able to educate all children</v>
      </c>
      <c r="K747" s="180" t="str">
        <f t="shared" si="204"/>
        <v>204. Ne pas pouvoir scolariser tous les enfants</v>
      </c>
      <c r="L747" s="180" t="str">
        <f t="shared" si="204"/>
        <v>204. Rashin iya rubuta dukkan yara a makarantar boko</v>
      </c>
    </row>
    <row r="748">
      <c r="A748" s="280" t="s">
        <v>2122</v>
      </c>
      <c r="B748" s="281" t="s">
        <v>3987</v>
      </c>
      <c r="C748" s="45" t="s">
        <v>3988</v>
      </c>
      <c r="D748" s="45" t="s">
        <v>3989</v>
      </c>
      <c r="E748" s="45" t="s">
        <v>3990</v>
      </c>
      <c r="F748" s="187">
        <v>205.0</v>
      </c>
      <c r="G748" s="180" t="str">
        <f>IFERROR(__xludf.DUMMYFUNCTION("TRIM(REGEXREPLACE(C748, ""[0-9]+[a-f]?\."", """"))"),"Difficulty finding work")</f>
        <v>Difficulty finding work</v>
      </c>
      <c r="H748" s="180" t="str">
        <f>IFERROR(__xludf.DUMMYFUNCTION("TRIM(REGEXREPLACE(D748, ""[0-9]+[a-f]?\."", """"))"),"Difficulté à trouver du travail")</f>
        <v>Difficulté à trouver du travail</v>
      </c>
      <c r="I748" s="180" t="str">
        <f>IFERROR(__xludf.DUMMYFUNCTION("TRIM(REGEXREPLACE(E748, ""[0-9]+[a-f]?\."", """"))"),"Wahalar neman aiki")</f>
        <v>Wahalar neman aiki</v>
      </c>
      <c r="J748" s="180" t="str">
        <f t="shared" ref="J748:L748" si="205">$F748 &amp; ". "&amp;G748</f>
        <v>205. Difficulty finding work</v>
      </c>
      <c r="K748" s="180" t="str">
        <f t="shared" si="205"/>
        <v>205. Difficulté à trouver du travail</v>
      </c>
      <c r="L748" s="180" t="str">
        <f t="shared" si="205"/>
        <v>205. Wahalar neman aiki</v>
      </c>
    </row>
    <row r="749">
      <c r="A749" s="280" t="s">
        <v>2122</v>
      </c>
      <c r="B749" s="281" t="s">
        <v>3996</v>
      </c>
      <c r="C749" s="45" t="s">
        <v>3997</v>
      </c>
      <c r="D749" s="45" t="s">
        <v>3998</v>
      </c>
      <c r="E749" s="45" t="s">
        <v>3999</v>
      </c>
      <c r="F749" s="187">
        <v>206.0</v>
      </c>
      <c r="G749" s="180" t="str">
        <f>IFERROR(__xludf.DUMMYFUNCTION("TRIM(REGEXREPLACE(C749, ""[0-9]+[a-f]?\."", """"))"),"Idleness of children or spouse")</f>
        <v>Idleness of children or spouse</v>
      </c>
      <c r="H749" s="180" t="str">
        <f>IFERROR(__xludf.DUMMYFUNCTION("TRIM(REGEXREPLACE(D749, ""[0-9]+[a-f]?\."", """"))"),"L'oisiveté des enfants ou du conjoint")</f>
        <v>L'oisiveté des enfants ou du conjoint</v>
      </c>
      <c r="I749" s="180" t="str">
        <f>IFERROR(__xludf.DUMMYFUNCTION("TRIM(REGEXREPLACE(E749, ""[0-9]+[a-f]?\."", """"))"),"Zaman banza na yara ko mata")</f>
        <v>Zaman banza na yara ko mata</v>
      </c>
      <c r="J749" s="180" t="str">
        <f t="shared" ref="J749:L749" si="206">$F749 &amp; ". "&amp;G749</f>
        <v>206. Idleness of children or spouse</v>
      </c>
      <c r="K749" s="180" t="str">
        <f t="shared" si="206"/>
        <v>206. L'oisiveté des enfants ou du conjoint</v>
      </c>
      <c r="L749" s="180" t="str">
        <f t="shared" si="206"/>
        <v>206. Zaman banza na yara ko mata</v>
      </c>
    </row>
    <row r="750">
      <c r="A750" s="280" t="s">
        <v>2122</v>
      </c>
      <c r="B750" s="281" t="s">
        <v>4005</v>
      </c>
      <c r="C750" s="45" t="s">
        <v>4007</v>
      </c>
      <c r="D750" s="45" t="s">
        <v>4008</v>
      </c>
      <c r="E750" s="45" t="s">
        <v>4009</v>
      </c>
      <c r="F750" s="187">
        <v>207.0</v>
      </c>
      <c r="G750" s="180" t="str">
        <f>IFERROR(__xludf.DUMMYFUNCTION("TRIM(REGEXREPLACE(C750, ""[0-9]+[a-f]?\."", """"))"),"Alcohol comsumption of children or spouse")</f>
        <v>Alcohol comsumption of children or spouse</v>
      </c>
      <c r="H750" s="180" t="str">
        <f>IFERROR(__xludf.DUMMYFUNCTION("TRIM(REGEXREPLACE(D750, ""[0-9]+[a-f]?\."", """"))"),"Consommation d'alcool des enfants ou du conjoint")</f>
        <v>Consommation d'alcool des enfants ou du conjoint</v>
      </c>
      <c r="I750" s="180" t="str">
        <f>IFERROR(__xludf.DUMMYFUNCTION("TRIM(REGEXREPLACE(E750, ""[0-9]+[a-f]?\."", """"))"),"Shan giya na yara ko mata")</f>
        <v>Shan giya na yara ko mata</v>
      </c>
      <c r="J750" s="180" t="str">
        <f t="shared" ref="J750:L750" si="207">$F750 &amp; ". "&amp;G750</f>
        <v>207. Alcohol comsumption of children or spouse</v>
      </c>
      <c r="K750" s="180" t="str">
        <f t="shared" si="207"/>
        <v>207. Consommation d'alcool des enfants ou du conjoint</v>
      </c>
      <c r="L750" s="180" t="str">
        <f t="shared" si="207"/>
        <v>207. Shan giya na yara ko mata</v>
      </c>
    </row>
    <row r="751">
      <c r="A751" s="280" t="s">
        <v>2122</v>
      </c>
      <c r="B751" s="281" t="s">
        <v>4010</v>
      </c>
      <c r="C751" s="45" t="s">
        <v>2011</v>
      </c>
      <c r="D751" s="45" t="s">
        <v>2012</v>
      </c>
      <c r="E751" s="45" t="s">
        <v>2013</v>
      </c>
      <c r="F751" s="187">
        <v>208.0</v>
      </c>
      <c r="G751" s="180" t="str">
        <f>IFERROR(__xludf.DUMMYFUNCTION("TRIM(REGEXREPLACE(C751, ""[0-9]+[a-f]?\."", """"))"),"Death of a family member")</f>
        <v>Death of a family member</v>
      </c>
      <c r="H751" s="180" t="str">
        <f>IFERROR(__xludf.DUMMYFUNCTION("TRIM(REGEXREPLACE(D751, ""[0-9]+[a-f]?\."", """"))"),"Décès d'un membre de la famille")</f>
        <v>Décès d'un membre de la famille</v>
      </c>
      <c r="I751" s="180" t="str">
        <f>IFERROR(__xludf.DUMMYFUNCTION("TRIM(REGEXREPLACE(E751, ""[0-9]+[a-f]?\."", """"))"),"Mutuwar wani ɗan uwa")</f>
        <v>Mutuwar wani ɗan uwa</v>
      </c>
      <c r="J751" s="180" t="str">
        <f t="shared" ref="J751:L751" si="208">$F751 &amp; ". "&amp;G751</f>
        <v>208. Death of a family member</v>
      </c>
      <c r="K751" s="180" t="str">
        <f t="shared" si="208"/>
        <v>208. Décès d'un membre de la famille</v>
      </c>
      <c r="L751" s="180" t="str">
        <f t="shared" si="208"/>
        <v>208. Mutuwar wani ɗan uwa</v>
      </c>
    </row>
    <row r="752" hidden="1"/>
    <row r="753">
      <c r="A753" s="280" t="s">
        <v>2122</v>
      </c>
      <c r="B753" s="281" t="s">
        <v>4016</v>
      </c>
      <c r="C753" s="45" t="s">
        <v>4018</v>
      </c>
      <c r="D753" s="45" t="s">
        <v>4020</v>
      </c>
      <c r="E753" s="45" t="s">
        <v>4021</v>
      </c>
      <c r="F753" s="187">
        <v>209.0</v>
      </c>
      <c r="G753" s="180" t="str">
        <f>IFERROR(__xludf.DUMMYFUNCTION("TRIM(REGEXREPLACE(C753, ""[0-9]+[a-f]?\."", """"))"),"Debts owed to others")</f>
        <v>Debts owed to others</v>
      </c>
      <c r="H753" s="180" t="str">
        <f>IFERROR(__xludf.DUMMYFUNCTION("TRIM(REGEXREPLACE(D753, ""[0-9]+[a-f]?\."", """"))"),"Dettes envers autrui")</f>
        <v>Dettes envers autrui</v>
      </c>
      <c r="I753" s="180" t="str">
        <f>IFERROR(__xludf.DUMMYFUNCTION("TRIM(REGEXREPLACE(E753, ""[0-9]+[a-f]?\."", """"))"),"Bashi da wasu ke binku")</f>
        <v>Bashi da wasu ke binku</v>
      </c>
      <c r="J753" s="180" t="str">
        <f t="shared" ref="J753:L753" si="209">$F753 &amp; ". "&amp;G753</f>
        <v>209. Debts owed to others</v>
      </c>
      <c r="K753" s="180" t="str">
        <f t="shared" si="209"/>
        <v>209. Dettes envers autrui</v>
      </c>
      <c r="L753" s="180" t="str">
        <f t="shared" si="209"/>
        <v>209. Bashi da wasu ke binku</v>
      </c>
    </row>
    <row r="754" hidden="1">
      <c r="A754" s="298" t="s">
        <v>237</v>
      </c>
      <c r="B754" s="310" t="s">
        <v>3878</v>
      </c>
      <c r="C754" s="310" t="s">
        <v>3880</v>
      </c>
      <c r="D754" s="303"/>
      <c r="E754" s="303"/>
      <c r="F754" s="187">
        <v>445.0</v>
      </c>
      <c r="G754" s="180" t="str">
        <f>IFERROR(__xludf.DUMMYFUNCTION("TRIM(REGEXREPLACE(C754, ""[0-9]+[a-f]?\."", """"))"),"Worries")</f>
        <v>Worries</v>
      </c>
      <c r="H754" s="180" t="str">
        <f>IFERROR(__xludf.DUMMYFUNCTION("TRIM(REGEXREPLACE(D754, ""[0-9]+[a-f]?\."", """"))"),"")</f>
        <v/>
      </c>
      <c r="I754" s="180" t="str">
        <f>IFERROR(__xludf.DUMMYFUNCTION("TRIM(REGEXREPLACE(E754, ""[0-9]+[a-f]?\."", """"))"),"")</f>
        <v/>
      </c>
      <c r="J754" s="180" t="s">
        <v>4031</v>
      </c>
      <c r="K754" s="180" t="s">
        <v>4032</v>
      </c>
      <c r="L754" s="180" t="s">
        <v>4033</v>
      </c>
    </row>
    <row r="755" hidden="1">
      <c r="A755" s="302"/>
      <c r="B755" s="300"/>
      <c r="C755" s="300"/>
      <c r="D755" s="303"/>
      <c r="E755" s="303"/>
      <c r="F755" s="187">
        <v>446.0</v>
      </c>
      <c r="G755" s="180" t="str">
        <f>IFERROR(__xludf.DUMMYFUNCTION("TRIM(REGEXREPLACE(C755, ""[0-9]+[a-f]?\."", """"))"),"")</f>
        <v/>
      </c>
      <c r="H755" s="180" t="str">
        <f>IFERROR(__xludf.DUMMYFUNCTION("TRIM(REGEXREPLACE(D755, ""[0-9]+[a-f]?\."", """"))"),"")</f>
        <v/>
      </c>
      <c r="I755" s="180" t="str">
        <f>IFERROR(__xludf.DUMMYFUNCTION("TRIM(REGEXREPLACE(E755, ""[0-9]+[a-f]?\."", """"))"),"")</f>
        <v/>
      </c>
      <c r="J755" s="180" t="s">
        <v>4037</v>
      </c>
      <c r="K755" s="180" t="s">
        <v>4038</v>
      </c>
      <c r="L755" s="180" t="s">
        <v>4039</v>
      </c>
    </row>
    <row r="756">
      <c r="A756" s="278" t="s">
        <v>38</v>
      </c>
      <c r="B756" s="279" t="s">
        <v>4040</v>
      </c>
      <c r="C756" s="45" t="s">
        <v>4041</v>
      </c>
      <c r="D756" s="45" t="s">
        <v>4042</v>
      </c>
      <c r="E756" s="45" t="s">
        <v>4043</v>
      </c>
      <c r="F756" s="187">
        <v>210.0</v>
      </c>
      <c r="G756" s="180" t="str">
        <f>IFERROR(__xludf.DUMMYFUNCTION("TRIM(REGEXREPLACE(C756, ""[0-9]+[a-f]?\."", """"))"),"Now I will ask about some things that may have happened to you during the past three months.")</f>
        <v>Now I will ask about some things that may have happened to you during the past three months.</v>
      </c>
      <c r="H756" s="180" t="str">
        <f>IFERROR(__xludf.DUMMYFUNCTION("TRIM(REGEXREPLACE(D756, ""[0-9]+[a-f]?\."", """"))"),"Maintenant, je vais vous poser des questions sur certaines choses qui vous sont peut-être arrivées au cours des trois derniers mois.")</f>
        <v>Maintenant, je vais vous poser des questions sur certaines choses qui vous sont peut-être arrivées au cours des trois derniers mois.</v>
      </c>
      <c r="I756" s="180" t="str">
        <f>IFERROR(__xludf.DUMMYFUNCTION("TRIM(REGEXREPLACE(E756, ""[0-9]+[a-f]?\."", """"))"),"Yanzu zan yi tambayoyi game da wasu abubuwa da wataƙila sun faru da ku a cikin watanni uku da suka wuce.")</f>
        <v>Yanzu zan yi tambayoyi game da wasu abubuwa da wataƙila sun faru da ku a cikin watanni uku da suka wuce.</v>
      </c>
      <c r="J756" s="180" t="str">
        <f t="shared" ref="J756:L756" si="210">$F756 &amp; ". "&amp;G756</f>
        <v>210. Now I will ask about some things that may have happened to you during the past three months.</v>
      </c>
      <c r="K756" s="180" t="str">
        <f t="shared" si="210"/>
        <v>210. Maintenant, je vais vous poser des questions sur certaines choses qui vous sont peut-être arrivées au cours des trois derniers mois.</v>
      </c>
      <c r="L756" s="180" t="str">
        <f t="shared" si="210"/>
        <v>210. Yanzu zan yi tambayoyi game da wasu abubuwa da wataƙila sun faru da ku a cikin watanni uku da suka wuce.</v>
      </c>
    </row>
    <row r="757">
      <c r="A757" s="280" t="s">
        <v>1988</v>
      </c>
      <c r="B757" s="281" t="s">
        <v>4044</v>
      </c>
      <c r="C757" s="45" t="s">
        <v>4045</v>
      </c>
      <c r="D757" s="45" t="s">
        <v>4046</v>
      </c>
      <c r="E757" s="45" t="s">
        <v>4047</v>
      </c>
      <c r="F757" s="187">
        <v>211.0</v>
      </c>
      <c r="G757" s="180" t="str">
        <f>IFERROR(__xludf.DUMMYFUNCTION("TRIM(REGEXREPLACE(C757, ""[0-9]+[a-f]?\."", """"))"),"How often, if at all, were you personally discriminated against based on your identity (ethnicity, religion, nationality)?")</f>
        <v>How often, if at all, were you personally discriminated against based on your identity (ethnicity, religion, nationality)?</v>
      </c>
      <c r="H757" s="180" t="str">
        <f>IFERROR(__xludf.DUMMYFUNCTION("TRIM(REGEXREPLACE(D757,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757" s="180" t="str">
        <f>IFERROR(__xludf.DUMMYFUNCTION("TRIM(REGEXREPLACE(E757, ""[0-9]+[a-f]?\."", """"))"),"Sau nawa, idan ya faru a gareku, aka nuna muku wariya dangance da kabilarku, ko addininku, ko ƙasarku2?")</f>
        <v>Sau nawa, idan ya faru a gareku, aka nuna muku wariya dangance da kabilarku, ko addininku, ko ƙasarku2?</v>
      </c>
      <c r="J757" s="180" t="str">
        <f t="shared" ref="J757:L757" si="211">$F757 &amp; ". "&amp;G757</f>
        <v>211. How often, if at all, were you personally discriminated against based on your identity (ethnicity, religion, nationality)?</v>
      </c>
      <c r="K757" s="180" t="str">
        <f t="shared" si="211"/>
        <v>211. À quelle fréquence, si ça vous est déjà arrivé, avez-vous personnellement été victime de discrimination liée a votre identité (ethnie, religion, nationalité) ?</v>
      </c>
      <c r="L757" s="180" t="str">
        <f t="shared" si="211"/>
        <v>211. Sau nawa, idan ya faru a gareku, aka nuna muku wariya dangance da kabilarku, ko addininku, ko ƙasarku2?</v>
      </c>
    </row>
    <row r="758">
      <c r="A758" s="280" t="s">
        <v>1988</v>
      </c>
      <c r="B758" s="281" t="s">
        <v>4048</v>
      </c>
      <c r="C758" s="45" t="s">
        <v>4049</v>
      </c>
      <c r="D758" s="45" t="s">
        <v>4052</v>
      </c>
      <c r="E758" s="45" t="s">
        <v>4054</v>
      </c>
      <c r="F758" s="187">
        <v>212.0</v>
      </c>
      <c r="G758" s="180" t="str">
        <f>IFERROR(__xludf.DUMMYFUNCTION("TRIM(REGEXREPLACE(C758, ""[0-9]+[a-f]?\."", """"))"),"How often, if ever, have you felt unsafe walking in the neighborhood where you are staying?")</f>
        <v>How often, if ever, have you felt unsafe walking in the neighborhood where you are staying?</v>
      </c>
      <c r="H758" s="180" t="str">
        <f>IFERROR(__xludf.DUMMYFUNCTION("TRIM(REGEXREPLACE(D758,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758" s="180" t="str">
        <f>IFERROR(__xludf.DUMMYFUNCTION("TRIM(REGEXREPLACE(E758, ""[0-9]+[a-f]?\."", """"))"),"Sau nawa, idan ya faru a gareku, kuka ji kuna cikin hatsari yayin da kuke yawo a cikin unguwar da kuke zaune?")</f>
        <v>Sau nawa, idan ya faru a gareku, kuka ji kuna cikin hatsari yayin da kuke yawo a cikin unguwar da kuke zaune?</v>
      </c>
      <c r="J758" s="180" t="str">
        <f t="shared" ref="J758:L758" si="212">$F758 &amp; ". "&amp;G758</f>
        <v>212. How often, if ever, have you felt unsafe walking in the neighborhood where you are staying?</v>
      </c>
      <c r="K758" s="180" t="str">
        <f t="shared" si="212"/>
        <v>212. Combien de fois, vous vous êtes-vous senti en danger en vous promenant dans le quartier où vous séjournez, si cela vous est jamais arrivé ?</v>
      </c>
      <c r="L758" s="180" t="str">
        <f t="shared" si="212"/>
        <v>212. Sau nawa, idan ya faru a gareku, kuka ji kuna cikin hatsari yayin da kuke yawo a cikin unguwar da kuke zaune?</v>
      </c>
    </row>
    <row r="759" hidden="1">
      <c r="A759" s="315"/>
      <c r="B759" s="316"/>
      <c r="C759" s="316"/>
      <c r="D759" s="316"/>
      <c r="E759" s="316"/>
      <c r="F759" s="187">
        <v>450.0</v>
      </c>
      <c r="G759" s="180" t="str">
        <f>IFERROR(__xludf.DUMMYFUNCTION("TRIM(REGEXREPLACE(C759, ""[0-9]+[a-f]?\."", """"))"),"")</f>
        <v/>
      </c>
      <c r="H759" s="180" t="str">
        <f>IFERROR(__xludf.DUMMYFUNCTION("TRIM(REGEXREPLACE(D759, ""[0-9]+[a-f]?\."", """"))"),"")</f>
        <v/>
      </c>
      <c r="I759" s="180" t="str">
        <f>IFERROR(__xludf.DUMMYFUNCTION("TRIM(REGEXREPLACE(E759, ""[0-9]+[a-f]?\."", """"))"),"")</f>
        <v/>
      </c>
      <c r="J759" s="180" t="s">
        <v>4061</v>
      </c>
      <c r="K759" s="180" t="s">
        <v>4062</v>
      </c>
      <c r="L759" s="180" t="s">
        <v>4063</v>
      </c>
    </row>
    <row r="760" hidden="1">
      <c r="A760" s="298" t="s">
        <v>133</v>
      </c>
      <c r="B760" s="299" t="s">
        <v>4064</v>
      </c>
      <c r="C760" s="300"/>
      <c r="D760" s="300"/>
      <c r="E760" s="300"/>
      <c r="F760" s="187">
        <v>451.0</v>
      </c>
      <c r="G760" s="180" t="str">
        <f>IFERROR(__xludf.DUMMYFUNCTION("TRIM(REGEXREPLACE(C760, ""[0-9]+[a-f]?\."", """"))"),"")</f>
        <v/>
      </c>
      <c r="H760" s="180" t="str">
        <f>IFERROR(__xludf.DUMMYFUNCTION("TRIM(REGEXREPLACE(D760, ""[0-9]+[a-f]?\."", """"))"),"")</f>
        <v/>
      </c>
      <c r="I760" s="180" t="str">
        <f>IFERROR(__xludf.DUMMYFUNCTION("TRIM(REGEXREPLACE(E760, ""[0-9]+[a-f]?\."", """"))"),"")</f>
        <v/>
      </c>
      <c r="J760" s="180" t="s">
        <v>4072</v>
      </c>
      <c r="K760" s="180" t="s">
        <v>4073</v>
      </c>
      <c r="L760" s="180" t="s">
        <v>4074</v>
      </c>
    </row>
    <row r="761" hidden="1"/>
    <row r="762" hidden="1"/>
    <row r="763" hidden="1"/>
    <row r="764" hidden="1"/>
    <row r="765">
      <c r="A765" s="280" t="s">
        <v>1306</v>
      </c>
      <c r="B765" s="281" t="s">
        <v>4075</v>
      </c>
      <c r="C765" s="45" t="s">
        <v>4076</v>
      </c>
      <c r="D765" s="45" t="s">
        <v>4077</v>
      </c>
      <c r="E765" s="45" t="s">
        <v>4078</v>
      </c>
      <c r="F765" s="187">
        <v>213.0</v>
      </c>
      <c r="G765" s="180" t="str">
        <f>IFERROR(__xludf.DUMMYFUNCTION("TRIM(REGEXREPLACE(C765, ""[0-9]+[a-f]?\."", """"))"),"Have you experienced any of the following during ${period}?")</f>
        <v>Have you experienced any of the following during ${period}?</v>
      </c>
      <c r="H765" s="180" t="str">
        <f>IFERROR(__xludf.DUMMYFUNCTION("TRIM(REGEXREPLACE(D765, ""[0-9]+[a-f]?\."", """"))"),"Avez-vous vécu l'une des situations suivantes depuis le debut de ${period_french} ?")</f>
        <v>Avez-vous vécu l'une des situations suivantes depuis le debut de ${period_french} ?</v>
      </c>
      <c r="I765" s="180" t="str">
        <f>IFERROR(__xludf.DUMMYFUNCTION("TRIM(REGEXREPLACE(E765, ""[0-9]+[a-f]?\."", """"))"),"Ko kun taɓa fuskantar ɗayan waɗannan abubuwan a wannan wurin, lokacin ${period_hausa}?")</f>
        <v>Ko kun taɓa fuskantar ɗayan waɗannan abubuwan a wannan wurin, lokacin ${period_hausa}?</v>
      </c>
      <c r="J765" s="180" t="str">
        <f t="shared" ref="J765:L765" si="213">$F765 &amp; ". "&amp;G765</f>
        <v>213. Have you experienced any of the following during ${period}?</v>
      </c>
      <c r="K765" s="180" t="str">
        <f t="shared" si="213"/>
        <v>213. Avez-vous vécu l'une des situations suivantes depuis le debut de ${period_french} ?</v>
      </c>
      <c r="L765" s="180" t="str">
        <f t="shared" si="213"/>
        <v>213. Ko kun taɓa fuskantar ɗayan waɗannan abubuwan a wannan wurin, lokacin ${period_hausa}?</v>
      </c>
    </row>
    <row r="766">
      <c r="A766" s="280" t="s">
        <v>1306</v>
      </c>
      <c r="B766" s="281" t="s">
        <v>4082</v>
      </c>
      <c r="C766" s="45" t="s">
        <v>4083</v>
      </c>
      <c r="D766" s="45" t="s">
        <v>4084</v>
      </c>
      <c r="E766" s="45" t="s">
        <v>4085</v>
      </c>
      <c r="F766" s="187">
        <v>214.0</v>
      </c>
      <c r="G766" s="180" t="str">
        <f>IFERROR(__xludf.DUMMYFUNCTION("TRIM(REGEXREPLACE(C766, ""[0-9]+[a-f]?\."", """"))"),"Physical attack")</f>
        <v>Physical attack</v>
      </c>
      <c r="H766" s="180" t="str">
        <f>IFERROR(__xludf.DUMMYFUNCTION("TRIM(REGEXREPLACE(D766, ""[0-9]+[a-f]?\."", """"))"),"Attaque physique")</f>
        <v>Attaque physique</v>
      </c>
      <c r="I766" s="180" t="str">
        <f>IFERROR(__xludf.DUMMYFUNCTION("TRIM(REGEXREPLACE(E766, ""[0-9]+[a-f]?\."", """"))"),"harin jiki")</f>
        <v>harin jiki</v>
      </c>
      <c r="J766" s="180" t="str">
        <f t="shared" ref="J766:L766" si="214">$F766 &amp; ". "&amp;G766</f>
        <v>214. Physical attack</v>
      </c>
      <c r="K766" s="180" t="str">
        <f t="shared" si="214"/>
        <v>214. Attaque physique</v>
      </c>
      <c r="L766" s="180" t="str">
        <f t="shared" si="214"/>
        <v>214. harin jiki</v>
      </c>
    </row>
    <row r="767">
      <c r="A767" s="280" t="s">
        <v>1306</v>
      </c>
      <c r="B767" s="281" t="s">
        <v>4094</v>
      </c>
      <c r="C767" s="45" t="s">
        <v>4095</v>
      </c>
      <c r="D767" s="45" t="s">
        <v>4096</v>
      </c>
      <c r="E767" s="45" t="s">
        <v>4097</v>
      </c>
      <c r="F767" s="187">
        <v>215.0</v>
      </c>
      <c r="G767" s="180" t="str">
        <f>IFERROR(__xludf.DUMMYFUNCTION("TRIM(REGEXREPLACE(C767, ""[0-9]+[a-f]?\."", """"))"),"Threat of physical violence/attack")</f>
        <v>Threat of physical violence/attack</v>
      </c>
      <c r="H767" s="180" t="str">
        <f>IFERROR(__xludf.DUMMYFUNCTION("TRIM(REGEXREPLACE(D767, ""[0-9]+[a-f]?\."", """"))"),"Menace de violence physique/agression")</f>
        <v>Menace de violence physique/agression</v>
      </c>
      <c r="I767" s="180" t="str">
        <f>IFERROR(__xludf.DUMMYFUNCTION("TRIM(REGEXREPLACE(E767, ""[0-9]+[a-f]?\."", """"))"),"Barazanar ​​harin jiki")</f>
        <v>Barazanar ​​harin jiki</v>
      </c>
      <c r="J767" s="180" t="str">
        <f t="shared" ref="J767:L767" si="215">$F767 &amp; ". "&amp;G767</f>
        <v>215. Threat of physical violence/attack</v>
      </c>
      <c r="K767" s="180" t="str">
        <f t="shared" si="215"/>
        <v>215. Menace de violence physique/agression</v>
      </c>
      <c r="L767" s="180" t="str">
        <f t="shared" si="215"/>
        <v>215. Barazanar ​​harin jiki</v>
      </c>
    </row>
    <row r="768" hidden="1">
      <c r="B768" s="277"/>
      <c r="C768" s="277"/>
      <c r="D768" s="277"/>
      <c r="E768" s="277"/>
      <c r="F768" s="187">
        <v>468.0</v>
      </c>
      <c r="G768" s="180" t="str">
        <f>IFERROR(__xludf.DUMMYFUNCTION("TRIM(REGEXREPLACE(C768, ""[0-9]+[a-f]?\."", """"))"),"")</f>
        <v/>
      </c>
      <c r="H768" s="180" t="str">
        <f>IFERROR(__xludf.DUMMYFUNCTION("TRIM(REGEXREPLACE(D768, ""[0-9]+[a-f]?\."", """"))"),"")</f>
        <v/>
      </c>
      <c r="I768" s="180" t="str">
        <f>IFERROR(__xludf.DUMMYFUNCTION("TRIM(REGEXREPLACE(E768, ""[0-9]+[a-f]?\."", """"))"),"")</f>
        <v/>
      </c>
      <c r="J768" s="180" t="s">
        <v>4100</v>
      </c>
      <c r="K768" s="180" t="s">
        <v>4101</v>
      </c>
      <c r="L768" s="180" t="s">
        <v>4102</v>
      </c>
    </row>
    <row r="769">
      <c r="A769" s="280" t="s">
        <v>1306</v>
      </c>
      <c r="B769" s="281" t="s">
        <v>4103</v>
      </c>
      <c r="C769" s="45" t="s">
        <v>4104</v>
      </c>
      <c r="D769" s="45" t="s">
        <v>4105</v>
      </c>
      <c r="E769" s="45" t="s">
        <v>4106</v>
      </c>
      <c r="F769" s="187">
        <v>216.0</v>
      </c>
      <c r="G769" s="180" t="str">
        <f>IFERROR(__xludf.DUMMYFUNCTION("TRIM(REGEXREPLACE(C769, ""[0-9]+[a-f]?\."", """"))"),"Theft of either money or property?")</f>
        <v>Theft of either money or property?</v>
      </c>
      <c r="H769" s="180" t="str">
        <f>IFERROR(__xludf.DUMMYFUNCTION("TRIM(REGEXREPLACE(D769, ""[0-9]+[a-f]?\."", """"))"),"Vol d'argent ou de propriété?")</f>
        <v>Vol d'argent ou de propriété?</v>
      </c>
      <c r="I769" s="180" t="str">
        <f>IFERROR(__xludf.DUMMYFUNCTION("TRIM(REGEXREPLACE(E769, ""[0-9]+[a-f]?\."", """"))"),"Satar kudi ko dukiya?")</f>
        <v>Satar kudi ko dukiya?</v>
      </c>
      <c r="J769" s="180" t="str">
        <f t="shared" ref="J769:L769" si="216">$F769 &amp; ". "&amp;G769</f>
        <v>216. Theft of either money or property?</v>
      </c>
      <c r="K769" s="180" t="str">
        <f t="shared" si="216"/>
        <v>216. Vol d'argent ou de propriété?</v>
      </c>
      <c r="L769" s="180" t="str">
        <f t="shared" si="216"/>
        <v>216. Satar kudi ko dukiya?</v>
      </c>
    </row>
    <row r="770">
      <c r="A770" s="280" t="s">
        <v>1306</v>
      </c>
      <c r="B770" s="281" t="s">
        <v>4107</v>
      </c>
      <c r="C770" s="45" t="s">
        <v>2096</v>
      </c>
      <c r="D770" s="45" t="s">
        <v>2097</v>
      </c>
      <c r="E770" s="45" t="s">
        <v>2099</v>
      </c>
      <c r="F770" s="187">
        <v>217.0</v>
      </c>
      <c r="G770" s="180" t="str">
        <f>IFERROR(__xludf.DUMMYFUNCTION("TRIM(REGEXREPLACE(C770, ""[0-9]+[a-f]?\."", """"))"),"Detention or arrest by state security forces?")</f>
        <v>Detention or arrest by state security forces?</v>
      </c>
      <c r="H770" s="180" t="str">
        <f>IFERROR(__xludf.DUMMYFUNCTION("TRIM(REGEXREPLACE(D770, ""[0-9]+[a-f]?\."", """"))"),"Détention ou arrestation par les forces de sécurité de l'État ?")</f>
        <v>Détention ou arrestation par les forces de sécurité de l'État ?</v>
      </c>
      <c r="I770" s="180" t="str">
        <f>IFERROR(__xludf.DUMMYFUNCTION("TRIM(REGEXREPLACE(E770, ""[0-9]+[a-f]?\."", """"))"),"Kaso ko kamu daga jami'an tsaron gwamnati?")</f>
        <v>Kaso ko kamu daga jami'an tsaron gwamnati?</v>
      </c>
      <c r="J770" s="180" t="str">
        <f t="shared" ref="J770:L770" si="217">$F770 &amp; ". "&amp;G770</f>
        <v>217. Detention or arrest by state security forces?</v>
      </c>
      <c r="K770" s="180" t="str">
        <f t="shared" si="217"/>
        <v>217. Détention ou arrestation par les forces de sécurité de l'État ?</v>
      </c>
      <c r="L770" s="180" t="str">
        <f t="shared" si="217"/>
        <v>217. Kaso ko kamu daga jami'an tsaron gwamnati?</v>
      </c>
    </row>
    <row r="771" hidden="1">
      <c r="A771" s="298" t="s">
        <v>237</v>
      </c>
      <c r="B771" s="310" t="s">
        <v>4064</v>
      </c>
      <c r="C771" s="303"/>
      <c r="D771" s="303"/>
      <c r="E771" s="303"/>
      <c r="F771" s="187">
        <v>457.0</v>
      </c>
      <c r="G771" s="180" t="str">
        <f>IFERROR(__xludf.DUMMYFUNCTION("TRIM(REGEXREPLACE(C771, ""[0-9]+[a-f]?\."", """"))"),"")</f>
        <v/>
      </c>
      <c r="H771" s="180" t="str">
        <f>IFERROR(__xludf.DUMMYFUNCTION("TRIM(REGEXREPLACE(D771, ""[0-9]+[a-f]?\."", """"))"),"")</f>
        <v/>
      </c>
      <c r="I771" s="180" t="str">
        <f>IFERROR(__xludf.DUMMYFUNCTION("TRIM(REGEXREPLACE(E771, ""[0-9]+[a-f]?\."", """"))"),"")</f>
        <v/>
      </c>
      <c r="J771" s="180" t="s">
        <v>4112</v>
      </c>
      <c r="K771" s="180" t="s">
        <v>4113</v>
      </c>
      <c r="L771" s="180" t="s">
        <v>4114</v>
      </c>
    </row>
    <row r="772" hidden="1">
      <c r="B772" s="277"/>
      <c r="C772" s="277"/>
      <c r="D772" s="277"/>
      <c r="E772" s="277"/>
      <c r="F772" s="187">
        <v>472.0</v>
      </c>
      <c r="G772" s="180" t="str">
        <f>IFERROR(__xludf.DUMMYFUNCTION("TRIM(REGEXREPLACE(C772, ""[0-9]+[a-f]?\."", """"))"),"")</f>
        <v/>
      </c>
      <c r="H772" s="180" t="str">
        <f>IFERROR(__xludf.DUMMYFUNCTION("TRIM(REGEXREPLACE(D772, ""[0-9]+[a-f]?\."", """"))"),"")</f>
        <v/>
      </c>
      <c r="I772" s="180" t="str">
        <f>IFERROR(__xludf.DUMMYFUNCTION("TRIM(REGEXREPLACE(E772, ""[0-9]+[a-f]?\."", """"))"),"")</f>
        <v/>
      </c>
      <c r="J772" s="180" t="s">
        <v>4118</v>
      </c>
      <c r="K772" s="180" t="s">
        <v>4119</v>
      </c>
      <c r="L772" s="180" t="s">
        <v>4120</v>
      </c>
    </row>
    <row r="773" hidden="1">
      <c r="B773" s="277"/>
      <c r="C773" s="277"/>
      <c r="D773" s="277"/>
      <c r="E773" s="277"/>
      <c r="F773" s="187">
        <v>473.0</v>
      </c>
      <c r="G773" s="180" t="str">
        <f>IFERROR(__xludf.DUMMYFUNCTION("TRIM(REGEXREPLACE(C773, ""[0-9]+[a-f]?\."", """"))"),"")</f>
        <v/>
      </c>
      <c r="H773" s="180" t="str">
        <f>IFERROR(__xludf.DUMMYFUNCTION("TRIM(REGEXREPLACE(D773, ""[0-9]+[a-f]?\."", """"))"),"")</f>
        <v/>
      </c>
      <c r="I773" s="180" t="str">
        <f>IFERROR(__xludf.DUMMYFUNCTION("TRIM(REGEXREPLACE(E773, ""[0-9]+[a-f]?\."", """"))"),"")</f>
        <v/>
      </c>
      <c r="J773" s="180" t="s">
        <v>4124</v>
      </c>
      <c r="K773" s="180" t="s">
        <v>4125</v>
      </c>
      <c r="L773" s="180" t="s">
        <v>4126</v>
      </c>
    </row>
    <row r="774" hidden="1">
      <c r="B774" s="277"/>
      <c r="C774" s="277"/>
      <c r="D774" s="277"/>
      <c r="E774" s="277"/>
      <c r="F774" s="187">
        <v>474.0</v>
      </c>
      <c r="G774" s="180" t="str">
        <f>IFERROR(__xludf.DUMMYFUNCTION("TRIM(REGEXREPLACE(C774, ""[0-9]+[a-f]?\."", """"))"),"")</f>
        <v/>
      </c>
      <c r="H774" s="180" t="str">
        <f>IFERROR(__xludf.DUMMYFUNCTION("TRIM(REGEXREPLACE(D774, ""[0-9]+[a-f]?\."", """"))"),"")</f>
        <v/>
      </c>
      <c r="I774" s="180" t="str">
        <f>IFERROR(__xludf.DUMMYFUNCTION("TRIM(REGEXREPLACE(E774, ""[0-9]+[a-f]?\."", """"))"),"")</f>
        <v/>
      </c>
      <c r="J774" s="180" t="s">
        <v>4127</v>
      </c>
      <c r="K774" s="180" t="s">
        <v>4128</v>
      </c>
      <c r="L774" s="180" t="s">
        <v>4129</v>
      </c>
    </row>
    <row r="775" hidden="1">
      <c r="B775" s="277"/>
      <c r="C775" s="277"/>
      <c r="D775" s="277"/>
      <c r="E775" s="277"/>
      <c r="F775" s="187">
        <v>475.0</v>
      </c>
      <c r="G775" s="180" t="str">
        <f>IFERROR(__xludf.DUMMYFUNCTION("TRIM(REGEXREPLACE(C775, ""[0-9]+[a-f]?\."", """"))"),"")</f>
        <v/>
      </c>
      <c r="H775" s="180" t="str">
        <f>IFERROR(__xludf.DUMMYFUNCTION("TRIM(REGEXREPLACE(D775, ""[0-9]+[a-f]?\."", """"))"),"")</f>
        <v/>
      </c>
      <c r="I775" s="180" t="str">
        <f>IFERROR(__xludf.DUMMYFUNCTION("TRIM(REGEXREPLACE(E775, ""[0-9]+[a-f]?\."", """"))"),"")</f>
        <v/>
      </c>
      <c r="J775" s="180" t="s">
        <v>4133</v>
      </c>
      <c r="K775" s="180" t="s">
        <v>4135</v>
      </c>
      <c r="L775" s="180" t="s">
        <v>4136</v>
      </c>
    </row>
    <row r="776" hidden="1">
      <c r="B776" s="277"/>
      <c r="C776" s="277"/>
      <c r="D776" s="277"/>
      <c r="E776" s="277"/>
      <c r="F776" s="187">
        <v>476.0</v>
      </c>
      <c r="G776" s="180" t="str">
        <f>IFERROR(__xludf.DUMMYFUNCTION("TRIM(REGEXREPLACE(C776, ""[0-9]+[a-f]?\."", """"))"),"")</f>
        <v/>
      </c>
      <c r="H776" s="180" t="str">
        <f>IFERROR(__xludf.DUMMYFUNCTION("TRIM(REGEXREPLACE(D776, ""[0-9]+[a-f]?\."", """"))"),"")</f>
        <v/>
      </c>
      <c r="I776" s="180" t="str">
        <f>IFERROR(__xludf.DUMMYFUNCTION("TRIM(REGEXREPLACE(E776, ""[0-9]+[a-f]?\."", """"))"),"")</f>
        <v/>
      </c>
      <c r="J776" s="180" t="s">
        <v>4139</v>
      </c>
      <c r="K776" s="180" t="s">
        <v>4140</v>
      </c>
      <c r="L776" s="180" t="s">
        <v>4141</v>
      </c>
    </row>
    <row r="777" hidden="1">
      <c r="A777" s="298" t="s">
        <v>133</v>
      </c>
      <c r="B777" s="299" t="s">
        <v>4142</v>
      </c>
      <c r="C777" s="300"/>
      <c r="D777" s="300"/>
      <c r="E777" s="300"/>
      <c r="F777" s="187">
        <v>458.0</v>
      </c>
      <c r="G777" s="180" t="str">
        <f>IFERROR(__xludf.DUMMYFUNCTION("TRIM(REGEXREPLACE(C777, ""[0-9]+[a-f]?\."", """"))"),"")</f>
        <v/>
      </c>
      <c r="H777" s="180" t="str">
        <f>IFERROR(__xludf.DUMMYFUNCTION("TRIM(REGEXREPLACE(D777, ""[0-9]+[a-f]?\."", """"))"),"")</f>
        <v/>
      </c>
      <c r="I777" s="180" t="str">
        <f>IFERROR(__xludf.DUMMYFUNCTION("TRIM(REGEXREPLACE(E777, ""[0-9]+[a-f]?\."", """"))"),"")</f>
        <v/>
      </c>
      <c r="J777" s="180" t="s">
        <v>4143</v>
      </c>
      <c r="K777" s="180" t="s">
        <v>4144</v>
      </c>
      <c r="L777" s="180" t="s">
        <v>4145</v>
      </c>
    </row>
    <row r="778" hidden="1">
      <c r="B778" s="277"/>
      <c r="C778" s="277"/>
      <c r="D778" s="277"/>
      <c r="E778" s="277"/>
      <c r="F778" s="187">
        <v>478.0</v>
      </c>
      <c r="G778" s="180" t="str">
        <f>IFERROR(__xludf.DUMMYFUNCTION("TRIM(REGEXREPLACE(C778, ""[0-9]+[a-f]?\."", """"))"),"")</f>
        <v/>
      </c>
      <c r="H778" s="180" t="str">
        <f>IFERROR(__xludf.DUMMYFUNCTION("TRIM(REGEXREPLACE(D778, ""[0-9]+[a-f]?\."", """"))"),"")</f>
        <v/>
      </c>
      <c r="I778" s="180" t="str">
        <f>IFERROR(__xludf.DUMMYFUNCTION("TRIM(REGEXREPLACE(E778, ""[0-9]+[a-f]?\."", """"))"),"")</f>
        <v/>
      </c>
      <c r="J778" s="180" t="s">
        <v>4149</v>
      </c>
      <c r="K778" s="180" t="s">
        <v>4150</v>
      </c>
      <c r="L778" s="180" t="s">
        <v>4151</v>
      </c>
    </row>
    <row r="779" hidden="1">
      <c r="B779" s="277"/>
      <c r="C779" s="277"/>
      <c r="D779" s="277"/>
      <c r="E779" s="277"/>
      <c r="F779" s="187">
        <v>479.0</v>
      </c>
      <c r="G779" s="180" t="str">
        <f>IFERROR(__xludf.DUMMYFUNCTION("TRIM(REGEXREPLACE(C779, ""[0-9]+[a-f]?\."", """"))"),"")</f>
        <v/>
      </c>
      <c r="H779" s="180" t="str">
        <f>IFERROR(__xludf.DUMMYFUNCTION("TRIM(REGEXREPLACE(D779, ""[0-9]+[a-f]?\."", """"))"),"")</f>
        <v/>
      </c>
      <c r="I779" s="180" t="str">
        <f>IFERROR(__xludf.DUMMYFUNCTION("TRIM(REGEXREPLACE(E779, ""[0-9]+[a-f]?\."", """"))"),"")</f>
        <v/>
      </c>
      <c r="J779" s="180" t="s">
        <v>4152</v>
      </c>
      <c r="K779" s="180" t="s">
        <v>4153</v>
      </c>
      <c r="L779" s="180" t="s">
        <v>4154</v>
      </c>
    </row>
    <row r="780" hidden="1">
      <c r="B780" s="277"/>
      <c r="C780" s="277"/>
      <c r="D780" s="277"/>
      <c r="E780" s="277"/>
      <c r="F780" s="187">
        <v>480.0</v>
      </c>
      <c r="G780" s="180" t="str">
        <f>IFERROR(__xludf.DUMMYFUNCTION("TRIM(REGEXREPLACE(C780, ""[0-9]+[a-f]?\."", """"))"),"")</f>
        <v/>
      </c>
      <c r="H780" s="180" t="str">
        <f>IFERROR(__xludf.DUMMYFUNCTION("TRIM(REGEXREPLACE(D780, ""[0-9]+[a-f]?\."", """"))"),"")</f>
        <v/>
      </c>
      <c r="I780" s="180" t="str">
        <f>IFERROR(__xludf.DUMMYFUNCTION("TRIM(REGEXREPLACE(E780, ""[0-9]+[a-f]?\."", """"))"),"")</f>
        <v/>
      </c>
      <c r="J780" s="180" t="s">
        <v>4158</v>
      </c>
      <c r="K780" s="180" t="s">
        <v>4160</v>
      </c>
      <c r="L780" s="180" t="s">
        <v>4161</v>
      </c>
    </row>
    <row r="781">
      <c r="A781" s="278" t="s">
        <v>38</v>
      </c>
      <c r="B781" s="279" t="s">
        <v>4163</v>
      </c>
      <c r="C781" s="45" t="s">
        <v>2112</v>
      </c>
      <c r="D781" s="45" t="s">
        <v>2113</v>
      </c>
      <c r="E781" s="45" t="s">
        <v>2114</v>
      </c>
      <c r="F781" s="187">
        <v>218.0</v>
      </c>
      <c r="G781" s="180" t="str">
        <f>IFERROR(__xludf.DUMMYFUNCTION("TRIM(REGEXREPLACE(C781, ""[0-9]+[a-f]?\."", """"))"),"Now I would like to ask you to tell me more about your specific experience with:")</f>
        <v>Now I would like to ask you to tell me more about your specific experience with:</v>
      </c>
      <c r="H781" s="180" t="str">
        <f>IFERROR(__xludf.DUMMYFUNCTION("TRIM(REGEXREPLACE(D781, ""[0-9]+[a-f]?\."", """"))"),"J'aimerais maintenant vous demander de m'en dire un peu plus sur votre expérience spécifique avec :")</f>
        <v>J'aimerais maintenant vous demander de m'en dire un peu plus sur votre expérience spécifique avec :</v>
      </c>
      <c r="I781" s="180" t="str">
        <f>IFERROR(__xludf.DUMMYFUNCTION("TRIM(REGEXREPLACE(E781, ""[0-9]+[a-f]?\."", """"))"),"Yanzu ina so in tambaye ku ƙarin bayani game da takamaiman gogewarku na masamman game da:")</f>
        <v>Yanzu ina so in tambaye ku ƙarin bayani game da takamaiman gogewarku na masamman game da:</v>
      </c>
      <c r="J781" s="180" t="str">
        <f t="shared" ref="J781:L781" si="218">$F781 &amp; ". "&amp;G781</f>
        <v>218. Now I would like to ask you to tell me more about your specific experience with:</v>
      </c>
      <c r="K781" s="180" t="str">
        <f t="shared" si="218"/>
        <v>218. J'aimerais maintenant vous demander de m'en dire un peu plus sur votre expérience spécifique avec :</v>
      </c>
      <c r="L781" s="180" t="str">
        <f t="shared" si="218"/>
        <v>218. Yanzu ina so in tambaye ku ƙarin bayani game da takamaiman gogewarku na masamman game da:</v>
      </c>
    </row>
    <row r="782">
      <c r="A782" s="282" t="s">
        <v>252</v>
      </c>
      <c r="B782" s="283" t="s">
        <v>4169</v>
      </c>
      <c r="C782" s="45" t="s">
        <v>4170</v>
      </c>
      <c r="D782" s="45" t="s">
        <v>4172</v>
      </c>
      <c r="E782" s="45" t="s">
        <v>4174</v>
      </c>
      <c r="F782" s="187">
        <v>219.0</v>
      </c>
      <c r="G782" s="180" t="str">
        <f>IFERROR(__xludf.DUMMYFUNCTION("TRIM(REGEXREPLACE(C782, ""[0-9]+[a-f]?\."", """"))"),"Physical attack")</f>
        <v>Physical attack</v>
      </c>
      <c r="H782" s="180" t="str">
        <f>IFERROR(__xludf.DUMMYFUNCTION("TRIM(REGEXREPLACE(D782, ""[0-9]+[a-f]?\."", """"))"),"Attaque physique")</f>
        <v>Attaque physique</v>
      </c>
      <c r="I782" s="180" t="str">
        <f>IFERROR(__xludf.DUMMYFUNCTION("TRIM(REGEXREPLACE(E782, ""[0-9]+[a-f]?\."", """"))"),"harin jiki")</f>
        <v>harin jiki</v>
      </c>
      <c r="J782" s="180" t="str">
        <f t="shared" ref="J782:L782" si="219">$F782 &amp; ". "&amp;G782</f>
        <v>219. Physical attack</v>
      </c>
      <c r="K782" s="180" t="str">
        <f t="shared" si="219"/>
        <v>219. Attaque physique</v>
      </c>
      <c r="L782" s="180" t="str">
        <f t="shared" si="219"/>
        <v>219. harin jiki</v>
      </c>
    </row>
    <row r="783" hidden="1">
      <c r="B783" s="277"/>
      <c r="C783" s="277"/>
      <c r="D783" s="277"/>
      <c r="E783" s="277"/>
      <c r="F783" s="187">
        <v>483.0</v>
      </c>
      <c r="G783" s="180" t="str">
        <f>IFERROR(__xludf.DUMMYFUNCTION("TRIM(REGEXREPLACE(C783, ""[0-9]+[a-f]?\."", """"))"),"")</f>
        <v/>
      </c>
      <c r="H783" s="180" t="str">
        <f>IFERROR(__xludf.DUMMYFUNCTION("TRIM(REGEXREPLACE(D783, ""[0-9]+[a-f]?\."", """"))"),"")</f>
        <v/>
      </c>
      <c r="I783" s="180" t="str">
        <f>IFERROR(__xludf.DUMMYFUNCTION("TRIM(REGEXREPLACE(E783, ""[0-9]+[a-f]?\."", """"))"),"")</f>
        <v/>
      </c>
      <c r="J783" s="180" t="s">
        <v>4176</v>
      </c>
      <c r="K783" s="180" t="s">
        <v>4177</v>
      </c>
      <c r="L783" s="180" t="s">
        <v>4178</v>
      </c>
    </row>
    <row r="784">
      <c r="A784" s="282" t="s">
        <v>252</v>
      </c>
      <c r="B784" s="283" t="s">
        <v>4179</v>
      </c>
      <c r="C784" s="45" t="s">
        <v>4180</v>
      </c>
      <c r="D784" s="45" t="s">
        <v>4181</v>
      </c>
      <c r="E784" s="45" t="s">
        <v>4183</v>
      </c>
      <c r="F784" s="187">
        <v>220.0</v>
      </c>
      <c r="G784" s="180" t="str">
        <f>IFERROR(__xludf.DUMMYFUNCTION("TRIM(REGEXREPLACE(C784, ""[0-9]+[a-f]?\."", """"))"),"Threat of physical violence/attack")</f>
        <v>Threat of physical violence/attack</v>
      </c>
      <c r="H784" s="180" t="str">
        <f>IFERROR(__xludf.DUMMYFUNCTION("TRIM(REGEXREPLACE(D784, ""[0-9]+[a-f]?\."", """"))"),"Menace de violence physique/agression")</f>
        <v>Menace de violence physique/agression</v>
      </c>
      <c r="I784" s="180" t="str">
        <f>IFERROR(__xludf.DUMMYFUNCTION("TRIM(REGEXREPLACE(E784, ""[0-9]+[a-f]?\."", """"))"),"Barazanar ​​harin jiki")</f>
        <v>Barazanar ​​harin jiki</v>
      </c>
      <c r="J784" s="180" t="str">
        <f t="shared" ref="J784:L784" si="220">$F784 &amp; ". "&amp;G784</f>
        <v>220. Threat of physical violence/attack</v>
      </c>
      <c r="K784" s="180" t="str">
        <f t="shared" si="220"/>
        <v>220. Menace de violence physique/agression</v>
      </c>
      <c r="L784" s="180" t="str">
        <f t="shared" si="220"/>
        <v>220. Barazanar ​​harin jiki</v>
      </c>
    </row>
    <row r="785">
      <c r="A785" s="282" t="s">
        <v>252</v>
      </c>
      <c r="B785" s="283" t="s">
        <v>4186</v>
      </c>
      <c r="C785" s="45" t="s">
        <v>4187</v>
      </c>
      <c r="D785" s="45" t="s">
        <v>4188</v>
      </c>
      <c r="E785" s="45" t="s">
        <v>4189</v>
      </c>
      <c r="F785" s="187">
        <v>221.0</v>
      </c>
      <c r="G785" s="180" t="str">
        <f>IFERROR(__xludf.DUMMYFUNCTION("TRIM(REGEXREPLACE(C785, ""[0-9]+[a-f]?\."", """"))"),"Theft of either money or property?")</f>
        <v>Theft of either money or property?</v>
      </c>
      <c r="H785" s="180" t="str">
        <f>IFERROR(__xludf.DUMMYFUNCTION("TRIM(REGEXREPLACE(D785, ""[0-9]+[a-f]?\."", """"))"),"Vol d'argent ou de propriété?")</f>
        <v>Vol d'argent ou de propriété?</v>
      </c>
      <c r="I785" s="180" t="str">
        <f>IFERROR(__xludf.DUMMYFUNCTION("TRIM(REGEXREPLACE(E785, ""[0-9]+[a-f]?\."", """"))"),"Satar kudi ko dukiya?")</f>
        <v>Satar kudi ko dukiya?</v>
      </c>
      <c r="J785" s="180" t="str">
        <f t="shared" ref="J785:L785" si="221">$F785 &amp; ". "&amp;G785</f>
        <v>221. Theft of either money or property?</v>
      </c>
      <c r="K785" s="180" t="str">
        <f t="shared" si="221"/>
        <v>221. Vol d'argent ou de propriété?</v>
      </c>
      <c r="L785" s="180" t="str">
        <f t="shared" si="221"/>
        <v>221. Satar kudi ko dukiya?</v>
      </c>
    </row>
    <row r="786" hidden="1">
      <c r="B786" s="277"/>
      <c r="C786" s="277"/>
      <c r="D786" s="277"/>
      <c r="E786" s="277"/>
      <c r="F786" s="187">
        <v>486.0</v>
      </c>
      <c r="G786" s="180" t="str">
        <f>IFERROR(__xludf.DUMMYFUNCTION("TRIM(REGEXREPLACE(C786, ""[0-9]+[a-f]?\."", """"))"),"")</f>
        <v/>
      </c>
      <c r="H786" s="180" t="str">
        <f>IFERROR(__xludf.DUMMYFUNCTION("TRIM(REGEXREPLACE(D786, ""[0-9]+[a-f]?\."", """"))"),"")</f>
        <v/>
      </c>
      <c r="I786" s="180" t="str">
        <f>IFERROR(__xludf.DUMMYFUNCTION("TRIM(REGEXREPLACE(E786, ""[0-9]+[a-f]?\."", """"))"),"")</f>
        <v/>
      </c>
      <c r="J786" s="180" t="s">
        <v>4197</v>
      </c>
      <c r="K786" s="180" t="s">
        <v>4198</v>
      </c>
      <c r="L786" s="180" t="s">
        <v>4199</v>
      </c>
    </row>
    <row r="787" hidden="1">
      <c r="B787" s="277"/>
      <c r="C787" s="277"/>
      <c r="D787" s="277"/>
      <c r="E787" s="277"/>
      <c r="F787" s="187">
        <v>487.0</v>
      </c>
      <c r="G787" s="180" t="str">
        <f>IFERROR(__xludf.DUMMYFUNCTION("TRIM(REGEXREPLACE(C787, ""[0-9]+[a-f]?\."", """"))"),"")</f>
        <v/>
      </c>
      <c r="H787" s="180" t="str">
        <f>IFERROR(__xludf.DUMMYFUNCTION("TRIM(REGEXREPLACE(D787, ""[0-9]+[a-f]?\."", """"))"),"")</f>
        <v/>
      </c>
      <c r="I787" s="180" t="str">
        <f>IFERROR(__xludf.DUMMYFUNCTION("TRIM(REGEXREPLACE(E787, ""[0-9]+[a-f]?\."", """"))"),"")</f>
        <v/>
      </c>
      <c r="J787" s="180" t="s">
        <v>4200</v>
      </c>
      <c r="K787" s="180" t="s">
        <v>4201</v>
      </c>
      <c r="L787" s="180" t="s">
        <v>4202</v>
      </c>
    </row>
    <row r="788" hidden="1">
      <c r="B788" s="277"/>
      <c r="C788" s="277"/>
      <c r="D788" s="277"/>
      <c r="E788" s="277"/>
      <c r="F788" s="187">
        <v>488.0</v>
      </c>
      <c r="G788" s="180" t="str">
        <f>IFERROR(__xludf.DUMMYFUNCTION("TRIM(REGEXREPLACE(C788, ""[0-9]+[a-f]?\."", """"))"),"")</f>
        <v/>
      </c>
      <c r="H788" s="180" t="str">
        <f>IFERROR(__xludf.DUMMYFUNCTION("TRIM(REGEXREPLACE(D788, ""[0-9]+[a-f]?\."", """"))"),"")</f>
        <v/>
      </c>
      <c r="I788" s="180" t="str">
        <f>IFERROR(__xludf.DUMMYFUNCTION("TRIM(REGEXREPLACE(E788, ""[0-9]+[a-f]?\."", """"))"),"")</f>
        <v/>
      </c>
      <c r="J788" s="180" t="s">
        <v>4207</v>
      </c>
      <c r="K788" s="180" t="s">
        <v>4209</v>
      </c>
      <c r="L788" s="180" t="s">
        <v>4211</v>
      </c>
    </row>
    <row r="789" hidden="1">
      <c r="B789" s="277"/>
      <c r="C789" s="277"/>
      <c r="D789" s="277"/>
      <c r="E789" s="277"/>
      <c r="F789" s="187">
        <v>489.0</v>
      </c>
      <c r="G789" s="180" t="str">
        <f>IFERROR(__xludf.DUMMYFUNCTION("TRIM(REGEXREPLACE(C789, ""[0-9]+[a-f]?\."", """"))"),"")</f>
        <v/>
      </c>
      <c r="H789" s="180" t="str">
        <f>IFERROR(__xludf.DUMMYFUNCTION("TRIM(REGEXREPLACE(D789, ""[0-9]+[a-f]?\."", """"))"),"")</f>
        <v/>
      </c>
      <c r="I789" s="180" t="str">
        <f>IFERROR(__xludf.DUMMYFUNCTION("TRIM(REGEXREPLACE(E789, ""[0-9]+[a-f]?\."", """"))"),"")</f>
        <v/>
      </c>
      <c r="J789" s="180" t="s">
        <v>4212</v>
      </c>
      <c r="K789" s="180" t="s">
        <v>4213</v>
      </c>
      <c r="L789" s="180" t="s">
        <v>4214</v>
      </c>
    </row>
    <row r="790">
      <c r="A790" s="282" t="s">
        <v>252</v>
      </c>
      <c r="B790" s="283" t="s">
        <v>4215</v>
      </c>
      <c r="C790" s="45" t="s">
        <v>2127</v>
      </c>
      <c r="D790" s="45" t="s">
        <v>2128</v>
      </c>
      <c r="E790" s="45" t="s">
        <v>2129</v>
      </c>
      <c r="F790" s="187">
        <v>222.0</v>
      </c>
      <c r="G790" s="180" t="str">
        <f>IFERROR(__xludf.DUMMYFUNCTION("TRIM(REGEXREPLACE(C790, ""[0-9]+[a-f]?\."", """"))"),"Detention or arrest by state security forces?")</f>
        <v>Detention or arrest by state security forces?</v>
      </c>
      <c r="H790" s="180" t="str">
        <f>IFERROR(__xludf.DUMMYFUNCTION("TRIM(REGEXREPLACE(D790, ""[0-9]+[a-f]?\."", """"))"),"Détention ou arrestation par les forces de sécurité de l'État ?")</f>
        <v>Détention ou arrestation par les forces de sécurité de l'État ?</v>
      </c>
      <c r="I790" s="180" t="str">
        <f>IFERROR(__xludf.DUMMYFUNCTION("TRIM(REGEXREPLACE(E790, ""[0-9]+[a-f]?\."", """"))"),"Kaso ko kamu daga jami'an tsaron gwamnati?")</f>
        <v>Kaso ko kamu daga jami'an tsaron gwamnati?</v>
      </c>
      <c r="J790" s="180" t="str">
        <f t="shared" ref="J790:L790" si="222">$F790 &amp; ". "&amp;G790</f>
        <v>222. Detention or arrest by state security forces?</v>
      </c>
      <c r="K790" s="180" t="str">
        <f t="shared" si="222"/>
        <v>222. Détention ou arrestation par les forces de sécurité de l'État ?</v>
      </c>
      <c r="L790" s="180" t="str">
        <f t="shared" si="222"/>
        <v>222. Kaso ko kamu daga jami'an tsaron gwamnati?</v>
      </c>
    </row>
    <row r="791" hidden="1">
      <c r="A791" s="298" t="s">
        <v>237</v>
      </c>
      <c r="B791" s="310" t="s">
        <v>4142</v>
      </c>
      <c r="C791" s="303"/>
      <c r="D791" s="303"/>
      <c r="E791" s="303"/>
      <c r="F791" s="187">
        <v>464.0</v>
      </c>
      <c r="G791" s="180" t="str">
        <f>IFERROR(__xludf.DUMMYFUNCTION("TRIM(REGEXREPLACE(C791, ""[0-9]+[a-f]?\."", """"))"),"")</f>
        <v/>
      </c>
      <c r="H791" s="180" t="str">
        <f>IFERROR(__xludf.DUMMYFUNCTION("TRIM(REGEXREPLACE(D791, ""[0-9]+[a-f]?\."", """"))"),"")</f>
        <v/>
      </c>
      <c r="I791" s="180" t="str">
        <f>IFERROR(__xludf.DUMMYFUNCTION("TRIM(REGEXREPLACE(E791, ""[0-9]+[a-f]?\."", """"))"),"")</f>
        <v/>
      </c>
      <c r="J791" s="180" t="s">
        <v>4222</v>
      </c>
      <c r="K791" s="180" t="s">
        <v>4223</v>
      </c>
      <c r="L791" s="180" t="s">
        <v>4224</v>
      </c>
    </row>
    <row r="792" hidden="1">
      <c r="A792" s="302"/>
      <c r="B792" s="300"/>
      <c r="C792" s="300"/>
      <c r="D792" s="303"/>
      <c r="E792" s="303"/>
      <c r="F792" s="187">
        <v>465.0</v>
      </c>
      <c r="G792" s="180" t="str">
        <f>IFERROR(__xludf.DUMMYFUNCTION("TRIM(REGEXREPLACE(C792, ""[0-9]+[a-f]?\."", """"))"),"")</f>
        <v/>
      </c>
      <c r="H792" s="180" t="str">
        <f>IFERROR(__xludf.DUMMYFUNCTION("TRIM(REGEXREPLACE(D792, ""[0-9]+[a-f]?\."", """"))"),"")</f>
        <v/>
      </c>
      <c r="I792" s="180" t="str">
        <f>IFERROR(__xludf.DUMMYFUNCTION("TRIM(REGEXREPLACE(E792, ""[0-9]+[a-f]?\."", """"))"),"")</f>
        <v/>
      </c>
      <c r="J792" s="180" t="s">
        <v>4225</v>
      </c>
      <c r="K792" s="180" t="s">
        <v>4226</v>
      </c>
      <c r="L792" s="180" t="s">
        <v>4227</v>
      </c>
    </row>
    <row r="793" hidden="1">
      <c r="B793" s="277"/>
      <c r="C793" s="277"/>
      <c r="D793" s="277"/>
      <c r="E793" s="277"/>
      <c r="F793" s="187">
        <v>493.0</v>
      </c>
      <c r="G793" s="180" t="str">
        <f>IFERROR(__xludf.DUMMYFUNCTION("TRIM(REGEXREPLACE(C793, ""[0-9]+[a-f]?\."", """"))"),"")</f>
        <v/>
      </c>
      <c r="H793" s="180" t="str">
        <f>IFERROR(__xludf.DUMMYFUNCTION("TRIM(REGEXREPLACE(D793, ""[0-9]+[a-f]?\."", """"))"),"")</f>
        <v/>
      </c>
      <c r="I793" s="180" t="str">
        <f>IFERROR(__xludf.DUMMYFUNCTION("TRIM(REGEXREPLACE(E793, ""[0-9]+[a-f]?\."", """"))"),"")</f>
        <v/>
      </c>
      <c r="J793" s="180" t="s">
        <v>4231</v>
      </c>
      <c r="K793" s="180" t="s">
        <v>4232</v>
      </c>
      <c r="L793" s="180" t="s">
        <v>4233</v>
      </c>
    </row>
    <row r="794">
      <c r="A794" s="278" t="s">
        <v>38</v>
      </c>
      <c r="B794" s="279" t="s">
        <v>4234</v>
      </c>
      <c r="C794" s="45" t="s">
        <v>2141</v>
      </c>
      <c r="D794" s="45" t="s">
        <v>2142</v>
      </c>
      <c r="E794" s="45" t="s">
        <v>2143</v>
      </c>
      <c r="F794" s="187">
        <v>223.0</v>
      </c>
      <c r="G794" s="180" t="str">
        <f>IFERROR(__xludf.DUMMYFUNCTION("TRIM(REGEXREPLACE(C794, ""[0-9]+[a-f]?\."", """"))"),"I will now ask you about meals people in your household have consumed in the past 7 days.")</f>
        <v>I will now ask you about meals people in your household have consumed in the past 7 days.</v>
      </c>
      <c r="H794" s="180" t="str">
        <f>IFERROR(__xludf.DUMMYFUNCTION("TRIM(REGEXREPLACE(D794,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794" s="180" t="str">
        <f>IFERROR(__xludf.DUMMYFUNCTION("TRIM(REGEXREPLACE(E794, ""[0-9]+[a-f]?\."", """"))"),"Yanzu zan tambaye ku bisa abincin da mutanen gidanku suka ci a cikin kwanaki 7 da suka wuce.")</f>
        <v>Yanzu zan tambaye ku bisa abincin da mutanen gidanku suka ci a cikin kwanaki 7 da suka wuce.</v>
      </c>
      <c r="J794" s="180" t="str">
        <f t="shared" ref="J794:L794" si="223">$F794 &amp; ". "&amp;G794</f>
        <v>223. I will now ask you about meals people in your household have consumed in the past 7 days.</v>
      </c>
      <c r="K794" s="180" t="str">
        <f t="shared" si="223"/>
        <v>223. Je vais maintenant vous poser des questions sur les repas que les membres de votre ménage ont consommé au cours des 7 derniers jours.</v>
      </c>
      <c r="L794" s="180" t="str">
        <f t="shared" si="223"/>
        <v>223. Yanzu zan tambaye ku bisa abincin da mutanen gidanku suka ci a cikin kwanaki 7 da suka wuce.</v>
      </c>
    </row>
    <row r="795">
      <c r="A795" s="280" t="s">
        <v>2509</v>
      </c>
      <c r="B795" s="281" t="s">
        <v>4242</v>
      </c>
      <c r="C795" s="45" t="s">
        <v>4243</v>
      </c>
      <c r="D795" s="45" t="s">
        <v>4244</v>
      </c>
      <c r="E795" s="45" t="s">
        <v>4245</v>
      </c>
      <c r="F795" s="187">
        <v>224.0</v>
      </c>
      <c r="G795" s="180" t="str">
        <f>IFERROR(__xludf.DUMMYFUNCTION("TRIM(REGEXREPLACE(C795, ""[0-9]+[a-f]?\."", """"))"),"In the last 7 days, have adults gone a whole day without meals?")</f>
        <v>In the last 7 days, have adults gone a whole day without meals?</v>
      </c>
      <c r="H795" s="180" t="str">
        <f>IFERROR(__xludf.DUMMYFUNCTION("TRIM(REGEXREPLACE(D795, ""[0-9]+[a-f]?\."", """"))"),"Au cours des 7 derniers jours, des adultes sont-ils restés une journée entière sans manger de repas ?")</f>
        <v>Au cours des 7 derniers jours, des adultes sont-ils restés une journée entière sans manger de repas ?</v>
      </c>
      <c r="I795" s="180" t="str">
        <f>IFERROR(__xludf.DUMMYFUNCTION("TRIM(REGEXREPLACE(E795, ""[0-9]+[a-f]?\."", """"))"),"A cikin kwanaki 7 da suka wuce, ko manya gidanku sun zauna tsawon wuni guda basu ci abinci ba?")</f>
        <v>A cikin kwanaki 7 da suka wuce, ko manya gidanku sun zauna tsawon wuni guda basu ci abinci ba?</v>
      </c>
      <c r="J795" s="180" t="str">
        <f t="shared" ref="J795:L795" si="224">$F795 &amp; ". "&amp;G795</f>
        <v>224. In the last 7 days, have adults gone a whole day without meals?</v>
      </c>
      <c r="K795" s="180" t="str">
        <f t="shared" si="224"/>
        <v>224. Au cours des 7 derniers jours, des adultes sont-ils restés une journée entière sans manger de repas ?</v>
      </c>
      <c r="L795" s="180" t="str">
        <f t="shared" si="224"/>
        <v>224. A cikin kwanaki 7 da suka wuce, ko manya gidanku sun zauna tsawon wuni guda basu ci abinci ba?</v>
      </c>
    </row>
    <row r="796">
      <c r="A796" s="291" t="s">
        <v>268</v>
      </c>
      <c r="B796" s="292" t="s">
        <v>4252</v>
      </c>
      <c r="C796" s="45" t="s">
        <v>4253</v>
      </c>
      <c r="D796" s="45" t="s">
        <v>4254</v>
      </c>
      <c r="E796" s="45" t="s">
        <v>4255</v>
      </c>
      <c r="F796" s="187">
        <v>225.0</v>
      </c>
      <c r="G796" s="180" t="str">
        <f>IFERROR(__xludf.DUMMYFUNCTION("TRIM(REGEXREPLACE(C796, ""[0-9]+[a-f]?\."", """"))"),"How many days?")</f>
        <v>How many days?</v>
      </c>
      <c r="H796" s="180" t="str">
        <f>IFERROR(__xludf.DUMMYFUNCTION("TRIM(REGEXREPLACE(D796, ""[0-9]+[a-f]?\."", """"))"),"Pendant combien de jours?")</f>
        <v>Pendant combien de jours?</v>
      </c>
      <c r="I796" s="180" t="str">
        <f>IFERROR(__xludf.DUMMYFUNCTION("TRIM(REGEXREPLACE(E796, ""[0-9]+[a-f]?\."", """"))"),"151a Tsawon kwanaki nawa?")</f>
        <v>151a Tsawon kwanaki nawa?</v>
      </c>
      <c r="J796" s="180" t="str">
        <f t="shared" ref="J796:L796" si="225">$F796 &amp; ". "&amp;G796</f>
        <v>225. How many days?</v>
      </c>
      <c r="K796" s="180" t="str">
        <f t="shared" si="225"/>
        <v>225. Pendant combien de jours?</v>
      </c>
      <c r="L796" s="180" t="str">
        <f t="shared" si="225"/>
        <v>225. 151a Tsawon kwanaki nawa?</v>
      </c>
    </row>
    <row r="797" hidden="1">
      <c r="B797" s="277"/>
      <c r="C797" s="277"/>
      <c r="D797" s="277"/>
      <c r="E797" s="277"/>
      <c r="F797" s="187">
        <v>497.0</v>
      </c>
      <c r="G797" s="180" t="str">
        <f>IFERROR(__xludf.DUMMYFUNCTION("TRIM(REGEXREPLACE(C797, ""[0-9]+[a-f]?\."", """"))"),"")</f>
        <v/>
      </c>
      <c r="H797" s="180" t="str">
        <f>IFERROR(__xludf.DUMMYFUNCTION("TRIM(REGEXREPLACE(D797, ""[0-9]+[a-f]?\."", """"))"),"")</f>
        <v/>
      </c>
      <c r="I797" s="180" t="str">
        <f>IFERROR(__xludf.DUMMYFUNCTION("TRIM(REGEXREPLACE(E797, ""[0-9]+[a-f]?\."", """"))"),"")</f>
        <v/>
      </c>
      <c r="J797" s="180" t="s">
        <v>4259</v>
      </c>
      <c r="K797" s="180" t="s">
        <v>4260</v>
      </c>
      <c r="L797" s="180" t="s">
        <v>4261</v>
      </c>
    </row>
    <row r="798" hidden="1">
      <c r="B798" s="277"/>
      <c r="C798" s="277"/>
      <c r="D798" s="277"/>
      <c r="E798" s="277"/>
      <c r="F798" s="187">
        <v>498.0</v>
      </c>
      <c r="G798" s="180" t="str">
        <f>IFERROR(__xludf.DUMMYFUNCTION("TRIM(REGEXREPLACE(C798, ""[0-9]+[a-f]?\."", """"))"),"")</f>
        <v/>
      </c>
      <c r="H798" s="180" t="str">
        <f>IFERROR(__xludf.DUMMYFUNCTION("TRIM(REGEXREPLACE(D798, ""[0-9]+[a-f]?\."", """"))"),"")</f>
        <v/>
      </c>
      <c r="I798" s="180" t="str">
        <f>IFERROR(__xludf.DUMMYFUNCTION("TRIM(REGEXREPLACE(E798, ""[0-9]+[a-f]?\."", """"))"),"")</f>
        <v/>
      </c>
      <c r="J798" s="180" t="s">
        <v>4262</v>
      </c>
      <c r="K798" s="180" t="s">
        <v>4263</v>
      </c>
      <c r="L798" s="180" t="s">
        <v>4264</v>
      </c>
    </row>
    <row r="799" hidden="1">
      <c r="B799" s="277"/>
      <c r="C799" s="277"/>
      <c r="D799" s="277"/>
      <c r="E799" s="277"/>
      <c r="F799" s="187">
        <v>499.0</v>
      </c>
      <c r="G799" s="180" t="str">
        <f>IFERROR(__xludf.DUMMYFUNCTION("TRIM(REGEXREPLACE(C799, ""[0-9]+[a-f]?\."", """"))"),"")</f>
        <v/>
      </c>
      <c r="H799" s="180" t="str">
        <f>IFERROR(__xludf.DUMMYFUNCTION("TRIM(REGEXREPLACE(D799, ""[0-9]+[a-f]?\."", """"))"),"")</f>
        <v/>
      </c>
      <c r="I799" s="180" t="str">
        <f>IFERROR(__xludf.DUMMYFUNCTION("TRIM(REGEXREPLACE(E799, ""[0-9]+[a-f]?\."", """"))"),"")</f>
        <v/>
      </c>
      <c r="J799" s="180" t="s">
        <v>4265</v>
      </c>
      <c r="K799" s="180" t="s">
        <v>4266</v>
      </c>
      <c r="L799" s="180" t="s">
        <v>4266</v>
      </c>
    </row>
    <row r="800" hidden="1">
      <c r="B800" s="277"/>
      <c r="C800" s="277"/>
      <c r="D800" s="277"/>
      <c r="E800" s="277"/>
      <c r="F800" s="187">
        <v>500.0</v>
      </c>
      <c r="G800" s="180" t="str">
        <f>IFERROR(__xludf.DUMMYFUNCTION("TRIM(REGEXREPLACE(C800, ""[0-9]+[a-f]?\."", """"))"),"")</f>
        <v/>
      </c>
      <c r="H800" s="180" t="str">
        <f>IFERROR(__xludf.DUMMYFUNCTION("TRIM(REGEXREPLACE(D800, ""[0-9]+[a-f]?\."", """"))"),"")</f>
        <v/>
      </c>
      <c r="I800" s="180" t="str">
        <f>IFERROR(__xludf.DUMMYFUNCTION("TRIM(REGEXREPLACE(E800, ""[0-9]+[a-f]?\."", """"))"),"")</f>
        <v/>
      </c>
      <c r="J800" s="180" t="s">
        <v>4267</v>
      </c>
      <c r="K800" s="180" t="s">
        <v>4268</v>
      </c>
      <c r="L800" s="180" t="s">
        <v>4269</v>
      </c>
    </row>
    <row r="801" hidden="1"/>
    <row r="802" hidden="1"/>
    <row r="803">
      <c r="A803" s="280" t="s">
        <v>2509</v>
      </c>
      <c r="B803" s="281" t="s">
        <v>4270</v>
      </c>
      <c r="C803" s="45" t="s">
        <v>4271</v>
      </c>
      <c r="D803" s="45" t="s">
        <v>4272</v>
      </c>
      <c r="E803" s="45" t="s">
        <v>4273</v>
      </c>
      <c r="F803" s="187">
        <v>226.0</v>
      </c>
      <c r="G803" s="180" t="str">
        <f>IFERROR(__xludf.DUMMYFUNCTION("TRIM(REGEXREPLACE(C803, ""[0-9]+[a-f]?\."", """"))"),"In the last 7 days, have adults cut the size of meals or skipped meals?")</f>
        <v>In the last 7 days, have adults cut the size of meals or skipped meals?</v>
      </c>
      <c r="H803" s="180" t="str">
        <f>IFERROR(__xludf.DUMMYFUNCTION("TRIM(REGEXREPLACE(D803, ""[0-9]+[a-f]?\."", """"))"),"Au cours des 7 derniers jours, les adultes ont-ils réduit la taille de leur repas ou les ont-ils sauté?")</f>
        <v>Au cours des 7 derniers jours, les adultes ont-ils réduit la taille de leur repas ou les ont-ils sauté?</v>
      </c>
      <c r="I803" s="180" t="str">
        <f>IFERROR(__xludf.DUMMYFUNCTION("TRIM(REGEXREPLACE(E803, ""[0-9]+[a-f]?\."", """"))"),"A cikin kwanaki 7 na ƙarshe, ko manyan gidanku sun rage yawan abincin da suka saba ci ko sun tsallake shi?")</f>
        <v>A cikin kwanaki 7 na ƙarshe, ko manyan gidanku sun rage yawan abincin da suka saba ci ko sun tsallake shi?</v>
      </c>
      <c r="J803" s="180" t="str">
        <f t="shared" ref="J803:L803" si="226">$F803 &amp; ". "&amp;G803</f>
        <v>226. In the last 7 days, have adults cut the size of meals or skipped meals?</v>
      </c>
      <c r="K803" s="180" t="str">
        <f t="shared" si="226"/>
        <v>226. Au cours des 7 derniers jours, les adultes ont-ils réduit la taille de leur repas ou les ont-ils sauté?</v>
      </c>
      <c r="L803" s="180" t="str">
        <f t="shared" si="226"/>
        <v>226. A cikin kwanaki 7 na ƙarshe, ko manyan gidanku sun rage yawan abincin da suka saba ci ko sun tsallake shi?</v>
      </c>
    </row>
    <row r="804">
      <c r="A804" s="291" t="s">
        <v>268</v>
      </c>
      <c r="B804" s="292" t="s">
        <v>4281</v>
      </c>
      <c r="C804" s="45" t="s">
        <v>4282</v>
      </c>
      <c r="D804" s="45" t="s">
        <v>4283</v>
      </c>
      <c r="E804" s="45" t="s">
        <v>4284</v>
      </c>
      <c r="F804" s="187">
        <v>227.0</v>
      </c>
      <c r="G804" s="180" t="str">
        <f>IFERROR(__xludf.DUMMYFUNCTION("TRIM(REGEXREPLACE(C804, ""[0-9]+[a-f]?\."", """"))"),"How many days?")</f>
        <v>How many days?</v>
      </c>
      <c r="H804" s="180" t="str">
        <f>IFERROR(__xludf.DUMMYFUNCTION("TRIM(REGEXREPLACE(D804, ""[0-9]+[a-f]?\."", """"))"),"Pendant combien de jours?")</f>
        <v>Pendant combien de jours?</v>
      </c>
      <c r="I804" s="180" t="str">
        <f>IFERROR(__xludf.DUMMYFUNCTION("TRIM(REGEXREPLACE(E804, ""[0-9]+[a-f]?\."", """"))"),"Tsawon kwanaki nawa?")</f>
        <v>Tsawon kwanaki nawa?</v>
      </c>
      <c r="J804" s="180" t="str">
        <f t="shared" ref="J804:L804" si="227">$F804 &amp; ". "&amp;G804</f>
        <v>227. How many days?</v>
      </c>
      <c r="K804" s="180" t="str">
        <f t="shared" si="227"/>
        <v>227. Pendant combien de jours?</v>
      </c>
      <c r="L804" s="180" t="str">
        <f t="shared" si="227"/>
        <v>227. Tsawon kwanaki nawa?</v>
      </c>
    </row>
    <row r="805">
      <c r="A805" s="291" t="s">
        <v>268</v>
      </c>
      <c r="B805" s="292" t="s">
        <v>4288</v>
      </c>
      <c r="C805" s="45" t="s">
        <v>4289</v>
      </c>
      <c r="D805" s="45" t="s">
        <v>4290</v>
      </c>
      <c r="E805" s="45" t="s">
        <v>4291</v>
      </c>
      <c r="F805" s="187">
        <v>228.0</v>
      </c>
      <c r="G805" s="180" t="str">
        <f>IFERROR(__xludf.DUMMYFUNCTION("TRIM(REGEXREPLACE(C805, ""[0-9]+[a-f]?\."", """"))"),"In the past week how many days have adults in your household consumed animal protein (including fish, meat, poultry)?")</f>
        <v>In the past week how many days have adults in your household consumed animal protein (including fish, meat, poultry)?</v>
      </c>
      <c r="H805" s="180" t="str">
        <f>IFERROR(__xludf.DUMMYFUNCTION("TRIM(REGEXREPLACE(D805,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805" s="180" t="str">
        <f>IFERROR(__xludf.DUMMYFUNCTION("TRIM(REGEXREPLACE(E805, ""[0-9]+[a-f]?\."", """"))"),"A cikin kwanaki 7 da suka wuce sau nawa manyan gidanku suka ci abinci masu gina jiki kamar su kifi ko nama ko kaji?")</f>
        <v>A cikin kwanaki 7 da suka wuce sau nawa manyan gidanku suka ci abinci masu gina jiki kamar su kifi ko nama ko kaji?</v>
      </c>
      <c r="J805" s="180" t="str">
        <f t="shared" ref="J805:L805" si="228">$F805 &amp; ". "&amp;G805</f>
        <v>228. In the past week how many days have adults in your household consumed animal protein (including fish, meat, poultry)?</v>
      </c>
      <c r="K805" s="180" t="str">
        <f t="shared" si="228"/>
        <v>228. Au cours des 7 derniers jours, combien de fois les adultes de votre ménage ont-ils consommé des protéines animales (y compris poisson, viande, volaille) ?</v>
      </c>
      <c r="L805" s="180" t="str">
        <f t="shared" si="228"/>
        <v>228. A cikin kwanaki 7 da suka wuce sau nawa manyan gidanku suka ci abinci masu gina jiki kamar su kifi ko nama ko kaji?</v>
      </c>
    </row>
    <row r="806">
      <c r="A806" s="280" t="s">
        <v>2509</v>
      </c>
      <c r="B806" s="281" t="s">
        <v>4297</v>
      </c>
      <c r="C806" s="45" t="s">
        <v>4298</v>
      </c>
      <c r="D806" s="45" t="s">
        <v>4300</v>
      </c>
      <c r="E806" s="45" t="s">
        <v>4301</v>
      </c>
      <c r="F806" s="187">
        <v>229.0</v>
      </c>
      <c r="G806" s="180" t="str">
        <f>IFERROR(__xludf.DUMMYFUNCTION("TRIM(REGEXREPLACE(C806, ""[0-9]+[a-f]?\."", """"))"),"In the last 7 days, have children (&lt;14) gone a whole day without meals?")</f>
        <v>In the last 7 days, have children (&lt;14) gone a whole day without meals?</v>
      </c>
      <c r="H806" s="180" t="str">
        <f>IFERROR(__xludf.DUMMYFUNCTION("TRIM(REGEXREPLACE(D806, ""[0-9]+[a-f]?\."", """"))"),"Au cours des 7 derniers jours, des enfants (&lt;14) ont-ils passé une journée entière sans manger de repas ?")</f>
        <v>Au cours des 7 derniers jours, des enfants (&lt;14) ont-ils passé une journée entière sans manger de repas ?</v>
      </c>
      <c r="I806" s="180" t="str">
        <f>IFERROR(__xludf.DUMMYFUNCTION("TRIM(REGEXREPLACE(E806, ""[0-9]+[a-f]?\."", """"))"),"A cikin kwanaki 7 na ƙarshe, ko yara ƴan ƙasa da shekara goma sha huɗu sun zauna tsawon wuni guda ba su ci da abinci ba?")</f>
        <v>A cikin kwanaki 7 na ƙarshe, ko yara ƴan ƙasa da shekara goma sha huɗu sun zauna tsawon wuni guda ba su ci da abinci ba?</v>
      </c>
      <c r="J806" s="180" t="str">
        <f t="shared" ref="J806:L806" si="229">$F806 &amp; ". "&amp;G806</f>
        <v>229. In the last 7 days, have children (&lt;14) gone a whole day without meals?</v>
      </c>
      <c r="K806" s="180" t="str">
        <f t="shared" si="229"/>
        <v>229. Au cours des 7 derniers jours, des enfants (&lt;14) ont-ils passé une journée entière sans manger de repas ?</v>
      </c>
      <c r="L806" s="180" t="str">
        <f t="shared" si="229"/>
        <v>229. A cikin kwanaki 7 na ƙarshe, ko yara ƴan ƙasa da shekara goma sha huɗu sun zauna tsawon wuni guda ba su ci da abinci ba?</v>
      </c>
    </row>
    <row r="807">
      <c r="A807" s="291" t="s">
        <v>268</v>
      </c>
      <c r="B807" s="292" t="s">
        <v>4302</v>
      </c>
      <c r="C807" s="45" t="s">
        <v>4303</v>
      </c>
      <c r="D807" s="45" t="s">
        <v>4304</v>
      </c>
      <c r="E807" s="45" t="s">
        <v>4305</v>
      </c>
      <c r="F807" s="187">
        <v>230.0</v>
      </c>
      <c r="G807" s="180" t="str">
        <f>IFERROR(__xludf.DUMMYFUNCTION("TRIM(REGEXREPLACE(C807, ""[0-9]+[a-f]?\."", """"))"),"How many days?")</f>
        <v>How many days?</v>
      </c>
      <c r="H807" s="180" t="str">
        <f>IFERROR(__xludf.DUMMYFUNCTION("TRIM(REGEXREPLACE(D807, ""[0-9]+[a-f]?\."", """"))"),"Pendant combien de jours?")</f>
        <v>Pendant combien de jours?</v>
      </c>
      <c r="I807" s="180" t="str">
        <f>IFERROR(__xludf.DUMMYFUNCTION("TRIM(REGEXREPLACE(E807, ""[0-9]+[a-f]?\."", """"))"),"154a Tsawon kwanaki nawa?")</f>
        <v>154a Tsawon kwanaki nawa?</v>
      </c>
      <c r="J807" s="180" t="str">
        <f t="shared" ref="J807:L807" si="230">$F807 &amp; ". "&amp;G807</f>
        <v>230. How many days?</v>
      </c>
      <c r="K807" s="180" t="str">
        <f t="shared" si="230"/>
        <v>230. Pendant combien de jours?</v>
      </c>
      <c r="L807" s="180" t="str">
        <f t="shared" si="230"/>
        <v>230. 154a Tsawon kwanaki nawa?</v>
      </c>
    </row>
    <row r="808">
      <c r="A808" s="280" t="s">
        <v>2509</v>
      </c>
      <c r="B808" s="281" t="s">
        <v>4312</v>
      </c>
      <c r="C808" s="45" t="s">
        <v>4313</v>
      </c>
      <c r="D808" s="45" t="s">
        <v>4314</v>
      </c>
      <c r="E808" s="45" t="s">
        <v>4315</v>
      </c>
      <c r="F808" s="187">
        <v>231.0</v>
      </c>
      <c r="G808" s="180" t="str">
        <f>IFERROR(__xludf.DUMMYFUNCTION("TRIM(REGEXREPLACE(C808, ""[0-9]+[a-f]?\."", """"))"),"In the last 7 days, have children (&lt;14) cut the size of meals or skipped meals?")</f>
        <v>In the last 7 days, have children (&lt;14) cut the size of meals or skipped meals?</v>
      </c>
      <c r="H808" s="180" t="str">
        <f>IFERROR(__xludf.DUMMYFUNCTION("TRIM(REGEXREPLACE(D808, ""[0-9]+[a-f]?\."", """"))"),"Au cours des 7 derniers jours, des enfants (&lt;14) ont-ils réduit la taille de leurs repas ou les ont-ils sauté?")</f>
        <v>Au cours des 7 derniers jours, des enfants (&lt;14) ont-ils réduit la taille de leurs repas ou les ont-ils sauté?</v>
      </c>
      <c r="I808" s="180" t="str">
        <f>IFERROR(__xludf.DUMMYFUNCTION("TRIM(REGEXREPLACE(E808, ""[0-9]+[a-f]?\."", """"))"),"A cikin kwanaki 7 na ƙarshe, suna da yara (&lt;14) sun rage yawan abinci ko sun rasa gaba ɗaya?")</f>
        <v>A cikin kwanaki 7 na ƙarshe, suna da yara (&lt;14) sun rage yawan abinci ko sun rasa gaba ɗaya?</v>
      </c>
      <c r="J808" s="180" t="str">
        <f t="shared" ref="J808:L808" si="231">$F808 &amp; ". "&amp;G808</f>
        <v>231. In the last 7 days, have children (&lt;14) cut the size of meals or skipped meals?</v>
      </c>
      <c r="K808" s="180" t="str">
        <f t="shared" si="231"/>
        <v>231. Au cours des 7 derniers jours, des enfants (&lt;14) ont-ils réduit la taille de leurs repas ou les ont-ils sauté?</v>
      </c>
      <c r="L808" s="180" t="str">
        <f t="shared" si="231"/>
        <v>231. A cikin kwanaki 7 na ƙarshe, suna da yara (&lt;14) sun rage yawan abinci ko sun rasa gaba ɗaya?</v>
      </c>
    </row>
    <row r="809">
      <c r="A809" s="291" t="s">
        <v>268</v>
      </c>
      <c r="B809" s="292" t="s">
        <v>4316</v>
      </c>
      <c r="C809" s="45" t="s">
        <v>4317</v>
      </c>
      <c r="D809" s="45" t="s">
        <v>4318</v>
      </c>
      <c r="E809" s="45" t="s">
        <v>4319</v>
      </c>
      <c r="F809" s="187">
        <v>232.0</v>
      </c>
      <c r="G809" s="180" t="str">
        <f>IFERROR(__xludf.DUMMYFUNCTION("TRIM(REGEXREPLACE(C809, ""[0-9]+[a-f]?\."", """"))"),"How many days?")</f>
        <v>How many days?</v>
      </c>
      <c r="H809" s="180" t="str">
        <f>IFERROR(__xludf.DUMMYFUNCTION("TRIM(REGEXREPLACE(D809, ""[0-9]+[a-f]?\."", """"))"),"Pendant combien de jours?")</f>
        <v>Pendant combien de jours?</v>
      </c>
      <c r="I809" s="180" t="str">
        <f>IFERROR(__xludf.DUMMYFUNCTION("TRIM(REGEXREPLACE(E809, ""[0-9]+[a-f]?\."", """"))"),"155a Tsawon kwanaki nawa?")</f>
        <v>155a Tsawon kwanaki nawa?</v>
      </c>
      <c r="J809" s="180" t="str">
        <f t="shared" ref="J809:L809" si="232">$F809 &amp; ". "&amp;G809</f>
        <v>232. How many days?</v>
      </c>
      <c r="K809" s="180" t="str">
        <f t="shared" si="232"/>
        <v>232. Pendant combien de jours?</v>
      </c>
      <c r="L809" s="180" t="str">
        <f t="shared" si="232"/>
        <v>232. 155a Tsawon kwanaki nawa?</v>
      </c>
    </row>
    <row r="810">
      <c r="A810" s="291" t="s">
        <v>268</v>
      </c>
      <c r="B810" s="292" t="s">
        <v>4322</v>
      </c>
      <c r="C810" s="45" t="s">
        <v>4324</v>
      </c>
      <c r="D810" s="45" t="s">
        <v>4325</v>
      </c>
      <c r="E810" s="45" t="s">
        <v>4326</v>
      </c>
      <c r="F810" s="187">
        <v>233.0</v>
      </c>
      <c r="G810" s="180" t="str">
        <f>IFERROR(__xludf.DUMMYFUNCTION("TRIM(REGEXREPLACE(C810, ""[0-9]+[a-f]?\."", """"))"),"In the past week how many days have children in your household consumed animal protein (inlcuding fish, meat, poultry)?")</f>
        <v>In the past week how many days have children in your household consumed animal protein (inlcuding fish, meat, poultry)?</v>
      </c>
      <c r="H810" s="180" t="str">
        <f>IFERROR(__xludf.DUMMYFUNCTION("TRIM(REGEXREPLACE(D810,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810" s="180" t="str">
        <f>IFERROR(__xludf.DUMMYFUNCTION("TRIM(REGEXREPLACE(E810, ""[0-9]+[a-f]?\."", """"))"),"A cikin kwanaki 7 da suka gabata sau nawa yara a cikin gidanku suka ci abinci masu gina jiki kamar su kifi, nama, kaji ?")</f>
        <v>A cikin kwanaki 7 da suka gabata sau nawa yara a cikin gidanku suka ci abinci masu gina jiki kamar su kifi, nama, kaji ?</v>
      </c>
      <c r="J810" s="180" t="str">
        <f t="shared" ref="J810:L810" si="233">$F810 &amp; ". "&amp;G810</f>
        <v>233. In the past week how many days have children in your household consumed animal protein (inlcuding fish, meat, poultry)?</v>
      </c>
      <c r="K810" s="180" t="str">
        <f t="shared" si="233"/>
        <v>233. Au cours des 7 derniers jours, combien de fois les enfants de votre ménage ont-ils consommé des protéines animales (y compris poisson, viande, volaille) ?</v>
      </c>
      <c r="L810" s="180" t="str">
        <f t="shared" si="233"/>
        <v>233. A cikin kwanaki 7 da suka gabata sau nawa yara a cikin gidanku suka ci abinci masu gina jiki kamar su kifi, nama, kaji ?</v>
      </c>
    </row>
    <row r="811" hidden="1">
      <c r="A811" s="320"/>
      <c r="B811" s="321"/>
      <c r="C811" s="321" t="s">
        <v>50</v>
      </c>
      <c r="D811" s="321" t="s">
        <v>50</v>
      </c>
      <c r="E811" s="321" t="s">
        <v>50</v>
      </c>
      <c r="F811" s="187">
        <v>477.0</v>
      </c>
      <c r="G811" s="180" t="str">
        <f>IFERROR(__xludf.DUMMYFUNCTION("TRIM(REGEXREPLACE(C811, ""[0-9]+[a-f]?\."", """"))"),"")</f>
        <v/>
      </c>
      <c r="H811" s="180" t="str">
        <f>IFERROR(__xludf.DUMMYFUNCTION("TRIM(REGEXREPLACE(D811, ""[0-9]+[a-f]?\."", """"))"),"")</f>
        <v/>
      </c>
      <c r="I811" s="180" t="str">
        <f>IFERROR(__xludf.DUMMYFUNCTION("TRIM(REGEXREPLACE(E811, ""[0-9]+[a-f]?\."", """"))"),"")</f>
        <v/>
      </c>
      <c r="J811" s="180" t="s">
        <v>4327</v>
      </c>
      <c r="K811" s="180" t="s">
        <v>4328</v>
      </c>
      <c r="L811" s="180" t="s">
        <v>4329</v>
      </c>
    </row>
    <row r="812" hidden="1">
      <c r="A812" s="298" t="s">
        <v>133</v>
      </c>
      <c r="B812" s="299" t="s">
        <v>4330</v>
      </c>
      <c r="C812" s="300"/>
      <c r="D812" s="300"/>
      <c r="E812" s="300"/>
      <c r="F812" s="187">
        <v>478.0</v>
      </c>
      <c r="G812" s="180" t="str">
        <f>IFERROR(__xludf.DUMMYFUNCTION("TRIM(REGEXREPLACE(C812, ""[0-9]+[a-f]?\."", """"))"),"")</f>
        <v/>
      </c>
      <c r="H812" s="180" t="str">
        <f>IFERROR(__xludf.DUMMYFUNCTION("TRIM(REGEXREPLACE(D812, ""[0-9]+[a-f]?\."", """"))"),"")</f>
        <v/>
      </c>
      <c r="I812" s="180" t="str">
        <f>IFERROR(__xludf.DUMMYFUNCTION("TRIM(REGEXREPLACE(E812, ""[0-9]+[a-f]?\."", """"))"),"")</f>
        <v/>
      </c>
      <c r="J812" s="180" t="s">
        <v>4331</v>
      </c>
      <c r="K812" s="180" t="s">
        <v>4332</v>
      </c>
      <c r="L812" s="180" t="s">
        <v>4333</v>
      </c>
    </row>
    <row r="813">
      <c r="A813" s="280" t="s">
        <v>4334</v>
      </c>
      <c r="B813" s="281" t="s">
        <v>4335</v>
      </c>
      <c r="C813" s="45" t="s">
        <v>4336</v>
      </c>
      <c r="D813" s="45" t="s">
        <v>4337</v>
      </c>
      <c r="E813" s="45" t="s">
        <v>4338</v>
      </c>
      <c r="F813" s="187">
        <v>234.0</v>
      </c>
      <c r="G813" s="180" t="str">
        <f>IFERROR(__xludf.DUMMYFUNCTION("TRIM(REGEXREPLACE(C813, ""[0-9]+[a-f]?\."", """"))"),"Has your household spent money on the following types of expenses in the past month?")</f>
        <v>Has your household spent money on the following types of expenses in the past month?</v>
      </c>
      <c r="H813" s="180" t="str">
        <f>IFERROR(__xludf.DUMMYFUNCTION("TRIM(REGEXREPLACE(D813, ""[0-9]+[a-f]?\."", """"))"),"Votre ménage a-t-il dépensé de l'argent pour les types de dépenses suivants au cours du dernier mois ?")</f>
        <v>Votre ménage a-t-il dépensé de l'argent pour les types de dépenses suivants au cours du dernier mois ?</v>
      </c>
      <c r="I813" s="180" t="str">
        <f>IFERROR(__xludf.DUMMYFUNCTION("TRIM(REGEXREPLACE(E813, ""[0-9]+[a-f]?\."", """"))"),"Shin gidanku ya kashe kuɗi akan irin waɗannan abubuwan a cikin watan da ya gabata?")</f>
        <v>Shin gidanku ya kashe kuɗi akan irin waɗannan abubuwan a cikin watan da ya gabata?</v>
      </c>
      <c r="J813" s="180" t="str">
        <f t="shared" ref="J813:L813" si="234">$F813 &amp; ". "&amp;G813</f>
        <v>234. Has your household spent money on the following types of expenses in the past month?</v>
      </c>
      <c r="K813" s="180" t="str">
        <f t="shared" si="234"/>
        <v>234. Votre ménage a-t-il dépensé de l'argent pour les types de dépenses suivants au cours du dernier mois ?</v>
      </c>
      <c r="L813" s="180" t="str">
        <f t="shared" si="234"/>
        <v>234. Shin gidanku ya kashe kuɗi akan irin waɗannan abubuwan a cikin watan da ya gabata?</v>
      </c>
    </row>
    <row r="814" hidden="1">
      <c r="A814" s="285" t="s">
        <v>426</v>
      </c>
      <c r="B814" s="171" t="s">
        <v>4346</v>
      </c>
      <c r="C814" s="171" t="s">
        <v>4347</v>
      </c>
      <c r="D814" s="171" t="s">
        <v>4348</v>
      </c>
      <c r="E814" s="171" t="s">
        <v>4349</v>
      </c>
      <c r="F814" s="187">
        <v>480.0</v>
      </c>
      <c r="G814" s="180" t="str">
        <f>IFERROR(__xludf.DUMMYFUNCTION("TRIM(REGEXREPLACE(C814, ""[0-9]+[a-f]?\."", """"))"),"Consumption - Monthly")</f>
        <v>Consumption - Monthly</v>
      </c>
      <c r="H814" s="180" t="str">
        <f>IFERROR(__xludf.DUMMYFUNCTION("TRIM(REGEXREPLACE(D814, ""[0-9]+[a-f]?\."", """"))"),"Consommation - Mensuelle")</f>
        <v>Consommation - Mensuelle</v>
      </c>
      <c r="I814" s="180" t="str">
        <f>IFERROR(__xludf.DUMMYFUNCTION("TRIM(REGEXREPLACE(E814, ""[0-9]+[a-f]?\."", """"))"),"Cimaka - kowane wata")</f>
        <v>Cimaka - kowane wata</v>
      </c>
      <c r="J814" s="180" t="s">
        <v>4350</v>
      </c>
      <c r="K814" s="180" t="s">
        <v>4351</v>
      </c>
      <c r="L814" s="180" t="s">
        <v>4352</v>
      </c>
    </row>
    <row r="815" hidden="1">
      <c r="A815" s="168" t="s">
        <v>68</v>
      </c>
      <c r="B815" s="71" t="s">
        <v>4353</v>
      </c>
      <c r="C815" s="289" t="s">
        <v>4354</v>
      </c>
      <c r="D815" s="289" t="s">
        <v>4355</v>
      </c>
      <c r="E815" s="289" t="s">
        <v>4356</v>
      </c>
      <c r="F815" s="187">
        <v>481.0</v>
      </c>
      <c r="G815" s="180" t="str">
        <f>IFERROR(__xludf.DUMMYFUNCTION("TRIM(REGEXREPLACE(C815, ""[0-9]+[a-f]?\."", """"))"),"item")</f>
        <v>item</v>
      </c>
      <c r="H815" s="180" t="str">
        <f>IFERROR(__xludf.DUMMYFUNCTION("TRIM(REGEXREPLACE(D815, ""[0-9]+[a-f]?\."", """"))"),"article")</f>
        <v>article</v>
      </c>
      <c r="I815" s="180" t="str">
        <f>IFERROR(__xludf.DUMMYFUNCTION("TRIM(REGEXREPLACE(E815, ""[0-9]+[a-f]?\."", """"))"),"kaya")</f>
        <v>kaya</v>
      </c>
      <c r="J815" s="180" t="s">
        <v>4360</v>
      </c>
      <c r="K815" s="180" t="s">
        <v>4362</v>
      </c>
      <c r="L815" s="180" t="s">
        <v>4364</v>
      </c>
    </row>
    <row r="816">
      <c r="A816" s="291" t="s">
        <v>268</v>
      </c>
      <c r="B816" s="292" t="s">
        <v>4365</v>
      </c>
      <c r="C816" s="45" t="s">
        <v>4366</v>
      </c>
      <c r="D816" s="45" t="s">
        <v>4367</v>
      </c>
      <c r="E816" s="45" t="s">
        <v>4368</v>
      </c>
      <c r="F816" s="187">
        <v>235.0</v>
      </c>
      <c r="G816" s="180" t="str">
        <f>IFERROR(__xludf.DUMMYFUNCTION("TRIM(REGEXREPLACE(C816, ""[0-9]+[a-f]?\."", """"))"),"How much did your household spend on ${w_item} in the past month (in CFA)?")</f>
        <v>How much did your household spend on ${w_item} in the past month (in CFA)?</v>
      </c>
      <c r="H816" s="180" t="str">
        <f>IFERROR(__xludf.DUMMYFUNCTION("TRIM(REGEXREPLACE(D816, ""[0-9]+[a-f]?\."", """"))"),"Combien votre ménage a-t-il dépensé pour ${w_item} au cours du dernier mois (en CFA) ?")</f>
        <v>Combien votre ménage a-t-il dépensé pour ${w_item} au cours du dernier mois (en CFA) ?</v>
      </c>
      <c r="I816" s="180" t="str">
        <f>IFERROR(__xludf.DUMMYFUNCTION("TRIM(REGEXREPLACE(E816, ""[0-9]+[a-f]?\."", """"))"),"Nawa ne (a CFA) gidanku ya kashe akan ${w_item} cikin watan da ya gabata ?")</f>
        <v>Nawa ne (a CFA) gidanku ya kashe akan ${w_item} cikin watan da ya gabata ?</v>
      </c>
      <c r="J816" s="180" t="str">
        <f t="shared" ref="J816:L816" si="235">$F816 &amp; ". "&amp;G816</f>
        <v>235. How much did your household spend on ${w_item} in the past month (in CFA)?</v>
      </c>
      <c r="K816" s="180" t="str">
        <f t="shared" si="235"/>
        <v>235. Combien votre ménage a-t-il dépensé pour ${w_item} au cours du dernier mois (en CFA) ?</v>
      </c>
      <c r="L816" s="180" t="str">
        <f t="shared" si="235"/>
        <v>235. Nawa ne (a CFA) gidanku ya kashe akan ${w_item} cikin watan da ya gabata ?</v>
      </c>
    </row>
    <row r="817" hidden="1">
      <c r="A817" s="285" t="s">
        <v>468</v>
      </c>
      <c r="B817" s="185" t="s">
        <v>4346</v>
      </c>
      <c r="C817" s="185" t="s">
        <v>4347</v>
      </c>
      <c r="D817" s="185" t="s">
        <v>4348</v>
      </c>
      <c r="E817" s="185" t="s">
        <v>4349</v>
      </c>
      <c r="F817" s="187">
        <v>483.0</v>
      </c>
      <c r="G817" s="180" t="str">
        <f>IFERROR(__xludf.DUMMYFUNCTION("TRIM(REGEXREPLACE(C817, ""[0-9]+[a-f]?\."", """"))"),"Consumption - Monthly")</f>
        <v>Consumption - Monthly</v>
      </c>
      <c r="H817" s="180" t="str">
        <f>IFERROR(__xludf.DUMMYFUNCTION("TRIM(REGEXREPLACE(D817, ""[0-9]+[a-f]?\."", """"))"),"Consommation - Mensuelle")</f>
        <v>Consommation - Mensuelle</v>
      </c>
      <c r="I817" s="180" t="str">
        <f>IFERROR(__xludf.DUMMYFUNCTION("TRIM(REGEXREPLACE(E817, ""[0-9]+[a-f]?\."", """"))"),"Cimaka - kowane wata")</f>
        <v>Cimaka - kowane wata</v>
      </c>
      <c r="J817" s="180" t="s">
        <v>4371</v>
      </c>
      <c r="K817" s="180" t="s">
        <v>4373</v>
      </c>
      <c r="L817" s="180" t="s">
        <v>4375</v>
      </c>
    </row>
    <row r="818">
      <c r="A818" s="280" t="s">
        <v>4376</v>
      </c>
      <c r="B818" s="281" t="s">
        <v>4378</v>
      </c>
      <c r="C818" s="45" t="s">
        <v>2240</v>
      </c>
      <c r="D818" s="45" t="s">
        <v>2241</v>
      </c>
      <c r="E818" s="45" t="s">
        <v>2242</v>
      </c>
      <c r="F818" s="187">
        <v>236.0</v>
      </c>
      <c r="G818" s="180" t="str">
        <f>IFERROR(__xludf.DUMMYFUNCTION("TRIM(REGEXREPLACE(C818, ""[0-9]+[a-f]?\."", """"))"),"Has your household spent money on the following types of expenses in the past week?")</f>
        <v>Has your household spent money on the following types of expenses in the past week?</v>
      </c>
      <c r="H818" s="180" t="str">
        <f>IFERROR(__xludf.DUMMYFUNCTION("TRIM(REGEXREPLACE(D818, ""[0-9]+[a-f]?\."", """"))"),"Votre ménage a-t-il dépensé de l'argent pour les types de dépenses suivants au cours de la semaine dernière ?")</f>
        <v>Votre ménage a-t-il dépensé de l'argent pour les types de dépenses suivants au cours de la semaine dernière ?</v>
      </c>
      <c r="I818" s="180" t="str">
        <f>IFERROR(__xludf.DUMMYFUNCTION("TRIM(REGEXREPLACE(E818, ""[0-9]+[a-f]?\."", """"))"),"Ko gidanku sun kashe kuɗi akan ire iren waɗannan abubuwan a cikin satin da ya gabata?")</f>
        <v>Ko gidanku sun kashe kuɗi akan ire iren waɗannan abubuwan a cikin satin da ya gabata?</v>
      </c>
      <c r="J818" s="180" t="str">
        <f t="shared" ref="J818:L818" si="236">$F818 &amp; ". "&amp;G818</f>
        <v>236. Has your household spent money on the following types of expenses in the past week?</v>
      </c>
      <c r="K818" s="180" t="str">
        <f t="shared" si="236"/>
        <v>236. Votre ménage a-t-il dépensé de l'argent pour les types de dépenses suivants au cours de la semaine dernière ?</v>
      </c>
      <c r="L818" s="180" t="str">
        <f t="shared" si="236"/>
        <v>236. Ko gidanku sun kashe kuɗi akan ire iren waɗannan abubuwan a cikin satin da ya gabata?</v>
      </c>
    </row>
    <row r="819" hidden="1">
      <c r="A819" s="285" t="s">
        <v>426</v>
      </c>
      <c r="B819" s="171" t="s">
        <v>4381</v>
      </c>
      <c r="C819" s="171" t="s">
        <v>4382</v>
      </c>
      <c r="D819" s="171" t="s">
        <v>4383</v>
      </c>
      <c r="E819" s="171" t="s">
        <v>4384</v>
      </c>
      <c r="F819" s="187">
        <v>485.0</v>
      </c>
      <c r="G819" s="180" t="str">
        <f>IFERROR(__xludf.DUMMYFUNCTION("TRIM(REGEXREPLACE(C819, ""[0-9]+[a-f]?\."", """"))"),"Consumption - Weekly")</f>
        <v>Consumption - Weekly</v>
      </c>
      <c r="H819" s="180" t="str">
        <f>IFERROR(__xludf.DUMMYFUNCTION("TRIM(REGEXREPLACE(D819, ""[0-9]+[a-f]?\."", """"))"),"Consommation - Hebdomadaire")</f>
        <v>Consommation - Hebdomadaire</v>
      </c>
      <c r="I819" s="180" t="str">
        <f>IFERROR(__xludf.DUMMYFUNCTION("TRIM(REGEXREPLACE(E819, ""[0-9]+[a-f]?\."", """"))"),"Cimakar - sati-sati")</f>
        <v>Cimakar - sati-sati</v>
      </c>
      <c r="J819" s="180" t="s">
        <v>4391</v>
      </c>
      <c r="K819" s="180" t="s">
        <v>4392</v>
      </c>
      <c r="L819" s="180" t="s">
        <v>4393</v>
      </c>
    </row>
    <row r="820" hidden="1">
      <c r="A820" s="168" t="s">
        <v>68</v>
      </c>
      <c r="B820" s="71" t="s">
        <v>4394</v>
      </c>
      <c r="C820" s="289" t="s">
        <v>4395</v>
      </c>
      <c r="D820" s="289" t="s">
        <v>4396</v>
      </c>
      <c r="E820" s="289" t="s">
        <v>4397</v>
      </c>
      <c r="F820" s="187">
        <v>486.0</v>
      </c>
      <c r="G820" s="180" t="str">
        <f>IFERROR(__xludf.DUMMYFUNCTION("TRIM(REGEXREPLACE(C820, ""[0-9]+[a-f]?\."", """"))"),"item weekly")</f>
        <v>item weekly</v>
      </c>
      <c r="H820" s="180" t="str">
        <f>IFERROR(__xludf.DUMMYFUNCTION("TRIM(REGEXREPLACE(D820, ""[0-9]+[a-f]?\."", """"))"),"article hebdomadaire")</f>
        <v>article hebdomadaire</v>
      </c>
      <c r="I820" s="180" t="str">
        <f>IFERROR(__xludf.DUMMYFUNCTION("TRIM(REGEXREPLACE(E820, ""[0-9]+[a-f]?\."", """"))"),"kayan sati-sati")</f>
        <v>kayan sati-sati</v>
      </c>
      <c r="J820" s="180" t="s">
        <v>4398</v>
      </c>
      <c r="K820" s="180" t="s">
        <v>4399</v>
      </c>
      <c r="L820" s="180" t="s">
        <v>4400</v>
      </c>
    </row>
    <row r="821">
      <c r="A821" s="291" t="s">
        <v>268</v>
      </c>
      <c r="B821" s="292" t="s">
        <v>4401</v>
      </c>
      <c r="C821" s="45" t="s">
        <v>4402</v>
      </c>
      <c r="D821" s="45" t="s">
        <v>4403</v>
      </c>
      <c r="E821" s="45" t="s">
        <v>4404</v>
      </c>
      <c r="F821" s="187">
        <v>237.0</v>
      </c>
      <c r="G821" s="180" t="str">
        <f>IFERROR(__xludf.DUMMYFUNCTION("TRIM(REGEXREPLACE(C821, ""[0-9]+[a-f]?\."", """"))"),"How much did your household spend on ${w_item_week} in the past week (in CFA)?")</f>
        <v>How much did your household spend on ${w_item_week} in the past week (in CFA)?</v>
      </c>
      <c r="H821" s="180" t="str">
        <f>IFERROR(__xludf.DUMMYFUNCTION("TRIM(REGEXREPLACE(D821, ""[0-9]+[a-f]?\."", """"))"),"Combien votre ménage a-t-il dépensé en ${w_item_week} la semaine dernière (en CFA) ?")</f>
        <v>Combien votre ménage a-t-il dépensé en ${w_item_week} la semaine dernière (en CFA) ?</v>
      </c>
      <c r="I821" s="180" t="str">
        <f>IFERROR(__xludf.DUMMYFUNCTION("TRIM(REGEXREPLACE(E821, ""[0-9]+[a-f]?\."", """"))"),"Nawa ne gidan ku ya kashe (a CFA) a ${w_item_week} satin da ya gabata ?")</f>
        <v>Nawa ne gidan ku ya kashe (a CFA) a ${w_item_week} satin da ya gabata ?</v>
      </c>
      <c r="J821" s="180" t="str">
        <f t="shared" ref="J821:L821" si="237">$F821 &amp; ". "&amp;G821</f>
        <v>237. How much did your household spend on ${w_item_week} in the past week (in CFA)?</v>
      </c>
      <c r="K821" s="180" t="str">
        <f t="shared" si="237"/>
        <v>237. Combien votre ménage a-t-il dépensé en ${w_item_week} la semaine dernière (en CFA) ?</v>
      </c>
      <c r="L821" s="180" t="str">
        <f t="shared" si="237"/>
        <v>237. Nawa ne gidan ku ya kashe (a CFA) a ${w_item_week} satin da ya gabata ?</v>
      </c>
    </row>
    <row r="822" hidden="1">
      <c r="A822" s="285" t="s">
        <v>468</v>
      </c>
      <c r="B822" s="185" t="s">
        <v>4381</v>
      </c>
      <c r="C822" s="185" t="s">
        <v>4382</v>
      </c>
      <c r="D822" s="185" t="s">
        <v>4383</v>
      </c>
      <c r="E822" s="185" t="s">
        <v>4384</v>
      </c>
      <c r="F822" s="187">
        <v>488.0</v>
      </c>
      <c r="G822" s="180" t="str">
        <f>IFERROR(__xludf.DUMMYFUNCTION("TRIM(REGEXREPLACE(C822, ""[0-9]+[a-f]?\."", """"))"),"Consumption - Weekly")</f>
        <v>Consumption - Weekly</v>
      </c>
      <c r="H822" s="180" t="str">
        <f>IFERROR(__xludf.DUMMYFUNCTION("TRIM(REGEXREPLACE(D822, ""[0-9]+[a-f]?\."", """"))"),"Consommation - Hebdomadaire")</f>
        <v>Consommation - Hebdomadaire</v>
      </c>
      <c r="I822" s="180" t="str">
        <f>IFERROR(__xludf.DUMMYFUNCTION("TRIM(REGEXREPLACE(E822, ""[0-9]+[a-f]?\."", """"))"),"Cimakar - sati-sati")</f>
        <v>Cimakar - sati-sati</v>
      </c>
      <c r="J822" s="180" t="s">
        <v>4411</v>
      </c>
      <c r="K822" s="180" t="s">
        <v>4412</v>
      </c>
      <c r="L822" s="180" t="s">
        <v>4413</v>
      </c>
    </row>
    <row r="823" hidden="1">
      <c r="A823" s="298" t="s">
        <v>133</v>
      </c>
      <c r="B823" s="299" t="s">
        <v>4415</v>
      </c>
      <c r="C823" s="300"/>
      <c r="D823" s="300"/>
      <c r="E823" s="300"/>
      <c r="F823" s="187">
        <v>489.0</v>
      </c>
      <c r="G823" s="180" t="str">
        <f>IFERROR(__xludf.DUMMYFUNCTION("TRIM(REGEXREPLACE(C823, ""[0-9]+[a-f]?\."", """"))"),"")</f>
        <v/>
      </c>
      <c r="H823" s="180" t="str">
        <f>IFERROR(__xludf.DUMMYFUNCTION("TRIM(REGEXREPLACE(D823, ""[0-9]+[a-f]?\."", """"))"),"")</f>
        <v/>
      </c>
      <c r="I823" s="180" t="str">
        <f>IFERROR(__xludf.DUMMYFUNCTION("TRIM(REGEXREPLACE(E823, ""[0-9]+[a-f]?\."", """"))"),"")</f>
        <v/>
      </c>
      <c r="J823" s="180" t="s">
        <v>4418</v>
      </c>
      <c r="K823" s="180" t="s">
        <v>4419</v>
      </c>
      <c r="L823" s="180" t="s">
        <v>4420</v>
      </c>
    </row>
    <row r="824">
      <c r="A824" s="280" t="s">
        <v>2509</v>
      </c>
      <c r="B824" s="281" t="s">
        <v>4421</v>
      </c>
      <c r="C824" s="45" t="s">
        <v>2277</v>
      </c>
      <c r="D824" s="45" t="s">
        <v>2278</v>
      </c>
      <c r="E824" s="45" t="s">
        <v>2279</v>
      </c>
      <c r="F824" s="187">
        <v>238.0</v>
      </c>
      <c r="G824" s="180" t="str">
        <f>IFERROR(__xludf.DUMMYFUNCTION("TRIM(REGEXREPLACE(C824, ""[0-9]+[a-f]?\."", """"))"),"For Tabaski, did your household purchase any of the following?")</f>
        <v>For Tabaski, did your household purchase any of the following?</v>
      </c>
      <c r="H824" s="180" t="str">
        <f>IFERROR(__xludf.DUMMYFUNCTION("TRIM(REGEXREPLACE(D824, ""[0-9]+[a-f]?\."", """"))"),"Pour la Tabaski, votre ménage a-t-il acheté l'un des articles suivants ?")</f>
        <v>Pour la Tabaski, votre ménage a-t-il acheté l'un des articles suivants ?</v>
      </c>
      <c r="I824" s="180" t="str">
        <f>IFERROR(__xludf.DUMMYFUNCTION("TRIM(REGEXREPLACE(E824, ""[0-9]+[a-f]?\."", """"))"),"Don sallar layya, gidanku ya sayi ɗaya daga cikin waɗannan abubuwa?")</f>
        <v>Don sallar layya, gidanku ya sayi ɗaya daga cikin waɗannan abubuwa?</v>
      </c>
      <c r="J824" s="180" t="str">
        <f t="shared" ref="J824:L824" si="238">$F824 &amp; ". "&amp;G824</f>
        <v>238. For Tabaski, did your household purchase any of the following?</v>
      </c>
      <c r="K824" s="180" t="str">
        <f t="shared" si="238"/>
        <v>238. Pour la Tabaski, votre ménage a-t-il acheté l'un des articles suivants ?</v>
      </c>
      <c r="L824" s="180" t="str">
        <f t="shared" si="238"/>
        <v>238. Don sallar layya, gidanku ya sayi ɗaya daga cikin waɗannan abubuwa?</v>
      </c>
    </row>
    <row r="825">
      <c r="A825" s="280" t="s">
        <v>2509</v>
      </c>
      <c r="B825" s="281" t="s">
        <v>4422</v>
      </c>
      <c r="C825" s="45" t="s">
        <v>2280</v>
      </c>
      <c r="D825" s="45" t="s">
        <v>2281</v>
      </c>
      <c r="E825" s="45" t="s">
        <v>2282</v>
      </c>
      <c r="F825" s="187">
        <v>239.0</v>
      </c>
      <c r="G825" s="180" t="str">
        <f>IFERROR(__xludf.DUMMYFUNCTION("TRIM(REGEXREPLACE(C825, ""[0-9]+[a-f]?\."", """"))"),"Clothing")</f>
        <v>Clothing</v>
      </c>
      <c r="H825" s="180" t="str">
        <f>IFERROR(__xludf.DUMMYFUNCTION("TRIM(REGEXREPLACE(D825, ""[0-9]+[a-f]?\."", """"))"),"Vêtements")</f>
        <v>Vêtements</v>
      </c>
      <c r="I825" s="180" t="str">
        <f>IFERROR(__xludf.DUMMYFUNCTION("TRIM(REGEXREPLACE(E825, ""[0-9]+[a-f]?\."", """"))"),"Tufafi")</f>
        <v>Tufafi</v>
      </c>
      <c r="J825" s="180" t="str">
        <f t="shared" ref="J825:L825" si="239">$F825 &amp; ". "&amp;G825</f>
        <v>239. Clothing</v>
      </c>
      <c r="K825" s="180" t="str">
        <f t="shared" si="239"/>
        <v>239. Vêtements</v>
      </c>
      <c r="L825" s="180" t="str">
        <f t="shared" si="239"/>
        <v>239. Tufafi</v>
      </c>
    </row>
    <row r="826">
      <c r="A826" s="280" t="s">
        <v>2509</v>
      </c>
      <c r="B826" s="281" t="s">
        <v>4429</v>
      </c>
      <c r="C826" s="45" t="s">
        <v>2314</v>
      </c>
      <c r="D826" s="45" t="s">
        <v>2316</v>
      </c>
      <c r="E826" s="45" t="s">
        <v>2317</v>
      </c>
      <c r="F826" s="187">
        <v>240.0</v>
      </c>
      <c r="G826" s="180" t="str">
        <f>IFERROR(__xludf.DUMMYFUNCTION("TRIM(REGEXREPLACE(C826, ""[0-9]+[a-f]?\."", """"))"),"Sheep")</f>
        <v>Sheep</v>
      </c>
      <c r="H826" s="180" t="str">
        <f>IFERROR(__xludf.DUMMYFUNCTION("TRIM(REGEXREPLACE(D826, ""[0-9]+[a-f]?\."", """"))"),"Mouton")</f>
        <v>Mouton</v>
      </c>
      <c r="I826" s="180" t="str">
        <f>IFERROR(__xludf.DUMMYFUNCTION("TRIM(REGEXREPLACE(E826, ""[0-9]+[a-f]?\."", """"))"),"Rago")</f>
        <v>Rago</v>
      </c>
      <c r="J826" s="180" t="str">
        <f t="shared" ref="J826:L826" si="240">$F826 &amp; ". "&amp;G826</f>
        <v>240. Sheep</v>
      </c>
      <c r="K826" s="180" t="str">
        <f t="shared" si="240"/>
        <v>240. Mouton</v>
      </c>
      <c r="L826" s="180" t="str">
        <f t="shared" si="240"/>
        <v>240. Rago</v>
      </c>
    </row>
    <row r="827">
      <c r="A827" s="280" t="s">
        <v>2509</v>
      </c>
      <c r="B827" s="281" t="s">
        <v>4435</v>
      </c>
      <c r="C827" s="45" t="s">
        <v>2319</v>
      </c>
      <c r="D827" s="45" t="s">
        <v>2320</v>
      </c>
      <c r="E827" s="45" t="s">
        <v>2321</v>
      </c>
      <c r="F827" s="187">
        <v>241.0</v>
      </c>
      <c r="G827" s="180" t="str">
        <f>IFERROR(__xludf.DUMMYFUNCTION("TRIM(REGEXREPLACE(C827, ""[0-9]+[a-f]?\."", """"))"),"Goat")</f>
        <v>Goat</v>
      </c>
      <c r="H827" s="180" t="str">
        <f>IFERROR(__xludf.DUMMYFUNCTION("TRIM(REGEXREPLACE(D827, ""[0-9]+[a-f]?\."", """"))"),"Chèvre")</f>
        <v>Chèvre</v>
      </c>
      <c r="I827" s="180" t="str">
        <f>IFERROR(__xludf.DUMMYFUNCTION("TRIM(REGEXREPLACE(E827, ""[0-9]+[a-f]?\."", """"))"),"Akuya")</f>
        <v>Akuya</v>
      </c>
      <c r="J827" s="180" t="str">
        <f t="shared" ref="J827:L827" si="241">$F827 &amp; ". "&amp;G827</f>
        <v>241. Goat</v>
      </c>
      <c r="K827" s="180" t="str">
        <f t="shared" si="241"/>
        <v>241. Chèvre</v>
      </c>
      <c r="L827" s="180" t="str">
        <f t="shared" si="241"/>
        <v>241. Akuya</v>
      </c>
    </row>
    <row r="828">
      <c r="A828" s="280" t="s">
        <v>2509</v>
      </c>
      <c r="B828" s="281" t="s">
        <v>4436</v>
      </c>
      <c r="C828" s="45" t="s">
        <v>4437</v>
      </c>
      <c r="D828" s="45" t="s">
        <v>4439</v>
      </c>
      <c r="E828" s="45" t="s">
        <v>4441</v>
      </c>
      <c r="F828" s="187">
        <v>242.0</v>
      </c>
      <c r="G828" s="180" t="str">
        <f>IFERROR(__xludf.DUMMYFUNCTION("TRIM(REGEXREPLACE(C828, ""[0-9]+[a-f]?\."", """"))"),"Poultry")</f>
        <v>Poultry</v>
      </c>
      <c r="H828" s="180" t="str">
        <f>IFERROR(__xludf.DUMMYFUNCTION("TRIM(REGEXREPLACE(D828, ""[0-9]+[a-f]?\."", """"))"),"Volaille")</f>
        <v>Volaille</v>
      </c>
      <c r="I828" s="180" t="str">
        <f>IFERROR(__xludf.DUMMYFUNCTION("TRIM(REGEXREPLACE(E828, ""[0-9]+[a-f]?\."", """"))"),"Kaji/zabi")</f>
        <v>Kaji/zabi</v>
      </c>
      <c r="J828" s="180" t="str">
        <f t="shared" ref="J828:L828" si="242">$F828 &amp; ". "&amp;G828</f>
        <v>242. Poultry</v>
      </c>
      <c r="K828" s="180" t="str">
        <f t="shared" si="242"/>
        <v>242. Volaille</v>
      </c>
      <c r="L828" s="180" t="str">
        <f t="shared" si="242"/>
        <v>242. Kaji/zabi</v>
      </c>
    </row>
    <row r="829" hidden="1">
      <c r="A829" s="298" t="s">
        <v>237</v>
      </c>
      <c r="B829" s="310" t="s">
        <v>4447</v>
      </c>
      <c r="C829" s="303"/>
      <c r="D829" s="303"/>
      <c r="E829" s="303"/>
      <c r="F829" s="187">
        <v>495.0</v>
      </c>
      <c r="G829" s="180" t="str">
        <f>IFERROR(__xludf.DUMMYFUNCTION("TRIM(REGEXREPLACE(C829, ""[0-9]+[a-f]?\."", """"))"),"")</f>
        <v/>
      </c>
      <c r="H829" s="180" t="str">
        <f>IFERROR(__xludf.DUMMYFUNCTION("TRIM(REGEXREPLACE(D829, ""[0-9]+[a-f]?\."", """"))"),"")</f>
        <v/>
      </c>
      <c r="I829" s="180" t="str">
        <f>IFERROR(__xludf.DUMMYFUNCTION("TRIM(REGEXREPLACE(E829, ""[0-9]+[a-f]?\."", """"))"),"")</f>
        <v/>
      </c>
      <c r="J829" s="180" t="s">
        <v>4448</v>
      </c>
      <c r="K829" s="180" t="s">
        <v>4449</v>
      </c>
      <c r="L829" s="180" t="s">
        <v>4450</v>
      </c>
    </row>
    <row r="830" hidden="1">
      <c r="A830" s="298" t="s">
        <v>237</v>
      </c>
      <c r="B830" s="310" t="s">
        <v>4330</v>
      </c>
      <c r="C830" s="303"/>
      <c r="D830" s="303"/>
      <c r="E830" s="303"/>
      <c r="F830" s="187">
        <v>496.0</v>
      </c>
      <c r="G830" s="180" t="str">
        <f>IFERROR(__xludf.DUMMYFUNCTION("TRIM(REGEXREPLACE(C830, ""[0-9]+[a-f]?\."", """"))"),"")</f>
        <v/>
      </c>
      <c r="H830" s="180" t="str">
        <f>IFERROR(__xludf.DUMMYFUNCTION("TRIM(REGEXREPLACE(D830, ""[0-9]+[a-f]?\."", """"))"),"")</f>
        <v/>
      </c>
      <c r="I830" s="180" t="str">
        <f>IFERROR(__xludf.DUMMYFUNCTION("TRIM(REGEXREPLACE(E830, ""[0-9]+[a-f]?\."", """"))"),"")</f>
        <v/>
      </c>
      <c r="J830" s="180" t="s">
        <v>4456</v>
      </c>
      <c r="K830" s="180" t="s">
        <v>4458</v>
      </c>
      <c r="L830" s="180" t="s">
        <v>4459</v>
      </c>
    </row>
    <row r="831" hidden="1">
      <c r="A831" s="315"/>
      <c r="B831" s="316"/>
      <c r="C831" s="316"/>
      <c r="D831" s="316"/>
      <c r="E831" s="316"/>
      <c r="F831" s="187">
        <v>497.0</v>
      </c>
      <c r="G831" s="180" t="str">
        <f>IFERROR(__xludf.DUMMYFUNCTION("TRIM(REGEXREPLACE(C831, ""[0-9]+[a-f]?\."", """"))"),"")</f>
        <v/>
      </c>
      <c r="H831" s="180" t="str">
        <f>IFERROR(__xludf.DUMMYFUNCTION("TRIM(REGEXREPLACE(D831, ""[0-9]+[a-f]?\."", """"))"),"")</f>
        <v/>
      </c>
      <c r="I831" s="180" t="str">
        <f>IFERROR(__xludf.DUMMYFUNCTION("TRIM(REGEXREPLACE(E831, ""[0-9]+[a-f]?\."", """"))"),"")</f>
        <v/>
      </c>
      <c r="J831" s="180" t="s">
        <v>4461</v>
      </c>
      <c r="K831" s="180" t="s">
        <v>4463</v>
      </c>
      <c r="L831" s="180" t="s">
        <v>4464</v>
      </c>
    </row>
    <row r="832">
      <c r="A832" s="280" t="s">
        <v>4465</v>
      </c>
      <c r="B832" s="281" t="s">
        <v>4466</v>
      </c>
      <c r="C832" s="45" t="s">
        <v>4467</v>
      </c>
      <c r="D832" s="45" t="s">
        <v>4468</v>
      </c>
      <c r="E832" s="45" t="s">
        <v>4469</v>
      </c>
      <c r="F832" s="187">
        <v>243.0</v>
      </c>
      <c r="G832" s="180" t="str">
        <f>IFERROR(__xludf.DUMMYFUNCTION("TRIM(REGEXREPLACE(C832, ""[0-9]+[a-f]?\."", """"))"),"During ${period}, was your household negatively affected by any of the following types of events?")</f>
        <v>During ${period}, was your household negatively affected by any of the following types of events?</v>
      </c>
      <c r="H832" s="180" t="str">
        <f>IFERROR(__xludf.DUMMYFUNCTION("TRIM(REGEXREPLACE(D832, ""[0-9]+[a-f]?\."", """"))"),"Au cours de ${period_french}, votre ménage a-t-il été affecté négativement par l'un des types d'événements suivants ?")</f>
        <v>Au cours de ${period_french}, votre ménage a-t-il été affecté négativement par l'un des types d'événements suivants ?</v>
      </c>
      <c r="I832" s="180" t="str">
        <f>IFERROR(__xludf.DUMMYFUNCTION("TRIM(REGEXREPLACE(E832, ""[0-9]+[a-f]?\."", """"))"),"A lokacin ${period_hausa}, ko gidanku ya fuskanci wani daga cikin matsaloli nan masu zuwa? Zaɓi duk abin da ya dace")</f>
        <v>A lokacin ${period_hausa}, ko gidanku ya fuskanci wani daga cikin matsaloli nan masu zuwa? Zaɓi duk abin da ya dace</v>
      </c>
      <c r="J832" s="180" t="str">
        <f t="shared" ref="J832:L832" si="243">$F832 &amp; ". "&amp;G832</f>
        <v>243. During ${period}, was your household negatively affected by any of the following types of events?</v>
      </c>
      <c r="K832" s="180" t="str">
        <f t="shared" si="243"/>
        <v>243. Au cours de ${period_french}, votre ménage a-t-il été affecté négativement par l'un des types d'événements suivants ?</v>
      </c>
      <c r="L832" s="180" t="str">
        <f t="shared" si="243"/>
        <v>243. A lokacin ${period_hausa}, ko gidanku ya fuskanci wani daga cikin matsaloli nan masu zuwa? Zaɓi duk abin da ya dace</v>
      </c>
    </row>
    <row r="833">
      <c r="A833" s="282" t="s">
        <v>252</v>
      </c>
      <c r="B833" s="283" t="s">
        <v>4476</v>
      </c>
      <c r="C833" s="45" t="s">
        <v>4477</v>
      </c>
      <c r="D833" s="45" t="s">
        <v>4478</v>
      </c>
      <c r="E833" s="45" t="s">
        <v>4479</v>
      </c>
      <c r="F833" s="187">
        <v>244.0</v>
      </c>
      <c r="G833" s="180" t="str">
        <f>IFERROR(__xludf.DUMMYFUNCTION("TRIM(REGEXREPLACE(C833, ""[0-9]+[a-f]?\."", """"))"),"Please briefly describe the event(s) that negatveily affected your household")</f>
        <v>Please briefly describe the event(s) that negatveily affected your household</v>
      </c>
      <c r="H833" s="180" t="str">
        <f>IFERROR(__xludf.DUMMYFUNCTION("TRIM(REGEXREPLACE(D833, ""[0-9]+[a-f]?\."", """"))"),"Veuillez décrire brièvement le/les événement(s) qui ont eu des effets négatifs sur votre ménage au cours des 3 derniers mois")</f>
        <v>Veuillez décrire brièvement le/les événement(s) qui ont eu des effets négatifs sur votre ménage au cours des 3 derniers mois</v>
      </c>
      <c r="I833" s="180" t="str">
        <f>IFERROR(__xludf.DUMMYFUNCTION("TRIM(REGEXREPLACE(E833, ""[0-9]+[a-f]?\."", """"))"),"Da fatan za ku yi taƙaitaccen bayani a kan abin da ya shafi gidan ku")</f>
        <v>Da fatan za ku yi taƙaitaccen bayani a kan abin da ya shafi gidan ku</v>
      </c>
      <c r="J833" s="180" t="str">
        <f t="shared" ref="J833:L833" si="244">$F833 &amp; ". "&amp;G833</f>
        <v>244. Please briefly describe the event(s) that negatveily affected your household</v>
      </c>
      <c r="K833" s="180" t="str">
        <f t="shared" si="244"/>
        <v>244. Veuillez décrire brièvement le/les événement(s) qui ont eu des effets négatifs sur votre ménage au cours des 3 derniers mois</v>
      </c>
      <c r="L833" s="180" t="str">
        <f t="shared" si="244"/>
        <v>244. Da fatan za ku yi taƙaitaccen bayani a kan abin da ya shafi gidan ku</v>
      </c>
    </row>
    <row r="834" hidden="1">
      <c r="A834" s="285" t="s">
        <v>426</v>
      </c>
      <c r="B834" s="171" t="s">
        <v>4480</v>
      </c>
      <c r="C834" s="171" t="s">
        <v>4481</v>
      </c>
      <c r="D834" s="325"/>
      <c r="E834" s="325"/>
      <c r="F834" s="187">
        <v>500.0</v>
      </c>
      <c r="G834" s="180" t="str">
        <f>IFERROR(__xludf.DUMMYFUNCTION("TRIM(REGEXREPLACE(C834, ""[0-9]+[a-f]?\."", """"))"),"Emergency response")</f>
        <v>Emergency response</v>
      </c>
      <c r="H834" s="180" t="str">
        <f>IFERROR(__xludf.DUMMYFUNCTION("TRIM(REGEXREPLACE(D834, ""[0-9]+[a-f]?\."", """"))"),"")</f>
        <v/>
      </c>
      <c r="I834" s="180" t="str">
        <f>IFERROR(__xludf.DUMMYFUNCTION("TRIM(REGEXREPLACE(E834, ""[0-9]+[a-f]?\."", """"))"),"")</f>
        <v/>
      </c>
      <c r="J834" s="180" t="s">
        <v>4486</v>
      </c>
      <c r="K834" s="180" t="s">
        <v>4487</v>
      </c>
      <c r="L834" s="180" t="s">
        <v>4488</v>
      </c>
    </row>
    <row r="835" hidden="1">
      <c r="A835" s="168" t="s">
        <v>68</v>
      </c>
      <c r="B835" s="71" t="s">
        <v>4489</v>
      </c>
      <c r="C835" s="289" t="s">
        <v>4490</v>
      </c>
      <c r="D835" s="200"/>
      <c r="E835" s="200"/>
      <c r="F835" s="187">
        <v>501.0</v>
      </c>
      <c r="G835" s="180" t="str">
        <f>IFERROR(__xludf.DUMMYFUNCTION("TRIM(REGEXREPLACE(C835, ""[0-9]+[a-f]?\."", """"))"),"Emergency Name")</f>
        <v>Emergency Name</v>
      </c>
      <c r="H835" s="180" t="str">
        <f>IFERROR(__xludf.DUMMYFUNCTION("TRIM(REGEXREPLACE(D835, ""[0-9]+[a-f]?\."", """"))"),"")</f>
        <v/>
      </c>
      <c r="I835" s="180" t="str">
        <f>IFERROR(__xludf.DUMMYFUNCTION("TRIM(REGEXREPLACE(E835, ""[0-9]+[a-f]?\."", """"))"),"")</f>
        <v/>
      </c>
      <c r="J835" s="180" t="s">
        <v>4491</v>
      </c>
      <c r="K835" s="180" t="s">
        <v>4493</v>
      </c>
      <c r="L835" s="180" t="s">
        <v>4494</v>
      </c>
    </row>
    <row r="836" hidden="1">
      <c r="A836" s="298" t="s">
        <v>133</v>
      </c>
      <c r="B836" s="299" t="s">
        <v>4496</v>
      </c>
      <c r="C836" s="300"/>
      <c r="D836" s="300"/>
      <c r="E836" s="300"/>
      <c r="F836" s="187">
        <v>502.0</v>
      </c>
      <c r="G836" s="180" t="str">
        <f>IFERROR(__xludf.DUMMYFUNCTION("TRIM(REGEXREPLACE(C836, ""[0-9]+[a-f]?\."", """"))"),"")</f>
        <v/>
      </c>
      <c r="H836" s="180" t="str">
        <f>IFERROR(__xludf.DUMMYFUNCTION("TRIM(REGEXREPLACE(D836, ""[0-9]+[a-f]?\."", """"))"),"")</f>
        <v/>
      </c>
      <c r="I836" s="180" t="str">
        <f>IFERROR(__xludf.DUMMYFUNCTION("TRIM(REGEXREPLACE(E836, ""[0-9]+[a-f]?\."", """"))"),"")</f>
        <v/>
      </c>
      <c r="J836" s="180" t="s">
        <v>4499</v>
      </c>
      <c r="K836" s="180" t="s">
        <v>4500</v>
      </c>
      <c r="L836" s="180" t="s">
        <v>4501</v>
      </c>
    </row>
    <row r="837">
      <c r="A837" s="280" t="s">
        <v>2509</v>
      </c>
      <c r="B837" s="281" t="s">
        <v>4502</v>
      </c>
      <c r="C837" s="45" t="s">
        <v>2359</v>
      </c>
      <c r="D837" s="45" t="s">
        <v>2360</v>
      </c>
      <c r="E837" s="45" t="s">
        <v>2361</v>
      </c>
      <c r="F837" s="187">
        <v>245.0</v>
      </c>
      <c r="G837" s="180" t="str">
        <f>IFERROR(__xludf.DUMMYFUNCTION("TRIM(REGEXREPLACE(C837, ""[0-9]+[a-f]?\."", """"))"),"In response to ${w_emergency_name}, did you or your household take the following actions?")</f>
        <v>In response to ${w_emergency_name}, did you or your household take the following actions?</v>
      </c>
      <c r="H837" s="180" t="str">
        <f>IFERROR(__xludf.DUMMYFUNCTION("TRIM(REGEXREPLACE(D837, ""[0-9]+[a-f]?\."", """"))"),"En réponse à ${w_emergency_name}, avez-vous vous ou votre ménage pris les mesures suivantes ??")</f>
        <v>En réponse à ${w_emergency_name}, avez-vous vous ou votre ménage pris les mesures suivantes ??</v>
      </c>
      <c r="I837" s="180" t="str">
        <f>IFERROR(__xludf.DUMMYFUNCTION("TRIM(REGEXREPLACE(E837, ""[0-9]+[a-f]?\."", """"))"),"Dangance da ${w_emergency_name}, ku ko ƴan gindanku kun ɗauki waɗannan matakai?")</f>
        <v>Dangance da ${w_emergency_name}, ku ko ƴan gindanku kun ɗauki waɗannan matakai?</v>
      </c>
      <c r="J837" s="180" t="str">
        <f t="shared" ref="J837:L837" si="245">$F837 &amp; ". "&amp;G837</f>
        <v>245. In response to ${w_emergency_name}, did you or your household take the following actions?</v>
      </c>
      <c r="K837" s="180" t="str">
        <f t="shared" si="245"/>
        <v>245. En réponse à ${w_emergency_name}, avez-vous vous ou votre ménage pris les mesures suivantes ??</v>
      </c>
      <c r="L837" s="180" t="str">
        <f t="shared" si="245"/>
        <v>245. Dangance da ${w_emergency_name}, ku ko ƴan gindanku kun ɗauki waɗannan matakai?</v>
      </c>
    </row>
    <row r="838" hidden="1"/>
    <row r="839" hidden="1">
      <c r="B839" s="277"/>
      <c r="C839" s="277"/>
      <c r="D839" s="277"/>
      <c r="E839" s="277"/>
      <c r="F839" s="187">
        <v>521.0</v>
      </c>
      <c r="G839" s="180" t="str">
        <f>IFERROR(__xludf.DUMMYFUNCTION("TRIM(REGEXREPLACE(C839, ""[0-9]+[a-f]?\."", """"))"),"")</f>
        <v/>
      </c>
      <c r="H839" s="180" t="str">
        <f>IFERROR(__xludf.DUMMYFUNCTION("TRIM(REGEXREPLACE(D839, ""[0-9]+[a-f]?\."", """"))"),"")</f>
        <v/>
      </c>
      <c r="I839" s="180" t="str">
        <f>IFERROR(__xludf.DUMMYFUNCTION("TRIM(REGEXREPLACE(E839, ""[0-9]+[a-f]?\."", """"))"),"")</f>
        <v/>
      </c>
      <c r="J839" s="180" t="s">
        <v>4506</v>
      </c>
      <c r="K839" s="180" t="s">
        <v>4507</v>
      </c>
      <c r="L839" s="180" t="s">
        <v>4508</v>
      </c>
    </row>
    <row r="840" hidden="1">
      <c r="B840" s="277"/>
      <c r="C840" s="277"/>
      <c r="D840" s="277"/>
      <c r="E840" s="277"/>
      <c r="F840" s="187">
        <v>522.0</v>
      </c>
      <c r="G840" s="180" t="str">
        <f>IFERROR(__xludf.DUMMYFUNCTION("TRIM(REGEXREPLACE(C840, ""[0-9]+[a-f]?\."", """"))"),"")</f>
        <v/>
      </c>
      <c r="H840" s="180" t="str">
        <f>IFERROR(__xludf.DUMMYFUNCTION("TRIM(REGEXREPLACE(D840, ""[0-9]+[a-f]?\."", """"))"),"")</f>
        <v/>
      </c>
      <c r="I840" s="180" t="str">
        <f>IFERROR(__xludf.DUMMYFUNCTION("TRIM(REGEXREPLACE(E840, ""[0-9]+[a-f]?\."", """"))"),"")</f>
        <v/>
      </c>
      <c r="J840" s="180" t="s">
        <v>4509</v>
      </c>
      <c r="K840" s="180" t="s">
        <v>4510</v>
      </c>
      <c r="L840" s="180" t="s">
        <v>4511</v>
      </c>
    </row>
    <row r="841" hidden="1">
      <c r="B841" s="277"/>
      <c r="C841" s="277"/>
      <c r="D841" s="277"/>
      <c r="E841" s="277"/>
      <c r="F841" s="187">
        <v>523.0</v>
      </c>
      <c r="G841" s="180" t="str">
        <f>IFERROR(__xludf.DUMMYFUNCTION("TRIM(REGEXREPLACE(C841, ""[0-9]+[a-f]?\."", """"))"),"")</f>
        <v/>
      </c>
      <c r="H841" s="180" t="str">
        <f>IFERROR(__xludf.DUMMYFUNCTION("TRIM(REGEXREPLACE(D841, ""[0-9]+[a-f]?\."", """"))"),"")</f>
        <v/>
      </c>
      <c r="I841" s="180" t="str">
        <f>IFERROR(__xludf.DUMMYFUNCTION("TRIM(REGEXREPLACE(E841, ""[0-9]+[a-f]?\."", """"))"),"")</f>
        <v/>
      </c>
      <c r="J841" s="180" t="s">
        <v>4515</v>
      </c>
      <c r="K841" s="180" t="s">
        <v>4516</v>
      </c>
      <c r="L841" s="180" t="s">
        <v>4517</v>
      </c>
    </row>
    <row r="842" hidden="1">
      <c r="B842" s="277"/>
      <c r="C842" s="277"/>
      <c r="D842" s="277"/>
      <c r="E842" s="277"/>
      <c r="F842" s="187">
        <v>524.0</v>
      </c>
      <c r="G842" s="180" t="str">
        <f>IFERROR(__xludf.DUMMYFUNCTION("TRIM(REGEXREPLACE(C842, ""[0-9]+[a-f]?\."", """"))"),"")</f>
        <v/>
      </c>
      <c r="H842" s="180" t="str">
        <f>IFERROR(__xludf.DUMMYFUNCTION("TRIM(REGEXREPLACE(D842, ""[0-9]+[a-f]?\."", """"))"),"")</f>
        <v/>
      </c>
      <c r="I842" s="180" t="str">
        <f>IFERROR(__xludf.DUMMYFUNCTION("TRIM(REGEXREPLACE(E842, ""[0-9]+[a-f]?\."", """"))"),"")</f>
        <v/>
      </c>
      <c r="J842" s="180" t="s">
        <v>4518</v>
      </c>
      <c r="K842" s="180" t="s">
        <v>4519</v>
      </c>
      <c r="L842" s="180" t="s">
        <v>4520</v>
      </c>
    </row>
    <row r="843">
      <c r="A843" s="280" t="s">
        <v>2509</v>
      </c>
      <c r="B843" s="281" t="s">
        <v>4521</v>
      </c>
      <c r="C843" s="45" t="s">
        <v>4522</v>
      </c>
      <c r="D843" s="45" t="s">
        <v>4523</v>
      </c>
      <c r="E843" s="45" t="s">
        <v>4524</v>
      </c>
      <c r="F843" s="187">
        <v>246.0</v>
      </c>
      <c r="G843" s="180" t="str">
        <f>IFERROR(__xludf.DUMMYFUNCTION("TRIM(REGEXREPLACE(C843, ""[0-9]+[a-f]?\."", """"))"),"Sell assets?")</f>
        <v>Sell assets?</v>
      </c>
      <c r="H843" s="180" t="str">
        <f>IFERROR(__xludf.DUMMYFUNCTION("TRIM(REGEXREPLACE(D843, ""[0-9]+[a-f]?\."", """"))"),"Vendre des actifs")</f>
        <v>Vendre des actifs</v>
      </c>
      <c r="I843" s="180" t="str">
        <f>IFERROR(__xludf.DUMMYFUNCTION("TRIM(REGEXREPLACE(E843, ""[0-9]+[a-f]?\."", """"))"),"Saida kadarori")</f>
        <v>Saida kadarori</v>
      </c>
      <c r="J843" s="180" t="str">
        <f t="shared" ref="J843:L843" si="246">$F843 &amp; ". "&amp;G843</f>
        <v>246. Sell assets?</v>
      </c>
      <c r="K843" s="180" t="str">
        <f t="shared" si="246"/>
        <v>246. Vendre des actifs</v>
      </c>
      <c r="L843" s="180" t="str">
        <f t="shared" si="246"/>
        <v>246. Saida kadarori</v>
      </c>
    </row>
    <row r="844">
      <c r="A844" s="280" t="s">
        <v>2509</v>
      </c>
      <c r="B844" s="281" t="s">
        <v>4531</v>
      </c>
      <c r="C844" s="45" t="s">
        <v>4532</v>
      </c>
      <c r="D844" s="45" t="s">
        <v>4533</v>
      </c>
      <c r="E844" s="45" t="s">
        <v>4534</v>
      </c>
      <c r="F844" s="187">
        <v>247.0</v>
      </c>
      <c r="G844" s="180" t="str">
        <f>IFERROR(__xludf.DUMMYFUNCTION("TRIM(REGEXREPLACE(C844, ""[0-9]+[a-f]?\."", """"))"),"Borrow money?")</f>
        <v>Borrow money?</v>
      </c>
      <c r="H844" s="180" t="str">
        <f>IFERROR(__xludf.DUMMYFUNCTION("TRIM(REGEXREPLACE(D844, ""[0-9]+[a-f]?\."", """"))"),"Emprunter de l'argent")</f>
        <v>Emprunter de l'argent</v>
      </c>
      <c r="I844" s="180" t="str">
        <f>IFERROR(__xludf.DUMMYFUNCTION("TRIM(REGEXREPLACE(E844, ""[0-9]+[a-f]?\."", """"))"),"Bashin kuɗi")</f>
        <v>Bashin kuɗi</v>
      </c>
      <c r="J844" s="180" t="str">
        <f t="shared" ref="J844:L844" si="247">$F844 &amp; ". "&amp;G844</f>
        <v>247. Borrow money?</v>
      </c>
      <c r="K844" s="180" t="str">
        <f t="shared" si="247"/>
        <v>247. Emprunter de l'argent</v>
      </c>
      <c r="L844" s="180" t="str">
        <f t="shared" si="247"/>
        <v>247. Bashin kuɗi</v>
      </c>
    </row>
    <row r="845">
      <c r="A845" s="280" t="s">
        <v>2509</v>
      </c>
      <c r="B845" s="281" t="s">
        <v>4538</v>
      </c>
      <c r="C845" s="45" t="s">
        <v>4539</v>
      </c>
      <c r="D845" s="45" t="s">
        <v>4540</v>
      </c>
      <c r="E845" s="45" t="s">
        <v>4541</v>
      </c>
      <c r="F845" s="187">
        <v>248.0</v>
      </c>
      <c r="G845" s="180" t="str">
        <f>IFERROR(__xludf.DUMMYFUNCTION("TRIM(REGEXREPLACE(C845, ""[0-9]+[a-f]?\."", """"))"),"Spend your savings?")</f>
        <v>Spend your savings?</v>
      </c>
      <c r="H845" s="180" t="str">
        <f>IFERROR(__xludf.DUMMYFUNCTION("TRIM(REGEXREPLACE(D845, ""[0-9]+[a-f]?\."", """"))"),"Utiliser votre épargne")</f>
        <v>Utiliser votre épargne</v>
      </c>
      <c r="I845" s="180" t="str">
        <f>IFERROR(__xludf.DUMMYFUNCTION("TRIM(REGEXREPLACE(E845, ""[0-9]+[a-f]?\."", """"))"),"Kashe kuɗin ajiyar ku")</f>
        <v>Kashe kuɗin ajiyar ku</v>
      </c>
      <c r="J845" s="180" t="str">
        <f t="shared" ref="J845:L845" si="248">$F845 &amp; ". "&amp;G845</f>
        <v>248. Spend your savings?</v>
      </c>
      <c r="K845" s="180" t="str">
        <f t="shared" si="248"/>
        <v>248. Utiliser votre épargne</v>
      </c>
      <c r="L845" s="180" t="str">
        <f t="shared" si="248"/>
        <v>248. Kashe kuɗin ajiyar ku</v>
      </c>
    </row>
    <row r="846">
      <c r="A846" s="280" t="s">
        <v>2509</v>
      </c>
      <c r="B846" s="281" t="s">
        <v>4545</v>
      </c>
      <c r="C846" s="45" t="s">
        <v>4546</v>
      </c>
      <c r="D846" s="45" t="s">
        <v>4547</v>
      </c>
      <c r="E846" s="45" t="s">
        <v>4548</v>
      </c>
      <c r="F846" s="187">
        <v>249.0</v>
      </c>
      <c r="G846" s="180" t="str">
        <f>IFERROR(__xludf.DUMMYFUNCTION("TRIM(REGEXREPLACE(C846, ""[0-9]+[a-f]?\."", """"))"),"Reduce spending on food or change your food consumption?")</f>
        <v>Reduce spending on food or change your food consumption?</v>
      </c>
      <c r="H846" s="180" t="str">
        <f>IFERROR(__xludf.DUMMYFUNCTION("TRIM(REGEXREPLACE(D846, ""[0-9]+[a-f]?\."", """"))"),"Réduire les dépenses alimentaires ou changé des habitudes de consommation ?")</f>
        <v>Réduire les dépenses alimentaires ou changé des habitudes de consommation ?</v>
      </c>
      <c r="I846" s="180" t="str">
        <f>IFERROR(__xludf.DUMMYFUNCTION("TRIM(REGEXREPLACE(E846, ""[0-9]+[a-f]?\."", """"))"),"Rage kashe kuɗi akan abinci ko canza abincin?")</f>
        <v>Rage kashe kuɗi akan abinci ko canza abincin?</v>
      </c>
      <c r="J846" s="180" t="str">
        <f t="shared" ref="J846:L846" si="249">$F846 &amp; ". "&amp;G846</f>
        <v>249. Reduce spending on food or change your food consumption?</v>
      </c>
      <c r="K846" s="180" t="str">
        <f t="shared" si="249"/>
        <v>249. Réduire les dépenses alimentaires ou changé des habitudes de consommation ?</v>
      </c>
      <c r="L846" s="180" t="str">
        <f t="shared" si="249"/>
        <v>249. Rage kashe kuɗi akan abinci ko canza abincin?</v>
      </c>
    </row>
    <row r="847" hidden="1">
      <c r="A847" s="298" t="s">
        <v>237</v>
      </c>
      <c r="B847" s="310" t="s">
        <v>4496</v>
      </c>
      <c r="C847" s="303"/>
      <c r="D847" s="303"/>
      <c r="E847" s="303"/>
      <c r="F847" s="187">
        <v>508.0</v>
      </c>
      <c r="G847" s="180" t="str">
        <f>IFERROR(__xludf.DUMMYFUNCTION("TRIM(REGEXREPLACE(C847, ""[0-9]+[a-f]?\."", """"))"),"")</f>
        <v/>
      </c>
      <c r="H847" s="180" t="str">
        <f>IFERROR(__xludf.DUMMYFUNCTION("TRIM(REGEXREPLACE(D847, ""[0-9]+[a-f]?\."", """"))"),"")</f>
        <v/>
      </c>
      <c r="I847" s="180" t="str">
        <f>IFERROR(__xludf.DUMMYFUNCTION("TRIM(REGEXREPLACE(E847, ""[0-9]+[a-f]?\."", """"))"),"")</f>
        <v/>
      </c>
      <c r="J847" s="180" t="s">
        <v>4554</v>
      </c>
      <c r="K847" s="180" t="s">
        <v>4555</v>
      </c>
      <c r="L847" s="180" t="s">
        <v>4556</v>
      </c>
    </row>
    <row r="848" hidden="1">
      <c r="A848" s="298" t="s">
        <v>133</v>
      </c>
      <c r="B848" s="299" t="s">
        <v>4557</v>
      </c>
      <c r="C848" s="300"/>
      <c r="D848" s="300"/>
      <c r="E848" s="300"/>
      <c r="F848" s="187">
        <v>509.0</v>
      </c>
      <c r="G848" s="180" t="str">
        <f>IFERROR(__xludf.DUMMYFUNCTION("TRIM(REGEXREPLACE(C848, ""[0-9]+[a-f]?\."", """"))"),"")</f>
        <v/>
      </c>
      <c r="H848" s="180" t="str">
        <f>IFERROR(__xludf.DUMMYFUNCTION("TRIM(REGEXREPLACE(D848, ""[0-9]+[a-f]?\."", """"))"),"")</f>
        <v/>
      </c>
      <c r="I848" s="180" t="str">
        <f>IFERROR(__xludf.DUMMYFUNCTION("TRIM(REGEXREPLACE(E848, ""[0-9]+[a-f]?\."", """"))"),"")</f>
        <v/>
      </c>
      <c r="J848" s="180" t="s">
        <v>4560</v>
      </c>
      <c r="K848" s="180" t="s">
        <v>4561</v>
      </c>
      <c r="L848" s="180" t="s">
        <v>4562</v>
      </c>
    </row>
    <row r="849" hidden="1">
      <c r="B849" s="277"/>
      <c r="C849" s="277"/>
      <c r="D849" s="277"/>
      <c r="E849" s="277"/>
      <c r="F849" s="187">
        <v>529.0</v>
      </c>
      <c r="G849" s="180" t="str">
        <f>IFERROR(__xludf.DUMMYFUNCTION("TRIM(REGEXREPLACE(C849, ""[0-9]+[a-f]?\."", """"))"),"")</f>
        <v/>
      </c>
      <c r="H849" s="180" t="str">
        <f>IFERROR(__xludf.DUMMYFUNCTION("TRIM(REGEXREPLACE(D849, ""[0-9]+[a-f]?\."", """"))"),"")</f>
        <v/>
      </c>
      <c r="I849" s="180" t="str">
        <f>IFERROR(__xludf.DUMMYFUNCTION("TRIM(REGEXREPLACE(E849, ""[0-9]+[a-f]?\."", """"))"),"")</f>
        <v/>
      </c>
      <c r="J849" s="180" t="s">
        <v>4564</v>
      </c>
      <c r="K849" s="180" t="s">
        <v>4566</v>
      </c>
      <c r="L849" s="180" t="s">
        <v>4567</v>
      </c>
    </row>
    <row r="850">
      <c r="A850" s="278" t="s">
        <v>38</v>
      </c>
      <c r="B850" s="279" t="s">
        <v>4569</v>
      </c>
      <c r="C850" s="45" t="s">
        <v>4570</v>
      </c>
      <c r="D850" s="45" t="s">
        <v>4571</v>
      </c>
      <c r="E850" s="45" t="s">
        <v>4572</v>
      </c>
      <c r="F850" s="187">
        <v>250.0</v>
      </c>
      <c r="G850" s="180" t="str">
        <f>IFERROR(__xludf.DUMMYFUNCTION("TRIM(REGEXREPLACE(C850, ""[0-9]+[a-f]?\."", """"))"),"For ${w_emergency_name}
 What was the value of the following in CFA?")</f>
        <v>For ${w_emergency_name}
 What was the value of the following in CFA?</v>
      </c>
      <c r="H850" s="180" t="str">
        <f>IFERROR(__xludf.DUMMYFUNCTION("TRIM(REGEXREPLACE(D850, ""[0-9]+[a-f]?\."", """"))"),"Par rapport à ${w_emergency_name}
 Quelle était la valeur des éléments suivantes en CFA?")</f>
        <v>Par rapport à ${w_emergency_name}
 Quelle était la valeur des éléments suivantes en CFA?</v>
      </c>
      <c r="I850" s="180" t="str">
        <f>IFERROR(__xludf.DUMMYFUNCTION("TRIM(REGEXREPLACE(E850, ""[0-9]+[a-f]?\."", """"))"),"Game da ${w_emergency_name}
 Nawa ne kimar waɗannan abubuwan a kuɗin CFA?")</f>
        <v>Game da ${w_emergency_name}
 Nawa ne kimar waɗannan abubuwan a kuɗin CFA?</v>
      </c>
      <c r="J850" s="180" t="str">
        <f t="shared" ref="J850:L850" si="250">$F850 &amp; ". "&amp;G850</f>
        <v>250. For ${w_emergency_name}
 What was the value of the following in CFA?</v>
      </c>
      <c r="K850" s="180" t="str">
        <f t="shared" si="250"/>
        <v>250. Par rapport à ${w_emergency_name}
 Quelle était la valeur des éléments suivantes en CFA?</v>
      </c>
      <c r="L850" s="180" t="str">
        <f t="shared" si="250"/>
        <v>250. Game da ${w_emergency_name}
 Nawa ne kimar waɗannan abubuwan a kuɗin CFA?</v>
      </c>
    </row>
    <row r="851">
      <c r="A851" s="291" t="s">
        <v>268</v>
      </c>
      <c r="B851" s="292" t="s">
        <v>4576</v>
      </c>
      <c r="C851" s="45" t="s">
        <v>2400</v>
      </c>
      <c r="D851" s="45" t="s">
        <v>2401</v>
      </c>
      <c r="E851" s="45" t="s">
        <v>2402</v>
      </c>
      <c r="F851" s="187">
        <v>251.0</v>
      </c>
      <c r="G851" s="180" t="str">
        <f>IFERROR(__xludf.DUMMYFUNCTION("TRIM(REGEXREPLACE(C851, ""[0-9]+[a-f]?\."", """"))"),"Assets you sold")</f>
        <v>Assets you sold</v>
      </c>
      <c r="H851" s="180" t="str">
        <f>IFERROR(__xludf.DUMMYFUNCTION("TRIM(REGEXREPLACE(D851, ""[0-9]+[a-f]?\."", """"))"),"Les actifs que vous avez vendus")</f>
        <v>Les actifs que vous avez vendus</v>
      </c>
      <c r="I851" s="180" t="str">
        <f>IFERROR(__xludf.DUMMYFUNCTION("TRIM(REGEXREPLACE(E851, ""[0-9]+[a-f]?\."", """"))"),"Kadarorin da kuka saida")</f>
        <v>Kadarorin da kuka saida</v>
      </c>
      <c r="J851" s="180" t="str">
        <f t="shared" ref="J851:L851" si="251">$F851 &amp; ". "&amp;G851</f>
        <v>251. Assets you sold</v>
      </c>
      <c r="K851" s="180" t="str">
        <f t="shared" si="251"/>
        <v>251. Les actifs que vous avez vendus</v>
      </c>
      <c r="L851" s="180" t="str">
        <f t="shared" si="251"/>
        <v>251. Kadarorin da kuka saida</v>
      </c>
    </row>
    <row r="852">
      <c r="A852" s="291" t="s">
        <v>268</v>
      </c>
      <c r="B852" s="292" t="s">
        <v>4580</v>
      </c>
      <c r="C852" s="45" t="s">
        <v>2407</v>
      </c>
      <c r="D852" s="45" t="s">
        <v>2408</v>
      </c>
      <c r="E852" s="45" t="s">
        <v>2410</v>
      </c>
      <c r="F852" s="187">
        <v>252.0</v>
      </c>
      <c r="G852" s="180" t="str">
        <f>IFERROR(__xludf.DUMMYFUNCTION("TRIM(REGEXREPLACE(C852, ""[0-9]+[a-f]?\."", """"))"),"Loan(s) you took")</f>
        <v>Loan(s) you took</v>
      </c>
      <c r="H852" s="180" t="str">
        <f>IFERROR(__xludf.DUMMYFUNCTION("TRIM(REGEXREPLACE(D852, ""[0-9]+[a-f]?\."", """"))"),"Les prêt(s) que vous avez contracté")</f>
        <v>Les prêt(s) que vous avez contracté</v>
      </c>
      <c r="I852" s="180" t="str">
        <f>IFERROR(__xludf.DUMMYFUNCTION("TRIM(REGEXREPLACE(E852, ""[0-9]+[a-f]?\."", """"))"),"Bashin da kuka ɗauka")</f>
        <v>Bashin da kuka ɗauka</v>
      </c>
      <c r="J852" s="180" t="str">
        <f t="shared" ref="J852:L852" si="252">$F852 &amp; ". "&amp;G852</f>
        <v>252. Loan(s) you took</v>
      </c>
      <c r="K852" s="180" t="str">
        <f t="shared" si="252"/>
        <v>252. Les prêt(s) que vous avez contracté</v>
      </c>
      <c r="L852" s="180" t="str">
        <f t="shared" si="252"/>
        <v>252. Bashin da kuka ɗauka</v>
      </c>
    </row>
    <row r="853">
      <c r="A853" s="291" t="s">
        <v>268</v>
      </c>
      <c r="B853" s="292" t="s">
        <v>4588</v>
      </c>
      <c r="C853" s="45" t="s">
        <v>4589</v>
      </c>
      <c r="D853" s="45" t="s">
        <v>4590</v>
      </c>
      <c r="E853" s="45" t="s">
        <v>4591</v>
      </c>
      <c r="F853" s="187">
        <v>253.0</v>
      </c>
      <c r="G853" s="180" t="str">
        <f>IFERROR(__xludf.DUMMYFUNCTION("TRIM(REGEXREPLACE(C853, ""[0-9]+[a-f]?\."", """"))"),"Savings you spent?")</f>
        <v>Savings you spent?</v>
      </c>
      <c r="H853" s="180" t="str">
        <f>IFERROR(__xludf.DUMMYFUNCTION("TRIM(REGEXREPLACE(D853, ""[0-9]+[a-f]?\."", """"))"),"L'épargne que vous avez utilisé")</f>
        <v>L'épargne que vous avez utilisé</v>
      </c>
      <c r="I853" s="180" t="str">
        <f>IFERROR(__xludf.DUMMYFUNCTION("TRIM(REGEXREPLACE(E853, ""[0-9]+[a-f]?\."", """"))"),"Ajiyar da kuka kashe")</f>
        <v>Ajiyar da kuka kashe</v>
      </c>
      <c r="J853" s="180" t="str">
        <f t="shared" ref="J853:L853" si="253">$F853 &amp; ". "&amp;G853</f>
        <v>253. Savings you spent?</v>
      </c>
      <c r="K853" s="180" t="str">
        <f t="shared" si="253"/>
        <v>253. L'épargne que vous avez utilisé</v>
      </c>
      <c r="L853" s="180" t="str">
        <f t="shared" si="253"/>
        <v>253. Ajiyar da kuka kashe</v>
      </c>
    </row>
    <row r="854" hidden="1">
      <c r="A854" s="298" t="s">
        <v>237</v>
      </c>
      <c r="B854" s="310" t="s">
        <v>4557</v>
      </c>
      <c r="C854" s="303"/>
      <c r="D854" s="303"/>
      <c r="E854" s="303"/>
      <c r="F854" s="187">
        <v>514.0</v>
      </c>
      <c r="G854" s="180" t="str">
        <f>IFERROR(__xludf.DUMMYFUNCTION("TRIM(REGEXREPLACE(C854, ""[0-9]+[a-f]?\."", """"))"),"")</f>
        <v/>
      </c>
      <c r="H854" s="180" t="str">
        <f>IFERROR(__xludf.DUMMYFUNCTION("TRIM(REGEXREPLACE(D854, ""[0-9]+[a-f]?\."", """"))"),"")</f>
        <v/>
      </c>
      <c r="I854" s="180" t="str">
        <f>IFERROR(__xludf.DUMMYFUNCTION("TRIM(REGEXREPLACE(E854, ""[0-9]+[a-f]?\."", """"))"),"")</f>
        <v/>
      </c>
      <c r="J854" s="180" t="s">
        <v>4596</v>
      </c>
      <c r="K854" s="180" t="s">
        <v>4598</v>
      </c>
      <c r="L854" s="180" t="s">
        <v>4599</v>
      </c>
    </row>
    <row r="855" hidden="1">
      <c r="A855" s="285" t="s">
        <v>468</v>
      </c>
      <c r="B855" s="185" t="s">
        <v>4480</v>
      </c>
      <c r="C855" s="185" t="s">
        <v>4481</v>
      </c>
      <c r="D855" s="326"/>
      <c r="E855" s="326"/>
      <c r="F855" s="187">
        <v>515.0</v>
      </c>
      <c r="G855" s="180" t="str">
        <f>IFERROR(__xludf.DUMMYFUNCTION("TRIM(REGEXREPLACE(C855, ""[0-9]+[a-f]?\."", """"))"),"Emergency response")</f>
        <v>Emergency response</v>
      </c>
      <c r="H855" s="180" t="str">
        <f>IFERROR(__xludf.DUMMYFUNCTION("TRIM(REGEXREPLACE(D855, ""[0-9]+[a-f]?\."", """"))"),"")</f>
        <v/>
      </c>
      <c r="I855" s="180" t="str">
        <f>IFERROR(__xludf.DUMMYFUNCTION("TRIM(REGEXREPLACE(E855, ""[0-9]+[a-f]?\."", """"))"),"")</f>
        <v/>
      </c>
      <c r="J855" s="180" t="s">
        <v>4601</v>
      </c>
      <c r="K855" s="180" t="s">
        <v>4602</v>
      </c>
      <c r="L855" s="180" t="s">
        <v>4603</v>
      </c>
    </row>
    <row r="856" hidden="1">
      <c r="B856" s="277"/>
      <c r="C856" s="277"/>
      <c r="D856" s="277"/>
      <c r="E856" s="277"/>
      <c r="F856" s="187">
        <v>532.0</v>
      </c>
      <c r="G856" s="180" t="str">
        <f>IFERROR(__xludf.DUMMYFUNCTION("TRIM(REGEXREPLACE(C856, ""[0-9]+[a-f]?\."", """"))"),"")</f>
        <v/>
      </c>
      <c r="H856" s="180" t="str">
        <f>IFERROR(__xludf.DUMMYFUNCTION("TRIM(REGEXREPLACE(D856, ""[0-9]+[a-f]?\."", """"))"),"")</f>
        <v/>
      </c>
      <c r="I856" s="180" t="str">
        <f>IFERROR(__xludf.DUMMYFUNCTION("TRIM(REGEXREPLACE(E856, ""[0-9]+[a-f]?\."", """"))"),"")</f>
        <v/>
      </c>
      <c r="J856" s="180" t="s">
        <v>4605</v>
      </c>
      <c r="K856" s="180" t="s">
        <v>4607</v>
      </c>
      <c r="L856" s="180" t="s">
        <v>4608</v>
      </c>
    </row>
    <row r="857" hidden="1">
      <c r="B857" s="277"/>
      <c r="C857" s="277"/>
      <c r="D857" s="277"/>
      <c r="E857" s="277"/>
      <c r="F857" s="187">
        <v>533.0</v>
      </c>
      <c r="G857" s="180" t="str">
        <f>IFERROR(__xludf.DUMMYFUNCTION("TRIM(REGEXREPLACE(C857, ""[0-9]+[a-f]?\."", """"))"),"")</f>
        <v/>
      </c>
      <c r="H857" s="180" t="str">
        <f>IFERROR(__xludf.DUMMYFUNCTION("TRIM(REGEXREPLACE(D857, ""[0-9]+[a-f]?\."", """"))"),"")</f>
        <v/>
      </c>
      <c r="I857" s="180" t="str">
        <f>IFERROR(__xludf.DUMMYFUNCTION("TRIM(REGEXREPLACE(E857, ""[0-9]+[a-f]?\."", """"))"),"")</f>
        <v/>
      </c>
      <c r="J857" s="180" t="s">
        <v>4610</v>
      </c>
      <c r="K857" s="180" t="s">
        <v>4611</v>
      </c>
      <c r="L857" s="180" t="s">
        <v>4612</v>
      </c>
    </row>
    <row r="858" hidden="1">
      <c r="B858" s="277"/>
      <c r="C858" s="277"/>
      <c r="D858" s="277"/>
      <c r="E858" s="277"/>
      <c r="F858" s="187">
        <v>534.0</v>
      </c>
      <c r="G858" s="180" t="str">
        <f>IFERROR(__xludf.DUMMYFUNCTION("TRIM(REGEXREPLACE(C858, ""[0-9]+[a-f]?\."", """"))"),"")</f>
        <v/>
      </c>
      <c r="H858" s="180" t="str">
        <f>IFERROR(__xludf.DUMMYFUNCTION("TRIM(REGEXREPLACE(D858, ""[0-9]+[a-f]?\."", """"))"),"")</f>
        <v/>
      </c>
      <c r="I858" s="180" t="str">
        <f>IFERROR(__xludf.DUMMYFUNCTION("TRIM(REGEXREPLACE(E858, ""[0-9]+[a-f]?\."", """"))"),"")</f>
        <v/>
      </c>
      <c r="J858" s="180" t="s">
        <v>4613</v>
      </c>
      <c r="K858" s="180" t="s">
        <v>4614</v>
      </c>
      <c r="L858" s="180" t="s">
        <v>4614</v>
      </c>
    </row>
    <row r="859" hidden="1">
      <c r="A859" s="302"/>
      <c r="B859" s="300"/>
      <c r="C859" s="300"/>
      <c r="D859" s="303"/>
      <c r="E859" s="303"/>
      <c r="F859" s="187">
        <v>516.0</v>
      </c>
      <c r="G859" s="180" t="str">
        <f>IFERROR(__xludf.DUMMYFUNCTION("TRIM(REGEXREPLACE(C859, ""[0-9]+[a-f]?\."", """"))"),"")</f>
        <v/>
      </c>
      <c r="H859" s="180" t="str">
        <f>IFERROR(__xludf.DUMMYFUNCTION("TRIM(REGEXREPLACE(D859, ""[0-9]+[a-f]?\."", """"))"),"")</f>
        <v/>
      </c>
      <c r="I859" s="180" t="str">
        <f>IFERROR(__xludf.DUMMYFUNCTION("TRIM(REGEXREPLACE(E859, ""[0-9]+[a-f]?\."", """"))"),"")</f>
        <v/>
      </c>
      <c r="J859" s="180" t="s">
        <v>4617</v>
      </c>
      <c r="K859" s="180" t="s">
        <v>4619</v>
      </c>
      <c r="L859" s="180" t="s">
        <v>4620</v>
      </c>
    </row>
    <row r="860">
      <c r="A860" s="278" t="s">
        <v>38</v>
      </c>
      <c r="B860" s="279" t="s">
        <v>4621</v>
      </c>
      <c r="C860" s="45" t="s">
        <v>4622</v>
      </c>
      <c r="D860" s="45" t="s">
        <v>4624</v>
      </c>
      <c r="E860" s="45" t="s">
        <v>4625</v>
      </c>
      <c r="F860" s="187">
        <v>254.0</v>
      </c>
      <c r="G860" s="180" t="str">
        <f>IFERROR(__xludf.DUMMYFUNCTION("TRIM(REGEXREPLACE(C860,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860" s="180" t="str">
        <f>IFERROR(__xludf.DUMMYFUNCTION("TRIM(REGEXREPLACE(D860,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860" s="180" t="str">
        <f>IFERROR(__xludf.DUMMYFUNCTION("TRIM(REGEXREPLACE(E860,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860" s="180" t="str">
        <f t="shared" ref="J860:L860" si="254">$F860 &amp; ". "&amp;G860</f>
        <v>254. I would like to ask your opinion about a several different topics. There are no right answers to these questions, we just want to understand what you think.</v>
      </c>
      <c r="K860" s="180" t="str">
        <f t="shared" si="254"/>
        <v>254. J'aimerais vous demander votre avis sur plusieurs sujets différents. Il n'y a pas de bonnes réponses à ces questions, nous voulons juste comprendre ce que vous pensez.</v>
      </c>
      <c r="L860" s="180" t="str">
        <f t="shared" si="254"/>
        <v>254. Ina so in tambayi ra'ayin ku game bisa batutuwa daban-daban. Babu amsoshin da suka dace ga waɗannan tambayoyin, muna son mu fafimci ra'ayinki ne kawai.</v>
      </c>
    </row>
    <row r="861" hidden="1">
      <c r="A861" s="298" t="s">
        <v>133</v>
      </c>
      <c r="B861" s="299" t="s">
        <v>4627</v>
      </c>
      <c r="C861" s="300"/>
      <c r="D861" s="300"/>
      <c r="E861" s="300"/>
      <c r="F861" s="187">
        <v>518.0</v>
      </c>
      <c r="G861" s="180" t="str">
        <f>IFERROR(__xludf.DUMMYFUNCTION("TRIM(REGEXREPLACE(C861, ""[0-9]+[a-f]?\."", """"))"),"")</f>
        <v/>
      </c>
      <c r="H861" s="180" t="str">
        <f>IFERROR(__xludf.DUMMYFUNCTION("TRIM(REGEXREPLACE(D861, ""[0-9]+[a-f]?\."", """"))"),"")</f>
        <v/>
      </c>
      <c r="I861" s="180" t="str">
        <f>IFERROR(__xludf.DUMMYFUNCTION("TRIM(REGEXREPLACE(E861, ""[0-9]+[a-f]?\."", """"))"),"")</f>
        <v/>
      </c>
      <c r="J861" s="180" t="s">
        <v>4634</v>
      </c>
      <c r="K861" s="180" t="s">
        <v>4635</v>
      </c>
      <c r="L861" s="180" t="s">
        <v>4636</v>
      </c>
    </row>
    <row r="862" hidden="1">
      <c r="B862" s="277"/>
      <c r="C862" s="277"/>
      <c r="D862" s="277"/>
      <c r="E862" s="277"/>
      <c r="F862" s="187">
        <v>537.0</v>
      </c>
      <c r="G862" s="180" t="str">
        <f>IFERROR(__xludf.DUMMYFUNCTION("TRIM(REGEXREPLACE(C862, ""[0-9]+[a-f]?\."", """"))"),"")</f>
        <v/>
      </c>
      <c r="H862" s="180" t="str">
        <f>IFERROR(__xludf.DUMMYFUNCTION("TRIM(REGEXREPLACE(D862, ""[0-9]+[a-f]?\."", """"))"),"")</f>
        <v/>
      </c>
      <c r="I862" s="180" t="str">
        <f>IFERROR(__xludf.DUMMYFUNCTION("TRIM(REGEXREPLACE(E862, ""[0-9]+[a-f]?\."", """"))"),"")</f>
        <v/>
      </c>
      <c r="J862" s="180" t="s">
        <v>4637</v>
      </c>
      <c r="K862" s="180" t="s">
        <v>4638</v>
      </c>
      <c r="L862" s="180" t="s">
        <v>4639</v>
      </c>
    </row>
    <row r="863" hidden="1">
      <c r="B863" s="277"/>
      <c r="C863" s="277"/>
      <c r="D863" s="277"/>
      <c r="E863" s="277"/>
      <c r="F863" s="187">
        <v>538.0</v>
      </c>
      <c r="G863" s="180" t="str">
        <f>IFERROR(__xludf.DUMMYFUNCTION("TRIM(REGEXREPLACE(C863, ""[0-9]+[a-f]?\."", """"))"),"")</f>
        <v/>
      </c>
      <c r="H863" s="180" t="str">
        <f>IFERROR(__xludf.DUMMYFUNCTION("TRIM(REGEXREPLACE(D863, ""[0-9]+[a-f]?\."", """"))"),"")</f>
        <v/>
      </c>
      <c r="I863" s="180" t="str">
        <f>IFERROR(__xludf.DUMMYFUNCTION("TRIM(REGEXREPLACE(E863, ""[0-9]+[a-f]?\."", """"))"),"")</f>
        <v/>
      </c>
      <c r="J863" s="180" t="s">
        <v>4640</v>
      </c>
      <c r="K863" s="180" t="s">
        <v>4641</v>
      </c>
      <c r="L863" s="180" t="s">
        <v>4642</v>
      </c>
    </row>
    <row r="864" hidden="1">
      <c r="B864" s="277"/>
      <c r="C864" s="277"/>
      <c r="D864" s="277"/>
      <c r="E864" s="277"/>
      <c r="F864" s="187">
        <v>539.0</v>
      </c>
      <c r="G864" s="180" t="str">
        <f>IFERROR(__xludf.DUMMYFUNCTION("TRIM(REGEXREPLACE(C864, ""[0-9]+[a-f]?\."", """"))"),"")</f>
        <v/>
      </c>
      <c r="H864" s="180" t="str">
        <f>IFERROR(__xludf.DUMMYFUNCTION("TRIM(REGEXREPLACE(D864, ""[0-9]+[a-f]?\."", """"))"),"")</f>
        <v/>
      </c>
      <c r="I864" s="180" t="str">
        <f>IFERROR(__xludf.DUMMYFUNCTION("TRIM(REGEXREPLACE(E864, ""[0-9]+[a-f]?\."", """"))"),"")</f>
        <v/>
      </c>
      <c r="J864" s="180" t="s">
        <v>4646</v>
      </c>
      <c r="K864" s="180" t="s">
        <v>4647</v>
      </c>
      <c r="L864" s="180" t="s">
        <v>4648</v>
      </c>
    </row>
    <row r="865">
      <c r="A865" s="280" t="s">
        <v>4649</v>
      </c>
      <c r="B865" s="281" t="s">
        <v>4650</v>
      </c>
      <c r="C865" s="45" t="s">
        <v>4652</v>
      </c>
      <c r="D865" s="45" t="s">
        <v>4654</v>
      </c>
      <c r="E865" s="45" t="s">
        <v>4656</v>
      </c>
      <c r="F865" s="187">
        <v>255.0</v>
      </c>
      <c r="G865" s="180" t="str">
        <f>IFERROR(__xludf.DUMMYFUNCTION("TRIM(REGEXREPLACE(C865,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865" s="180" t="str">
        <f>IFERROR(__xludf.DUMMYFUNCTION("TRIM(REGEXREPLACE(D865,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865" s="180" t="str">
        <f>IFERROR(__xludf.DUMMYFUNCTION("TRIM(REGEXREPLACE(E865,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865" s="180" t="str">
        <f t="shared" ref="J865:L865" si="255">$F865 &amp; ". "&amp;G865</f>
        <v>255. I would like to ask you about how decisions are made in your household. Please tell me to what degree does your opinion matter in decisions related to the following topics:</v>
      </c>
      <c r="K865" s="180" t="str">
        <f t="shared" si="255"/>
        <v>255. Je voudrais vous poser quelques quetions sur la prise de décision dans votre ménage, dans quelle mesure votre opinion compte-t-elle dans les décisions liées aux sujets suivants :</v>
      </c>
      <c r="L865" s="180" t="str">
        <f t="shared" si="255"/>
        <v>255. Ina son in tambaye ku yadda ake yanke hukunci a gidanku. Da fatan za ku gaya mani matsayin ra'ayinku a yanke shawara bisa abubuwa masu zuwa:</v>
      </c>
    </row>
    <row r="866">
      <c r="A866" s="280" t="s">
        <v>4649</v>
      </c>
      <c r="B866" s="281" t="s">
        <v>4658</v>
      </c>
      <c r="C866" s="45" t="s">
        <v>4659</v>
      </c>
      <c r="D866" s="45" t="s">
        <v>4661</v>
      </c>
      <c r="E866" s="45" t="s">
        <v>4663</v>
      </c>
      <c r="F866" s="187">
        <v>256.0</v>
      </c>
      <c r="G866" s="180" t="str">
        <f>IFERROR(__xludf.DUMMYFUNCTION("TRIM(REGEXREPLACE(C866, ""[0-9]+[a-f]?\."", """"))"),"How to use money that you earn")</f>
        <v>How to use money that you earn</v>
      </c>
      <c r="H866" s="180" t="str">
        <f>IFERROR(__xludf.DUMMYFUNCTION("TRIM(REGEXREPLACE(D866, ""[0-9]+[a-f]?\."", """"))"),"Comment utiliser l'argent que vous gagnez")</f>
        <v>Comment utiliser l'argent que vous gagnez</v>
      </c>
      <c r="I866" s="180" t="str">
        <f>IFERROR(__xludf.DUMMYFUNCTION("TRIM(REGEXREPLACE(E866, ""[0-9]+[a-f]?\."", """"))"),"Yadda ake amfani da kuɗin da kuke samu")</f>
        <v>Yadda ake amfani da kuɗin da kuke samu</v>
      </c>
      <c r="J866" s="180" t="str">
        <f t="shared" ref="J866:L866" si="256">$F866 &amp; ". "&amp;G866</f>
        <v>256. How to use money that you earn</v>
      </c>
      <c r="K866" s="180" t="str">
        <f t="shared" si="256"/>
        <v>256. Comment utiliser l'argent que vous gagnez</v>
      </c>
      <c r="L866" s="180" t="str">
        <f t="shared" si="256"/>
        <v>256. Yadda ake amfani da kuɗin da kuke samu</v>
      </c>
    </row>
    <row r="867" hidden="1">
      <c r="B867" s="277"/>
      <c r="C867" s="277"/>
      <c r="D867" s="277"/>
      <c r="E867" s="277"/>
      <c r="F867" s="187">
        <v>542.0</v>
      </c>
      <c r="G867" s="180" t="str">
        <f>IFERROR(__xludf.DUMMYFUNCTION("TRIM(REGEXREPLACE(C867, ""[0-9]+[a-f]?\."", """"))"),"")</f>
        <v/>
      </c>
      <c r="H867" s="180" t="str">
        <f>IFERROR(__xludf.DUMMYFUNCTION("TRIM(REGEXREPLACE(D867, ""[0-9]+[a-f]?\."", """"))"),"")</f>
        <v/>
      </c>
      <c r="I867" s="180" t="str">
        <f>IFERROR(__xludf.DUMMYFUNCTION("TRIM(REGEXREPLACE(E867, ""[0-9]+[a-f]?\."", """"))"),"")</f>
        <v/>
      </c>
      <c r="J867" s="180" t="s">
        <v>4666</v>
      </c>
      <c r="K867" s="180" t="s">
        <v>4667</v>
      </c>
      <c r="L867" s="180" t="s">
        <v>4668</v>
      </c>
    </row>
    <row r="868" hidden="1">
      <c r="B868" s="277"/>
      <c r="C868" s="277"/>
      <c r="D868" s="277"/>
      <c r="E868" s="277"/>
      <c r="F868" s="187">
        <v>543.0</v>
      </c>
      <c r="G868" s="180" t="str">
        <f>IFERROR(__xludf.DUMMYFUNCTION("TRIM(REGEXREPLACE(C868, ""[0-9]+[a-f]?\."", """"))"),"")</f>
        <v/>
      </c>
      <c r="H868" s="180" t="str">
        <f>IFERROR(__xludf.DUMMYFUNCTION("TRIM(REGEXREPLACE(D868, ""[0-9]+[a-f]?\."", """"))"),"")</f>
        <v/>
      </c>
      <c r="I868" s="180" t="str">
        <f>IFERROR(__xludf.DUMMYFUNCTION("TRIM(REGEXREPLACE(E868, ""[0-9]+[a-f]?\."", """"))"),"")</f>
        <v/>
      </c>
      <c r="J868" s="180" t="s">
        <v>4672</v>
      </c>
      <c r="K868" s="180" t="s">
        <v>4673</v>
      </c>
      <c r="L868" s="180" t="s">
        <v>4674</v>
      </c>
    </row>
    <row r="869" hidden="1">
      <c r="B869" s="277"/>
      <c r="C869" s="277"/>
      <c r="D869" s="277"/>
      <c r="E869" s="277"/>
      <c r="F869" s="187">
        <v>544.0</v>
      </c>
      <c r="G869" s="180" t="str">
        <f>IFERROR(__xludf.DUMMYFUNCTION("TRIM(REGEXREPLACE(C869, ""[0-9]+[a-f]?\."", """"))"),"")</f>
        <v/>
      </c>
      <c r="H869" s="180" t="str">
        <f>IFERROR(__xludf.DUMMYFUNCTION("TRIM(REGEXREPLACE(D869, ""[0-9]+[a-f]?\."", """"))"),"")</f>
        <v/>
      </c>
      <c r="I869" s="180" t="str">
        <f>IFERROR(__xludf.DUMMYFUNCTION("TRIM(REGEXREPLACE(E869, ""[0-9]+[a-f]?\."", """"))"),"")</f>
        <v/>
      </c>
      <c r="J869" s="180" t="s">
        <v>4675</v>
      </c>
      <c r="K869" s="180" t="s">
        <v>4676</v>
      </c>
      <c r="L869" s="180" t="s">
        <v>4677</v>
      </c>
    </row>
    <row r="870" hidden="1">
      <c r="B870" s="277"/>
      <c r="C870" s="277"/>
      <c r="D870" s="277"/>
      <c r="E870" s="277"/>
      <c r="F870" s="187">
        <v>545.0</v>
      </c>
      <c r="G870" s="180" t="str">
        <f>IFERROR(__xludf.DUMMYFUNCTION("TRIM(REGEXREPLACE(C870, ""[0-9]+[a-f]?\."", """"))"),"")</f>
        <v/>
      </c>
      <c r="H870" s="180" t="str">
        <f>IFERROR(__xludf.DUMMYFUNCTION("TRIM(REGEXREPLACE(D870, ""[0-9]+[a-f]?\."", """"))"),"")</f>
        <v/>
      </c>
      <c r="I870" s="180" t="str">
        <f>IFERROR(__xludf.DUMMYFUNCTION("TRIM(REGEXREPLACE(E870, ""[0-9]+[a-f]?\."", """"))"),"")</f>
        <v/>
      </c>
      <c r="J870" s="180" t="s">
        <v>4678</v>
      </c>
      <c r="K870" s="180" t="s">
        <v>4679</v>
      </c>
      <c r="L870" s="180" t="s">
        <v>4680</v>
      </c>
    </row>
    <row r="871">
      <c r="A871" s="280" t="s">
        <v>4649</v>
      </c>
      <c r="B871" s="281" t="s">
        <v>4681</v>
      </c>
      <c r="C871" s="45" t="s">
        <v>4682</v>
      </c>
      <c r="D871" s="45" t="s">
        <v>4683</v>
      </c>
      <c r="E871" s="45" t="s">
        <v>4684</v>
      </c>
      <c r="F871" s="187">
        <v>257.0</v>
      </c>
      <c r="G871" s="180" t="str">
        <f>IFERROR(__xludf.DUMMYFUNCTION("TRIM(REGEXREPLACE(C871, ""[0-9]+[a-f]?\."", """"))"),"Daily household expenses (Less than 500 CFA)")</f>
        <v>Daily household expenses (Less than 500 CFA)</v>
      </c>
      <c r="H871" s="180" t="str">
        <f>IFERROR(__xludf.DUMMYFUNCTION("TRIM(REGEXREPLACE(D871, ""[0-9]+[a-f]?\."", """"))"),"Dépenses quotidiennes du ménage (Moins de 500 CFA)")</f>
        <v>Dépenses quotidiennes du ménage (Moins de 500 CFA)</v>
      </c>
      <c r="I871" s="180" t="str">
        <f>IFERROR(__xludf.DUMMYFUNCTION("TRIM(REGEXREPLACE(E871, ""[0-9]+[a-f]?\."", """"))"),"Kashe Kuɗin gidan na yau da kullum ( Kasa da dala ɗari CFA 500)")</f>
        <v>Kashe Kuɗin gidan na yau da kullum ( Kasa da dala ɗari CFA 500)</v>
      </c>
      <c r="J871" s="180" t="str">
        <f t="shared" ref="J871:L871" si="257">$F871 &amp; ". "&amp;G871</f>
        <v>257. Daily household expenses (Less than 500 CFA)</v>
      </c>
      <c r="K871" s="180" t="str">
        <f t="shared" si="257"/>
        <v>257. Dépenses quotidiennes du ménage (Moins de 500 CFA)</v>
      </c>
      <c r="L871" s="180" t="str">
        <f t="shared" si="257"/>
        <v>257. Kashe Kuɗin gidan na yau da kullum ( Kasa da dala ɗari CFA 500)</v>
      </c>
    </row>
    <row r="872" hidden="1">
      <c r="B872" s="277"/>
      <c r="C872" s="277"/>
      <c r="D872" s="277"/>
      <c r="E872" s="277"/>
      <c r="F872" s="187">
        <v>547.0</v>
      </c>
      <c r="G872" s="180" t="str">
        <f>IFERROR(__xludf.DUMMYFUNCTION("TRIM(REGEXREPLACE(C872, ""[0-9]+[a-f]?\."", """"))"),"")</f>
        <v/>
      </c>
      <c r="H872" s="180" t="str">
        <f>IFERROR(__xludf.DUMMYFUNCTION("TRIM(REGEXREPLACE(D872, ""[0-9]+[a-f]?\."", """"))"),"")</f>
        <v/>
      </c>
      <c r="I872" s="180" t="str">
        <f>IFERROR(__xludf.DUMMYFUNCTION("TRIM(REGEXREPLACE(E872, ""[0-9]+[a-f]?\."", """"))"),"")</f>
        <v/>
      </c>
      <c r="J872" s="180" t="s">
        <v>4688</v>
      </c>
      <c r="K872" s="180" t="s">
        <v>4689</v>
      </c>
      <c r="L872" s="180" t="s">
        <v>4690</v>
      </c>
    </row>
    <row r="873">
      <c r="A873" s="280" t="s">
        <v>4649</v>
      </c>
      <c r="B873" s="281" t="s">
        <v>4691</v>
      </c>
      <c r="C873" s="45" t="s">
        <v>2456</v>
      </c>
      <c r="D873" s="45" t="s">
        <v>2457</v>
      </c>
      <c r="E873" s="45" t="s">
        <v>2458</v>
      </c>
      <c r="F873" s="187">
        <v>258.0</v>
      </c>
      <c r="G873" s="180" t="str">
        <f>IFERROR(__xludf.DUMMYFUNCTION("TRIM(REGEXREPLACE(C873, ""[0-9]+[a-f]?\."", """"))"),"Household purchases (over 500 CFA)")</f>
        <v>Household purchases (over 500 CFA)</v>
      </c>
      <c r="H873" s="180" t="str">
        <f>IFERROR(__xludf.DUMMYFUNCTION("TRIM(REGEXREPLACE(D873, ""[0-9]+[a-f]?\."", """"))"),"Achats du ménage (plus de 500 CFA)")</f>
        <v>Achats du ménage (plus de 500 CFA)</v>
      </c>
      <c r="I873" s="180" t="str">
        <f>IFERROR(__xludf.DUMMYFUNCTION("TRIM(REGEXREPLACE(E873, ""[0-9]+[a-f]?\."", """"))"),"Sayayya na gida (sama da dala ɗari CFA 500)")</f>
        <v>Sayayya na gida (sama da dala ɗari CFA 500)</v>
      </c>
      <c r="J873" s="180" t="str">
        <f t="shared" ref="J873:L873" si="258">$F873 &amp; ". "&amp;G873</f>
        <v>258. Household purchases (over 500 CFA)</v>
      </c>
      <c r="K873" s="180" t="str">
        <f t="shared" si="258"/>
        <v>258. Achats du ménage (plus de 500 CFA)</v>
      </c>
      <c r="L873" s="180" t="str">
        <f t="shared" si="258"/>
        <v>258. Sayayya na gida (sama da dala ɗari CFA 500)</v>
      </c>
    </row>
    <row r="874">
      <c r="A874" s="280" t="s">
        <v>4649</v>
      </c>
      <c r="B874" s="281" t="s">
        <v>4696</v>
      </c>
      <c r="C874" s="45" t="s">
        <v>2464</v>
      </c>
      <c r="D874" s="45" t="s">
        <v>2465</v>
      </c>
      <c r="E874" s="45" t="s">
        <v>2467</v>
      </c>
      <c r="F874" s="187">
        <v>259.0</v>
      </c>
      <c r="G874" s="180" t="str">
        <f>IFERROR(__xludf.DUMMYFUNCTION("TRIM(REGEXREPLACE(C874, ""[0-9]+[a-f]?\."", """"))"),"What to do if someone in your household falls ill")</f>
        <v>What to do if someone in your household falls ill</v>
      </c>
      <c r="H874" s="180" t="str">
        <f>IFERROR(__xludf.DUMMYFUNCTION("TRIM(REGEXREPLACE(D874, ""[0-9]+[a-f]?\."", """"))"),"Que faire si un membre de votre ménage tombe malade")</f>
        <v>Que faire si un membre de votre ménage tombe malade</v>
      </c>
      <c r="I874" s="180" t="str">
        <f>IFERROR(__xludf.DUMMYFUNCTION("TRIM(REGEXREPLACE(E874, ""[0-9]+[a-f]?\."", """"))"),"Abin da za'a yi idan wani a cikin gidanku ya kamu da rashin lafiya")</f>
        <v>Abin da za'a yi idan wani a cikin gidanku ya kamu da rashin lafiya</v>
      </c>
      <c r="J874" s="180" t="str">
        <f t="shared" ref="J874:L874" si="259">$F874 &amp; ". "&amp;G874</f>
        <v>259. What to do if someone in your household falls ill</v>
      </c>
      <c r="K874" s="180" t="str">
        <f t="shared" si="259"/>
        <v>259. Que faire si un membre de votre ménage tombe malade</v>
      </c>
      <c r="L874" s="180" t="str">
        <f t="shared" si="259"/>
        <v>259. Abin da za'a yi idan wani a cikin gidanku ya kamu da rashin lafiya</v>
      </c>
    </row>
    <row r="875" hidden="1">
      <c r="B875" s="277"/>
      <c r="C875" s="277"/>
      <c r="D875" s="277"/>
      <c r="E875" s="277"/>
      <c r="F875" s="187">
        <v>548.0</v>
      </c>
      <c r="G875" s="180" t="str">
        <f>IFERROR(__xludf.DUMMYFUNCTION("TRIM(REGEXREPLACE(C875, ""[0-9]+[a-f]?\."", """"))"),"")</f>
        <v/>
      </c>
      <c r="H875" s="180" t="str">
        <f>IFERROR(__xludf.DUMMYFUNCTION("TRIM(REGEXREPLACE(D875, ""[0-9]+[a-f]?\."", """"))"),"")</f>
        <v/>
      </c>
      <c r="I875" s="180" t="str">
        <f>IFERROR(__xludf.DUMMYFUNCTION("TRIM(REGEXREPLACE(E875, ""[0-9]+[a-f]?\."", """"))"),"")</f>
        <v/>
      </c>
      <c r="J875" s="180" t="s">
        <v>4697</v>
      </c>
      <c r="K875" s="180" t="s">
        <v>4698</v>
      </c>
      <c r="L875" s="180" t="s">
        <v>4699</v>
      </c>
    </row>
    <row r="876" hidden="1"/>
    <row r="877" hidden="1"/>
    <row r="878" hidden="1"/>
    <row r="879">
      <c r="A879" s="280" t="s">
        <v>4649</v>
      </c>
      <c r="B879" s="281" t="s">
        <v>4700</v>
      </c>
      <c r="C879" s="45" t="s">
        <v>2472</v>
      </c>
      <c r="D879" s="45" t="s">
        <v>2473</v>
      </c>
      <c r="E879" s="45" t="s">
        <v>2475</v>
      </c>
      <c r="F879" s="187">
        <v>260.0</v>
      </c>
      <c r="G879" s="180" t="str">
        <f>IFERROR(__xludf.DUMMYFUNCTION("TRIM(REGEXREPLACE(C879, ""[0-9]+[a-f]?\."", """"))"),"Whether children attend school or not")</f>
        <v>Whether children attend school or not</v>
      </c>
      <c r="H879" s="180" t="str">
        <f>IFERROR(__xludf.DUMMYFUNCTION("TRIM(REGEXREPLACE(D879, ""[0-9]+[a-f]?\."", """"))"),"Que les enfants soient scolarisés ou non")</f>
        <v>Que les enfants soient scolarisés ou non</v>
      </c>
      <c r="I879" s="180" t="str">
        <f>IFERROR(__xludf.DUMMYFUNCTION("TRIM(REGEXREPLACE(E879, ""[0-9]+[a-f]?\."", """"))"),"Ko za'a rubuta yara makaranta ko a'a")</f>
        <v>Ko za'a rubuta yara makaranta ko a'a</v>
      </c>
      <c r="J879" s="180" t="str">
        <f t="shared" ref="J879:L879" si="260">$F879 &amp; ". "&amp;G879</f>
        <v>260. Whether children attend school or not</v>
      </c>
      <c r="K879" s="180" t="str">
        <f t="shared" si="260"/>
        <v>260. Que les enfants soient scolarisés ou non</v>
      </c>
      <c r="L879" s="180" t="str">
        <f t="shared" si="260"/>
        <v>260. Ko za'a rubuta yara makaranta ko a'a</v>
      </c>
    </row>
    <row r="880">
      <c r="A880" s="280" t="s">
        <v>4649</v>
      </c>
      <c r="B880" s="281" t="s">
        <v>4707</v>
      </c>
      <c r="C880" s="45" t="s">
        <v>2478</v>
      </c>
      <c r="D880" s="45" t="s">
        <v>2479</v>
      </c>
      <c r="E880" s="45" t="s">
        <v>2480</v>
      </c>
      <c r="F880" s="187">
        <v>261.0</v>
      </c>
      <c r="G880" s="180" t="str">
        <f>IFERROR(__xludf.DUMMYFUNCTION("TRIM(REGEXREPLACE(C880, ""[0-9]+[a-f]?\."", """"))"),"Whether you will migrate to find work or stay at home")</f>
        <v>Whether you will migrate to find work or stay at home</v>
      </c>
      <c r="H880" s="180" t="str">
        <f>IFERROR(__xludf.DUMMYFUNCTION("TRIM(REGEXREPLACE(D880, ""[0-9]+[a-f]?\."", """"))"),"Si vous migrez pour trouver du travail ou rester à la maison")</f>
        <v>Si vous migrez pour trouver du travail ou rester à la maison</v>
      </c>
      <c r="I880" s="180" t="str">
        <f>IFERROR(__xludf.DUMMYFUNCTION("TRIM(REGEXREPLACE(E880, ""[0-9]+[a-f]?\."", """"))"),"Ko za ku yi tahiya wurin biɗa ko za ku zauna a gida")</f>
        <v>Ko za ku yi tahiya wurin biɗa ko za ku zauna a gida</v>
      </c>
      <c r="J880" s="180" t="str">
        <f t="shared" ref="J880:L880" si="261">$F880 &amp; ". "&amp;G880</f>
        <v>261. Whether you will migrate to find work or stay at home</v>
      </c>
      <c r="K880" s="180" t="str">
        <f t="shared" si="261"/>
        <v>261. Si vous migrez pour trouver du travail ou rester à la maison</v>
      </c>
      <c r="L880" s="180" t="str">
        <f t="shared" si="261"/>
        <v>261. Ko za ku yi tahiya wurin biɗa ko za ku zauna a gida</v>
      </c>
    </row>
    <row r="881" hidden="1">
      <c r="A881" s="298" t="s">
        <v>237</v>
      </c>
      <c r="B881" s="310" t="s">
        <v>4627</v>
      </c>
      <c r="C881" s="303"/>
      <c r="D881" s="303"/>
      <c r="E881" s="303"/>
      <c r="F881" s="187">
        <v>526.0</v>
      </c>
      <c r="G881" s="180" t="str">
        <f>IFERROR(__xludf.DUMMYFUNCTION("TRIM(REGEXREPLACE(C881, ""[0-9]+[a-f]?\."", """"))"),"")</f>
        <v/>
      </c>
      <c r="H881" s="180" t="str">
        <f>IFERROR(__xludf.DUMMYFUNCTION("TRIM(REGEXREPLACE(D881, ""[0-9]+[a-f]?\."", """"))"),"")</f>
        <v/>
      </c>
      <c r="I881" s="180" t="str">
        <f>IFERROR(__xludf.DUMMYFUNCTION("TRIM(REGEXREPLACE(E881, ""[0-9]+[a-f]?\."", """"))"),"")</f>
        <v/>
      </c>
      <c r="J881" s="180" t="s">
        <v>4709</v>
      </c>
      <c r="K881" s="180" t="s">
        <v>4710</v>
      </c>
      <c r="L881" s="180" t="s">
        <v>4711</v>
      </c>
    </row>
    <row r="882">
      <c r="A882" s="278" t="s">
        <v>38</v>
      </c>
      <c r="B882" s="279" t="s">
        <v>4712</v>
      </c>
      <c r="C882" s="45" t="s">
        <v>2491</v>
      </c>
      <c r="D882" s="45" t="s">
        <v>2492</v>
      </c>
      <c r="E882" s="45" t="s">
        <v>2493</v>
      </c>
      <c r="F882" s="187">
        <v>262.0</v>
      </c>
      <c r="G882" s="180" t="str">
        <f>IFERROR(__xludf.DUMMYFUNCTION("TRIM(REGEXREPLACE(C882, ""[0-9]+[a-f]?\."", """"))"),"Can you make your own decisions, without the input of anyone else if you want to regarding:")</f>
        <v>Can you make your own decisions, without the input of anyone else if you want to regarding:</v>
      </c>
      <c r="H882" s="180" t="str">
        <f>IFERROR(__xludf.DUMMYFUNCTION("TRIM(REGEXREPLACE(D882, ""[0-9]+[a-f]?\."", """"))"),"Pouvez-vous prendre vos propres décisions, sans l'intervention de quelqu'un d'autre, si vous le souhaitez concernant :")</f>
        <v>Pouvez-vous prendre vos propres décisions, sans l'intervention de quelqu'un d'autre, si vous le souhaitez concernant :</v>
      </c>
      <c r="I882" s="180" t="str">
        <f>IFERROR(__xludf.DUMMYFUNCTION("TRIM(REGEXREPLACE(E882, ""[0-9]+[a-f]?\."", """"))"),"Za ku iya yanke shawara da kanku, ba tare da sa bakin wani ba idan kuna so dangance da:")</f>
        <v>Za ku iya yanke shawara da kanku, ba tare da sa bakin wani ba idan kuna so dangance da:</v>
      </c>
      <c r="J882" s="180" t="str">
        <f t="shared" ref="J882:L882" si="262">$F882 &amp; ". "&amp;G882</f>
        <v>262. Can you make your own decisions, without the input of anyone else if you want to regarding:</v>
      </c>
      <c r="K882" s="180" t="str">
        <f t="shared" si="262"/>
        <v>262. Pouvez-vous prendre vos propres décisions, sans l'intervention de quelqu'un d'autre, si vous le souhaitez concernant :</v>
      </c>
      <c r="L882" s="180" t="str">
        <f t="shared" si="262"/>
        <v>262. Za ku iya yanke shawara da kanku, ba tare da sa bakin wani ba idan kuna so dangance da:</v>
      </c>
    </row>
    <row r="883">
      <c r="A883" s="280" t="s">
        <v>1988</v>
      </c>
      <c r="B883" s="281" t="s">
        <v>4716</v>
      </c>
      <c r="C883" s="45" t="s">
        <v>2498</v>
      </c>
      <c r="D883" s="45" t="s">
        <v>2499</v>
      </c>
      <c r="E883" s="45" t="s">
        <v>2500</v>
      </c>
      <c r="F883" s="187">
        <v>263.0</v>
      </c>
      <c r="G883" s="180" t="str">
        <f>IFERROR(__xludf.DUMMYFUNCTION("TRIM(REGEXREPLACE(C883, ""[0-9]+[a-f]?\."", """"))"),"How to use money that you earn")</f>
        <v>How to use money that you earn</v>
      </c>
      <c r="H883" s="180" t="str">
        <f>IFERROR(__xludf.DUMMYFUNCTION("TRIM(REGEXREPLACE(D883, ""[0-9]+[a-f]?\."", """"))"),"Comment utiliser l'argent que vous gagnez")</f>
        <v>Comment utiliser l'argent que vous gagnez</v>
      </c>
      <c r="I883" s="180" t="str">
        <f>IFERROR(__xludf.DUMMYFUNCTION("TRIM(REGEXREPLACE(E883, ""[0-9]+[a-f]?\."", """"))"),"Yadda ake amfani da kuɗin da kuke samu")</f>
        <v>Yadda ake amfani da kuɗin da kuke samu</v>
      </c>
      <c r="J883" s="180" t="str">
        <f t="shared" ref="J883:L883" si="263">$F883 &amp; ". "&amp;G883</f>
        <v>263. How to use money that you earn</v>
      </c>
      <c r="K883" s="180" t="str">
        <f t="shared" si="263"/>
        <v>263. Comment utiliser l'argent que vous gagnez</v>
      </c>
      <c r="L883" s="180" t="str">
        <f t="shared" si="263"/>
        <v>263. Yadda ake amfani da kuɗin da kuke samu</v>
      </c>
    </row>
    <row r="884" hidden="1">
      <c r="B884" s="277"/>
      <c r="C884" s="277"/>
      <c r="D884" s="277"/>
      <c r="E884" s="277"/>
      <c r="F884" s="187">
        <v>551.0</v>
      </c>
      <c r="G884" s="180" t="str">
        <f>IFERROR(__xludf.DUMMYFUNCTION("TRIM(REGEXREPLACE(C884, ""[0-9]+[a-f]?\."", """"))"),"")</f>
        <v/>
      </c>
      <c r="H884" s="180" t="str">
        <f>IFERROR(__xludf.DUMMYFUNCTION("TRIM(REGEXREPLACE(D884, ""[0-9]+[a-f]?\."", """"))"),"")</f>
        <v/>
      </c>
      <c r="I884" s="180" t="str">
        <f>IFERROR(__xludf.DUMMYFUNCTION("TRIM(REGEXREPLACE(E884, ""[0-9]+[a-f]?\."", """"))"),"")</f>
        <v/>
      </c>
      <c r="J884" s="180" t="s">
        <v>4720</v>
      </c>
      <c r="K884" s="180" t="s">
        <v>4721</v>
      </c>
      <c r="L884" s="180" t="s">
        <v>4722</v>
      </c>
    </row>
    <row r="885" hidden="1"/>
    <row r="886">
      <c r="A886" s="280" t="s">
        <v>1988</v>
      </c>
      <c r="B886" s="281" t="s">
        <v>4724</v>
      </c>
      <c r="C886" s="45" t="s">
        <v>4725</v>
      </c>
      <c r="D886" s="45" t="s">
        <v>4727</v>
      </c>
      <c r="E886" s="45" t="s">
        <v>4728</v>
      </c>
      <c r="F886" s="187">
        <v>264.0</v>
      </c>
      <c r="G886" s="180" t="str">
        <f>IFERROR(__xludf.DUMMYFUNCTION("TRIM(REGEXREPLACE(C886, ""[0-9]+[a-f]?\."", """"))"),"Daily household expenses (less than 500 CFA)")</f>
        <v>Daily household expenses (less than 500 CFA)</v>
      </c>
      <c r="H886" s="180" t="str">
        <f>IFERROR(__xludf.DUMMYFUNCTION("TRIM(REGEXREPLACE(D886, ""[0-9]+[a-f]?\."", """"))"),"Dépenses quotidiennes du ménage (moins de 500 CFA)")</f>
        <v>Dépenses quotidiennes du ménage (moins de 500 CFA)</v>
      </c>
      <c r="I886" s="180" t="str">
        <f>IFERROR(__xludf.DUMMYFUNCTION("TRIM(REGEXREPLACE(E886, ""[0-9]+[a-f]?\."", """"))"),"Kashe Kuɗin gida na yau da kullum ( Kasa da dala ɗari CFA 500)")</f>
        <v>Kashe Kuɗin gida na yau da kullum ( Kasa da dala ɗari CFA 500)</v>
      </c>
      <c r="J886" s="180" t="str">
        <f t="shared" ref="J886:L886" si="264">$F886 &amp; ". "&amp;G886</f>
        <v>264. Daily household expenses (less than 500 CFA)</v>
      </c>
      <c r="K886" s="180" t="str">
        <f t="shared" si="264"/>
        <v>264. Dépenses quotidiennes du ménage (moins de 500 CFA)</v>
      </c>
      <c r="L886" s="180" t="str">
        <f t="shared" si="264"/>
        <v>264. Kashe Kuɗin gida na yau da kullum ( Kasa da dala ɗari CFA 500)</v>
      </c>
    </row>
    <row r="887">
      <c r="A887" s="280" t="s">
        <v>1988</v>
      </c>
      <c r="B887" s="281" t="s">
        <v>4729</v>
      </c>
      <c r="C887" s="45" t="s">
        <v>4730</v>
      </c>
      <c r="D887" s="45" t="s">
        <v>4731</v>
      </c>
      <c r="E887" s="45" t="s">
        <v>4732</v>
      </c>
      <c r="F887" s="187">
        <v>265.0</v>
      </c>
      <c r="G887" s="180" t="str">
        <f>IFERROR(__xludf.DUMMYFUNCTION("TRIM(REGEXREPLACE(C887, ""[0-9]+[a-f]?\."", """"))"),"Household purchases (over 500 CFA)")</f>
        <v>Household purchases (over 500 CFA)</v>
      </c>
      <c r="H887" s="180" t="str">
        <f>IFERROR(__xludf.DUMMYFUNCTION("TRIM(REGEXREPLACE(D887, ""[0-9]+[a-f]?\."", """"))"),"Achats du ménage (plus de 500 CFA)")</f>
        <v>Achats du ménage (plus de 500 CFA)</v>
      </c>
      <c r="I887" s="180" t="str">
        <f>IFERROR(__xludf.DUMMYFUNCTION("TRIM(REGEXREPLACE(E887, ""[0-9]+[a-f]?\."", """"))"),"Sayayya na gida (sama da dala ɗari CFA 500)")</f>
        <v>Sayayya na gida (sama da dala ɗari CFA 500)</v>
      </c>
      <c r="J887" s="180" t="str">
        <f t="shared" ref="J887:L887" si="265">$F887 &amp; ". "&amp;G887</f>
        <v>265. Household purchases (over 500 CFA)</v>
      </c>
      <c r="K887" s="180" t="str">
        <f t="shared" si="265"/>
        <v>265. Achats du ménage (plus de 500 CFA)</v>
      </c>
      <c r="L887" s="180" t="str">
        <f t="shared" si="265"/>
        <v>265. Sayayya na gida (sama da dala ɗari CFA 500)</v>
      </c>
    </row>
    <row r="888">
      <c r="A888" s="280" t="s">
        <v>1988</v>
      </c>
      <c r="B888" s="281" t="s">
        <v>4739</v>
      </c>
      <c r="C888" s="45" t="s">
        <v>4740</v>
      </c>
      <c r="D888" s="45" t="s">
        <v>4741</v>
      </c>
      <c r="E888" s="45" t="s">
        <v>4742</v>
      </c>
      <c r="F888" s="187">
        <v>266.0</v>
      </c>
      <c r="G888" s="180" t="str">
        <f>IFERROR(__xludf.DUMMYFUNCTION("TRIM(REGEXREPLACE(C888, ""[0-9]+[a-f]?\."", """"))"),"What job you do")</f>
        <v>What job you do</v>
      </c>
      <c r="H888" s="180" t="str">
        <f>IFERROR(__xludf.DUMMYFUNCTION("TRIM(REGEXREPLACE(D888, ""[0-9]+[a-f]?\."", """"))"),"Quel travail tu fais")</f>
        <v>Quel travail tu fais</v>
      </c>
      <c r="I888" s="180" t="str">
        <f>IFERROR(__xludf.DUMMYFUNCTION("TRIM(REGEXREPLACE(E888, ""[0-9]+[a-f]?\."", """"))"),"Wane aiki kuke yi")</f>
        <v>Wane aiki kuke yi</v>
      </c>
      <c r="J888" s="180" t="str">
        <f t="shared" ref="J888:L888" si="266">$F888 &amp; ". "&amp;G888</f>
        <v>266. What job you do</v>
      </c>
      <c r="K888" s="180" t="str">
        <f t="shared" si="266"/>
        <v>266. Quel travail tu fais</v>
      </c>
      <c r="L888" s="180" t="str">
        <f t="shared" si="266"/>
        <v>266. Wane aiki kuke yi</v>
      </c>
    </row>
    <row r="889">
      <c r="A889" s="280" t="s">
        <v>1988</v>
      </c>
      <c r="B889" s="281" t="s">
        <v>4743</v>
      </c>
      <c r="C889" s="45" t="s">
        <v>4744</v>
      </c>
      <c r="D889" s="45" t="s">
        <v>4745</v>
      </c>
      <c r="E889" s="45" t="s">
        <v>4746</v>
      </c>
      <c r="F889" s="187">
        <v>267.0</v>
      </c>
      <c r="G889" s="180" t="str">
        <f>IFERROR(__xludf.DUMMYFUNCTION("TRIM(REGEXREPLACE(C889, ""[0-9]+[a-f]?\."", """"))"),"Whether you will migrate to find work")</f>
        <v>Whether you will migrate to find work</v>
      </c>
      <c r="H889" s="180" t="str">
        <f>IFERROR(__xludf.DUMMYFUNCTION("TRIM(REGEXREPLACE(D889, ""[0-9]+[a-f]?\."", """"))"),"Si vous migrez pour trouver du travail")</f>
        <v>Si vous migrez pour trouver du travail</v>
      </c>
      <c r="I889" s="180" t="str">
        <f>IFERROR(__xludf.DUMMYFUNCTION("TRIM(REGEXREPLACE(E889, ""[0-9]+[a-f]?\."", """"))"),"Ko za ku yi tahiya don neman aiki")</f>
        <v>Ko za ku yi tahiya don neman aiki</v>
      </c>
      <c r="J889" s="180" t="str">
        <f t="shared" ref="J889:L889" si="267">$F889 &amp; ". "&amp;G889</f>
        <v>267. Whether you will migrate to find work</v>
      </c>
      <c r="K889" s="180" t="str">
        <f t="shared" si="267"/>
        <v>267. Si vous migrez pour trouver du travail</v>
      </c>
      <c r="L889" s="180" t="str">
        <f t="shared" si="267"/>
        <v>267. Ko za ku yi tahiya don neman aiki</v>
      </c>
    </row>
    <row r="890" hidden="1">
      <c r="B890" s="277"/>
      <c r="C890" s="277"/>
      <c r="D890" s="277"/>
      <c r="E890" s="277"/>
      <c r="F890" s="187">
        <v>553.0</v>
      </c>
      <c r="G890" s="180" t="str">
        <f>IFERROR(__xludf.DUMMYFUNCTION("TRIM(REGEXREPLACE(C890, ""[0-9]+[a-f]?\."", """"))"),"")</f>
        <v/>
      </c>
      <c r="H890" s="180" t="str">
        <f>IFERROR(__xludf.DUMMYFUNCTION("TRIM(REGEXREPLACE(D890, ""[0-9]+[a-f]?\."", """"))"),"")</f>
        <v/>
      </c>
      <c r="I890" s="180" t="str">
        <f>IFERROR(__xludf.DUMMYFUNCTION("TRIM(REGEXREPLACE(E890, ""[0-9]+[a-f]?\."", """"))"),"")</f>
        <v/>
      </c>
      <c r="J890" s="180" t="s">
        <v>4752</v>
      </c>
      <c r="K890" s="180" t="s">
        <v>4753</v>
      </c>
      <c r="L890" s="180" t="s">
        <v>4754</v>
      </c>
    </row>
    <row r="891" hidden="1">
      <c r="B891" s="277"/>
      <c r="C891" s="277"/>
      <c r="D891" s="277"/>
      <c r="E891" s="277"/>
      <c r="F891" s="187">
        <v>554.0</v>
      </c>
      <c r="G891" s="180" t="str">
        <f>IFERROR(__xludf.DUMMYFUNCTION("TRIM(REGEXREPLACE(C891, ""[0-9]+[a-f]?\."", """"))"),"")</f>
        <v/>
      </c>
      <c r="H891" s="180" t="str">
        <f>IFERROR(__xludf.DUMMYFUNCTION("TRIM(REGEXREPLACE(D891, ""[0-9]+[a-f]?\."", """"))"),"")</f>
        <v/>
      </c>
      <c r="I891" s="180" t="str">
        <f>IFERROR(__xludf.DUMMYFUNCTION("TRIM(REGEXREPLACE(E891, ""[0-9]+[a-f]?\."", """"))"),"")</f>
        <v/>
      </c>
      <c r="J891" s="180" t="s">
        <v>4755</v>
      </c>
      <c r="K891" s="180" t="s">
        <v>4756</v>
      </c>
      <c r="L891" s="180" t="s">
        <v>4757</v>
      </c>
    </row>
    <row r="892" hidden="1">
      <c r="B892" s="277"/>
      <c r="C892" s="277"/>
      <c r="D892" s="277"/>
      <c r="E892" s="277"/>
      <c r="F892" s="187">
        <v>555.0</v>
      </c>
      <c r="G892" s="180" t="str">
        <f>IFERROR(__xludf.DUMMYFUNCTION("TRIM(REGEXREPLACE(C892, ""[0-9]+[a-f]?\."", """"))"),"")</f>
        <v/>
      </c>
      <c r="H892" s="180" t="str">
        <f>IFERROR(__xludf.DUMMYFUNCTION("TRIM(REGEXREPLACE(D892, ""[0-9]+[a-f]?\."", """"))"),"")</f>
        <v/>
      </c>
      <c r="I892" s="180" t="str">
        <f>IFERROR(__xludf.DUMMYFUNCTION("TRIM(REGEXREPLACE(E892, ""[0-9]+[a-f]?\."", """"))"),"")</f>
        <v/>
      </c>
      <c r="J892" s="180" t="s">
        <v>4758</v>
      </c>
      <c r="K892" s="180" t="s">
        <v>4759</v>
      </c>
      <c r="L892" s="180" t="s">
        <v>4760</v>
      </c>
    </row>
    <row r="893" hidden="1">
      <c r="B893" s="277"/>
      <c r="C893" s="277"/>
      <c r="D893" s="277"/>
      <c r="E893" s="277"/>
      <c r="F893" s="187">
        <v>556.0</v>
      </c>
      <c r="G893" s="180" t="str">
        <f>IFERROR(__xludf.DUMMYFUNCTION("TRIM(REGEXREPLACE(C893, ""[0-9]+[a-f]?\."", """"))"),"")</f>
        <v/>
      </c>
      <c r="H893" s="180" t="str">
        <f>IFERROR(__xludf.DUMMYFUNCTION("TRIM(REGEXREPLACE(D893, ""[0-9]+[a-f]?\."", """"))"),"")</f>
        <v/>
      </c>
      <c r="I893" s="180" t="str">
        <f>IFERROR(__xludf.DUMMYFUNCTION("TRIM(REGEXREPLACE(E893, ""[0-9]+[a-f]?\."", """"))"),"")</f>
        <v/>
      </c>
      <c r="J893" s="180" t="s">
        <v>4761</v>
      </c>
      <c r="K893" s="180" t="s">
        <v>4762</v>
      </c>
      <c r="L893" s="180" t="s">
        <v>4763</v>
      </c>
    </row>
    <row r="894" hidden="1"/>
    <row r="895">
      <c r="A895" s="280" t="s">
        <v>1306</v>
      </c>
      <c r="B895" s="281" t="s">
        <v>4765</v>
      </c>
      <c r="C895" s="45" t="s">
        <v>4766</v>
      </c>
      <c r="D895" s="45" t="s">
        <v>4767</v>
      </c>
      <c r="E895" s="45" t="s">
        <v>4768</v>
      </c>
      <c r="F895" s="187">
        <v>268.0</v>
      </c>
      <c r="G895" s="180" t="str">
        <f>IFERROR(__xludf.DUMMYFUNCTION("TRIM(REGEXREPLACE(C895, ""[0-9]+[a-f]?\."", """"))"),"The next set of questions are for married women only. Are you married?")</f>
        <v>The next set of questions are for married women only. Are you married?</v>
      </c>
      <c r="H895" s="180" t="str">
        <f>IFERROR(__xludf.DUMMYFUNCTION("TRIM(REGEXREPLACE(D895, ""[0-9]+[a-f]?\."", """"))"),"La serie des questions suivantes s'adresse uniquement aux femmes mariées. Es-tu marié?")</f>
        <v>La serie des questions suivantes s'adresse uniquement aux femmes mariées. Es-tu marié?</v>
      </c>
      <c r="I895" s="180" t="str">
        <f>IFERROR(__xludf.DUMMYFUNCTION("TRIM(REGEXREPLACE(E895, ""[0-9]+[a-f]?\."", """"))"),"Tambayoyi na gaba na matan aure ne kawai. Ko ki na da aure?")</f>
        <v>Tambayoyi na gaba na matan aure ne kawai. Ko ki na da aure?</v>
      </c>
      <c r="J895" s="180" t="str">
        <f t="shared" ref="J895:L895" si="268">$F895 &amp; ". "&amp;G895</f>
        <v>268. The next set of questions are for married women only. Are you married?</v>
      </c>
      <c r="K895" s="180" t="str">
        <f t="shared" si="268"/>
        <v>268. La serie des questions suivantes s'adresse uniquement aux femmes mariées. Es-tu marié?</v>
      </c>
      <c r="L895" s="180" t="str">
        <f t="shared" si="268"/>
        <v>268. Tambayoyi na gaba na matan aure ne kawai. Ko ki na da aure?</v>
      </c>
    </row>
    <row r="896">
      <c r="A896" s="278" t="s">
        <v>38</v>
      </c>
      <c r="B896" s="279" t="s">
        <v>4772</v>
      </c>
      <c r="C896" s="45" t="s">
        <v>4773</v>
      </c>
      <c r="D896" s="45" t="s">
        <v>4774</v>
      </c>
      <c r="E896" s="45" t="s">
        <v>4775</v>
      </c>
      <c r="F896" s="187">
        <v>269.0</v>
      </c>
      <c r="G896" s="180" t="str">
        <f>IFERROR(__xludf.DUMMYFUNCTION("TRIM(REGEXREPLACE(C896,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896" s="180" t="str">
        <f>IFERROR(__xludf.DUMMYFUNCTION("TRIM(REGEXREPLACE(D896,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896" s="180" t="str">
        <f>IFERROR(__xludf.DUMMYFUNCTION("TRIM(REGEXREPLACE(E896,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896" s="180" t="str">
        <f t="shared" ref="J896:L896" si="269">$F896 &amp; ". "&amp;G896</f>
        <v>269. I am now going to mention some things that husband and wives sometimes speak about. Please tell me if you and your spouse talk about these things</v>
      </c>
      <c r="K896" s="180" t="str">
        <f t="shared" si="269"/>
        <v>269. Je vais maintenant mentionner certaines choses dont les maris et les femmes parlent parfois. Veuillez me dire si vous et votre conjoint parlez de ces choses</v>
      </c>
      <c r="L896" s="180" t="str">
        <f t="shared" si="269"/>
        <v>269. Yanzu zan ambaci wasu abubuwa da mata da miji suke magana akai. Don Allah ku gaya mini idan ku da mijinku kuna magana a kan waɗannan abubuwan</v>
      </c>
    </row>
    <row r="897">
      <c r="A897" s="280" t="s">
        <v>1988</v>
      </c>
      <c r="B897" s="281" t="s">
        <v>4779</v>
      </c>
      <c r="C897" s="45" t="s">
        <v>4780</v>
      </c>
      <c r="D897" s="45" t="s">
        <v>4782</v>
      </c>
      <c r="E897" s="45" t="s">
        <v>4783</v>
      </c>
      <c r="F897" s="187">
        <v>270.0</v>
      </c>
      <c r="G897" s="180" t="str">
        <f>IFERROR(__xludf.DUMMYFUNCTION("TRIM(REGEXREPLACE(C897, ""[0-9]+[a-f]?\."", """"))"),"Things that happen at work or in the fields?")</f>
        <v>Things that happen at work or in the fields?</v>
      </c>
      <c r="H897" s="180" t="str">
        <f>IFERROR(__xludf.DUMMYFUNCTION("TRIM(REGEXREPLACE(D897, ""[0-9]+[a-f]?\."", """"))"),"Des choses qui se passent au travail ou dans les champs ?")</f>
        <v>Des choses qui se passent au travail ou dans les champs ?</v>
      </c>
      <c r="I897" s="180" t="str">
        <f>IFERROR(__xludf.DUMMYFUNCTION("TRIM(REGEXREPLACE(E897, ""[0-9]+[a-f]?\."", """"))"),"Abubuwan da ke faruwa a wurin aiki ko a gona?")</f>
        <v>Abubuwan da ke faruwa a wurin aiki ko a gona?</v>
      </c>
      <c r="J897" s="180" t="str">
        <f t="shared" ref="J897:L897" si="270">$F897 &amp; ". "&amp;G897</f>
        <v>270. Things that happen at work or in the fields?</v>
      </c>
      <c r="K897" s="180" t="str">
        <f t="shared" si="270"/>
        <v>270. Des choses qui se passent au travail ou dans les champs ?</v>
      </c>
      <c r="L897" s="180" t="str">
        <f t="shared" si="270"/>
        <v>270. Abubuwan da ke faruwa a wurin aiki ko a gona?</v>
      </c>
    </row>
    <row r="898">
      <c r="A898" s="280" t="s">
        <v>1988</v>
      </c>
      <c r="B898" s="281" t="s">
        <v>4784</v>
      </c>
      <c r="C898" s="45" t="s">
        <v>4785</v>
      </c>
      <c r="D898" s="45" t="s">
        <v>4786</v>
      </c>
      <c r="E898" s="45" t="s">
        <v>4787</v>
      </c>
      <c r="F898" s="187">
        <v>271.0</v>
      </c>
      <c r="G898" s="180" t="str">
        <f>IFERROR(__xludf.DUMMYFUNCTION("TRIM(REGEXREPLACE(C898, ""[0-9]+[a-f]?\."", """"))"),"Things that happen in the community?")</f>
        <v>Things that happen in the community?</v>
      </c>
      <c r="H898" s="180" t="str">
        <f>IFERROR(__xludf.DUMMYFUNCTION("TRIM(REGEXREPLACE(D898, ""[0-9]+[a-f]?\."", """"))"),"Des choses qui se passent dans la communauté ?")</f>
        <v>Des choses qui se passent dans la communauté ?</v>
      </c>
      <c r="I898" s="180" t="str">
        <f>IFERROR(__xludf.DUMMYFUNCTION("TRIM(REGEXREPLACE(E898, ""[0-9]+[a-f]?\."", """"))"),"Abubuwan da ke faruwa a cikin al'umma?")</f>
        <v>Abubuwan da ke faruwa a cikin al'umma?</v>
      </c>
      <c r="J898" s="180" t="str">
        <f t="shared" ref="J898:L898" si="271">$F898 &amp; ". "&amp;G898</f>
        <v>271. Things that happen in the community?</v>
      </c>
      <c r="K898" s="180" t="str">
        <f t="shared" si="271"/>
        <v>271. Des choses qui se passent dans la communauté ?</v>
      </c>
      <c r="L898" s="180" t="str">
        <f t="shared" si="271"/>
        <v>271. Abubuwan da ke faruwa a cikin al'umma?</v>
      </c>
    </row>
    <row r="899">
      <c r="A899" s="280" t="s">
        <v>1988</v>
      </c>
      <c r="B899" s="281" t="s">
        <v>4788</v>
      </c>
      <c r="C899" s="45" t="s">
        <v>4789</v>
      </c>
      <c r="D899" s="45" t="s">
        <v>4790</v>
      </c>
      <c r="E899" s="45" t="s">
        <v>4791</v>
      </c>
      <c r="F899" s="187">
        <v>272.0</v>
      </c>
      <c r="G899" s="180" t="str">
        <f>IFERROR(__xludf.DUMMYFUNCTION("TRIM(REGEXREPLACE(C899, ""[0-9]+[a-f]?\."", """"))"),"Who to vote for in local elections?")</f>
        <v>Who to vote for in local elections?</v>
      </c>
      <c r="H899" s="180" t="str">
        <f>IFERROR(__xludf.DUMMYFUNCTION("TRIM(REGEXREPLACE(D899, ""[0-9]+[a-f]?\."", """"))"),"Pour qui voter aux élections municipales ?")</f>
        <v>Pour qui voter aux élections municipales ?</v>
      </c>
      <c r="I899" s="180" t="str">
        <f>IFERROR(__xludf.DUMMYFUNCTION("TRIM(REGEXREPLACE(E899, ""[0-9]+[a-f]?\."", """"))"),"Wanene za'a zaɓa a zaɓen ƙananan hukumomi?")</f>
        <v>Wanene za'a zaɓa a zaɓen ƙananan hukumomi?</v>
      </c>
      <c r="J899" s="180" t="str">
        <f t="shared" ref="J899:L899" si="272">$F899 &amp; ". "&amp;G899</f>
        <v>272. Who to vote for in local elections?</v>
      </c>
      <c r="K899" s="180" t="str">
        <f t="shared" si="272"/>
        <v>272. Pour qui voter aux élections municipales ?</v>
      </c>
      <c r="L899" s="180" t="str">
        <f t="shared" si="272"/>
        <v>272. Wanene za'a zaɓa a zaɓen ƙananan hukumomi?</v>
      </c>
    </row>
    <row r="900">
      <c r="A900" s="280" t="s">
        <v>1988</v>
      </c>
      <c r="B900" s="281" t="s">
        <v>4794</v>
      </c>
      <c r="C900" s="45" t="s">
        <v>4795</v>
      </c>
      <c r="D900" s="45" t="s">
        <v>4796</v>
      </c>
      <c r="E900" s="45" t="s">
        <v>4797</v>
      </c>
      <c r="F900" s="187">
        <v>273.0</v>
      </c>
      <c r="G900" s="180" t="str">
        <f>IFERROR(__xludf.DUMMYFUNCTION("TRIM(REGEXREPLACE(C900, ""[0-9]+[a-f]?\."", """"))"),"How to you invest your money such as whether to improve your house")</f>
        <v>How to you invest your money such as whether to improve your house</v>
      </c>
      <c r="H900" s="180" t="str">
        <f>IFERROR(__xludf.DUMMYFUNCTION("TRIM(REGEXREPLACE(D900, ""[0-9]+[a-f]?\."", """"))"),"Comment investir votre argent, par exemple pour améliorer votre maison")</f>
        <v>Comment investir votre argent, par exemple pour améliorer votre maison</v>
      </c>
      <c r="I900" s="180" t="str">
        <f>IFERROR(__xludf.DUMMYFUNCTION("TRIM(REGEXREPLACE(E900, ""[0-9]+[a-f]?\."", """"))"),"Yadda za ku kashe kuɗin ku, kamar gyaran gidanku")</f>
        <v>Yadda za ku kashe kuɗin ku, kamar gyaran gidanku</v>
      </c>
      <c r="J900" s="180" t="str">
        <f t="shared" ref="J900:L900" si="273">$F900 &amp; ". "&amp;G900</f>
        <v>273. How to you invest your money such as whether to improve your house</v>
      </c>
      <c r="K900" s="180" t="str">
        <f t="shared" si="273"/>
        <v>273. Comment investir votre argent, par exemple pour améliorer votre maison</v>
      </c>
      <c r="L900" s="180" t="str">
        <f t="shared" si="273"/>
        <v>273. Yadda za ku kashe kuɗin ku, kamar gyaran gidanku</v>
      </c>
    </row>
    <row r="901">
      <c r="A901" s="280" t="s">
        <v>1988</v>
      </c>
      <c r="B901" s="281" t="s">
        <v>4798</v>
      </c>
      <c r="C901" s="45" t="s">
        <v>4799</v>
      </c>
      <c r="D901" s="45" t="s">
        <v>4800</v>
      </c>
      <c r="E901" s="45" t="s">
        <v>4801</v>
      </c>
      <c r="F901" s="187">
        <v>274.0</v>
      </c>
      <c r="G901" s="180" t="str">
        <f>IFERROR(__xludf.DUMMYFUNCTION("TRIM(REGEXREPLACE(C901, ""[0-9]+[a-f]?\."", """"))"),"Family planning (when to have children)")</f>
        <v>Family planning (when to have children)</v>
      </c>
      <c r="H901" s="180" t="str">
        <f>IFERROR(__xludf.DUMMYFUNCTION("TRIM(REGEXREPLACE(D901, ""[0-9]+[a-f]?\."", """"))"),"Planification familiale (quand avoir des enfants)")</f>
        <v>Planification familiale (quand avoir des enfants)</v>
      </c>
      <c r="I901" s="180" t="str">
        <f>IFERROR(__xludf.DUMMYFUNCTION("TRIM(REGEXREPLACE(E901, ""[0-9]+[a-f]?\."", """"))"),"Tsarin iyali (lokacin ɗaukan ciki)")</f>
        <v>Tsarin iyali (lokacin ɗaukan ciki)</v>
      </c>
      <c r="J901" s="180" t="str">
        <f t="shared" ref="J901:L901" si="274">$F901 &amp; ". "&amp;G901</f>
        <v>274. Family planning (when to have children)</v>
      </c>
      <c r="K901" s="180" t="str">
        <f t="shared" si="274"/>
        <v>274. Planification familiale (quand avoir des enfants)</v>
      </c>
      <c r="L901" s="180" t="str">
        <f t="shared" si="274"/>
        <v>274. Tsarin iyali (lokacin ɗaukan ciki)</v>
      </c>
    </row>
    <row r="902" hidden="1"/>
    <row r="903" hidden="1"/>
    <row r="904" hidden="1"/>
    <row r="905">
      <c r="A905" s="280" t="s">
        <v>1988</v>
      </c>
      <c r="B905" s="281" t="s">
        <v>4807</v>
      </c>
      <c r="C905" s="45" t="s">
        <v>4808</v>
      </c>
      <c r="D905" s="45" t="s">
        <v>4809</v>
      </c>
      <c r="E905" s="45" t="s">
        <v>4810</v>
      </c>
      <c r="F905" s="187">
        <v>275.0</v>
      </c>
      <c r="G905" s="180" t="str">
        <f>IFERROR(__xludf.DUMMYFUNCTION("TRIM(REGEXREPLACE(C905, ""[0-9]+[a-f]?\."", """"))"),"Do you and your spouse ever disagree about any of these topics?")</f>
        <v>Do you and your spouse ever disagree about any of these topics?</v>
      </c>
      <c r="H905" s="180" t="str">
        <f>IFERROR(__xludf.DUMMYFUNCTION("TRIM(REGEXREPLACE(D905, ""[0-9]+[a-f]?\."", """"))"),"Vous et votre conjoint avez-vous déjà eu un désaccord sur ces sujets ?")</f>
        <v>Vous et votre conjoint avez-vous déjà eu un désaccord sur ces sujets ?</v>
      </c>
      <c r="I905" s="180" t="str">
        <f>IFERROR(__xludf.DUMMYFUNCTION("TRIM(REGEXREPLACE(E905, ""[0-9]+[a-f]?\."", """"))"),"Ko ke da mijnki kun taɓa samun saɓani game da waɗannan batutuwa?")</f>
        <v>Ko ke da mijnki kun taɓa samun saɓani game da waɗannan batutuwa?</v>
      </c>
      <c r="J905" s="180" t="str">
        <f t="shared" ref="J905:L905" si="275">$F905 &amp; ". "&amp;G905</f>
        <v>275. Do you and your spouse ever disagree about any of these topics?</v>
      </c>
      <c r="K905" s="180" t="str">
        <f t="shared" si="275"/>
        <v>275. Vous et votre conjoint avez-vous déjà eu un désaccord sur ces sujets ?</v>
      </c>
      <c r="L905" s="180" t="str">
        <f t="shared" si="275"/>
        <v>275. Ko ke da mijnki kun taɓa samun saɓani game da waɗannan batutuwa?</v>
      </c>
    </row>
    <row r="906">
      <c r="A906" s="280" t="s">
        <v>1988</v>
      </c>
      <c r="B906" s="281" t="s">
        <v>4812</v>
      </c>
      <c r="C906" s="45" t="s">
        <v>4813</v>
      </c>
      <c r="D906" s="45" t="s">
        <v>4815</v>
      </c>
      <c r="E906" s="45" t="s">
        <v>4816</v>
      </c>
      <c r="F906" s="187">
        <v>276.0</v>
      </c>
      <c r="G906" s="180" t="str">
        <f>IFERROR(__xludf.DUMMYFUNCTION("TRIM(REGEXREPLACE(C906, ""[0-9]+[a-f]?\."", """"))"),"Do these conversations ever get contentious?")</f>
        <v>Do these conversations ever get contentious?</v>
      </c>
      <c r="H906" s="180" t="str">
        <f>IFERROR(__xludf.DUMMYFUNCTION("TRIM(REGEXREPLACE(D906, ""[0-9]+[a-f]?\."", """"))"),"Ces conversations deviennent-elles parfois controversées ?")</f>
        <v>Ces conversations deviennent-elles parfois controversées ?</v>
      </c>
      <c r="I906" s="180" t="str">
        <f>IFERROR(__xludf.DUMMYFUNCTION("TRIM(REGEXREPLACE(E906, ""[0-9]+[a-f]?\."", """"))"),"Ko waɗannan hirarrakin sun taɓa zama sabani?")</f>
        <v>Ko waɗannan hirarrakin sun taɓa zama sabani?</v>
      </c>
      <c r="J906" s="180" t="str">
        <f t="shared" ref="J906:L906" si="276">$F906 &amp; ". "&amp;G906</f>
        <v>276. Do these conversations ever get contentious?</v>
      </c>
      <c r="K906" s="180" t="str">
        <f t="shared" si="276"/>
        <v>276. Ces conversations deviennent-elles parfois controversées ?</v>
      </c>
      <c r="L906" s="180" t="str">
        <f t="shared" si="276"/>
        <v>276. Ko waɗannan hirarrakin sun taɓa zama sabani?</v>
      </c>
    </row>
    <row r="907">
      <c r="A907" s="278" t="s">
        <v>38</v>
      </c>
      <c r="B907" s="279" t="s">
        <v>4820</v>
      </c>
      <c r="C907" s="45" t="s">
        <v>4821</v>
      </c>
      <c r="D907" s="45" t="s">
        <v>4822</v>
      </c>
      <c r="E907" s="45" t="s">
        <v>4823</v>
      </c>
      <c r="F907" s="187">
        <v>277.0</v>
      </c>
      <c r="G907" s="180" t="str">
        <f>IFERROR(__xludf.DUMMYFUNCTION("TRIM(REGEXREPLACE(C907, ""[0-9]+[a-f]?\."", """"))"),"I will read you several statements. Please tell me the extent do you agree/disagree with each:")</f>
        <v>I will read you several statements. Please tell me the extent do you agree/disagree with each:</v>
      </c>
      <c r="H907" s="180" t="str">
        <f>IFERROR(__xludf.DUMMYFUNCTION("TRIM(REGEXREPLACE(D907, ""[0-9]+[a-f]?\."", """"))"),"Je vais vous lire plusieurs déclarations. Veuillez me dire dans quelle mesure êtes-vous d'accord/pas d'accord avec chacun :")</f>
        <v>Je vais vous lire plusieurs déclarations. Veuillez me dire dans quelle mesure êtes-vous d'accord/pas d'accord avec chacun :</v>
      </c>
      <c r="I907" s="180" t="str">
        <f>IFERROR(__xludf.DUMMYFUNCTION("TRIM(REGEXREPLACE(E907, ""[0-9]+[a-f]?\."", """"))"),"Zan karanta muku maganganu da yawa. Da fatan za a gaya mini iya yarda/rishin yarda da kowanne:")</f>
        <v>Zan karanta muku maganganu da yawa. Da fatan za a gaya mini iya yarda/rishin yarda da kowanne:</v>
      </c>
      <c r="J907" s="180" t="str">
        <f t="shared" ref="J907:L907" si="277">$F907 &amp; ". "&amp;G907</f>
        <v>277. I will read you several statements. Please tell me the extent do you agree/disagree with each:</v>
      </c>
      <c r="K907" s="180" t="str">
        <f t="shared" si="277"/>
        <v>277. Je vais vous lire plusieurs déclarations. Veuillez me dire dans quelle mesure êtes-vous d'accord/pas d'accord avec chacun :</v>
      </c>
      <c r="L907" s="180" t="str">
        <f t="shared" si="277"/>
        <v>277. Zan karanta muku maganganu da yawa. Da fatan za a gaya mini iya yarda/rishin yarda da kowanne:</v>
      </c>
    </row>
    <row r="908">
      <c r="A908" s="280" t="s">
        <v>2073</v>
      </c>
      <c r="B908" s="281" t="s">
        <v>4826</v>
      </c>
      <c r="C908" s="45" t="s">
        <v>4828</v>
      </c>
      <c r="D908" s="45" t="s">
        <v>4830</v>
      </c>
      <c r="E908" s="45" t="s">
        <v>4832</v>
      </c>
      <c r="F908" s="187">
        <v>278.0</v>
      </c>
      <c r="G908" s="180" t="str">
        <f>IFERROR(__xludf.DUMMYFUNCTION("TRIM(REGEXREPLACE(C908, ""[0-9]+[a-f]?\."", """"))"),"I must always respect decisions taken by my household even if you do not agree")</f>
        <v>I must always respect decisions taken by my household even if you do not agree</v>
      </c>
      <c r="H908" s="180" t="str">
        <f>IFERROR(__xludf.DUMMYFUNCTION("TRIM(REGEXREPLACE(D908, ""[0-9]+[a-f]?\."", """"))"),"Je dois toujours respecter les décisions prises par mon ménage même si je ne suis pas d'accord")</f>
        <v>Je dois toujours respecter les décisions prises par mon ménage même si je ne suis pas d'accord</v>
      </c>
      <c r="I908" s="180" t="str">
        <f>IFERROR(__xludf.DUMMYFUNCTION("TRIM(REGEXREPLACE(E908, ""[0-9]+[a-f]?\."", """"))"),"Dole ne in mutunta shawarar da gidanmu ya yanke ko da ba ra'ayina ba ne")</f>
        <v>Dole ne in mutunta shawarar da gidanmu ya yanke ko da ba ra'ayina ba ne</v>
      </c>
      <c r="J908" s="180" t="str">
        <f t="shared" ref="J908:L908" si="278">$F908 &amp; ". "&amp;G908</f>
        <v>278. I must always respect decisions taken by my household even if you do not agree</v>
      </c>
      <c r="K908" s="180" t="str">
        <f t="shared" si="278"/>
        <v>278. Je dois toujours respecter les décisions prises par mon ménage même si je ne suis pas d'accord</v>
      </c>
      <c r="L908" s="180" t="str">
        <f t="shared" si="278"/>
        <v>278. Dole ne in mutunta shawarar da gidanmu ya yanke ko da ba ra'ayina ba ne</v>
      </c>
    </row>
    <row r="909">
      <c r="A909" s="280" t="s">
        <v>2073</v>
      </c>
      <c r="B909" s="281" t="s">
        <v>4833</v>
      </c>
      <c r="C909" s="45" t="s">
        <v>4834</v>
      </c>
      <c r="D909" s="45" t="s">
        <v>4835</v>
      </c>
      <c r="E909" s="45" t="s">
        <v>4836</v>
      </c>
      <c r="F909" s="187">
        <v>279.0</v>
      </c>
      <c r="G909" s="180" t="str">
        <f>IFERROR(__xludf.DUMMYFUNCTION("TRIM(REGEXREPLACE(C909, ""[0-9]+[a-f]?\."", """"))"),"I should always sacrifice my personal needs and wants to satisfy my parents.")</f>
        <v>I should always sacrifice my personal needs and wants to satisfy my parents.</v>
      </c>
      <c r="H909" s="180" t="str">
        <f>IFERROR(__xludf.DUMMYFUNCTION("TRIM(REGEXREPLACE(D909, ""[0-9]+[a-f]?\."", """"))"),"Je devrais toujours sacrifier mes besoins personnels et vouloir satisfaire mes parents.")</f>
        <v>Je devrais toujours sacrifier mes besoins personnels et vouloir satisfaire mes parents.</v>
      </c>
      <c r="I909" s="180" t="str">
        <f>IFERROR(__xludf.DUMMYFUNCTION("TRIM(REGEXREPLACE(E909, ""[0-9]+[a-f]?\."", """"))"),"Dole ne ko yaushe in sadaukar da bukatuna na kaina don in gamsar da iyayena.")</f>
        <v>Dole ne ko yaushe in sadaukar da bukatuna na kaina don in gamsar da iyayena.</v>
      </c>
      <c r="J909" s="180" t="str">
        <f t="shared" ref="J909:L909" si="279">$F909 &amp; ". "&amp;G909</f>
        <v>279. I should always sacrifice my personal needs and wants to satisfy my parents.</v>
      </c>
      <c r="K909" s="180" t="str">
        <f t="shared" si="279"/>
        <v>279. Je devrais toujours sacrifier mes besoins personnels et vouloir satisfaire mes parents.</v>
      </c>
      <c r="L909" s="180" t="str">
        <f t="shared" si="279"/>
        <v>279. Dole ne ko yaushe in sadaukar da bukatuna na kaina don in gamsar da iyayena.</v>
      </c>
    </row>
    <row r="910">
      <c r="A910" s="280" t="s">
        <v>2073</v>
      </c>
      <c r="B910" s="281" t="s">
        <v>4842</v>
      </c>
      <c r="C910" s="45" t="s">
        <v>4843</v>
      </c>
      <c r="D910" s="45" t="s">
        <v>4844</v>
      </c>
      <c r="E910" s="45" t="s">
        <v>4845</v>
      </c>
      <c r="F910" s="187">
        <v>280.0</v>
      </c>
      <c r="G910" s="180" t="str">
        <f>IFERROR(__xludf.DUMMYFUNCTION("TRIM(REGEXREPLACE(C910, ""[0-9]+[a-f]?\."", """"))"),"If I had an emergency that required 5,000 CFA urgently (within 3 days), I would be able to find the money.")</f>
        <v>If I had an emergency that required 5,000 CFA urgently (within 3 days), I would be able to find the money.</v>
      </c>
      <c r="H910" s="180" t="str">
        <f>IFERROR(__xludf.DUMMYFUNCTION("TRIM(REGEXREPLACE(D910, ""[0-9]+[a-f]?\."", """"))"),"Si j'avais une urgence qui nécessitait 5 000 CFA en urgence (dans les 3 jours), je serais capable de trouver l'argent.")</f>
        <v>Si j'avais une urgence qui nécessitait 5 000 CFA en urgence (dans les 3 jours), je serais capable de trouver l'argent.</v>
      </c>
      <c r="I910" s="180" t="str">
        <f>IFERROR(__xludf.DUMMYFUNCTION("TRIM(REGEXREPLACE(E910, ""[0-9]+[a-f]?\."", """"))"),"Idan ina da biƙatar gaggawa na 5,000 CFA (a cikin kwanaki 3), zan iya samun kuɗin.")</f>
        <v>Idan ina da biƙatar gaggawa na 5,000 CFA (a cikin kwanaki 3), zan iya samun kuɗin.</v>
      </c>
      <c r="J910" s="180" t="str">
        <f t="shared" ref="J910:L910" si="280">$F910 &amp; ". "&amp;G910</f>
        <v>280. If I had an emergency that required 5,000 CFA urgently (within 3 days), I would be able to find the money.</v>
      </c>
      <c r="K910" s="180" t="str">
        <f t="shared" si="280"/>
        <v>280. Si j'avais une urgence qui nécessitait 5 000 CFA en urgence (dans les 3 jours), je serais capable de trouver l'argent.</v>
      </c>
      <c r="L910" s="180" t="str">
        <f t="shared" si="280"/>
        <v>280. Idan ina da biƙatar gaggawa na 5,000 CFA (a cikin kwanaki 3), zan iya samun kuɗin.</v>
      </c>
    </row>
    <row r="911">
      <c r="A911" s="280" t="s">
        <v>4846</v>
      </c>
      <c r="B911" s="281" t="s">
        <v>4848</v>
      </c>
      <c r="C911" s="45" t="s">
        <v>4849</v>
      </c>
      <c r="D911" s="45" t="s">
        <v>4851</v>
      </c>
      <c r="E911" s="45" t="s">
        <v>4852</v>
      </c>
      <c r="F911" s="187">
        <v>281.0</v>
      </c>
      <c r="G911" s="180" t="str">
        <f>IFERROR(__xludf.DUMMYFUNCTION("TRIM(REGEXREPLACE(C911, ""[0-9]+[a-f]?\."", """"))"),"What type of person would you go to first for this money?")</f>
        <v>What type of person would you go to first for this money?</v>
      </c>
      <c r="H911" s="180" t="str">
        <f>IFERROR(__xludf.DUMMYFUNCTION("TRIM(REGEXREPLACE(D911, ""[0-9]+[a-f]?\."", """"))"),"Vers quel type de personne iriez-vous en premier pour cet argent ?")</f>
        <v>Vers quel type de personne iriez-vous en premier pour cet argent ?</v>
      </c>
      <c r="I911" s="180" t="str">
        <f>IFERROR(__xludf.DUMMYFUNCTION("TRIM(REGEXREPLACE(E911, ""[0-9]+[a-f]?\."", """"))"),"Wane irin mutum ne za ku fara zuwa wurin shi don wannan kuɗin?")</f>
        <v>Wane irin mutum ne za ku fara zuwa wurin shi don wannan kuɗin?</v>
      </c>
      <c r="J911" s="180" t="str">
        <f t="shared" ref="J911:L911" si="281">$F911 &amp; ". "&amp;G911</f>
        <v>281. What type of person would you go to first for this money?</v>
      </c>
      <c r="K911" s="180" t="str">
        <f t="shared" si="281"/>
        <v>281. Vers quel type de personne iriez-vous en premier pour cet argent ?</v>
      </c>
      <c r="L911" s="180" t="str">
        <f t="shared" si="281"/>
        <v>281. Wane irin mutum ne za ku fara zuwa wurin shi don wannan kuɗin?</v>
      </c>
    </row>
    <row r="912">
      <c r="A912" s="282" t="s">
        <v>252</v>
      </c>
      <c r="B912" s="283" t="s">
        <v>4856</v>
      </c>
      <c r="C912" s="45" t="s">
        <v>4857</v>
      </c>
      <c r="D912" s="45" t="s">
        <v>4858</v>
      </c>
      <c r="E912" s="45" t="s">
        <v>4859</v>
      </c>
      <c r="F912" s="187">
        <v>282.0</v>
      </c>
      <c r="G912" s="180" t="str">
        <f>IFERROR(__xludf.DUMMYFUNCTION("TRIM(REGEXREPLACE(C912, ""[0-9]+[a-f]?\."", """"))"),"Specify your relationship with this person")</f>
        <v>Specify your relationship with this person</v>
      </c>
      <c r="H912" s="180" t="str">
        <f>IFERROR(__xludf.DUMMYFUNCTION("TRIM(REGEXREPLACE(D912, ""[0-9]+[a-f]?\."", """"))"),"Précisez votre relation avec cette personne")</f>
        <v>Précisez votre relation avec cette personne</v>
      </c>
      <c r="I912" s="180" t="str">
        <f>IFERROR(__xludf.DUMMYFUNCTION("TRIM(REGEXREPLACE(E912, ""[0-9]+[a-f]?\."", """"))"),"Faɗi dangantakar ku da wannan mutumen")</f>
        <v>Faɗi dangantakar ku da wannan mutumen</v>
      </c>
      <c r="J912" s="180" t="str">
        <f t="shared" ref="J912:L912" si="282">$F912 &amp; ". "&amp;G912</f>
        <v>282. Specify your relationship with this person</v>
      </c>
      <c r="K912" s="180" t="str">
        <f t="shared" si="282"/>
        <v>282. Précisez votre relation avec cette personne</v>
      </c>
      <c r="L912" s="180" t="str">
        <f t="shared" si="282"/>
        <v>282. Faɗi dangantakar ku da wannan mutumen</v>
      </c>
    </row>
    <row r="913">
      <c r="A913" s="278" t="s">
        <v>38</v>
      </c>
      <c r="B913" s="279" t="s">
        <v>4862</v>
      </c>
      <c r="C913" s="45" t="s">
        <v>4863</v>
      </c>
      <c r="D913" s="45" t="s">
        <v>4864</v>
      </c>
      <c r="E913" s="45" t="s">
        <v>4865</v>
      </c>
      <c r="F913" s="187">
        <v>283.0</v>
      </c>
      <c r="G913" s="180" t="str">
        <f>IFERROR(__xludf.DUMMYFUNCTION("TRIM(REGEXREPLACE(C913, ""[0-9]+[a-f]?\."", """"))"),"The next set of questions are about your opinions regarding the roles that women and men play")</f>
        <v>The next set of questions are about your opinions regarding the roles that women and men play</v>
      </c>
      <c r="H913" s="180" t="str">
        <f>IFERROR(__xludf.DUMMYFUNCTION("TRIM(REGEXREPLACE(D913, ""[0-9]+[a-f]?\."", """"))"),"La prochaine série de questions porte sur vos opinions concernant les rôles que jouent les femmes et les hommes")</f>
        <v>La prochaine série de questions porte sur vos opinions concernant les rôles que jouent les femmes et les hommes</v>
      </c>
      <c r="I913" s="180" t="str">
        <f>IFERROR(__xludf.DUMMYFUNCTION("TRIM(REGEXREPLACE(E913, ""[0-9]+[a-f]?\."", """"))"),"Tambayoyi na gaba sun ta'allaƙa ne da ra'ayoyin ku game da rawar da mata da maza suke takawa.")</f>
        <v>Tambayoyi na gaba sun ta'allaƙa ne da ra'ayoyin ku game da rawar da mata da maza suke takawa.</v>
      </c>
      <c r="J913" s="180" t="str">
        <f t="shared" ref="J913:L913" si="283">$F913 &amp; ". "&amp;G913</f>
        <v>283. The next set of questions are about your opinions regarding the roles that women and men play</v>
      </c>
      <c r="K913" s="180" t="str">
        <f t="shared" si="283"/>
        <v>283. La prochaine série de questions porte sur vos opinions concernant les rôles que jouent les femmes et les hommes</v>
      </c>
      <c r="L913" s="180" t="str">
        <f t="shared" si="283"/>
        <v>283. Tambayoyi na gaba sun ta'allaƙa ne da ra'ayoyin ku game da rawar da mata da maza suke takawa.</v>
      </c>
    </row>
    <row r="914">
      <c r="A914" s="280" t="s">
        <v>1988</v>
      </c>
      <c r="B914" s="281" t="s">
        <v>4866</v>
      </c>
      <c r="C914" s="45" t="s">
        <v>4867</v>
      </c>
      <c r="D914" s="45" t="s">
        <v>4868</v>
      </c>
      <c r="E914" s="45" t="s">
        <v>4869</v>
      </c>
      <c r="F914" s="187">
        <v>284.0</v>
      </c>
      <c r="G914" s="180" t="str">
        <f>IFERROR(__xludf.DUMMYFUNCTION("TRIM(REGEXREPLACE(C914, ""[0-9]+[a-f]?\."", """"))"),"How often, if ever do you talk about the role of women in society with other people?")</f>
        <v>How often, if ever do you talk about the role of women in society with other people?</v>
      </c>
      <c r="H914" s="180" t="str">
        <f>IFERROR(__xludf.DUMMYFUNCTION("TRIM(REGEXREPLACE(D914, ""[0-9]+[a-f]?\."", """"))"),"À quelle fréquence, si jamais cela est arrivé, parlez-vous du rôle des femmes dans la société avec d'autres personnes ?")</f>
        <v>À quelle fréquence, si jamais cela est arrivé, parlez-vous du rôle des femmes dans la société avec d'autres personnes ?</v>
      </c>
      <c r="I914" s="180" t="str">
        <f>IFERROR(__xludf.DUMMYFUNCTION("TRIM(REGEXREPLACE(E914, ""[0-9]+[a-f]?\."", """"))"),"Sau nawa, idan ya na faruwa, kuke yin magana game da taka rawan mata a cikin al'umma tare da sauran mutane?")</f>
        <v>Sau nawa, idan ya na faruwa, kuke yin magana game da taka rawan mata a cikin al'umma tare da sauran mutane?</v>
      </c>
      <c r="J914" s="180" t="str">
        <f t="shared" ref="J914:L914" si="284">$F914 &amp; ". "&amp;G914</f>
        <v>284. How often, if ever do you talk about the role of women in society with other people?</v>
      </c>
      <c r="K914" s="180" t="str">
        <f t="shared" si="284"/>
        <v>284. À quelle fréquence, si jamais cela est arrivé, parlez-vous du rôle des femmes dans la société avec d'autres personnes ?</v>
      </c>
      <c r="L914" s="180" t="str">
        <f t="shared" si="284"/>
        <v>284. Sau nawa, idan ya na faruwa, kuke yin magana game da taka rawan mata a cikin al'umma tare da sauran mutane?</v>
      </c>
    </row>
    <row r="915">
      <c r="A915" s="278" t="s">
        <v>38</v>
      </c>
      <c r="B915" s="279" t="s">
        <v>4870</v>
      </c>
      <c r="C915" s="45" t="s">
        <v>4871</v>
      </c>
      <c r="D915" s="45" t="s">
        <v>4872</v>
      </c>
      <c r="E915" s="45" t="s">
        <v>4873</v>
      </c>
      <c r="F915" s="187">
        <v>285.0</v>
      </c>
      <c r="G915" s="180" t="str">
        <f>IFERROR(__xludf.DUMMYFUNCTION("TRIM(REGEXREPLACE(C915, ""[0-9]+[a-f]?\."", """"))"),"In your opinion, how much influence a wife should have over the following decisions within a couple?")</f>
        <v>In your opinion, how much influence a wife should have over the following decisions within a couple?</v>
      </c>
      <c r="H915" s="180" t="str">
        <f>IFERROR(__xludf.DUMMYFUNCTION("TRIM(REGEXREPLACE(D915, ""[0-9]+[a-f]?\."", """"))"),"Selon vous, quelle influence une épouse devrait-elle avoir sur les décisions suivantes au sein d'un couple ?")</f>
        <v>Selon vous, quelle influence une épouse devrait-elle avoir sur les décisions suivantes au sein d'un couple ?</v>
      </c>
      <c r="I915" s="180" t="str">
        <f>IFERROR(__xludf.DUMMYFUNCTION("TRIM(REGEXREPLACE(E915, ""[0-9]+[a-f]?\."", """"))"),"A ra'ayinka, wane tasiri mace ya kamata ta yi bisa yanke shawarwari da zan zana a tsakanin ta da mijinta?")</f>
        <v>A ra'ayinka, wane tasiri mace ya kamata ta yi bisa yanke shawarwari da zan zana a tsakanin ta da mijinta?</v>
      </c>
      <c r="J915" s="180" t="str">
        <f t="shared" ref="J915:L915" si="285">$F915 &amp; ". "&amp;G915</f>
        <v>285. In your opinion, how much influence a wife should have over the following decisions within a couple?</v>
      </c>
      <c r="K915" s="180" t="str">
        <f t="shared" si="285"/>
        <v>285. Selon vous, quelle influence une épouse devrait-elle avoir sur les décisions suivantes au sein d'un couple ?</v>
      </c>
      <c r="L915" s="180" t="str">
        <f t="shared" si="285"/>
        <v>285. A ra'ayinka, wane tasiri mace ya kamata ta yi bisa yanke shawarwari da zan zana a tsakanin ta da mijinta?</v>
      </c>
    </row>
    <row r="916" hidden="1">
      <c r="C916" s="277"/>
      <c r="D916" s="277"/>
      <c r="E916" s="277"/>
      <c r="F916" s="187">
        <v>568.0</v>
      </c>
      <c r="G916" s="180" t="str">
        <f>IFERROR(__xludf.DUMMYFUNCTION("TRIM(REGEXREPLACE(C916, ""[0-9]+[a-f]?\."", """"))"),"")</f>
        <v/>
      </c>
      <c r="H916" s="180" t="str">
        <f>IFERROR(__xludf.DUMMYFUNCTION("TRIM(REGEXREPLACE(D916, ""[0-9]+[a-f]?\."", """"))"),"")</f>
        <v/>
      </c>
      <c r="I916" s="180" t="str">
        <f>IFERROR(__xludf.DUMMYFUNCTION("TRIM(REGEXREPLACE(E916, ""[0-9]+[a-f]?\."", """"))"),"")</f>
        <v/>
      </c>
      <c r="J916" s="180" t="s">
        <v>4874</v>
      </c>
      <c r="K916" s="180" t="s">
        <v>4875</v>
      </c>
      <c r="L916" s="180" t="s">
        <v>4876</v>
      </c>
    </row>
    <row r="917" hidden="1">
      <c r="C917" s="277"/>
      <c r="D917" s="277"/>
      <c r="E917" s="277"/>
      <c r="F917" s="187">
        <v>569.0</v>
      </c>
      <c r="G917" s="180" t="str">
        <f>IFERROR(__xludf.DUMMYFUNCTION("TRIM(REGEXREPLACE(C917, ""[0-9]+[a-f]?\."", """"))"),"")</f>
        <v/>
      </c>
      <c r="H917" s="180" t="str">
        <f>IFERROR(__xludf.DUMMYFUNCTION("TRIM(REGEXREPLACE(D917, ""[0-9]+[a-f]?\."", """"))"),"")</f>
        <v/>
      </c>
      <c r="I917" s="180" t="str">
        <f>IFERROR(__xludf.DUMMYFUNCTION("TRIM(REGEXREPLACE(E917, ""[0-9]+[a-f]?\."", """"))"),"")</f>
        <v/>
      </c>
      <c r="J917" s="180" t="s">
        <v>4877</v>
      </c>
      <c r="K917" s="180" t="s">
        <v>4878</v>
      </c>
      <c r="L917" s="180" t="s">
        <v>4879</v>
      </c>
    </row>
    <row r="918" hidden="1"/>
    <row r="919" hidden="1">
      <c r="C919" s="277"/>
      <c r="D919" s="277"/>
      <c r="E919" s="277"/>
      <c r="F919" s="187">
        <v>570.0</v>
      </c>
      <c r="G919" s="180" t="str">
        <f>IFERROR(__xludf.DUMMYFUNCTION("TRIM(REGEXREPLACE(C919, ""[0-9]+[a-f]?\."", """"))"),"")</f>
        <v/>
      </c>
      <c r="H919" s="180" t="str">
        <f>IFERROR(__xludf.DUMMYFUNCTION("TRIM(REGEXREPLACE(D919, ""[0-9]+[a-f]?\."", """"))"),"")</f>
        <v/>
      </c>
      <c r="I919" s="180" t="str">
        <f>IFERROR(__xludf.DUMMYFUNCTION("TRIM(REGEXREPLACE(E919, ""[0-9]+[a-f]?\."", """"))"),"")</f>
        <v/>
      </c>
      <c r="J919" s="180" t="s">
        <v>4881</v>
      </c>
      <c r="K919" s="180" t="s">
        <v>4882</v>
      </c>
      <c r="L919" s="180" t="s">
        <v>4884</v>
      </c>
    </row>
    <row r="920" hidden="1"/>
    <row r="921">
      <c r="A921" s="280" t="s">
        <v>2847</v>
      </c>
      <c r="B921" s="281" t="s">
        <v>4885</v>
      </c>
      <c r="C921" s="45" t="s">
        <v>4886</v>
      </c>
      <c r="D921" s="45" t="s">
        <v>4887</v>
      </c>
      <c r="E921" s="45" t="s">
        <v>4888</v>
      </c>
      <c r="F921" s="187">
        <v>286.0</v>
      </c>
      <c r="G921" s="180" t="str">
        <f>IFERROR(__xludf.DUMMYFUNCTION("TRIM(REGEXREPLACE(C921, ""[0-9]+[a-f]?\."", """"))"),"Daily household expenses (Less than 500 CFA)")</f>
        <v>Daily household expenses (Less than 500 CFA)</v>
      </c>
      <c r="H921" s="180" t="str">
        <f>IFERROR(__xludf.DUMMYFUNCTION("TRIM(REGEXREPLACE(D921, ""[0-9]+[a-f]?\."", """"))"),"Dépenses quotidiennes du ménage (Moins de 500 CFA)")</f>
        <v>Dépenses quotidiennes du ménage (Moins de 500 CFA)</v>
      </c>
      <c r="I921" s="180" t="str">
        <f>IFERROR(__xludf.DUMMYFUNCTION("TRIM(REGEXREPLACE(E921, ""[0-9]+[a-f]?\."", """"))"),"Kashe kashen kuɗin gida na yau da kullun ( Kasa da dala ɗari CFA 500)")</f>
        <v>Kashe kashen kuɗin gida na yau da kullun ( Kasa da dala ɗari CFA 500)</v>
      </c>
      <c r="J921" s="180" t="str">
        <f t="shared" ref="J921:L921" si="286">$F921 &amp; ". "&amp;G921</f>
        <v>286. Daily household expenses (Less than 500 CFA)</v>
      </c>
      <c r="K921" s="180" t="str">
        <f t="shared" si="286"/>
        <v>286. Dépenses quotidiennes du ménage (Moins de 500 CFA)</v>
      </c>
      <c r="L921" s="180" t="str">
        <f t="shared" si="286"/>
        <v>286. Kashe kashen kuɗin gida na yau da kullun ( Kasa da dala ɗari CFA 500)</v>
      </c>
    </row>
    <row r="922" hidden="1"/>
    <row r="923" hidden="1">
      <c r="C923" s="277"/>
      <c r="D923" s="277"/>
      <c r="E923" s="277"/>
      <c r="F923" s="187">
        <v>572.0</v>
      </c>
      <c r="G923" s="180" t="str">
        <f>IFERROR(__xludf.DUMMYFUNCTION("TRIM(REGEXREPLACE(C923, ""[0-9]+[a-f]?\."", """"))"),"")</f>
        <v/>
      </c>
      <c r="H923" s="180" t="str">
        <f>IFERROR(__xludf.DUMMYFUNCTION("TRIM(REGEXREPLACE(D923, ""[0-9]+[a-f]?\."", """"))"),"")</f>
        <v/>
      </c>
      <c r="I923" s="180" t="str">
        <f>IFERROR(__xludf.DUMMYFUNCTION("TRIM(REGEXREPLACE(E923, ""[0-9]+[a-f]?\."", """"))"),"")</f>
        <v/>
      </c>
      <c r="J923" s="180" t="s">
        <v>4890</v>
      </c>
      <c r="K923" s="180" t="s">
        <v>4891</v>
      </c>
      <c r="L923" s="180" t="s">
        <v>4892</v>
      </c>
    </row>
    <row r="924">
      <c r="A924" s="280" t="s">
        <v>2847</v>
      </c>
      <c r="B924" s="281" t="s">
        <v>4893</v>
      </c>
      <c r="C924" s="45" t="s">
        <v>4895</v>
      </c>
      <c r="D924" s="45" t="s">
        <v>4896</v>
      </c>
      <c r="E924" s="45" t="s">
        <v>4897</v>
      </c>
      <c r="F924" s="187">
        <v>287.0</v>
      </c>
      <c r="G924" s="180" t="str">
        <f>IFERROR(__xludf.DUMMYFUNCTION("TRIM(REGEXREPLACE(C924, ""[0-9]+[a-f]?\."", """"))"),"Household purchases worth more than 500 CFA")</f>
        <v>Household purchases worth more than 500 CFA</v>
      </c>
      <c r="H924" s="180" t="str">
        <f>IFERROR(__xludf.DUMMYFUNCTION("TRIM(REGEXREPLACE(D924, ""[0-9]+[a-f]?\."", """"))"),"Achats des ménages d'une valeur supérieure à 500 CFA")</f>
        <v>Achats des ménages d'une valeur supérieure à 500 CFA</v>
      </c>
      <c r="I924" s="180" t="str">
        <f>IFERROR(__xludf.DUMMYFUNCTION("TRIM(REGEXREPLACE(E924, ""[0-9]+[a-f]?\."", """"))"),"Siyayyar gida na sama da dala ɗari 500 CFA")</f>
        <v>Siyayyar gida na sama da dala ɗari 500 CFA</v>
      </c>
      <c r="J924" s="180" t="str">
        <f t="shared" ref="J924:L924" si="287">$F924 &amp; ". "&amp;G924</f>
        <v>287. Household purchases worth more than 500 CFA</v>
      </c>
      <c r="K924" s="180" t="str">
        <f t="shared" si="287"/>
        <v>287. Achats des ménages d'une valeur supérieure à 500 CFA</v>
      </c>
      <c r="L924" s="180" t="str">
        <f t="shared" si="287"/>
        <v>287. Siyayyar gida na sama da dala ɗari 500 CFA</v>
      </c>
    </row>
    <row r="925" hidden="1"/>
    <row r="926">
      <c r="A926" s="280" t="s">
        <v>2847</v>
      </c>
      <c r="B926" s="281" t="s">
        <v>4903</v>
      </c>
      <c r="C926" s="45" t="s">
        <v>4904</v>
      </c>
      <c r="D926" s="45" t="s">
        <v>4905</v>
      </c>
      <c r="E926" s="45" t="s">
        <v>4906</v>
      </c>
      <c r="F926" s="187">
        <v>288.0</v>
      </c>
      <c r="G926" s="180" t="str">
        <f>IFERROR(__xludf.DUMMYFUNCTION("TRIM(REGEXREPLACE(C926, ""[0-9]+[a-f]?\."", """"))"),"Family planning (how many children to have)")</f>
        <v>Family planning (how many children to have)</v>
      </c>
      <c r="H926" s="180" t="str">
        <f>IFERROR(__xludf.DUMMYFUNCTION("TRIM(REGEXREPLACE(D926, ""[0-9]+[a-f]?\."", """"))"),"Planification familiale (combien d'enfants avoir)")</f>
        <v>Planification familiale (combien d'enfants avoir)</v>
      </c>
      <c r="I926" s="180" t="str">
        <f>IFERROR(__xludf.DUMMYFUNCTION("TRIM(REGEXREPLACE(E926, ""[0-9]+[a-f]?\."", """"))"),"Tsarin iyali (ƴaƴa nawa za a haifa)")</f>
        <v>Tsarin iyali (ƴaƴa nawa za a haifa)</v>
      </c>
      <c r="J926" s="180" t="str">
        <f t="shared" ref="J926:L926" si="288">$F926 &amp; ". "&amp;G926</f>
        <v>288. Family planning (how many children to have)</v>
      </c>
      <c r="K926" s="180" t="str">
        <f t="shared" si="288"/>
        <v>288. Planification familiale (combien d'enfants avoir)</v>
      </c>
      <c r="L926" s="180" t="str">
        <f t="shared" si="288"/>
        <v>288. Tsarin iyali (ƴaƴa nawa za a haifa)</v>
      </c>
    </row>
    <row r="927" hidden="1">
      <c r="C927" s="277"/>
      <c r="D927" s="277"/>
      <c r="E927" s="277"/>
      <c r="F927" s="187">
        <v>574.0</v>
      </c>
      <c r="G927" s="180" t="str">
        <f>IFERROR(__xludf.DUMMYFUNCTION("TRIM(REGEXREPLACE(C927, ""[0-9]+[a-f]?\."", """"))"),"")</f>
        <v/>
      </c>
      <c r="H927" s="180" t="str">
        <f>IFERROR(__xludf.DUMMYFUNCTION("TRIM(REGEXREPLACE(D927, ""[0-9]+[a-f]?\."", """"))"),"")</f>
        <v/>
      </c>
      <c r="I927" s="180" t="str">
        <f>IFERROR(__xludf.DUMMYFUNCTION("TRIM(REGEXREPLACE(E927, ""[0-9]+[a-f]?\."", """"))"),"")</f>
        <v/>
      </c>
      <c r="J927" s="180" t="s">
        <v>4909</v>
      </c>
      <c r="K927" s="180" t="s">
        <v>4910</v>
      </c>
      <c r="L927" s="180" t="s">
        <v>4911</v>
      </c>
    </row>
    <row r="928" hidden="1">
      <c r="C928" s="277"/>
      <c r="D928" s="277"/>
      <c r="E928" s="277"/>
      <c r="F928" s="187">
        <v>575.0</v>
      </c>
      <c r="G928" s="180" t="str">
        <f>IFERROR(__xludf.DUMMYFUNCTION("TRIM(REGEXREPLACE(C928, ""[0-9]+[a-f]?\."", """"))"),"")</f>
        <v/>
      </c>
      <c r="H928" s="180" t="str">
        <f>IFERROR(__xludf.DUMMYFUNCTION("TRIM(REGEXREPLACE(D928, ""[0-9]+[a-f]?\."", """"))"),"")</f>
        <v/>
      </c>
      <c r="I928" s="180" t="str">
        <f>IFERROR(__xludf.DUMMYFUNCTION("TRIM(REGEXREPLACE(E928, ""[0-9]+[a-f]?\."", """"))"),"")</f>
        <v/>
      </c>
      <c r="J928" s="180" t="s">
        <v>4915</v>
      </c>
      <c r="K928" s="180" t="s">
        <v>4916</v>
      </c>
      <c r="L928" s="180" t="s">
        <v>4917</v>
      </c>
    </row>
    <row r="929">
      <c r="A929" s="280" t="s">
        <v>2847</v>
      </c>
      <c r="B929" s="281" t="s">
        <v>4918</v>
      </c>
      <c r="C929" s="45" t="s">
        <v>2612</v>
      </c>
      <c r="D929" s="45" t="s">
        <v>2613</v>
      </c>
      <c r="E929" s="45" t="s">
        <v>2614</v>
      </c>
      <c r="F929" s="187">
        <v>289.0</v>
      </c>
      <c r="G929" s="180" t="str">
        <f>IFERROR(__xludf.DUMMYFUNCTION("TRIM(REGEXREPLACE(C929, ""[0-9]+[a-f]?\."", """"))"),"Whether the husband will migrate to find work")</f>
        <v>Whether the husband will migrate to find work</v>
      </c>
      <c r="H929" s="180" t="str">
        <f>IFERROR(__xludf.DUMMYFUNCTION("TRIM(REGEXREPLACE(D929, ""[0-9]+[a-f]?\."", """"))"),"Si le mari va migrer pour trouver du travail")</f>
        <v>Si le mari va migrer pour trouver du travail</v>
      </c>
      <c r="I929" s="180" t="str">
        <f>IFERROR(__xludf.DUMMYFUNCTION("TRIM(REGEXREPLACE(E929, ""[0-9]+[a-f]?\."", """"))"),"Ko miji zai yi tahiya don neman aiki")</f>
        <v>Ko miji zai yi tahiya don neman aiki</v>
      </c>
      <c r="J929" s="180" t="str">
        <f t="shared" ref="J929:L929" si="289">$F929 &amp; ". "&amp;G929</f>
        <v>289. Whether the husband will migrate to find work</v>
      </c>
      <c r="K929" s="180" t="str">
        <f t="shared" si="289"/>
        <v>289. Si le mari va migrer pour trouver du travail</v>
      </c>
      <c r="L929" s="180" t="str">
        <f t="shared" si="289"/>
        <v>289. Ko miji zai yi tahiya don neman aiki</v>
      </c>
    </row>
    <row r="930" hidden="1">
      <c r="C930" s="277"/>
      <c r="D930" s="277"/>
      <c r="E930" s="277"/>
      <c r="F930" s="187">
        <v>577.0</v>
      </c>
      <c r="G930" s="180" t="str">
        <f>IFERROR(__xludf.DUMMYFUNCTION("TRIM(REGEXREPLACE(C930, ""[0-9]+[a-f]?\."", """"))"),"")</f>
        <v/>
      </c>
      <c r="H930" s="180" t="str">
        <f>IFERROR(__xludf.DUMMYFUNCTION("TRIM(REGEXREPLACE(D930, ""[0-9]+[a-f]?\."", """"))"),"")</f>
        <v/>
      </c>
      <c r="I930" s="180" t="str">
        <f>IFERROR(__xludf.DUMMYFUNCTION("TRIM(REGEXREPLACE(E930, ""[0-9]+[a-f]?\."", """"))"),"")</f>
        <v/>
      </c>
      <c r="J930" s="180" t="s">
        <v>4923</v>
      </c>
      <c r="K930" s="180" t="s">
        <v>4924</v>
      </c>
      <c r="L930" s="180" t="s">
        <v>4925</v>
      </c>
    </row>
    <row r="931" hidden="1">
      <c r="C931" s="277"/>
      <c r="D931" s="277"/>
      <c r="E931" s="277"/>
      <c r="F931" s="187">
        <v>578.0</v>
      </c>
      <c r="G931" s="180" t="str">
        <f>IFERROR(__xludf.DUMMYFUNCTION("TRIM(REGEXREPLACE(C931, ""[0-9]+[a-f]?\."", """"))"),"")</f>
        <v/>
      </c>
      <c r="H931" s="180" t="str">
        <f>IFERROR(__xludf.DUMMYFUNCTION("TRIM(REGEXREPLACE(D931, ""[0-9]+[a-f]?\."", """"))"),"")</f>
        <v/>
      </c>
      <c r="I931" s="180" t="str">
        <f>IFERROR(__xludf.DUMMYFUNCTION("TRIM(REGEXREPLACE(E931, ""[0-9]+[a-f]?\."", """"))"),"")</f>
        <v/>
      </c>
      <c r="J931" s="180" t="s">
        <v>4928</v>
      </c>
      <c r="K931" s="180" t="s">
        <v>4929</v>
      </c>
      <c r="L931" s="180" t="s">
        <v>4930</v>
      </c>
    </row>
    <row r="932">
      <c r="A932" s="280" t="s">
        <v>2847</v>
      </c>
      <c r="B932" s="281" t="s">
        <v>4931</v>
      </c>
      <c r="C932" s="45" t="s">
        <v>2623</v>
      </c>
      <c r="D932" s="45" t="s">
        <v>2624</v>
      </c>
      <c r="E932" s="45" t="s">
        <v>2625</v>
      </c>
      <c r="F932" s="187">
        <v>290.0</v>
      </c>
      <c r="G932" s="180" t="str">
        <f>IFERROR(__xludf.DUMMYFUNCTION("TRIM(REGEXREPLACE(C932, ""[0-9]+[a-f]?\."", """"))"),"Who to vote for in local elections?")</f>
        <v>Who to vote for in local elections?</v>
      </c>
      <c r="H932" s="180" t="str">
        <f>IFERROR(__xludf.DUMMYFUNCTION("TRIM(REGEXREPLACE(D932, ""[0-9]+[a-f]?\."", """"))"),"Pour qui voter aux élections municipales ?")</f>
        <v>Pour qui voter aux élections municipales ?</v>
      </c>
      <c r="I932" s="180" t="str">
        <f>IFERROR(__xludf.DUMMYFUNCTION("TRIM(REGEXREPLACE(E932, ""[0-9]+[a-f]?\."", """"))"),"Wanene za'a zaɓa a zaɓen ƙananan hukumomi?")</f>
        <v>Wanene za'a zaɓa a zaɓen ƙananan hukumomi?</v>
      </c>
      <c r="J932" s="180" t="str">
        <f t="shared" ref="J932:L932" si="290">$F932 &amp; ". "&amp;G932</f>
        <v>290. Who to vote for in local elections?</v>
      </c>
      <c r="K932" s="180" t="str">
        <f t="shared" si="290"/>
        <v>290. Pour qui voter aux élections municipales ?</v>
      </c>
      <c r="L932" s="180" t="str">
        <f t="shared" si="290"/>
        <v>290. Wanene za'a zaɓa a zaɓen ƙananan hukumomi?</v>
      </c>
    </row>
    <row r="933">
      <c r="A933" s="280" t="s">
        <v>2847</v>
      </c>
      <c r="B933" s="281" t="s">
        <v>4934</v>
      </c>
      <c r="C933" s="45" t="s">
        <v>2628</v>
      </c>
      <c r="D933" s="45" t="s">
        <v>2629</v>
      </c>
      <c r="E933" s="45" t="s">
        <v>2630</v>
      </c>
      <c r="F933" s="187">
        <v>291.0</v>
      </c>
      <c r="G933" s="180" t="str">
        <f>IFERROR(__xludf.DUMMYFUNCTION("TRIM(REGEXREPLACE(C933, ""[0-9]+[a-f]?\."", """"))"),"To whom your daughter should marry?")</f>
        <v>To whom your daughter should marry?</v>
      </c>
      <c r="H933" s="180" t="str">
        <f>IFERROR(__xludf.DUMMYFUNCTION("TRIM(REGEXREPLACE(D933, ""[0-9]+[a-f]?\."", """"))"),"Avec qui votre fille devrait-elle se marier ?")</f>
        <v>Avec qui votre fille devrait-elle se marier ?</v>
      </c>
      <c r="I933" s="180" t="str">
        <f>IFERROR(__xludf.DUMMYFUNCTION("TRIM(REGEXREPLACE(E933, ""[0-9]+[a-f]?\."", """"))"),"Wa ya kamata ƴarku ta aura?")</f>
        <v>Wa ya kamata ƴarku ta aura?</v>
      </c>
      <c r="J933" s="180" t="str">
        <f t="shared" ref="J933:L933" si="291">$F933 &amp; ". "&amp;G933</f>
        <v>291. To whom your daughter should marry?</v>
      </c>
      <c r="K933" s="180" t="str">
        <f t="shared" si="291"/>
        <v>291. Avec qui votre fille devrait-elle se marier ?</v>
      </c>
      <c r="L933" s="180" t="str">
        <f t="shared" si="291"/>
        <v>291. Wa ya kamata ƴarku ta aura?</v>
      </c>
    </row>
    <row r="934">
      <c r="A934" s="280" t="s">
        <v>2847</v>
      </c>
      <c r="B934" s="281" t="s">
        <v>4936</v>
      </c>
      <c r="C934" s="45" t="s">
        <v>2635</v>
      </c>
      <c r="D934" s="45" t="s">
        <v>2636</v>
      </c>
      <c r="E934" s="45" t="s">
        <v>2637</v>
      </c>
      <c r="F934" s="187">
        <v>292.0</v>
      </c>
      <c r="G934" s="180" t="str">
        <f>IFERROR(__xludf.DUMMYFUNCTION("TRIM(REGEXREPLACE(C934, ""[0-9]+[a-f]?\."", """"))"),"Children's enrollment in school")</f>
        <v>Children's enrollment in school</v>
      </c>
      <c r="H934" s="180" t="str">
        <f>IFERROR(__xludf.DUMMYFUNCTION("TRIM(REGEXREPLACE(D934, ""[0-9]+[a-f]?\."", """"))"),"Inscription des enfants à l'école")</f>
        <v>Inscription des enfants à l'école</v>
      </c>
      <c r="I934" s="180" t="str">
        <f>IFERROR(__xludf.DUMMYFUNCTION("TRIM(REGEXREPLACE(E934, ""[0-9]+[a-f]?\."", """"))"),"Rubuta yara a makaranta")</f>
        <v>Rubuta yara a makaranta</v>
      </c>
      <c r="J934" s="180" t="str">
        <f t="shared" ref="J934:L934" si="292">$F934 &amp; ". "&amp;G934</f>
        <v>292. Children's enrollment in school</v>
      </c>
      <c r="K934" s="180" t="str">
        <f t="shared" si="292"/>
        <v>292. Inscription des enfants à l'école</v>
      </c>
      <c r="L934" s="180" t="str">
        <f t="shared" si="292"/>
        <v>292. Rubuta yara a makaranta</v>
      </c>
    </row>
    <row r="935">
      <c r="A935" s="280" t="s">
        <v>1306</v>
      </c>
      <c r="B935" s="281" t="s">
        <v>4938</v>
      </c>
      <c r="C935" s="45" t="s">
        <v>4939</v>
      </c>
      <c r="D935" s="45" t="s">
        <v>4940</v>
      </c>
      <c r="E935" s="45" t="s">
        <v>4941</v>
      </c>
      <c r="F935" s="187">
        <v>293.0</v>
      </c>
      <c r="G935" s="180" t="str">
        <f>IFERROR(__xludf.DUMMYFUNCTION("TRIM(REGEXREPLACE(C935, ""[0-9]+[a-f]?\."", """"))"),"Imagine one of your daughters wanted to marry someone of a different religious faith, would you give them your permission?")</f>
        <v>Imagine one of your daughters wanted to marry someone of a different religious faith, would you give them your permission?</v>
      </c>
      <c r="H935" s="180" t="str">
        <f>IFERROR(__xludf.DUMMYFUNCTION("TRIM(REGEXREPLACE(D935, ""[0-9]+[a-f]?\."", """"))"),"Imaginez qu'une de vos filles veuille épouser quelqu'un d'une confession religieuse différente, leur donneriez-vous votre permission ?")</f>
        <v>Imaginez qu'une de vos filles veuille épouser quelqu'un d'une confession religieuse différente, leur donneriez-vous votre permission ?</v>
      </c>
      <c r="I935" s="180" t="str">
        <f>IFERROR(__xludf.DUMMYFUNCTION("TRIM(REGEXREPLACE(E935, ""[0-9]+[a-f]?\."", """"))"),"Ku ƙaddara da wata ɗiyarku ta na son ta auri wani mai bin wani addini daban, za ku bada izininku?")</f>
        <v>Ku ƙaddara da wata ɗiyarku ta na son ta auri wani mai bin wani addini daban, za ku bada izininku?</v>
      </c>
      <c r="J935" s="180" t="str">
        <f t="shared" ref="J935:L935" si="293">$F935 &amp; ". "&amp;G935</f>
        <v>293. Imagine one of your daughters wanted to marry someone of a different religious faith, would you give them your permission?</v>
      </c>
      <c r="K935" s="180" t="str">
        <f t="shared" si="293"/>
        <v>293. Imaginez qu'une de vos filles veuille épouser quelqu'un d'une confession religieuse différente, leur donneriez-vous votre permission ?</v>
      </c>
      <c r="L935" s="180" t="str">
        <f t="shared" si="293"/>
        <v>293. Ku ƙaddara da wata ɗiyarku ta na son ta auri wani mai bin wani addini daban, za ku bada izininku?</v>
      </c>
    </row>
    <row r="936">
      <c r="A936" s="280" t="s">
        <v>1306</v>
      </c>
      <c r="B936" s="281" t="s">
        <v>4943</v>
      </c>
      <c r="C936" s="45" t="s">
        <v>4944</v>
      </c>
      <c r="D936" s="45" t="s">
        <v>4945</v>
      </c>
      <c r="E936" s="45" t="s">
        <v>4946</v>
      </c>
      <c r="F936" s="187">
        <v>294.0</v>
      </c>
      <c r="G936" s="180" t="str">
        <f>IFERROR(__xludf.DUMMYFUNCTION("TRIM(REGEXREPLACE(C936, ""[0-9]+[a-f]?\."", """"))"),"Imagine one of your sons wanted to marry someone of a different religious faith, would you give them your permission?")</f>
        <v>Imagine one of your sons wanted to marry someone of a different religious faith, would you give them your permission?</v>
      </c>
      <c r="H936" s="180" t="str">
        <f>IFERROR(__xludf.DUMMYFUNCTION("TRIM(REGEXREPLACE(D936, ""[0-9]+[a-f]?\."", """"))"),"Imaginez que l'un de vos fils veuille épouser quelqu'un d'une confession religieuse différente, leur donneriez-vous votre permission ?")</f>
        <v>Imaginez que l'un de vos fils veuille épouser quelqu'un d'une confession religieuse différente, leur donneriez-vous votre permission ?</v>
      </c>
      <c r="I936" s="180" t="str">
        <f>IFERROR(__xludf.DUMMYFUNCTION("TRIM(REGEXREPLACE(E936, ""[0-9]+[a-f]?\."", """"))"),"Ku ƙaddara da wani ɗanku ya na son ya auri wata ƴa mai bin wani addini daban, za ku bada izininku?")</f>
        <v>Ku ƙaddara da wani ɗanku ya na son ya auri wata ƴa mai bin wani addini daban, za ku bada izininku?</v>
      </c>
      <c r="J936" s="180" t="str">
        <f t="shared" ref="J936:L936" si="294">$F936 &amp; ". "&amp;G936</f>
        <v>294. Imagine one of your sons wanted to marry someone of a different religious faith, would you give them your permission?</v>
      </c>
      <c r="K936" s="180" t="str">
        <f t="shared" si="294"/>
        <v>294. Imaginez que l'un de vos fils veuille épouser quelqu'un d'une confession religieuse différente, leur donneriez-vous votre permission ?</v>
      </c>
      <c r="L936" s="180" t="str">
        <f t="shared" si="294"/>
        <v>294. Ku ƙaddara da wani ɗanku ya na son ya auri wata ƴa mai bin wani addini daban, za ku bada izininku?</v>
      </c>
    </row>
    <row r="937" hidden="1"/>
    <row r="938" hidden="1"/>
    <row r="939" hidden="1">
      <c r="C939" s="277"/>
      <c r="D939" s="277"/>
      <c r="E939" s="277"/>
      <c r="F939" s="187">
        <v>583.0</v>
      </c>
      <c r="G939" s="180" t="str">
        <f>IFERROR(__xludf.DUMMYFUNCTION("TRIM(REGEXREPLACE(C939, ""[0-9]+[a-f]?\."", """"))"),"")</f>
        <v/>
      </c>
      <c r="H939" s="180" t="str">
        <f>IFERROR(__xludf.DUMMYFUNCTION("TRIM(REGEXREPLACE(D939, ""[0-9]+[a-f]?\."", """"))"),"")</f>
        <v/>
      </c>
      <c r="I939" s="180" t="str">
        <f>IFERROR(__xludf.DUMMYFUNCTION("TRIM(REGEXREPLACE(E939, ""[0-9]+[a-f]?\."", """"))"),"")</f>
        <v/>
      </c>
      <c r="J939" s="180" t="s">
        <v>4950</v>
      </c>
      <c r="K939" s="180" t="s">
        <v>4951</v>
      </c>
      <c r="L939" s="180" t="s">
        <v>4952</v>
      </c>
    </row>
    <row r="940" hidden="1">
      <c r="C940" s="277"/>
      <c r="D940" s="277"/>
      <c r="E940" s="277"/>
      <c r="F940" s="187">
        <v>584.0</v>
      </c>
      <c r="G940" s="180" t="str">
        <f>IFERROR(__xludf.DUMMYFUNCTION("TRIM(REGEXREPLACE(C940, ""[0-9]+[a-f]?\."", """"))"),"")</f>
        <v/>
      </c>
      <c r="H940" s="180" t="str">
        <f>IFERROR(__xludf.DUMMYFUNCTION("TRIM(REGEXREPLACE(D940, ""[0-9]+[a-f]?\."", """"))"),"")</f>
        <v/>
      </c>
      <c r="I940" s="180" t="str">
        <f>IFERROR(__xludf.DUMMYFUNCTION("TRIM(REGEXREPLACE(E940, ""[0-9]+[a-f]?\."", """"))"),"")</f>
        <v/>
      </c>
      <c r="J940" s="180" t="s">
        <v>4953</v>
      </c>
      <c r="K940" s="180" t="s">
        <v>4954</v>
      </c>
      <c r="L940" s="180" t="s">
        <v>4955</v>
      </c>
    </row>
    <row r="941" hidden="1">
      <c r="C941" s="277"/>
      <c r="D941" s="277"/>
      <c r="E941" s="277"/>
      <c r="F941" s="187">
        <v>585.0</v>
      </c>
      <c r="G941" s="180" t="str">
        <f>IFERROR(__xludf.DUMMYFUNCTION("TRIM(REGEXREPLACE(C941, ""[0-9]+[a-f]?\."", """"))"),"")</f>
        <v/>
      </c>
      <c r="H941" s="180" t="str">
        <f>IFERROR(__xludf.DUMMYFUNCTION("TRIM(REGEXREPLACE(D941, ""[0-9]+[a-f]?\."", """"))"),"")</f>
        <v/>
      </c>
      <c r="I941" s="180" t="str">
        <f>IFERROR(__xludf.DUMMYFUNCTION("TRIM(REGEXREPLACE(E941, ""[0-9]+[a-f]?\."", """"))"),"")</f>
        <v/>
      </c>
      <c r="J941" s="180" t="s">
        <v>4959</v>
      </c>
      <c r="K941" s="180" t="s">
        <v>4960</v>
      </c>
      <c r="L941" s="180" t="s">
        <v>4961</v>
      </c>
    </row>
    <row r="942" hidden="1">
      <c r="C942" s="277"/>
      <c r="D942" s="277"/>
      <c r="E942" s="277"/>
      <c r="F942" s="187">
        <v>586.0</v>
      </c>
      <c r="G942" s="180" t="str">
        <f>IFERROR(__xludf.DUMMYFUNCTION("TRIM(REGEXREPLACE(C942, ""[0-9]+[a-f]?\."", """"))"),"")</f>
        <v/>
      </c>
      <c r="H942" s="180" t="str">
        <f>IFERROR(__xludf.DUMMYFUNCTION("TRIM(REGEXREPLACE(D942, ""[0-9]+[a-f]?\."", """"))"),"")</f>
        <v/>
      </c>
      <c r="I942" s="180" t="str">
        <f>IFERROR(__xludf.DUMMYFUNCTION("TRIM(REGEXREPLACE(E942, ""[0-9]+[a-f]?\."", """"))"),"")</f>
        <v/>
      </c>
      <c r="J942" s="180" t="s">
        <v>4962</v>
      </c>
      <c r="K942" s="180" t="s">
        <v>4963</v>
      </c>
      <c r="L942" s="180" t="s">
        <v>4964</v>
      </c>
    </row>
    <row r="943" hidden="1">
      <c r="C943" s="277"/>
      <c r="D943" s="277"/>
      <c r="E943" s="277"/>
      <c r="F943" s="187">
        <v>587.0</v>
      </c>
      <c r="G943" s="180" t="str">
        <f>IFERROR(__xludf.DUMMYFUNCTION("TRIM(REGEXREPLACE(C943, ""[0-9]+[a-f]?\."", """"))"),"")</f>
        <v/>
      </c>
      <c r="H943" s="180" t="str">
        <f>IFERROR(__xludf.DUMMYFUNCTION("TRIM(REGEXREPLACE(D943, ""[0-9]+[a-f]?\."", """"))"),"")</f>
        <v/>
      </c>
      <c r="I943" s="180" t="str">
        <f>IFERROR(__xludf.DUMMYFUNCTION("TRIM(REGEXREPLACE(E943, ""[0-9]+[a-f]?\."", """"))"),"")</f>
        <v/>
      </c>
      <c r="J943" s="180" t="s">
        <v>4965</v>
      </c>
      <c r="K943" s="180" t="s">
        <v>4966</v>
      </c>
      <c r="L943" s="180" t="s">
        <v>4967</v>
      </c>
    </row>
    <row r="944" hidden="1">
      <c r="C944" s="277"/>
      <c r="D944" s="277"/>
      <c r="E944" s="277"/>
      <c r="F944" s="187">
        <v>588.0</v>
      </c>
      <c r="G944" s="180" t="str">
        <f>IFERROR(__xludf.DUMMYFUNCTION("TRIM(REGEXREPLACE(C944, ""[0-9]+[a-f]?\."", """"))"),"")</f>
        <v/>
      </c>
      <c r="H944" s="180" t="str">
        <f>IFERROR(__xludf.DUMMYFUNCTION("TRIM(REGEXREPLACE(D944, ""[0-9]+[a-f]?\."", """"))"),"")</f>
        <v/>
      </c>
      <c r="I944" s="180" t="str">
        <f>IFERROR(__xludf.DUMMYFUNCTION("TRIM(REGEXREPLACE(E944, ""[0-9]+[a-f]?\."", """"))"),"")</f>
        <v/>
      </c>
      <c r="J944" s="180" t="s">
        <v>4971</v>
      </c>
      <c r="K944" s="180" t="s">
        <v>4972</v>
      </c>
      <c r="L944" s="180" t="s">
        <v>4973</v>
      </c>
    </row>
    <row r="945" hidden="1"/>
    <row r="946" hidden="1"/>
    <row r="947" hidden="1"/>
    <row r="948" hidden="1">
      <c r="C948" s="277"/>
      <c r="D948" s="277"/>
      <c r="E948" s="277"/>
      <c r="F948" s="187">
        <v>589.0</v>
      </c>
      <c r="G948" s="180" t="str">
        <f>IFERROR(__xludf.DUMMYFUNCTION("TRIM(REGEXREPLACE(C948, ""[0-9]+[a-f]?\."", """"))"),"")</f>
        <v/>
      </c>
      <c r="H948" s="180" t="str">
        <f>IFERROR(__xludf.DUMMYFUNCTION("TRIM(REGEXREPLACE(D948, ""[0-9]+[a-f]?\."", """"))"),"")</f>
        <v/>
      </c>
      <c r="I948" s="180" t="str">
        <f>IFERROR(__xludf.DUMMYFUNCTION("TRIM(REGEXREPLACE(E948, ""[0-9]+[a-f]?\."", """"))"),"")</f>
        <v/>
      </c>
      <c r="J948" s="180" t="s">
        <v>4974</v>
      </c>
      <c r="K948" s="180" t="s">
        <v>4975</v>
      </c>
      <c r="L948" s="180" t="s">
        <v>4976</v>
      </c>
    </row>
    <row r="949">
      <c r="A949" s="280" t="s">
        <v>1306</v>
      </c>
      <c r="B949" s="281" t="s">
        <v>4977</v>
      </c>
      <c r="C949" s="45" t="s">
        <v>4978</v>
      </c>
      <c r="D949" s="45" t="s">
        <v>4979</v>
      </c>
      <c r="E949" s="45" t="s">
        <v>4980</v>
      </c>
      <c r="F949" s="187">
        <v>295.0</v>
      </c>
      <c r="G949" s="180" t="str">
        <f>IFERROR(__xludf.DUMMYFUNCTION("TRIM(REGEXREPLACE(C949, ""[0-9]+[a-f]?\."", """"))"),"Imagine one of your daughters wanted to marry someone of a different ethnic group, would you give them your permission?")</f>
        <v>Imagine one of your daughters wanted to marry someone of a different ethnic group, would you give them your permission?</v>
      </c>
      <c r="H949" s="180" t="str">
        <f>IFERROR(__xludf.DUMMYFUNCTION("TRIM(REGEXREPLACE(D949, ""[0-9]+[a-f]?\."", """"))"),"Imaginez qu'une de vos filles veuille épouser quelqu'un d'un groupe ethnique différent, leur donneriez-vous votre permission ?")</f>
        <v>Imaginez qu'une de vos filles veuille épouser quelqu'un d'un groupe ethnique différent, leur donneriez-vous votre permission ?</v>
      </c>
      <c r="I949" s="180" t="str">
        <f>IFERROR(__xludf.DUMMYFUNCTION("TRIM(REGEXREPLACE(E949, ""[0-9]+[a-f]?\."", """"))"),"Ku ƙaddara da wata ɗiyarka tana son ta auri ɗan wata kabila daban, za ku bada izininka?")</f>
        <v>Ku ƙaddara da wata ɗiyarka tana son ta auri ɗan wata kabila daban, za ku bada izininka?</v>
      </c>
      <c r="J949" s="180" t="str">
        <f t="shared" ref="J949:L949" si="295">$F949 &amp; ". "&amp;G949</f>
        <v>295. Imagine one of your daughters wanted to marry someone of a different ethnic group, would you give them your permission?</v>
      </c>
      <c r="K949" s="180" t="str">
        <f t="shared" si="295"/>
        <v>295. Imaginez qu'une de vos filles veuille épouser quelqu'un d'un groupe ethnique différent, leur donneriez-vous votre permission ?</v>
      </c>
      <c r="L949" s="180" t="str">
        <f t="shared" si="295"/>
        <v>295. Ku ƙaddara da wata ɗiyarka tana son ta auri ɗan wata kabila daban, za ku bada izininka?</v>
      </c>
    </row>
    <row r="950">
      <c r="A950" s="280" t="s">
        <v>1306</v>
      </c>
      <c r="B950" s="281" t="s">
        <v>4984</v>
      </c>
      <c r="C950" s="45" t="s">
        <v>4985</v>
      </c>
      <c r="D950" s="45" t="s">
        <v>4986</v>
      </c>
      <c r="E950" s="45" t="s">
        <v>4987</v>
      </c>
      <c r="F950" s="187">
        <v>296.0</v>
      </c>
      <c r="G950" s="180" t="str">
        <f>IFERROR(__xludf.DUMMYFUNCTION("TRIM(REGEXREPLACE(C950, ""[0-9]+[a-f]?\."", """"))"),"Imagine one of your sons wanted to marry someone of a different ethnic group, would you give them your permission?")</f>
        <v>Imagine one of your sons wanted to marry someone of a different ethnic group, would you give them your permission?</v>
      </c>
      <c r="H950" s="180" t="str">
        <f>IFERROR(__xludf.DUMMYFUNCTION("TRIM(REGEXREPLACE(D950, ""[0-9]+[a-f]?\."", """"))"),"Imaginez que l'un de vos fils veuille épouser quelqu'un d'un groupe ethnique différent, leur donneriez-vous votre permission ?")</f>
        <v>Imaginez que l'un de vos fils veuille épouser quelqu'un d'un groupe ethnique différent, leur donneriez-vous votre permission ?</v>
      </c>
      <c r="I950" s="180" t="str">
        <f>IFERROR(__xludf.DUMMYFUNCTION("TRIM(REGEXREPLACE(E950, ""[0-9]+[a-f]?\."", """"))"),"Ku ƙaddara da wani ɗanku ya na son ya auri wani ɗan wata ƙabila daban, za ku bada izininka?")</f>
        <v>Ku ƙaddara da wani ɗanku ya na son ya auri wani ɗan wata ƙabila daban, za ku bada izininka?</v>
      </c>
      <c r="J950" s="180" t="str">
        <f t="shared" ref="J950:L950" si="296">$F950 &amp; ". "&amp;G950</f>
        <v>296. Imagine one of your sons wanted to marry someone of a different ethnic group, would you give them your permission?</v>
      </c>
      <c r="K950" s="180" t="str">
        <f t="shared" si="296"/>
        <v>296. Imaginez que l'un de vos fils veuille épouser quelqu'un d'un groupe ethnique différent, leur donneriez-vous votre permission ?</v>
      </c>
      <c r="L950" s="180" t="str">
        <f t="shared" si="296"/>
        <v>296. Ku ƙaddara da wani ɗanku ya na son ya auri wani ɗan wata ƙabila daban, za ku bada izininka?</v>
      </c>
    </row>
    <row r="951">
      <c r="A951" s="278" t="s">
        <v>38</v>
      </c>
      <c r="B951" s="279" t="s">
        <v>4988</v>
      </c>
      <c r="C951" s="45" t="s">
        <v>4989</v>
      </c>
      <c r="D951" s="45" t="s">
        <v>4990</v>
      </c>
      <c r="E951" s="45" t="s">
        <v>4992</v>
      </c>
      <c r="F951" s="187">
        <v>297.0</v>
      </c>
      <c r="G951" s="180" t="str">
        <f>IFERROR(__xludf.DUMMYFUNCTION("TRIM(REGEXREPLACE(C951, ""[0-9]+[a-f]?\."", """"))"),"Please tell me the degree to which you agree or disagree with the following statements.")</f>
        <v>Please tell me the degree to which you agree or disagree with the following statements.</v>
      </c>
      <c r="H951" s="180" t="str">
        <f>IFERROR(__xludf.DUMMYFUNCTION("TRIM(REGEXREPLACE(D951, ""[0-9]+[a-f]?\."", """"))"),"Veuillez me dire dans quelle mesure vous êtes d'accord ou pas d'accord avec les énoncés suivants.")</f>
        <v>Veuillez me dire dans quelle mesure vous êtes d'accord ou pas d'accord avec les énoncés suivants.</v>
      </c>
      <c r="I951" s="180" t="str">
        <f>IFERROR(__xludf.DUMMYFUNCTION("TRIM(REGEXREPLACE(E951, ""[0-9]+[a-f]?\."", """"))"),"Yanzu ina son ku gaya mini har zuwa wane matsayi kuka yarda ko baku yarda ba da waɗannan maganganun da zan zana muku.")</f>
        <v>Yanzu ina son ku gaya mini har zuwa wane matsayi kuka yarda ko baku yarda ba da waɗannan maganganun da zan zana muku.</v>
      </c>
      <c r="J951" s="180" t="str">
        <f t="shared" ref="J951:L951" si="297">$F951 &amp; ". "&amp;G951</f>
        <v>297. Please tell me the degree to which you agree or disagree with the following statements.</v>
      </c>
      <c r="K951" s="180" t="str">
        <f t="shared" si="297"/>
        <v>297. Veuillez me dire dans quelle mesure vous êtes d'accord ou pas d'accord avec les énoncés suivants.</v>
      </c>
      <c r="L951" s="180" t="str">
        <f t="shared" si="297"/>
        <v>297. Yanzu ina son ku gaya mini har zuwa wane matsayi kuka yarda ko baku yarda ba da waɗannan maganganun da zan zana muku.</v>
      </c>
    </row>
    <row r="952">
      <c r="A952" s="280" t="s">
        <v>2073</v>
      </c>
      <c r="B952" s="281" t="s">
        <v>4995</v>
      </c>
      <c r="C952" s="45" t="s">
        <v>4996</v>
      </c>
      <c r="D952" s="45" t="s">
        <v>4997</v>
      </c>
      <c r="E952" s="45" t="s">
        <v>4998</v>
      </c>
      <c r="F952" s="187">
        <v>298.0</v>
      </c>
      <c r="G952" s="180" t="str">
        <f>IFERROR(__xludf.DUMMYFUNCTION("TRIM(REGEXREPLACE(C952, ""[0-9]+[a-f]?\."", """"))"),"Middle school education for males is more important than middle school education for females.")</f>
        <v>Middle school education for males is more important than middle school education for females.</v>
      </c>
      <c r="H952" s="180" t="str">
        <f>IFERROR(__xludf.DUMMYFUNCTION("TRIM(REGEXREPLACE(D952, ""[0-9]+[a-f]?\."", """"))"),"L'enseignement secondaire pour les hommes est plus important que l'enseignement secondaire pour les femmes.")</f>
        <v>L'enseignement secondaire pour les hommes est plus important que l'enseignement secondaire pour les femmes.</v>
      </c>
      <c r="I952" s="180" t="str">
        <f>IFERROR(__xludf.DUMMYFUNCTION("TRIM(REGEXREPLACE(E952, ""[0-9]+[a-f]?\."", """"))"),"Ilimin koleji ga maza yana da mahimmanci fiye da ilimin koleji ga mata.")</f>
        <v>Ilimin koleji ga maza yana da mahimmanci fiye da ilimin koleji ga mata.</v>
      </c>
      <c r="J952" s="180" t="str">
        <f t="shared" ref="J952:L952" si="298">$F952 &amp; ". "&amp;G952</f>
        <v>298. Middle school education for males is more important than middle school education for females.</v>
      </c>
      <c r="K952" s="180" t="str">
        <f t="shared" si="298"/>
        <v>298. L'enseignement secondaire pour les hommes est plus important que l'enseignement secondaire pour les femmes.</v>
      </c>
      <c r="L952" s="180" t="str">
        <f t="shared" si="298"/>
        <v>298. Ilimin koleji ga maza yana da mahimmanci fiye da ilimin koleji ga mata.</v>
      </c>
    </row>
    <row r="953">
      <c r="A953" s="280" t="s">
        <v>2073</v>
      </c>
      <c r="B953" s="281" t="s">
        <v>5001</v>
      </c>
      <c r="C953" s="45" t="s">
        <v>2663</v>
      </c>
      <c r="D953" s="45" t="s">
        <v>2664</v>
      </c>
      <c r="E953" s="45" t="s">
        <v>2666</v>
      </c>
      <c r="F953" s="187">
        <v>299.0</v>
      </c>
      <c r="G953" s="180" t="str">
        <f>IFERROR(__xludf.DUMMYFUNCTION("TRIM(REGEXREPLACE(C953, ""[0-9]+[a-f]?\."", """"))"),"Women and men should have equal rights to their inheritance (Women should not be denied their right)")</f>
        <v>Women and men should have equal rights to their inheritance (Women should not be denied their right)</v>
      </c>
      <c r="H953" s="180" t="str">
        <f>IFERROR(__xludf.DUMMYFUNCTION("TRIM(REGEXREPLACE(D953, ""[0-9]+[a-f]?\."", """"))"),"Les femmes et les hommes devraient avoir des droits égaux à l'héritage (les femmes ne devraient pas être privées de leur droit)")</f>
        <v>Les femmes et les hommes devraient avoir des droits égaux à l'héritage (les femmes ne devraient pas être privées de leur droit)</v>
      </c>
      <c r="I953" s="180" t="str">
        <f>IFERROR(__xludf.DUMMYFUNCTION("TRIM(REGEXREPLACE(E953, ""[0-9]+[a-f]?\."", """"))"),"Ya kamata mata da maza su samu haƙƙi daidai akan gado (Bai Kamata a hana ma mata haƙƙinsu ba)")</f>
        <v>Ya kamata mata da maza su samu haƙƙi daidai akan gado (Bai Kamata a hana ma mata haƙƙinsu ba)</v>
      </c>
      <c r="J953" s="180" t="str">
        <f t="shared" ref="J953:L953" si="299">$F953 &amp; ". "&amp;G953</f>
        <v>299. Women and men should have equal rights to their inheritance (Women should not be denied their right)</v>
      </c>
      <c r="K953" s="180" t="str">
        <f t="shared" si="299"/>
        <v>299. Les femmes et les hommes devraient avoir des droits égaux à l'héritage (les femmes ne devraient pas être privées de leur droit)</v>
      </c>
      <c r="L953" s="180" t="str">
        <f t="shared" si="299"/>
        <v>299. Ya kamata mata da maza su samu haƙƙi daidai akan gado (Bai Kamata a hana ma mata haƙƙinsu ba)</v>
      </c>
    </row>
    <row r="954">
      <c r="A954" s="280" t="s">
        <v>2073</v>
      </c>
      <c r="B954" s="281" t="s">
        <v>5004</v>
      </c>
      <c r="C954" s="45" t="s">
        <v>2671</v>
      </c>
      <c r="D954" s="45" t="s">
        <v>2672</v>
      </c>
      <c r="E954" s="45" t="s">
        <v>2673</v>
      </c>
      <c r="F954" s="187">
        <v>300.0</v>
      </c>
      <c r="G954" s="180" t="str">
        <f>IFERROR(__xludf.DUMMYFUNCTION("TRIM(REGEXREPLACE(C954, ""[0-9]+[a-f]?\."", """"))"),"A woman can reject a marriage that her family chose for her without her consent")</f>
        <v>A woman can reject a marriage that her family chose for her without her consent</v>
      </c>
      <c r="H954" s="180" t="str">
        <f>IFERROR(__xludf.DUMMYFUNCTION("TRIM(REGEXREPLACE(D954, ""[0-9]+[a-f]?\."", """"))"),"Une femme peut refuser un mariage que sa famille a choisi pour elle sans son consentement")</f>
        <v>Une femme peut refuser un mariage que sa famille a choisi pour elle sans son consentement</v>
      </c>
      <c r="I954" s="180" t="str">
        <f>IFERROR(__xludf.DUMMYFUNCTION("TRIM(REGEXREPLACE(E954, ""[0-9]+[a-f]?\."", """"))"),"Mace za ta iya ƙin auren da danginta suka zaɓa mata idan bata yarda ba")</f>
        <v>Mace za ta iya ƙin auren da danginta suka zaɓa mata idan bata yarda ba</v>
      </c>
      <c r="J954" s="180" t="str">
        <f t="shared" ref="J954:L954" si="300">$F954 &amp; ". "&amp;G954</f>
        <v>300. A woman can reject a marriage that her family chose for her without her consent</v>
      </c>
      <c r="K954" s="180" t="str">
        <f t="shared" si="300"/>
        <v>300. Une femme peut refuser un mariage que sa famille a choisi pour elle sans son consentement</v>
      </c>
      <c r="L954" s="180" t="str">
        <f t="shared" si="300"/>
        <v>300. Mace za ta iya ƙin auren da danginta suka zaɓa mata idan bata yarda ba</v>
      </c>
    </row>
    <row r="955">
      <c r="A955" s="280" t="s">
        <v>2073</v>
      </c>
      <c r="B955" s="281" t="s">
        <v>5006</v>
      </c>
      <c r="C955" s="45" t="s">
        <v>5007</v>
      </c>
      <c r="D955" s="45" t="s">
        <v>5008</v>
      </c>
      <c r="E955" s="45" t="s">
        <v>5009</v>
      </c>
      <c r="F955" s="187">
        <v>301.0</v>
      </c>
      <c r="G955" s="180" t="str">
        <f>IFERROR(__xludf.DUMMYFUNCTION("TRIM(REGEXREPLACE(C955, ""[0-9]+[a-f]?\."", """"))"),"Women and men should have equal rights in making the decision to divorce.")</f>
        <v>Women and men should have equal rights in making the decision to divorce.</v>
      </c>
      <c r="H955" s="180" t="str">
        <f>IFERROR(__xludf.DUMMYFUNCTION("TRIM(REGEXREPLACE(D955, ""[0-9]+[a-f]?\."", """"))"),"Les femmes et les hommes devraient avoir des droits égaux dans la décision de divorcer.")</f>
        <v>Les femmes et les hommes devraient avoir des droits égaux dans la décision de divorcer.</v>
      </c>
      <c r="I955" s="180" t="str">
        <f>IFERROR(__xludf.DUMMYFUNCTION("TRIM(REGEXREPLACE(E955, ""[0-9]+[a-f]?\."", """"))"),"Yakamata a ce mata da maza suna da haƙƙi daidai wajen yanke shawarar rabuwar aure.")</f>
        <v>Yakamata a ce mata da maza suna da haƙƙi daidai wajen yanke shawarar rabuwar aure.</v>
      </c>
      <c r="J955" s="180" t="str">
        <f t="shared" ref="J955:L955" si="301">$F955 &amp; ". "&amp;G955</f>
        <v>301. Women and men should have equal rights in making the decision to divorce.</v>
      </c>
      <c r="K955" s="180" t="str">
        <f t="shared" si="301"/>
        <v>301. Les femmes et les hommes devraient avoir des droits égaux dans la décision de divorcer.</v>
      </c>
      <c r="L955" s="180" t="str">
        <f t="shared" si="301"/>
        <v>301. Yakamata a ce mata da maza suna da haƙƙi daidai wajen yanke shawarar rabuwar aure.</v>
      </c>
    </row>
    <row r="956">
      <c r="A956" s="280" t="s">
        <v>2073</v>
      </c>
      <c r="B956" s="281" t="s">
        <v>5013</v>
      </c>
      <c r="C956" s="45" t="s">
        <v>5014</v>
      </c>
      <c r="D956" s="45" t="s">
        <v>5015</v>
      </c>
      <c r="E956" s="45" t="s">
        <v>5017</v>
      </c>
      <c r="F956" s="187">
        <v>302.0</v>
      </c>
      <c r="G956" s="180" t="str">
        <f>IFERROR(__xludf.DUMMYFUNCTION("TRIM(REGEXREPLACE(C956, ""[0-9]+[a-f]?\."", """"))"),"The law should not allow a man to marry more than one woman.")</f>
        <v>The law should not allow a man to marry more than one woman.</v>
      </c>
      <c r="H956" s="180" t="str">
        <f>IFERROR(__xludf.DUMMYFUNCTION("TRIM(REGEXREPLACE(D956, ""[0-9]+[a-f]?\."", """"))"),"La loi ne devrait pas permettre à un homme d'épouser plus d'une femme.")</f>
        <v>La loi ne devrait pas permettre à un homme d'épouser plus d'une femme.</v>
      </c>
      <c r="I956" s="180" t="str">
        <f>IFERROR(__xludf.DUMMYFUNCTION("TRIM(REGEXREPLACE(E956, ""[0-9]+[a-f]?\."", """"))"),"Yakamata doka ta hana ma namiji ya auri fiye da mace ɗaya.")</f>
        <v>Yakamata doka ta hana ma namiji ya auri fiye da mace ɗaya.</v>
      </c>
      <c r="J956" s="180" t="str">
        <f t="shared" ref="J956:L956" si="302">$F956 &amp; ". "&amp;G956</f>
        <v>302. The law should not allow a man to marry more than one woman.</v>
      </c>
      <c r="K956" s="180" t="str">
        <f t="shared" si="302"/>
        <v>302. La loi ne devrait pas permettre à un homme d'épouser plus d'une femme.</v>
      </c>
      <c r="L956" s="180" t="str">
        <f t="shared" si="302"/>
        <v>302. Yakamata doka ta hana ma namiji ya auri fiye da mace ɗaya.</v>
      </c>
    </row>
    <row r="957" hidden="1">
      <c r="A957" s="298" t="s">
        <v>133</v>
      </c>
      <c r="B957" s="299" t="s">
        <v>5020</v>
      </c>
      <c r="C957" s="300"/>
      <c r="D957" s="300"/>
      <c r="E957" s="300"/>
      <c r="F957" s="187">
        <v>568.0</v>
      </c>
      <c r="G957" s="180" t="str">
        <f>IFERROR(__xludf.DUMMYFUNCTION("TRIM(REGEXREPLACE(C957, ""[0-9]+[a-f]?\."", """"))"),"")</f>
        <v/>
      </c>
      <c r="H957" s="180" t="str">
        <f>IFERROR(__xludf.DUMMYFUNCTION("TRIM(REGEXREPLACE(D957, ""[0-9]+[a-f]?\."", """"))"),"")</f>
        <v/>
      </c>
      <c r="I957" s="180" t="str">
        <f>IFERROR(__xludf.DUMMYFUNCTION("TRIM(REGEXREPLACE(E957, ""[0-9]+[a-f]?\."", """"))"),"")</f>
        <v/>
      </c>
      <c r="J957" s="180" t="s">
        <v>5027</v>
      </c>
      <c r="K957" s="180" t="s">
        <v>5028</v>
      </c>
      <c r="L957" s="180" t="s">
        <v>5029</v>
      </c>
    </row>
    <row r="958">
      <c r="A958" s="280" t="s">
        <v>1306</v>
      </c>
      <c r="B958" s="281" t="s">
        <v>5030</v>
      </c>
      <c r="C958" s="45" t="s">
        <v>5032</v>
      </c>
      <c r="D958" s="45" t="s">
        <v>5033</v>
      </c>
      <c r="E958" s="45" t="s">
        <v>5034</v>
      </c>
      <c r="F958" s="187">
        <v>303.0</v>
      </c>
      <c r="G958" s="180" t="str">
        <f>IFERROR(__xludf.DUMMYFUNCTION("TRIM(REGEXREPLACE(C958, ""[0-9]+[a-f]?\."", """"))"),"In your opinion, is a husband justified in hitting or beating his wife if:")</f>
        <v>In your opinion, is a husband justified in hitting or beating his wife if:</v>
      </c>
      <c r="H958" s="180" t="str">
        <f>IFERROR(__xludf.DUMMYFUNCTION("TRIM(REGEXREPLACE(D958, ""[0-9]+[a-f]?\."", """"))"),"A votre avis, est-il justifié pour un mari de frapper ou de battre sa femme si :")</f>
        <v>A votre avis, est-il justifié pour un mari de frapper ou de battre sa femme si :</v>
      </c>
      <c r="I958" s="180" t="str">
        <f>IFERROR(__xludf.DUMMYFUNCTION("TRIM(REGEXREPLACE(E958, ""[0-9]+[a-f]?\."", """"))"),"A ganinku, ko ya cancanta miji ya bugi matarshi ko ya bata kashi idan:")</f>
        <v>A ganinku, ko ya cancanta miji ya bugi matarshi ko ya bata kashi idan:</v>
      </c>
      <c r="J958" s="180" t="str">
        <f t="shared" ref="J958:L958" si="303">$F958 &amp; ". "&amp;G958</f>
        <v>303. In your opinion, is a husband justified in hitting or beating his wife if:</v>
      </c>
      <c r="K958" s="180" t="str">
        <f t="shared" si="303"/>
        <v>303. A votre avis, est-il justifié pour un mari de frapper ou de battre sa femme si :</v>
      </c>
      <c r="L958" s="180" t="str">
        <f t="shared" si="303"/>
        <v>303. A ganinku, ko ya cancanta miji ya bugi matarshi ko ya bata kashi idan:</v>
      </c>
    </row>
    <row r="959">
      <c r="A959" s="280" t="s">
        <v>1306</v>
      </c>
      <c r="B959" s="281" t="s">
        <v>5037</v>
      </c>
      <c r="C959" s="45" t="s">
        <v>5038</v>
      </c>
      <c r="D959" s="45" t="s">
        <v>5039</v>
      </c>
      <c r="E959" s="45" t="s">
        <v>5040</v>
      </c>
      <c r="F959" s="187">
        <v>304.0</v>
      </c>
      <c r="G959" s="180" t="str">
        <f>IFERROR(__xludf.DUMMYFUNCTION("TRIM(REGEXREPLACE(C959, ""[0-9]+[a-f]?\."", """"))"),"She neglects the children")</f>
        <v>She neglects the children</v>
      </c>
      <c r="H959" s="180" t="str">
        <f>IFERROR(__xludf.DUMMYFUNCTION("TRIM(REGEXREPLACE(D959, ""[0-9]+[a-f]?\."", """"))"),"Elle néglige les enfants")</f>
        <v>Elle néglige les enfants</v>
      </c>
      <c r="I959" s="180" t="str">
        <f>IFERROR(__xludf.DUMMYFUNCTION("TRIM(REGEXREPLACE(E959, ""[0-9]+[a-f]?\."", """"))"),"Ta yi sakaci da yara")</f>
        <v>Ta yi sakaci da yara</v>
      </c>
      <c r="J959" s="180" t="str">
        <f t="shared" ref="J959:L959" si="304">$F959 &amp; ". "&amp;G959</f>
        <v>304. She neglects the children</v>
      </c>
      <c r="K959" s="180" t="str">
        <f t="shared" si="304"/>
        <v>304. Elle néglige les enfants</v>
      </c>
      <c r="L959" s="180" t="str">
        <f t="shared" si="304"/>
        <v>304. Ta yi sakaci da yara</v>
      </c>
    </row>
    <row r="960">
      <c r="A960" s="280" t="s">
        <v>1306</v>
      </c>
      <c r="B960" s="281" t="s">
        <v>5047</v>
      </c>
      <c r="C960" s="45" t="s">
        <v>2703</v>
      </c>
      <c r="D960" s="45" t="s">
        <v>2704</v>
      </c>
      <c r="E960" s="45" t="s">
        <v>2705</v>
      </c>
      <c r="F960" s="187">
        <v>305.0</v>
      </c>
      <c r="G960" s="180" t="str">
        <f>IFERROR(__xludf.DUMMYFUNCTION("TRIM(REGEXREPLACE(C960, ""[0-9]+[a-f]?\."", """"))"),"She argues with him")</f>
        <v>She argues with him</v>
      </c>
      <c r="H960" s="180" t="str">
        <f>IFERROR(__xludf.DUMMYFUNCTION("TRIM(REGEXREPLACE(D960, ""[0-9]+[a-f]?\."", """"))"),"Elle se dispute avec lui")</f>
        <v>Elle se dispute avec lui</v>
      </c>
      <c r="I960" s="180" t="str">
        <f>IFERROR(__xludf.DUMMYFUNCTION("TRIM(REGEXREPLACE(E960, ""[0-9]+[a-f]?\."", """"))"),"Ta yi mishi gardama")</f>
        <v>Ta yi mishi gardama</v>
      </c>
      <c r="J960" s="180" t="str">
        <f t="shared" ref="J960:L960" si="305">$F960 &amp; ". "&amp;G960</f>
        <v>305. She argues with him</v>
      </c>
      <c r="K960" s="180" t="str">
        <f t="shared" si="305"/>
        <v>305. Elle se dispute avec lui</v>
      </c>
      <c r="L960" s="180" t="str">
        <f t="shared" si="305"/>
        <v>305. Ta yi mishi gardama</v>
      </c>
    </row>
    <row r="961">
      <c r="A961" s="280" t="s">
        <v>1306</v>
      </c>
      <c r="B961" s="281" t="s">
        <v>5051</v>
      </c>
      <c r="C961" s="45" t="s">
        <v>5053</v>
      </c>
      <c r="D961" s="45" t="s">
        <v>5054</v>
      </c>
      <c r="E961" s="45" t="s">
        <v>5055</v>
      </c>
      <c r="F961" s="187">
        <v>306.0</v>
      </c>
      <c r="G961" s="180" t="str">
        <f>IFERROR(__xludf.DUMMYFUNCTION("TRIM(REGEXREPLACE(C961, ""[0-9]+[a-f]?\."", """"))"),"She refuses to pray")</f>
        <v>She refuses to pray</v>
      </c>
      <c r="H961" s="180" t="str">
        <f>IFERROR(__xludf.DUMMYFUNCTION("TRIM(REGEXREPLACE(D961, ""[0-9]+[a-f]?\."", """"))"),"Elle refuse de prier")</f>
        <v>Elle refuse de prier</v>
      </c>
      <c r="I961" s="180" t="str">
        <f>IFERROR(__xludf.DUMMYFUNCTION("TRIM(REGEXREPLACE(E961, ""[0-9]+[a-f]?\."", """"))"),"Ta ƙi yin sallah")</f>
        <v>Ta ƙi yin sallah</v>
      </c>
      <c r="J961" s="180" t="str">
        <f t="shared" ref="J961:L961" si="306">$F961 &amp; ". "&amp;G961</f>
        <v>306. She refuses to pray</v>
      </c>
      <c r="K961" s="180" t="str">
        <f t="shared" si="306"/>
        <v>306. Elle refuse de prier</v>
      </c>
      <c r="L961" s="180" t="str">
        <f t="shared" si="306"/>
        <v>306. Ta ƙi yin sallah</v>
      </c>
    </row>
    <row r="962" hidden="1"/>
    <row r="963">
      <c r="A963" s="280" t="s">
        <v>1306</v>
      </c>
      <c r="B963" s="281" t="s">
        <v>5057</v>
      </c>
      <c r="C963" s="45" t="s">
        <v>5058</v>
      </c>
      <c r="D963" s="45" t="s">
        <v>5059</v>
      </c>
      <c r="E963" s="45" t="s">
        <v>5061</v>
      </c>
      <c r="F963" s="187">
        <v>307.0</v>
      </c>
      <c r="G963" s="180" t="str">
        <f>IFERROR(__xludf.DUMMYFUNCTION("TRIM(REGEXREPLACE(C963, ""[0-9]+[a-f]?\."", """"))"),"She burns the food")</f>
        <v>She burns the food</v>
      </c>
      <c r="H963" s="180" t="str">
        <f>IFERROR(__xludf.DUMMYFUNCTION("TRIM(REGEXREPLACE(D963, ""[0-9]+[a-f]?\."", """"))"),"Elle brûle la nourriture")</f>
        <v>Elle brûle la nourriture</v>
      </c>
      <c r="I963" s="180" t="str">
        <f>IFERROR(__xludf.DUMMYFUNCTION("TRIM(REGEXREPLACE(E963, ""[0-9]+[a-f]?\."", """"))"),"Ta ƙona abincin")</f>
        <v>Ta ƙona abincin</v>
      </c>
      <c r="J963" s="180" t="str">
        <f t="shared" ref="J963:L963" si="307">$F963 &amp; ". "&amp;G963</f>
        <v>307. She burns the food</v>
      </c>
      <c r="K963" s="180" t="str">
        <f t="shared" si="307"/>
        <v>307. Elle brûle la nourriture</v>
      </c>
      <c r="L963" s="180" t="str">
        <f t="shared" si="307"/>
        <v>307. Ta ƙona abincin</v>
      </c>
    </row>
    <row r="964" hidden="1"/>
    <row r="965" hidden="1">
      <c r="A965" s="298" t="s">
        <v>237</v>
      </c>
      <c r="B965" s="310" t="s">
        <v>5020</v>
      </c>
      <c r="C965" s="303"/>
      <c r="D965" s="303"/>
      <c r="E965" s="303"/>
      <c r="F965" s="187">
        <v>574.0</v>
      </c>
      <c r="G965" s="180" t="str">
        <f>IFERROR(__xludf.DUMMYFUNCTION("TRIM(REGEXREPLACE(C965, ""[0-9]+[a-f]?\."", """"))"),"")</f>
        <v/>
      </c>
      <c r="H965" s="180" t="str">
        <f>IFERROR(__xludf.DUMMYFUNCTION("TRIM(REGEXREPLACE(D965, ""[0-9]+[a-f]?\."", """"))"),"")</f>
        <v/>
      </c>
      <c r="I965" s="180" t="str">
        <f>IFERROR(__xludf.DUMMYFUNCTION("TRIM(REGEXREPLACE(E965, ""[0-9]+[a-f]?\."", """"))"),"")</f>
        <v/>
      </c>
      <c r="J965" s="180" t="s">
        <v>5063</v>
      </c>
      <c r="K965" s="180" t="s">
        <v>5064</v>
      </c>
      <c r="L965" s="180" t="s">
        <v>5065</v>
      </c>
    </row>
    <row r="966" hidden="1"/>
    <row r="967">
      <c r="A967" s="280" t="s">
        <v>5066</v>
      </c>
      <c r="B967" s="281" t="s">
        <v>5067</v>
      </c>
      <c r="C967" s="45" t="s">
        <v>5069</v>
      </c>
      <c r="D967" s="45" t="s">
        <v>5070</v>
      </c>
      <c r="E967" s="45" t="s">
        <v>5072</v>
      </c>
      <c r="F967" s="187">
        <v>308.0</v>
      </c>
      <c r="G967" s="180" t="str">
        <f>IFERROR(__xludf.DUMMYFUNCTION("TRIM(REGEXREPLACE(C967, ""[0-9]+[a-f]?\."", """"))"),"I've asked you a lot of questions about your life in the past period in order to better understand your experiences. Is there anything else that has happened recently to you that has changed your life in an important way?")</f>
        <v>I've asked you a lot of questions about your life in the past period in order to better understand your experiences. Is there anything else that has happened recently to you that has changed your life in an important way?</v>
      </c>
      <c r="H967" s="180" t="str">
        <f>IFERROR(__xludf.DUMMYFUNCTION("TRIM(REGEXREPLACE(D967, ""[0-9]+[a-f]?\."", """"))"),"Je vous ai posé beaucoup de questions sur votre vie au cours de la période écoulée afin de mieux comprendre vos expériences. Y a-t-il autre chose qui vous est arrivé récemment qui a changé votre vie de manière importante ?")</f>
        <v>Je vous ai posé beaucoup de questions sur votre vie au cours de la période écoulée afin de mieux comprendre vos expériences. Y a-t-il autre chose qui vous est arrivé récemment qui a changé votre vie de manière importante ?</v>
      </c>
      <c r="I967" s="180" t="str">
        <f>IFERROR(__xludf.DUMMYFUNCTION("TRIM(REGEXREPLACE(E967, ""[0-9]+[a-f]?\."", """"))"),"Na yi muku tambayoyi da yawa game da rayuwarku a cikin kwanakin da suka wuce don in gane yanda kuke tahiyar rayuwarku. Ko akwai wani abu da ya faru da ku cikin kwanan nan wanda ya kawo wani mahimmin canji ga rayuwarku ?")</f>
        <v>Na yi muku tambayoyi da yawa game da rayuwarku a cikin kwanakin da suka wuce don in gane yanda kuke tahiyar rayuwarku. Ko akwai wani abu da ya faru da ku cikin kwanan nan wanda ya kawo wani mahimmin canji ga rayuwarku ?</v>
      </c>
      <c r="J967" s="180" t="str">
        <f t="shared" ref="J967:L967" si="308">$F967 &amp; ". "&amp;G967</f>
        <v>308. I've asked you a lot of questions about your life in the past period in order to better understand your experiences. Is there anything else that has happened recently to you that has changed your life in an important way?</v>
      </c>
      <c r="K967" s="180" t="str">
        <f t="shared" si="308"/>
        <v>308. Je vous ai posé beaucoup de questions sur votre vie au cours de la période écoulée afin de mieux comprendre vos expériences. Y a-t-il autre chose qui vous est arrivé récemment qui a changé votre vie de manière importante ?</v>
      </c>
      <c r="L967" s="180" t="str">
        <f t="shared" si="308"/>
        <v>308. Na yi muku tambayoyi da yawa game da rayuwarku a cikin kwanakin da suka wuce don in gane yanda kuke tahiyar rayuwarku. Ko akwai wani abu da ya faru da ku cikin kwanan nan wanda ya kawo wani mahimmin canji ga rayuwarku ?</v>
      </c>
    </row>
    <row r="968">
      <c r="A968" s="282" t="s">
        <v>252</v>
      </c>
      <c r="B968" s="283" t="s">
        <v>5073</v>
      </c>
      <c r="C968" s="45" t="s">
        <v>5074</v>
      </c>
      <c r="D968" s="45" t="s">
        <v>5075</v>
      </c>
      <c r="E968" s="45" t="s">
        <v>5076</v>
      </c>
      <c r="F968" s="187">
        <v>309.0</v>
      </c>
      <c r="G968" s="180" t="str">
        <f>IFERROR(__xludf.DUMMYFUNCTION("TRIM(REGEXREPLACE(C968, ""[0-9]+[a-f]?\."", """"))"),"Enumerator: Briefly summarize the changes described by the respondent")</f>
        <v>Enumerator: Briefly summarize the changes described by the respondent</v>
      </c>
      <c r="H968" s="180" t="str">
        <f>IFERROR(__xludf.DUMMYFUNCTION("TRIM(REGEXREPLACE(D968, ""[0-9]+[a-f]?\."", """"))"),"Enquêteur : Résumez brièvement les changements décrits par le répondant")</f>
        <v>Enquêteur : Résumez brièvement les changements décrits par le répondant</v>
      </c>
      <c r="I968" s="180" t="str">
        <f>IFERROR(__xludf.DUMMYFUNCTION("TRIM(REGEXREPLACE(E968, ""[0-9]+[a-f]?\."", """"))"),"Ɗan bincike: A taƙaice rubuta canje-canjen da mai bada amsa ya gaya maka")</f>
        <v>Ɗan bincike: A taƙaice rubuta canje-canjen da mai bada amsa ya gaya maka</v>
      </c>
      <c r="J968" s="180" t="str">
        <f t="shared" ref="J968:L968" si="309">$F968 &amp; ". "&amp;G968</f>
        <v>309. Enumerator: Briefly summarize the changes described by the respondent</v>
      </c>
      <c r="K968" s="180" t="str">
        <f t="shared" si="309"/>
        <v>309. Enquêteur : Résumez brièvement les changements décrits par le répondant</v>
      </c>
      <c r="L968" s="180" t="str">
        <f t="shared" si="309"/>
        <v>309. Ɗan bincike: A taƙaice rubuta canje-canjen da mai bada amsa ya gaya maka</v>
      </c>
    </row>
    <row r="969" hidden="1"/>
    <row r="970" hidden="1"/>
    <row r="971" hidden="1">
      <c r="A971" s="298" t="s">
        <v>237</v>
      </c>
      <c r="B971" s="310" t="s">
        <v>3612</v>
      </c>
      <c r="C971" s="303"/>
      <c r="D971" s="303"/>
      <c r="E971" s="303"/>
      <c r="F971" s="187">
        <v>577.0</v>
      </c>
      <c r="G971" s="180" t="str">
        <f>IFERROR(__xludf.DUMMYFUNCTION("TRIM(REGEXREPLACE(C971, ""[0-9]+[a-f]?\."", """"))"),"")</f>
        <v/>
      </c>
      <c r="H971" s="180" t="str">
        <f>IFERROR(__xludf.DUMMYFUNCTION("TRIM(REGEXREPLACE(D971, ""[0-9]+[a-f]?\."", """"))"),"")</f>
        <v/>
      </c>
      <c r="I971" s="180" t="str">
        <f>IFERROR(__xludf.DUMMYFUNCTION("TRIM(REGEXREPLACE(E971, ""[0-9]+[a-f]?\."", """"))"),"")</f>
        <v/>
      </c>
      <c r="J971" s="180" t="s">
        <v>5079</v>
      </c>
      <c r="K971" s="180" t="s">
        <v>5080</v>
      </c>
      <c r="L971" s="180" t="s">
        <v>5081</v>
      </c>
    </row>
    <row r="972" hidden="1">
      <c r="A972" s="168" t="s">
        <v>127</v>
      </c>
      <c r="B972" s="71" t="s">
        <v>5082</v>
      </c>
      <c r="C972" s="200"/>
      <c r="D972" s="200"/>
      <c r="E972" s="200"/>
      <c r="F972" s="187">
        <v>578.0</v>
      </c>
      <c r="G972" s="180" t="str">
        <f>IFERROR(__xludf.DUMMYFUNCTION("TRIM(REGEXREPLACE(C972, ""[0-9]+[a-f]?\."", """"))"),"")</f>
        <v/>
      </c>
      <c r="H972" s="180" t="str">
        <f>IFERROR(__xludf.DUMMYFUNCTION("TRIM(REGEXREPLACE(D972, ""[0-9]+[a-f]?\."", """"))"),"")</f>
        <v/>
      </c>
      <c r="I972" s="180" t="str">
        <f>IFERROR(__xludf.DUMMYFUNCTION("TRIM(REGEXREPLACE(E972, ""[0-9]+[a-f]?\."", """"))"),"")</f>
        <v/>
      </c>
      <c r="J972" s="180" t="s">
        <v>5083</v>
      </c>
      <c r="K972" s="180" t="s">
        <v>5084</v>
      </c>
      <c r="L972" s="180" t="s">
        <v>5085</v>
      </c>
    </row>
    <row r="973" hidden="1">
      <c r="A973" s="168" t="s">
        <v>68</v>
      </c>
      <c r="B973" s="71" t="s">
        <v>5086</v>
      </c>
      <c r="C973" s="200"/>
      <c r="D973" s="200"/>
      <c r="E973" s="200"/>
      <c r="F973" s="187">
        <v>579.0</v>
      </c>
      <c r="G973" s="180" t="str">
        <f>IFERROR(__xludf.DUMMYFUNCTION("TRIM(REGEXREPLACE(C973, ""[0-9]+[a-f]?\."", """"))"),"")</f>
        <v/>
      </c>
      <c r="H973" s="180" t="str">
        <f>IFERROR(__xludf.DUMMYFUNCTION("TRIM(REGEXREPLACE(D973, ""[0-9]+[a-f]?\."", """"))"),"")</f>
        <v/>
      </c>
      <c r="I973" s="180" t="str">
        <f>IFERROR(__xludf.DUMMYFUNCTION("TRIM(REGEXREPLACE(E973, ""[0-9]+[a-f]?\."", """"))"),"")</f>
        <v/>
      </c>
      <c r="J973" s="180" t="s">
        <v>5089</v>
      </c>
      <c r="K973" s="180" t="s">
        <v>5090</v>
      </c>
      <c r="L973" s="180" t="s">
        <v>5091</v>
      </c>
    </row>
    <row r="974" hidden="1">
      <c r="A974" s="298" t="s">
        <v>133</v>
      </c>
      <c r="B974" s="299" t="s">
        <v>5092</v>
      </c>
      <c r="C974" s="300"/>
      <c r="D974" s="300"/>
      <c r="E974" s="300"/>
      <c r="F974" s="187">
        <v>580.0</v>
      </c>
      <c r="G974" s="180" t="str">
        <f>IFERROR(__xludf.DUMMYFUNCTION("TRIM(REGEXREPLACE(C974, ""[0-9]+[a-f]?\."", """"))"),"")</f>
        <v/>
      </c>
      <c r="H974" s="180" t="str">
        <f>IFERROR(__xludf.DUMMYFUNCTION("TRIM(REGEXREPLACE(D974, ""[0-9]+[a-f]?\."", """"))"),"")</f>
        <v/>
      </c>
      <c r="I974" s="180" t="str">
        <f>IFERROR(__xludf.DUMMYFUNCTION("TRIM(REGEXREPLACE(E974, ""[0-9]+[a-f]?\."", """"))"),"")</f>
        <v/>
      </c>
      <c r="J974" s="180" t="s">
        <v>5096</v>
      </c>
      <c r="K974" s="180" t="s">
        <v>5097</v>
      </c>
      <c r="L974" s="180" t="s">
        <v>5098</v>
      </c>
    </row>
    <row r="975">
      <c r="A975" s="280" t="s">
        <v>1306</v>
      </c>
      <c r="B975" s="281" t="s">
        <v>5099</v>
      </c>
      <c r="C975" s="45" t="s">
        <v>5100</v>
      </c>
      <c r="D975" s="45" t="s">
        <v>5101</v>
      </c>
      <c r="E975" s="45" t="s">
        <v>5102</v>
      </c>
      <c r="F975" s="187">
        <v>310.0</v>
      </c>
      <c r="G975" s="180" t="str">
        <f>IFERROR(__xludf.DUMMYFUNCTION("TRIM(REGEXREPLACE(C975, ""[0-9]+[a-f]?\."", """"))"),"Now I would like to ask you questions about some other important aspects of a woman's life. I know that some of these questions are very personal. Let me assure you that your answers are completely confidential and will not be told to anyone.
 In the pa"&amp;"st three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v>
      </c>
      <c r="H975" s="180" t="str">
        <f>IFERROR(__xludf.DUMMYFUNCTION("TRIM(REGEXREPLACE(D975, ""[0-9]+[a-f]?\."", """"))"),"Maintenant, j'aimerais vous poser des questions sur d'autres aspects importants de la vie d'une femme. Je sais que certaines de ces questions sont très personnelles. Permettez-moi de vous assurer que vos réponses sont entièrement confidentielles et ne ser"&amp;"ont divulguées à personne.
 Au cours des trois derniers mois, votre mari ou un autre membre de votre ménage vous a-t-il empêché de")</f>
        <v>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v>
      </c>
      <c r="I975" s="180" t="str">
        <f>IFERROR(__xludf.DUMMYFUNCTION("TRIM(REGEXREPLACE(E975, ""[0-9]+[a-f]?\."", """"))"),"Yanzu zan ina son yi muku tambayoyi game da wasu muhimman al'amura na rayuwar mace. Na san cewa wasu daga cikin waɗannan tambayoyin na sirri ne. Bari in tabbatar muku cewa amsoshin ku na sirri ne gaba ɗaya kuma ba za a faɗa wa kowa ba.
 A cikin wata uku"&amp;" da suka wuce mijinku ko wani ɗan gidanku ya hana ku")</f>
        <v>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v>
      </c>
      <c r="J975" s="180" t="str">
        <f t="shared" ref="J975:L975" si="310">$F975 &amp; ". "&amp;G975</f>
        <v>310.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v>
      </c>
      <c r="K975" s="180" t="str">
        <f t="shared" si="310"/>
        <v>310.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v>
      </c>
      <c r="L975" s="180" t="str">
        <f t="shared" si="310"/>
        <v>310.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v>
      </c>
    </row>
    <row r="976">
      <c r="A976" s="280" t="s">
        <v>1306</v>
      </c>
      <c r="B976" s="281" t="s">
        <v>5105</v>
      </c>
      <c r="C976" s="45" t="s">
        <v>2745</v>
      </c>
      <c r="D976" s="45" t="s">
        <v>2746</v>
      </c>
      <c r="E976" s="45" t="s">
        <v>2747</v>
      </c>
      <c r="F976" s="187">
        <v>311.0</v>
      </c>
      <c r="G976" s="180" t="str">
        <f>IFERROR(__xludf.DUMMYFUNCTION("TRIM(REGEXREPLACE(C976, ""[0-9]+[a-f]?\."", """"))"),"visiting your family or friends?")</f>
        <v>visiting your family or friends?</v>
      </c>
      <c r="H976" s="180" t="str">
        <f>IFERROR(__xludf.DUMMYFUNCTION("TRIM(REGEXREPLACE(D976, ""[0-9]+[a-f]?\."", """"))"),"rendre visite à votre famille ou à vos amis ?")</f>
        <v>rendre visite à votre famille ou à vos amis ?</v>
      </c>
      <c r="I976" s="180" t="str">
        <f>IFERROR(__xludf.DUMMYFUNCTION("TRIM(REGEXREPLACE(E976, ""[0-9]+[a-f]?\."", """"))"),"ziyartar danginku ko abokananku?")</f>
        <v>ziyartar danginku ko abokananku?</v>
      </c>
      <c r="J976" s="180" t="str">
        <f t="shared" ref="J976:L976" si="311">$F976 &amp; ". "&amp;G976</f>
        <v>311. visiting your family or friends?</v>
      </c>
      <c r="K976" s="180" t="str">
        <f t="shared" si="311"/>
        <v>311. rendre visite à votre famille ou à vos amis ?</v>
      </c>
      <c r="L976" s="180" t="str">
        <f t="shared" si="311"/>
        <v>311. ziyartar danginku ko abokananku?</v>
      </c>
    </row>
    <row r="977">
      <c r="A977" s="280" t="s">
        <v>1306</v>
      </c>
      <c r="B977" s="281" t="s">
        <v>5106</v>
      </c>
      <c r="C977" s="45" t="s">
        <v>5107</v>
      </c>
      <c r="D977" s="45" t="s">
        <v>5108</v>
      </c>
      <c r="E977" s="45" t="s">
        <v>5109</v>
      </c>
      <c r="F977" s="187">
        <v>312.0</v>
      </c>
      <c r="G977" s="180" t="str">
        <f>IFERROR(__xludf.DUMMYFUNCTION("TRIM(REGEXREPLACE(C977, ""[0-9]+[a-f]?\."", """"))"),"working outside the household?")</f>
        <v>working outside the household?</v>
      </c>
      <c r="H977" s="180" t="str">
        <f>IFERROR(__xludf.DUMMYFUNCTION("TRIM(REGEXREPLACE(D977, ""[0-9]+[a-f]?\."", """"))"),"travailler en dehors du ménage ?")</f>
        <v>travailler en dehors du ménage ?</v>
      </c>
      <c r="I977" s="180" t="str">
        <f>IFERROR(__xludf.DUMMYFUNCTION("TRIM(REGEXREPLACE(E977, ""[0-9]+[a-f]?\."", """"))"),"aiki a wajen gidanku?")</f>
        <v>aiki a wajen gidanku?</v>
      </c>
      <c r="J977" s="180" t="str">
        <f t="shared" ref="J977:L977" si="312">$F977 &amp; ". "&amp;G977</f>
        <v>312. working outside the household?</v>
      </c>
      <c r="K977" s="180" t="str">
        <f t="shared" si="312"/>
        <v>312. travailler en dehors du ménage ?</v>
      </c>
      <c r="L977" s="180" t="str">
        <f t="shared" si="312"/>
        <v>312. aiki a wajen gidanku?</v>
      </c>
    </row>
    <row r="978" hidden="1"/>
    <row r="979" hidden="1">
      <c r="A979" s="298" t="s">
        <v>237</v>
      </c>
      <c r="B979" s="310" t="s">
        <v>5092</v>
      </c>
      <c r="C979" s="303"/>
      <c r="D979" s="303"/>
      <c r="E979" s="303"/>
      <c r="F979" s="187">
        <v>584.0</v>
      </c>
      <c r="G979" s="180" t="str">
        <f>IFERROR(__xludf.DUMMYFUNCTION("TRIM(REGEXREPLACE(C979, ""[0-9]+[a-f]?\."", """"))"),"")</f>
        <v/>
      </c>
      <c r="H979" s="180" t="str">
        <f>IFERROR(__xludf.DUMMYFUNCTION("TRIM(REGEXREPLACE(D979, ""[0-9]+[a-f]?\."", """"))"),"")</f>
        <v/>
      </c>
      <c r="I979" s="180" t="str">
        <f>IFERROR(__xludf.DUMMYFUNCTION("TRIM(REGEXREPLACE(E979, ""[0-9]+[a-f]?\."", """"))"),"")</f>
        <v/>
      </c>
      <c r="J979" s="180" t="s">
        <v>5116</v>
      </c>
      <c r="K979" s="180" t="s">
        <v>5117</v>
      </c>
      <c r="L979" s="180" t="s">
        <v>5118</v>
      </c>
    </row>
    <row r="980" hidden="1">
      <c r="A980" s="302"/>
      <c r="B980" s="300"/>
      <c r="C980" s="300"/>
      <c r="D980" s="303"/>
      <c r="E980" s="303"/>
      <c r="F980" s="187">
        <v>585.0</v>
      </c>
      <c r="G980" s="180" t="str">
        <f>IFERROR(__xludf.DUMMYFUNCTION("TRIM(REGEXREPLACE(C980, ""[0-9]+[a-f]?\."", """"))"),"")</f>
        <v/>
      </c>
      <c r="H980" s="180" t="str">
        <f>IFERROR(__xludf.DUMMYFUNCTION("TRIM(REGEXREPLACE(D980, ""[0-9]+[a-f]?\."", """"))"),"")</f>
        <v/>
      </c>
      <c r="I980" s="180" t="str">
        <f>IFERROR(__xludf.DUMMYFUNCTION("TRIM(REGEXREPLACE(E980, ""[0-9]+[a-f]?\."", """"))"),"")</f>
        <v/>
      </c>
      <c r="J980" s="180" t="s">
        <v>5120</v>
      </c>
      <c r="K980" s="180" t="s">
        <v>5122</v>
      </c>
      <c r="L980" s="180" t="s">
        <v>5124</v>
      </c>
    </row>
    <row r="981" hidden="1"/>
    <row r="982" hidden="1"/>
    <row r="983" hidden="1">
      <c r="A983" s="320"/>
      <c r="B983" s="321"/>
      <c r="C983" s="321"/>
      <c r="D983" s="321"/>
      <c r="E983" s="321"/>
      <c r="F983" s="187">
        <v>586.0</v>
      </c>
      <c r="G983" s="180" t="str">
        <f>IFERROR(__xludf.DUMMYFUNCTION("TRIM(REGEXREPLACE(C983, ""[0-9]+[a-f]?\."", """"))"),"")</f>
        <v/>
      </c>
      <c r="H983" s="180" t="str">
        <f>IFERROR(__xludf.DUMMYFUNCTION("TRIM(REGEXREPLACE(D983, ""[0-9]+[a-f]?\."", """"))"),"")</f>
        <v/>
      </c>
      <c r="I983" s="180" t="str">
        <f>IFERROR(__xludf.DUMMYFUNCTION("TRIM(REGEXREPLACE(E983, ""[0-9]+[a-f]?\."", """"))"),"")</f>
        <v/>
      </c>
      <c r="J983" s="180" t="s">
        <v>5125</v>
      </c>
      <c r="K983" s="180" t="s">
        <v>5126</v>
      </c>
      <c r="L983" s="180" t="s">
        <v>5127</v>
      </c>
    </row>
    <row r="984" hidden="1">
      <c r="A984" s="298" t="s">
        <v>133</v>
      </c>
      <c r="B984" s="299" t="s">
        <v>5128</v>
      </c>
      <c r="C984" s="300"/>
      <c r="D984" s="300"/>
      <c r="E984" s="300"/>
      <c r="F984" s="187">
        <v>587.0</v>
      </c>
      <c r="G984" s="180" t="str">
        <f>IFERROR(__xludf.DUMMYFUNCTION("TRIM(REGEXREPLACE(C984, ""[0-9]+[a-f]?\."", """"))"),"")</f>
        <v/>
      </c>
      <c r="H984" s="180" t="str">
        <f>IFERROR(__xludf.DUMMYFUNCTION("TRIM(REGEXREPLACE(D984, ""[0-9]+[a-f]?\."", """"))"),"")</f>
        <v/>
      </c>
      <c r="I984" s="180" t="str">
        <f>IFERROR(__xludf.DUMMYFUNCTION("TRIM(REGEXREPLACE(E984, ""[0-9]+[a-f]?\."", """"))"),"")</f>
        <v/>
      </c>
      <c r="J984" s="180" t="s">
        <v>5129</v>
      </c>
      <c r="K984" s="180" t="s">
        <v>5130</v>
      </c>
      <c r="L984" s="180" t="s">
        <v>5132</v>
      </c>
    </row>
    <row r="985" hidden="1">
      <c r="A985" s="298" t="s">
        <v>133</v>
      </c>
      <c r="B985" s="299" t="s">
        <v>5135</v>
      </c>
      <c r="C985" s="300"/>
      <c r="D985" s="300"/>
      <c r="E985" s="300"/>
      <c r="F985" s="187">
        <v>588.0</v>
      </c>
      <c r="G985" s="180" t="str">
        <f>IFERROR(__xludf.DUMMYFUNCTION("TRIM(REGEXREPLACE(C985, ""[0-9]+[a-f]?\."", """"))"),"")</f>
        <v/>
      </c>
      <c r="H985" s="180" t="str">
        <f>IFERROR(__xludf.DUMMYFUNCTION("TRIM(REGEXREPLACE(D985, ""[0-9]+[a-f]?\."", """"))"),"")</f>
        <v/>
      </c>
      <c r="I985" s="180" t="str">
        <f>IFERROR(__xludf.DUMMYFUNCTION("TRIM(REGEXREPLACE(E985, ""[0-9]+[a-f]?\."", """"))"),"")</f>
        <v/>
      </c>
      <c r="J985" s="180" t="s">
        <v>5136</v>
      </c>
      <c r="K985" s="180" t="s">
        <v>5137</v>
      </c>
      <c r="L985" s="180" t="s">
        <v>5138</v>
      </c>
    </row>
    <row r="986">
      <c r="A986" s="278" t="s">
        <v>38</v>
      </c>
      <c r="B986" s="279" t="s">
        <v>5139</v>
      </c>
      <c r="C986" s="45" t="s">
        <v>5140</v>
      </c>
      <c r="D986" s="45" t="s">
        <v>5142</v>
      </c>
      <c r="E986" s="45" t="s">
        <v>5143</v>
      </c>
      <c r="F986" s="187">
        <v>313.0</v>
      </c>
      <c r="G986" s="180" t="str">
        <f>IFERROR(__xludf.DUMMYFUNCTION("TRIM(REGEXREPLACE(C986, ""[0-9]+[a-f]?\."", """"))"),"The next set of questions are for married women only")</f>
        <v>The next set of questions are for married women only</v>
      </c>
      <c r="H986" s="180" t="str">
        <f>IFERROR(__xludf.DUMMYFUNCTION("TRIM(REGEXREPLACE(D986, ""[0-9]+[a-f]?\."", """"))"),"La série de questions suivante s'adresse uniquement aux femmes mariées.")</f>
        <v>La série de questions suivante s'adresse uniquement aux femmes mariées.</v>
      </c>
      <c r="I986" s="180" t="str">
        <f>IFERROR(__xludf.DUMMYFUNCTION("TRIM(REGEXREPLACE(E986, ""[0-9]+[a-f]?\."", """"))"),"Tambayoyi na gaba na matan aure ne kawai")</f>
        <v>Tambayoyi na gaba na matan aure ne kawai</v>
      </c>
      <c r="J986" s="180" t="str">
        <f t="shared" ref="J986:L986" si="313">$F986 &amp; ". "&amp;G986</f>
        <v>313. The next set of questions are for married women only</v>
      </c>
      <c r="K986" s="180" t="str">
        <f t="shared" si="313"/>
        <v>313. La série de questions suivante s'adresse uniquement aux femmes mariées.</v>
      </c>
      <c r="L986" s="180" t="str">
        <f t="shared" si="313"/>
        <v>313. Tambayoyi na gaba na matan aure ne kawai</v>
      </c>
    </row>
    <row r="987">
      <c r="A987" s="280" t="s">
        <v>1988</v>
      </c>
      <c r="B987" s="281" t="s">
        <v>5144</v>
      </c>
      <c r="C987" s="45" t="s">
        <v>2775</v>
      </c>
      <c r="D987" s="45" t="s">
        <v>2776</v>
      </c>
      <c r="E987" s="45" t="s">
        <v>2778</v>
      </c>
      <c r="F987" s="187">
        <v>314.0</v>
      </c>
      <c r="G987" s="180" t="str">
        <f>IFERROR(__xludf.DUMMYFUNCTION("TRIM(REGEXREPLACE(C987,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987" s="180" t="str">
        <f>IFERROR(__xludf.DUMMYFUNCTION("TRIM(REGEXREPLACE(D987,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987" s="180" t="str">
        <f>IFERROR(__xludf.DUMMYFUNCTION("TRIM(REGEXREPLACE(E987,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987" s="180" t="str">
        <f t="shared" ref="J987:L987" si="314">$F987 &amp; ". "&amp;G987</f>
        <v>314. When two people marry or live together, they share both good and bad moments. In your relationship with your husband/partner do the following happen frequently, only sometimes, or never?</v>
      </c>
      <c r="K987" s="180" t="str">
        <f t="shared" si="314"/>
        <v>314. Lorsque deux personnes se marient ou vivent ensemble, elles partagent de bons et de mauvais moments. Dans votre relation avec votre mari/partenaire, les situations suivantes se produisent-elles a quelle frequence?</v>
      </c>
      <c r="L987" s="180" t="str">
        <f t="shared" si="314"/>
        <v>314. Idan mutum biyu suka yi aure ko suna zaune tare, suna raba lokutta masu daɗi da marasa daɗi. A cikin zamantakewarku da mijinki/abokin zaman, ko waɗannan abubuwan suna faruwa kai-aka?</v>
      </c>
    </row>
    <row r="988">
      <c r="A988" s="280" t="s">
        <v>1988</v>
      </c>
      <c r="B988" s="281" t="s">
        <v>5145</v>
      </c>
      <c r="C988" s="45" t="s">
        <v>2781</v>
      </c>
      <c r="D988" s="45" t="s">
        <v>2782</v>
      </c>
      <c r="E988" s="45" t="s">
        <v>2783</v>
      </c>
      <c r="F988" s="187">
        <v>315.0</v>
      </c>
      <c r="G988" s="180" t="str">
        <f>IFERROR(__xludf.DUMMYFUNCTION("TRIM(REGEXREPLACE(C988, ""[0-9]+[a-f]?\."", """"))"),"He is affectionnate with you")</f>
        <v>He is affectionnate with you</v>
      </c>
      <c r="H988" s="180" t="str">
        <f>IFERROR(__xludf.DUMMYFUNCTION("TRIM(REGEXREPLACE(D988, ""[0-9]+[a-f]?\."", """"))"),"Il est affectueux avec vous")</f>
        <v>Il est affectueux avec vous</v>
      </c>
      <c r="I988" s="180" t="str">
        <f>IFERROR(__xludf.DUMMYFUNCTION("TRIM(REGEXREPLACE(E988, ""[0-9]+[a-f]?\."", """"))"),"Yana nuna muku soyayya")</f>
        <v>Yana nuna muku soyayya</v>
      </c>
      <c r="J988" s="180" t="str">
        <f t="shared" ref="J988:L988" si="315">$F988 &amp; ". "&amp;G988</f>
        <v>315. He is affectionnate with you</v>
      </c>
      <c r="K988" s="180" t="str">
        <f t="shared" si="315"/>
        <v>315. Il est affectueux avec vous</v>
      </c>
      <c r="L988" s="180" t="str">
        <f t="shared" si="315"/>
        <v>315. Yana nuna muku soyayya</v>
      </c>
    </row>
    <row r="989" hidden="1"/>
    <row r="990" hidden="1"/>
    <row r="991" hidden="1"/>
    <row r="992">
      <c r="A992" s="280" t="s">
        <v>1988</v>
      </c>
      <c r="B992" s="281" t="s">
        <v>5150</v>
      </c>
      <c r="C992" s="45" t="s">
        <v>5151</v>
      </c>
      <c r="D992" s="45" t="s">
        <v>5152</v>
      </c>
      <c r="E992" s="45" t="s">
        <v>5153</v>
      </c>
      <c r="F992" s="187">
        <v>316.0</v>
      </c>
      <c r="G992" s="180" t="str">
        <f>IFERROR(__xludf.DUMMYFUNCTION("TRIM(REGEXREPLACE(C992, ""[0-9]+[a-f]?\."", """"))"),"He respects you and your wishes")</f>
        <v>He respects you and your wishes</v>
      </c>
      <c r="H992" s="180" t="str">
        <f>IFERROR(__xludf.DUMMYFUNCTION("TRIM(REGEXREPLACE(D992, ""[0-9]+[a-f]?\."", """"))"),"Il vous respecte et respecte vos souhaits")</f>
        <v>Il vous respecte et respecte vos souhaits</v>
      </c>
      <c r="I992" s="180" t="str">
        <f>IFERROR(__xludf.DUMMYFUNCTION("TRIM(REGEXREPLACE(E992, ""[0-9]+[a-f]?\."", """"))"),"Yana girmama ku kuma ya na girmama buƙatuntu")</f>
        <v>Yana girmama ku kuma ya na girmama buƙatuntu</v>
      </c>
      <c r="J992" s="180" t="str">
        <f t="shared" ref="J992:L992" si="316">$F992 &amp; ". "&amp;G992</f>
        <v>316. He respects you and your wishes</v>
      </c>
      <c r="K992" s="180" t="str">
        <f t="shared" si="316"/>
        <v>316. Il vous respecte et respecte vos souhaits</v>
      </c>
      <c r="L992" s="180" t="str">
        <f t="shared" si="316"/>
        <v>316. Yana girmama ku kuma ya na girmama buƙatuntu</v>
      </c>
    </row>
    <row r="993" hidden="1">
      <c r="A993" s="298" t="s">
        <v>237</v>
      </c>
      <c r="B993" s="310" t="s">
        <v>5135</v>
      </c>
      <c r="C993" s="303"/>
      <c r="D993" s="303"/>
      <c r="E993" s="303"/>
      <c r="F993" s="187">
        <v>593.0</v>
      </c>
      <c r="G993" s="180" t="str">
        <f>IFERROR(__xludf.DUMMYFUNCTION("TRIM(REGEXREPLACE(C993, ""[0-9]+[a-f]?\."", """"))"),"")</f>
        <v/>
      </c>
      <c r="H993" s="180" t="str">
        <f>IFERROR(__xludf.DUMMYFUNCTION("TRIM(REGEXREPLACE(D993, ""[0-9]+[a-f]?\."", """"))"),"")</f>
        <v/>
      </c>
      <c r="I993" s="180" t="str">
        <f>IFERROR(__xludf.DUMMYFUNCTION("TRIM(REGEXREPLACE(E993, ""[0-9]+[a-f]?\."", """"))"),"")</f>
        <v/>
      </c>
      <c r="J993" s="180" t="s">
        <v>5158</v>
      </c>
      <c r="K993" s="180" t="s">
        <v>5159</v>
      </c>
      <c r="L993" s="180" t="s">
        <v>5160</v>
      </c>
    </row>
    <row r="994" hidden="1">
      <c r="A994" s="298" t="s">
        <v>133</v>
      </c>
      <c r="B994" s="299" t="s">
        <v>5161</v>
      </c>
      <c r="C994" s="300"/>
      <c r="D994" s="300"/>
      <c r="E994" s="300"/>
      <c r="F994" s="187">
        <v>594.0</v>
      </c>
      <c r="G994" s="180" t="str">
        <f>IFERROR(__xludf.DUMMYFUNCTION("TRIM(REGEXREPLACE(C994, ""[0-9]+[a-f]?\."", """"))"),"")</f>
        <v/>
      </c>
      <c r="H994" s="180" t="str">
        <f>IFERROR(__xludf.DUMMYFUNCTION("TRIM(REGEXREPLACE(D994, ""[0-9]+[a-f]?\."", """"))"),"")</f>
        <v/>
      </c>
      <c r="I994" s="180" t="str">
        <f>IFERROR(__xludf.DUMMYFUNCTION("TRIM(REGEXREPLACE(E994, ""[0-9]+[a-f]?\."", """"))"),"")</f>
        <v/>
      </c>
      <c r="J994" s="180" t="s">
        <v>5162</v>
      </c>
      <c r="K994" s="180" t="s">
        <v>5163</v>
      </c>
      <c r="L994" s="180" t="s">
        <v>5164</v>
      </c>
    </row>
    <row r="995">
      <c r="A995" s="280" t="s">
        <v>2509</v>
      </c>
      <c r="B995" s="281" t="s">
        <v>5165</v>
      </c>
      <c r="C995" s="45" t="s">
        <v>5166</v>
      </c>
      <c r="D995" s="45" t="s">
        <v>5167</v>
      </c>
      <c r="E995" s="45" t="s">
        <v>5168</v>
      </c>
      <c r="F995" s="187">
        <v>317.0</v>
      </c>
      <c r="G995" s="180" t="str">
        <f>IFERROR(__xludf.DUMMYFUNCTION("TRIM(REGEXREPLACE(C995,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995" s="180" t="str">
        <f>IFERROR(__xludf.DUMMYFUNCTION("TRIM(REGEXREPLACE(D995,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995" s="180" t="str">
        <f>IFERROR(__xludf.DUMMYFUNCTION("TRIM(REGEXREPLACE(E995,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995" s="180" t="str">
        <f t="shared" ref="J995:L995" si="317">$F995 &amp; ". "&amp;G995</f>
        <v>317. Now I am going to ask you about some situations which happen to some women. Please tell me if these apply to your relationship with your husband?</v>
      </c>
      <c r="K995" s="180" t="str">
        <f t="shared" si="317"/>
        <v>317. Maintenant, je vais vous poser des questions sur certaines situations qui arrivent à certaines femmes. Veuillez me dire si cela s'applique à votre relation avec votre mari ?</v>
      </c>
      <c r="L995" s="180" t="str">
        <f t="shared" si="317"/>
        <v>317. To, yanzu zan tambaye ku game da wasu al’amura da suke faruwa ga wasu mata. Ko kun gaya mini idan waɗannan sun shafi zamantakewarku da mijinku?</v>
      </c>
    </row>
    <row r="996">
      <c r="A996" s="280" t="s">
        <v>2509</v>
      </c>
      <c r="B996" s="281" t="s">
        <v>5174</v>
      </c>
      <c r="C996" s="45" t="s">
        <v>2805</v>
      </c>
      <c r="D996" s="45" t="s">
        <v>2806</v>
      </c>
      <c r="E996" s="45" t="s">
        <v>2808</v>
      </c>
      <c r="F996" s="187">
        <v>318.0</v>
      </c>
      <c r="G996" s="180" t="str">
        <f>IFERROR(__xludf.DUMMYFUNCTION("TRIM(REGEXREPLACE(C996, ""[0-9]+[a-f]?\."", """"))"),"He does not trust your fidelty")</f>
        <v>He does not trust your fidelty</v>
      </c>
      <c r="H996" s="180" t="str">
        <f>IFERROR(__xludf.DUMMYFUNCTION("TRIM(REGEXREPLACE(D996, ""[0-9]+[a-f]?\."", """"))"),"Il est jaloux et vous montre qu'il n’a pas confiance en vous ?")</f>
        <v>Il est jaloux et vous montre qu'il n’a pas confiance en vous ?</v>
      </c>
      <c r="I996" s="180" t="str">
        <f>IFERROR(__xludf.DUMMYFUNCTION("TRIM(REGEXREPLACE(E996, ""[0-9]+[a-f]?\."", """"))"),"Yana zargin ku kullum da nuna rashin yarda?")</f>
        <v>Yana zargin ku kullum da nuna rashin yarda?</v>
      </c>
      <c r="J996" s="180" t="str">
        <f t="shared" ref="J996:L996" si="318">$F996 &amp; ". "&amp;G996</f>
        <v>318. He does not trust your fidelty</v>
      </c>
      <c r="K996" s="180" t="str">
        <f t="shared" si="318"/>
        <v>318. Il est jaloux et vous montre qu'il n’a pas confiance en vous ?</v>
      </c>
      <c r="L996" s="180" t="str">
        <f t="shared" si="318"/>
        <v>318. Yana zargin ku kullum da nuna rashin yarda?</v>
      </c>
    </row>
    <row r="997" hidden="1"/>
    <row r="998" hidden="1"/>
    <row r="999" hidden="1"/>
    <row r="1000" hidden="1"/>
    <row r="1001">
      <c r="A1001" s="280" t="s">
        <v>2509</v>
      </c>
      <c r="B1001" s="281" t="s">
        <v>5176</v>
      </c>
      <c r="C1001" s="45" t="s">
        <v>2810</v>
      </c>
      <c r="D1001" s="45" t="s">
        <v>2811</v>
      </c>
      <c r="E1001" s="45" t="s">
        <v>2812</v>
      </c>
      <c r="F1001" s="187">
        <v>319.0</v>
      </c>
      <c r="G1001" s="180" t="str">
        <f>IFERROR(__xludf.DUMMYFUNCTION("TRIM(REGEXREPLACE(C1001, ""[0-9]+[a-f]?\."", """"))"),"He (does/did) not permit you to meet your girl friends?")</f>
        <v>He (does/did) not permit you to meet your girl friends?</v>
      </c>
      <c r="H1001" s="180" t="str">
        <f>IFERROR(__xludf.DUMMYFUNCTION("TRIM(REGEXREPLACE(D1001, ""[0-9]+[a-f]?\."", """"))"),"Il ne vous a pas permis de rencontrer vos copines ?")</f>
        <v>Il ne vous a pas permis de rencontrer vos copines ?</v>
      </c>
      <c r="I1001" s="180" t="str">
        <f>IFERROR(__xludf.DUMMYFUNCTION("TRIM(REGEXREPLACE(E1001, ""[0-9]+[a-f]?\."", """"))"),"Bai baku izinin ganin ƙawayenku ba?")</f>
        <v>Bai baku izinin ganin ƙawayenku ba?</v>
      </c>
      <c r="J1001" s="180" t="str">
        <f t="shared" ref="J1001:L1001" si="319">$F1001 &amp; ". "&amp;G1001</f>
        <v>319. He (does/did) not permit you to meet your girl friends?</v>
      </c>
      <c r="K1001" s="180" t="str">
        <f t="shared" si="319"/>
        <v>319. Il ne vous a pas permis de rencontrer vos copines ?</v>
      </c>
      <c r="L1001" s="180" t="str">
        <f t="shared" si="319"/>
        <v>319. Bai baku izinin ganin ƙawayenku ba?</v>
      </c>
    </row>
    <row r="1002" hidden="1">
      <c r="C1002" s="277"/>
    </row>
    <row r="1003" hidden="1">
      <c r="C1003" s="277"/>
    </row>
    <row r="1004" hidden="1">
      <c r="C1004" s="277"/>
    </row>
    <row r="1005" hidden="1">
      <c r="C1005" s="277"/>
    </row>
    <row r="1006" hidden="1">
      <c r="C1006" s="277"/>
    </row>
    <row r="1007" hidden="1">
      <c r="C1007" s="277"/>
    </row>
    <row r="1008" hidden="1">
      <c r="C1008" s="277"/>
    </row>
    <row r="1009" hidden="1">
      <c r="C1009" s="277"/>
    </row>
    <row r="1010" hidden="1">
      <c r="C1010" s="277"/>
    </row>
    <row r="1011" hidden="1">
      <c r="C1011" s="277"/>
    </row>
    <row r="1012" hidden="1">
      <c r="C1012" s="277"/>
    </row>
    <row r="1013" hidden="1">
      <c r="C1013" s="277"/>
    </row>
    <row r="1014" hidden="1">
      <c r="C1014" s="277"/>
    </row>
    <row r="1015" hidden="1">
      <c r="C1015" s="277"/>
    </row>
    <row r="1016" hidden="1">
      <c r="C1016" s="277"/>
    </row>
    <row r="1017" hidden="1">
      <c r="C1017" s="277"/>
    </row>
    <row r="1018" hidden="1">
      <c r="C1018" s="277"/>
    </row>
    <row r="1019" hidden="1">
      <c r="C1019" s="277"/>
    </row>
    <row r="1020" hidden="1">
      <c r="C1020" s="277"/>
    </row>
    <row r="1021" hidden="1">
      <c r="C1021" s="277"/>
    </row>
    <row r="1022" hidden="1">
      <c r="C1022" s="277"/>
    </row>
    <row r="1023" hidden="1">
      <c r="C1023" s="277"/>
    </row>
    <row r="1024" hidden="1">
      <c r="C1024" s="277"/>
    </row>
    <row r="1025" hidden="1">
      <c r="C1025" s="277"/>
    </row>
    <row r="1026" hidden="1">
      <c r="C1026" s="277"/>
    </row>
    <row r="1027" hidden="1">
      <c r="C1027" s="277"/>
    </row>
    <row r="1028" hidden="1">
      <c r="C1028" s="277"/>
    </row>
    <row r="1029" hidden="1">
      <c r="C1029" s="277"/>
    </row>
    <row r="1030" hidden="1">
      <c r="C1030" s="277"/>
    </row>
    <row r="1031" hidden="1">
      <c r="C1031" s="277"/>
    </row>
    <row r="1032" hidden="1">
      <c r="C1032" s="277"/>
    </row>
    <row r="1033" hidden="1">
      <c r="C1033" s="277"/>
    </row>
    <row r="1034" hidden="1">
      <c r="C1034" s="277"/>
    </row>
    <row r="1035" hidden="1">
      <c r="C1035" s="277"/>
    </row>
    <row r="1036" hidden="1">
      <c r="C1036" s="277"/>
    </row>
    <row r="1037" hidden="1">
      <c r="C1037" s="277"/>
    </row>
    <row r="1038" hidden="1">
      <c r="C1038" s="277"/>
    </row>
    <row r="1039" hidden="1">
      <c r="C1039" s="277"/>
    </row>
    <row r="1040" hidden="1">
      <c r="C1040" s="277"/>
    </row>
    <row r="1041" hidden="1">
      <c r="C1041" s="277"/>
    </row>
    <row r="1042" hidden="1">
      <c r="C1042" s="277"/>
    </row>
    <row r="1043" hidden="1">
      <c r="C1043" s="277"/>
    </row>
    <row r="1044" hidden="1">
      <c r="C1044" s="277"/>
    </row>
    <row r="1045" hidden="1">
      <c r="C1045" s="277"/>
    </row>
    <row r="1046" hidden="1">
      <c r="C1046" s="277"/>
    </row>
    <row r="1047" hidden="1">
      <c r="C1047" s="277"/>
    </row>
    <row r="1048" hidden="1">
      <c r="C1048" s="277"/>
    </row>
    <row r="1049" hidden="1">
      <c r="C1049" s="277"/>
    </row>
    <row r="1050" hidden="1">
      <c r="C1050" s="277"/>
    </row>
    <row r="1051" hidden="1">
      <c r="C1051" s="277"/>
    </row>
    <row r="1052" hidden="1">
      <c r="C1052" s="277"/>
    </row>
    <row r="1053" hidden="1">
      <c r="C1053" s="277"/>
    </row>
    <row r="1054" hidden="1">
      <c r="C1054" s="277"/>
    </row>
    <row r="1055" hidden="1">
      <c r="C1055" s="277"/>
    </row>
    <row r="1056" hidden="1">
      <c r="C1056" s="277"/>
    </row>
    <row r="1057" hidden="1">
      <c r="C1057" s="277"/>
    </row>
    <row r="1058" hidden="1">
      <c r="C1058" s="277"/>
    </row>
    <row r="1059" hidden="1">
      <c r="C1059" s="277"/>
    </row>
    <row r="1060" hidden="1">
      <c r="C1060" s="277"/>
    </row>
    <row r="1061" hidden="1">
      <c r="C1061" s="277"/>
    </row>
    <row r="1062" hidden="1">
      <c r="C1062" s="277"/>
    </row>
    <row r="1063" hidden="1">
      <c r="C1063" s="277"/>
    </row>
    <row r="1064" hidden="1">
      <c r="C1064" s="277"/>
    </row>
    <row r="1065" hidden="1">
      <c r="C1065" s="277"/>
    </row>
    <row r="1066" hidden="1">
      <c r="C1066" s="277"/>
    </row>
    <row r="1067" hidden="1">
      <c r="C1067" s="277"/>
    </row>
    <row r="1068" hidden="1">
      <c r="C1068" s="277"/>
    </row>
    <row r="1069" hidden="1">
      <c r="C1069" s="277"/>
    </row>
    <row r="1070" hidden="1">
      <c r="C1070" s="277"/>
    </row>
    <row r="1071" hidden="1">
      <c r="C1071" s="277"/>
    </row>
    <row r="1072" hidden="1">
      <c r="C1072" s="277"/>
    </row>
    <row r="1073" hidden="1">
      <c r="C1073" s="277"/>
    </row>
    <row r="1074" hidden="1">
      <c r="C1074" s="277"/>
    </row>
    <row r="1075" hidden="1">
      <c r="C1075" s="277"/>
    </row>
    <row r="1076" hidden="1">
      <c r="C1076" s="277"/>
    </row>
    <row r="1077" hidden="1">
      <c r="C1077" s="277"/>
    </row>
    <row r="1078" hidden="1">
      <c r="C1078" s="277"/>
    </row>
    <row r="1079" hidden="1">
      <c r="C1079" s="277"/>
    </row>
    <row r="1080" hidden="1">
      <c r="C1080" s="277"/>
    </row>
    <row r="1081" hidden="1">
      <c r="C1081" s="277"/>
    </row>
    <row r="1082" hidden="1">
      <c r="C1082" s="277"/>
    </row>
    <row r="1083" hidden="1">
      <c r="C1083" s="277"/>
    </row>
    <row r="1084" hidden="1">
      <c r="C1084" s="277"/>
    </row>
    <row r="1085" hidden="1">
      <c r="C1085" s="277"/>
    </row>
    <row r="1086" hidden="1">
      <c r="C1086" s="277"/>
    </row>
    <row r="1087" hidden="1">
      <c r="C1087" s="277"/>
    </row>
    <row r="1088" hidden="1">
      <c r="C1088" s="277"/>
    </row>
    <row r="1089" hidden="1">
      <c r="C1089" s="277"/>
    </row>
    <row r="1090" hidden="1">
      <c r="C1090" s="277"/>
    </row>
    <row r="1091" hidden="1">
      <c r="C1091" s="277"/>
    </row>
    <row r="1092" hidden="1">
      <c r="C1092" s="277"/>
    </row>
    <row r="1093" hidden="1">
      <c r="C1093" s="277"/>
    </row>
    <row r="1094" hidden="1">
      <c r="C1094" s="277"/>
    </row>
    <row r="1095" hidden="1">
      <c r="C1095" s="277"/>
    </row>
    <row r="1096" hidden="1">
      <c r="C1096" s="277"/>
    </row>
    <row r="1097" hidden="1">
      <c r="C1097" s="277"/>
    </row>
    <row r="1098" hidden="1">
      <c r="C1098" s="277"/>
    </row>
    <row r="1099" hidden="1">
      <c r="C1099" s="277"/>
    </row>
    <row r="1100" hidden="1">
      <c r="C1100" s="277"/>
    </row>
    <row r="1101" hidden="1">
      <c r="C1101" s="277"/>
    </row>
    <row r="1102" hidden="1">
      <c r="C1102" s="277"/>
    </row>
    <row r="1103" hidden="1">
      <c r="C1103" s="277"/>
    </row>
    <row r="1104" hidden="1">
      <c r="C1104" s="277"/>
    </row>
    <row r="1105" hidden="1">
      <c r="C1105" s="277"/>
    </row>
    <row r="1106" hidden="1">
      <c r="C1106" s="277"/>
    </row>
    <row r="1107" hidden="1">
      <c r="C1107" s="277"/>
    </row>
    <row r="1108" hidden="1">
      <c r="C1108" s="277"/>
    </row>
    <row r="1109" hidden="1">
      <c r="C1109" s="277"/>
    </row>
    <row r="1110" hidden="1">
      <c r="C1110" s="277"/>
    </row>
    <row r="1111" hidden="1">
      <c r="C1111" s="277"/>
    </row>
    <row r="1112" hidden="1">
      <c r="C1112" s="277"/>
    </row>
    <row r="1113" hidden="1">
      <c r="C1113" s="277"/>
    </row>
    <row r="1114" hidden="1">
      <c r="C1114" s="277"/>
    </row>
    <row r="1115" hidden="1">
      <c r="C1115" s="277"/>
    </row>
    <row r="1116" hidden="1">
      <c r="C1116" s="277"/>
    </row>
    <row r="1117" hidden="1">
      <c r="C1117" s="277"/>
    </row>
    <row r="1118" hidden="1">
      <c r="C1118" s="277"/>
    </row>
    <row r="1119" hidden="1">
      <c r="C1119" s="277"/>
    </row>
    <row r="1120" hidden="1">
      <c r="C1120" s="277"/>
    </row>
    <row r="1121" hidden="1">
      <c r="C1121" s="277"/>
    </row>
    <row r="1122" hidden="1">
      <c r="C1122" s="277"/>
    </row>
    <row r="1123" hidden="1">
      <c r="C1123" s="277"/>
    </row>
    <row r="1124" hidden="1">
      <c r="C1124" s="277"/>
    </row>
    <row r="1125" hidden="1">
      <c r="C1125" s="277"/>
    </row>
    <row r="1126" hidden="1">
      <c r="C1126" s="277"/>
    </row>
    <row r="1127" hidden="1">
      <c r="C1127" s="277"/>
    </row>
    <row r="1128" hidden="1">
      <c r="C1128" s="277"/>
    </row>
    <row r="1129" hidden="1">
      <c r="C1129" s="277"/>
    </row>
    <row r="1130" hidden="1">
      <c r="C1130" s="277"/>
    </row>
    <row r="1131" hidden="1">
      <c r="C1131" s="277"/>
    </row>
    <row r="1132" hidden="1">
      <c r="C1132" s="277"/>
    </row>
    <row r="1133" hidden="1">
      <c r="C1133" s="277"/>
    </row>
    <row r="1134" hidden="1">
      <c r="C1134" s="277"/>
    </row>
    <row r="1135" hidden="1">
      <c r="C1135" s="277"/>
    </row>
    <row r="1136" hidden="1">
      <c r="C1136" s="277"/>
    </row>
    <row r="1137" hidden="1">
      <c r="C1137" s="277"/>
    </row>
    <row r="1138" hidden="1">
      <c r="C1138" s="277"/>
    </row>
    <row r="1139" hidden="1">
      <c r="C1139" s="277"/>
    </row>
    <row r="1140" hidden="1">
      <c r="C1140" s="277"/>
    </row>
    <row r="1141" hidden="1">
      <c r="C1141" s="277"/>
    </row>
    <row r="1142" hidden="1">
      <c r="C1142" s="277"/>
    </row>
    <row r="1143" hidden="1">
      <c r="C1143" s="277"/>
    </row>
    <row r="1144" hidden="1">
      <c r="C1144" s="277"/>
    </row>
    <row r="1145" hidden="1">
      <c r="C1145" s="277"/>
    </row>
    <row r="1146" hidden="1">
      <c r="C1146" s="277"/>
    </row>
    <row r="1147" hidden="1">
      <c r="C1147" s="277"/>
    </row>
    <row r="1148" hidden="1">
      <c r="C1148" s="277"/>
    </row>
    <row r="1149" hidden="1">
      <c r="C1149" s="277"/>
    </row>
    <row r="1150" hidden="1">
      <c r="C1150" s="277"/>
    </row>
    <row r="1151" hidden="1">
      <c r="C1151" s="277"/>
    </row>
    <row r="1152" hidden="1">
      <c r="C1152" s="277"/>
    </row>
    <row r="1153" hidden="1">
      <c r="C1153" s="277"/>
    </row>
    <row r="1154" hidden="1">
      <c r="C1154" s="277"/>
    </row>
    <row r="1155" hidden="1">
      <c r="C1155" s="277"/>
    </row>
    <row r="1156" hidden="1">
      <c r="C1156" s="277"/>
    </row>
    <row r="1157" hidden="1">
      <c r="C1157" s="277"/>
    </row>
    <row r="1158" hidden="1">
      <c r="C1158" s="277"/>
    </row>
    <row r="1159" hidden="1">
      <c r="C1159" s="277"/>
    </row>
    <row r="1160" hidden="1">
      <c r="C1160" s="277"/>
    </row>
    <row r="1161" hidden="1">
      <c r="C1161" s="277"/>
    </row>
    <row r="1162" hidden="1">
      <c r="C1162" s="277"/>
    </row>
    <row r="1163" hidden="1">
      <c r="C1163" s="277"/>
    </row>
    <row r="1164" hidden="1">
      <c r="C1164" s="277"/>
    </row>
    <row r="1165" hidden="1">
      <c r="C1165" s="277"/>
    </row>
    <row r="1166" hidden="1">
      <c r="C1166" s="277"/>
    </row>
    <row r="1167" hidden="1">
      <c r="C1167" s="277"/>
    </row>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c r="A2001" s="280" t="s">
        <v>2509</v>
      </c>
      <c r="B2001" s="281" t="s">
        <v>5208</v>
      </c>
      <c r="C2001" s="45" t="s">
        <v>2814</v>
      </c>
      <c r="D2001" s="45" t="s">
        <v>2815</v>
      </c>
      <c r="E2001" s="45" t="s">
        <v>2816</v>
      </c>
      <c r="F2001" s="187">
        <v>320.0</v>
      </c>
      <c r="G2001" s="180" t="str">
        <f>IFERROR(__xludf.DUMMYFUNCTION("TRIM(REGEXREPLACE(C2001, ""[0-9]+[a-f]?\."", """"))"),"He (tries/tried) to limit your contact with your family?")</f>
        <v>He (tries/tried) to limit your contact with your family?</v>
      </c>
      <c r="H2001" s="180" t="str">
        <f>IFERROR(__xludf.DUMMYFUNCTION("TRIM(REGEXREPLACE(D2001, ""[0-9]+[a-f]?\."", """"))"),"Il essaie de limiter vos contacts avec votre famille ?")</f>
        <v>Il essaie de limiter vos contacts avec votre famille ?</v>
      </c>
      <c r="I2001" s="180" t="str">
        <f>IFERROR(__xludf.DUMMYFUNCTION("TRIM(REGEXREPLACE(E2001, ""[0-9]+[a-f]?\."", """"))"),"Ya na ƙoƙarin ya rage hulɗarku da danginku?")</f>
        <v>Ya na ƙoƙarin ya rage hulɗarku da danginku?</v>
      </c>
      <c r="J2001" s="180" t="str">
        <f t="shared" ref="J2001:L2001" si="320">$F2001 &amp; ". "&amp;G2001</f>
        <v>320. He (tries/tried) to limit your contact with your family?</v>
      </c>
      <c r="K2001" s="180" t="str">
        <f t="shared" si="320"/>
        <v>320. Il essaie de limiter vos contacts avec votre famille ?</v>
      </c>
      <c r="L2001" s="180" t="str">
        <f t="shared" si="320"/>
        <v>320. Ya na ƙoƙarin ya rage hulɗarku da danginku?</v>
      </c>
    </row>
    <row r="2002" hidden="1">
      <c r="A2002" s="298" t="s">
        <v>237</v>
      </c>
      <c r="B2002" s="310" t="s">
        <v>5161</v>
      </c>
      <c r="C2002" s="303"/>
      <c r="D2002" s="303"/>
      <c r="E2002" s="303"/>
    </row>
    <row r="2003" hidden="1">
      <c r="A2003" s="298" t="s">
        <v>133</v>
      </c>
      <c r="B2003" s="299" t="s">
        <v>5216</v>
      </c>
      <c r="C2003" s="300"/>
      <c r="D2003" s="300"/>
      <c r="E2003" s="300"/>
    </row>
    <row r="2004">
      <c r="A2004" s="280" t="s">
        <v>1306</v>
      </c>
      <c r="B2004" s="281" t="s">
        <v>5217</v>
      </c>
      <c r="C2004" s="45" t="s">
        <v>2826</v>
      </c>
      <c r="D2004" s="45" t="s">
        <v>2827</v>
      </c>
      <c r="E2004" s="45" t="s">
        <v>2828</v>
      </c>
      <c r="F2004" s="187">
        <v>321.0</v>
      </c>
      <c r="G2004" s="180" t="str">
        <f>IFERROR(__xludf.DUMMYFUNCTION("TRIM(REGEXREPLACE(C2004, ""[0-9]+[a-f]?\."", """"))"),"Now if you will permit me, I need to ask some more questions about your relationship with your husband. Does he ever?")</f>
        <v>Now if you will permit me, I need to ask some more questions about your relationship with your husband. Does he ever?</v>
      </c>
      <c r="H2004" s="180" t="str">
        <f>IFERROR(__xludf.DUMMYFUNCTION("TRIM(REGEXREPLACE(D2004,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2004" s="180" t="str">
        <f>IFERROR(__xludf.DUMMYFUNCTION("TRIM(REGEXREPLACE(E2004, ""[0-9]+[a-f]?\."", """"))"),"Yanzu idan za ki ba ni izini, Ina bukatar yin wasu tambayoyi game da dangantakarki da mijinki. Ko ya taba?")</f>
        <v>Yanzu idan za ki ba ni izini, Ina bukatar yin wasu tambayoyi game da dangantakarki da mijinki. Ko ya taba?</v>
      </c>
      <c r="J2004" s="180" t="str">
        <f t="shared" ref="J2004:L2004" si="321">$F2004 &amp; ". "&amp;G2004</f>
        <v>321. Now if you will permit me, I need to ask some more questions about your relationship with your husband. Does he ever?</v>
      </c>
      <c r="K2004" s="180" t="str">
        <f t="shared" si="321"/>
        <v>321. Maintenant, si vous me le permettez, je dois poser quelques questions supplémentaires sur votre relation avec votre mari. Est-ce qu'il a jamais?</v>
      </c>
      <c r="L2004" s="180" t="str">
        <f t="shared" si="321"/>
        <v>321. Yanzu idan za ki ba ni izini, Ina bukatar yin wasu tambayoyi game da dangantakarki da mijinki. Ko ya taba?</v>
      </c>
    </row>
    <row r="2005">
      <c r="A2005" s="280" t="s">
        <v>1306</v>
      </c>
      <c r="B2005" s="281" t="s">
        <v>5221</v>
      </c>
      <c r="C2005" s="45" t="s">
        <v>2832</v>
      </c>
      <c r="D2005" s="45" t="s">
        <v>2834</v>
      </c>
      <c r="E2005" s="45" t="s">
        <v>2836</v>
      </c>
      <c r="F2005" s="187">
        <v>322.0</v>
      </c>
      <c r="G2005" s="180" t="str">
        <f>IFERROR(__xludf.DUMMYFUNCTION("TRIM(REGEXREPLACE(C2005, ""[0-9]+[a-f]?\."", """"))"),"Say or do something to humiliate you in front of others")</f>
        <v>Say or do something to humiliate you in front of others</v>
      </c>
      <c r="H2005" s="180" t="str">
        <f>IFERROR(__xludf.DUMMYFUNCTION("TRIM(REGEXREPLACE(D2005, ""[0-9]+[a-f]?\."", """"))"),"Dit ou fait quelque chose pour vous humilier devant les autres")</f>
        <v>Dit ou fait quelque chose pour vous humilier devant les autres</v>
      </c>
      <c r="I2005" s="180" t="str">
        <f>IFERROR(__xludf.DUMMYFUNCTION("TRIM(REGEXREPLACE(E2005, ""[0-9]+[a-f]?\."", """"))"),"Fadi ko yin wani abu don wulaƙanta ku a gaban wasu")</f>
        <v>Fadi ko yin wani abu don wulaƙanta ku a gaban wasu</v>
      </c>
      <c r="J2005" s="180" t="str">
        <f t="shared" ref="J2005:L2005" si="322">$F2005 &amp; ". "&amp;G2005</f>
        <v>322. Say or do something to humiliate you in front of others</v>
      </c>
      <c r="K2005" s="180" t="str">
        <f t="shared" si="322"/>
        <v>322. Dit ou fait quelque chose pour vous humilier devant les autres</v>
      </c>
      <c r="L2005" s="180" t="str">
        <f t="shared" si="322"/>
        <v>322. Fadi ko yin wani abu don wulaƙanta ku a gaban wasu</v>
      </c>
    </row>
    <row r="2006">
      <c r="A2006" s="280" t="s">
        <v>1306</v>
      </c>
      <c r="B2006" s="281" t="s">
        <v>5222</v>
      </c>
      <c r="C2006" s="45" t="s">
        <v>5223</v>
      </c>
      <c r="D2006" s="45" t="s">
        <v>5225</v>
      </c>
      <c r="E2006" s="45" t="s">
        <v>5226</v>
      </c>
      <c r="F2006" s="187">
        <v>323.0</v>
      </c>
      <c r="G2006" s="180" t="str">
        <f>IFERROR(__xludf.DUMMYFUNCTION("TRIM(REGEXREPLACE(C2006, ""[0-9]+[a-f]?\."", """"))"),"Threaten you or someone close to you with harm")</f>
        <v>Threaten you or someone close to you with harm</v>
      </c>
      <c r="H2006" s="180" t="str">
        <f>IFERROR(__xludf.DUMMYFUNCTION("TRIM(REGEXREPLACE(D2006, ""[0-9]+[a-f]?\."", """"))"),"Vous menacer vous-même ou quelqu'un proche de vous à vous faire du mal")</f>
        <v>Vous menacer vous-même ou quelqu'un proche de vous à vous faire du mal</v>
      </c>
      <c r="I2006" s="180" t="str">
        <f>IFERROR(__xludf.DUMMYFUNCTION("TRIM(REGEXREPLACE(E2006, ""[0-9]+[a-f]?\."", """"))"),"Yi muku barazana ko wani na kusa da ku da cutarwa")</f>
        <v>Yi muku barazana ko wani na kusa da ku da cutarwa</v>
      </c>
      <c r="J2006" s="180" t="str">
        <f t="shared" ref="J2006:L2006" si="323">$F2006 &amp; ". "&amp;G2006</f>
        <v>323. Threaten you or someone close to you with harm</v>
      </c>
      <c r="K2006" s="180" t="str">
        <f t="shared" si="323"/>
        <v>323. Vous menacer vous-même ou quelqu'un proche de vous à vous faire du mal</v>
      </c>
      <c r="L2006" s="180" t="str">
        <f t="shared" si="323"/>
        <v>323. Yi muku barazana ko wani na kusa da ku da cutarwa</v>
      </c>
    </row>
    <row r="2007">
      <c r="A2007" s="280" t="s">
        <v>1306</v>
      </c>
      <c r="B2007" s="281" t="s">
        <v>5232</v>
      </c>
      <c r="C2007" s="45" t="s">
        <v>5233</v>
      </c>
      <c r="D2007" s="45" t="s">
        <v>5234</v>
      </c>
      <c r="E2007" s="45" t="s">
        <v>5235</v>
      </c>
      <c r="F2007" s="187">
        <v>324.0</v>
      </c>
      <c r="G2007" s="180" t="str">
        <f>IFERROR(__xludf.DUMMYFUNCTION("TRIM(REGEXREPLACE(C2007, ""[0-9]+[a-f]?\."", """"))"),"Push you shake you or throw something at you")</f>
        <v>Push you shake you or throw something at you</v>
      </c>
      <c r="H2007" s="180" t="str">
        <f>IFERROR(__xludf.DUMMYFUNCTION("TRIM(REGEXREPLACE(D2007, ""[0-9]+[a-f]?\."", """"))"),"Vous pousser, vous secouer ou jeter quelque chose sur vous")</f>
        <v>Vous pousser, vous secouer ou jeter quelque chose sur vous</v>
      </c>
      <c r="I2007" s="180" t="str">
        <f>IFERROR(__xludf.DUMMYFUNCTION("TRIM(REGEXREPLACE(E2007, ""[0-9]+[a-f]?\."", """"))"),"Tura ku girgiza ku ko jefar da wani abu bisanku")</f>
        <v>Tura ku girgiza ku ko jefar da wani abu bisanku</v>
      </c>
      <c r="J2007" s="180" t="str">
        <f t="shared" ref="J2007:L2007" si="324">$F2007 &amp; ". "&amp;G2007</f>
        <v>324. Push you shake you or throw something at you</v>
      </c>
      <c r="K2007" s="180" t="str">
        <f t="shared" si="324"/>
        <v>324. Vous pousser, vous secouer ou jeter quelque chose sur vous</v>
      </c>
      <c r="L2007" s="180" t="str">
        <f t="shared" si="324"/>
        <v>324. Tura ku girgiza ku ko jefar da wani abu bisanku</v>
      </c>
    </row>
    <row r="2008">
      <c r="A2008" s="280" t="s">
        <v>1306</v>
      </c>
      <c r="B2008" s="281" t="s">
        <v>5236</v>
      </c>
      <c r="C2008" s="45" t="s">
        <v>5238</v>
      </c>
      <c r="D2008" s="45" t="s">
        <v>5239</v>
      </c>
      <c r="E2008" s="45" t="s">
        <v>5240</v>
      </c>
      <c r="F2008" s="187">
        <v>325.0</v>
      </c>
      <c r="G2008" s="180" t="str">
        <f>IFERROR(__xludf.DUMMYFUNCTION("TRIM(REGEXREPLACE(C2008, ""[0-9]+[a-f]?\."", """"))"),"Slap you or twist your arm")</f>
        <v>Slap you or twist your arm</v>
      </c>
      <c r="H2008" s="180" t="str">
        <f>IFERROR(__xludf.DUMMYFUNCTION("TRIM(REGEXREPLACE(D2008, ""[0-9]+[a-f]?\."", """"))"),"Vous gifler ou vous tordre le bras")</f>
        <v>Vous gifler ou vous tordre le bras</v>
      </c>
      <c r="I2008" s="180" t="str">
        <f>IFERROR(__xludf.DUMMYFUNCTION("TRIM(REGEXREPLACE(E2008, ""[0-9]+[a-f]?\."", """"))"),"Mari ko murɗa hannunku")</f>
        <v>Mari ko murɗa hannunku</v>
      </c>
      <c r="J2008" s="180" t="str">
        <f t="shared" ref="J2008:L2008" si="325">$F2008 &amp; ". "&amp;G2008</f>
        <v>325. Slap you or twist your arm</v>
      </c>
      <c r="K2008" s="180" t="str">
        <f t="shared" si="325"/>
        <v>325. Vous gifler ou vous tordre le bras</v>
      </c>
      <c r="L2008" s="180" t="str">
        <f t="shared" si="325"/>
        <v>325. Mari ko murɗa hannunku</v>
      </c>
    </row>
    <row r="2009">
      <c r="A2009" s="280" t="s">
        <v>1306</v>
      </c>
      <c r="B2009" s="281" t="s">
        <v>5246</v>
      </c>
      <c r="C2009" s="45" t="s">
        <v>5247</v>
      </c>
      <c r="D2009" s="45" t="s">
        <v>5248</v>
      </c>
      <c r="E2009" s="45" t="s">
        <v>5249</v>
      </c>
      <c r="F2009" s="187">
        <v>326.0</v>
      </c>
      <c r="G2009" s="180" t="str">
        <f>IFERROR(__xludf.DUMMYFUNCTION("TRIM(REGEXREPLACE(C2009, ""[0-9]+[a-f]?\."", """"))"),"Punch you with his fist or with something that could hurt you")</f>
        <v>Punch you with his fist or with something that could hurt you</v>
      </c>
      <c r="H2009" s="180" t="str">
        <f>IFERROR(__xludf.DUMMYFUNCTION("TRIM(REGEXREPLACE(D2009, ""[0-9]+[a-f]?\."", """"))"),"Vous frapper avec son poing ou avec quelque chose qui pourrait vous blesser")</f>
        <v>Vous frapper avec son poing ou avec quelque chose qui pourrait vous blesser</v>
      </c>
      <c r="I2009" s="180" t="str">
        <f>IFERROR(__xludf.DUMMYFUNCTION("TRIM(REGEXREPLACE(E2009, ""[0-9]+[a-f]?\."", """"))"),"Yi muku naushi da hannu ko da wani abu da zai iya cutar da ku")</f>
        <v>Yi muku naushi da hannu ko da wani abu da zai iya cutar da ku</v>
      </c>
      <c r="J2009" s="180" t="str">
        <f t="shared" ref="J2009:L2009" si="326">$F2009 &amp; ". "&amp;G2009</f>
        <v>326. Punch you with his fist or with something that could hurt you</v>
      </c>
      <c r="K2009" s="180" t="str">
        <f t="shared" si="326"/>
        <v>326. Vous frapper avec son poing ou avec quelque chose qui pourrait vous blesser</v>
      </c>
      <c r="L2009" s="180" t="str">
        <f t="shared" si="326"/>
        <v>326. Yi muku naushi da hannu ko da wani abu da zai iya cutar da ku</v>
      </c>
    </row>
    <row r="2010">
      <c r="A2010" s="280" t="s">
        <v>1306</v>
      </c>
      <c r="B2010" s="281" t="s">
        <v>5250</v>
      </c>
      <c r="C2010" s="45" t="s">
        <v>5253</v>
      </c>
      <c r="D2010" s="45" t="s">
        <v>5255</v>
      </c>
      <c r="E2010" s="45" t="s">
        <v>5257</v>
      </c>
      <c r="F2010" s="187">
        <v>327.0</v>
      </c>
      <c r="G2010" s="180" t="str">
        <f>IFERROR(__xludf.DUMMYFUNCTION("TRIM(REGEXREPLACE(C2010, ""[0-9]+[a-f]?\."", """"))"),"Kick you or drag you")</f>
        <v>Kick you or drag you</v>
      </c>
      <c r="H2010" s="180" t="str">
        <f>IFERROR(__xludf.DUMMYFUNCTION("TRIM(REGEXREPLACE(D2010, ""[0-9]+[a-f]?\."", """"))"),"Vous donner un coup de pied ou vous traîner")</f>
        <v>Vous donner un coup de pied ou vous traîner</v>
      </c>
      <c r="I2010" s="180" t="str">
        <f>IFERROR(__xludf.DUMMYFUNCTION("TRIM(REGEXREPLACE(E2010, ""[0-9]+[a-f]?\."", """"))"),"Habre ku ko jan ku")</f>
        <v>Habre ku ko jan ku</v>
      </c>
      <c r="J2010" s="180" t="str">
        <f t="shared" ref="J2010:L2010" si="327">$F2010 &amp; ". "&amp;G2010</f>
        <v>327. Kick you or drag you</v>
      </c>
      <c r="K2010" s="180" t="str">
        <f t="shared" si="327"/>
        <v>327. Vous donner un coup de pied ou vous traîner</v>
      </c>
      <c r="L2010" s="180" t="str">
        <f t="shared" si="327"/>
        <v>327. Habre ku ko jan ku</v>
      </c>
    </row>
    <row r="2011">
      <c r="A2011" s="280" t="s">
        <v>1306</v>
      </c>
      <c r="B2011" s="281" t="s">
        <v>5260</v>
      </c>
      <c r="C2011" s="45" t="s">
        <v>5261</v>
      </c>
      <c r="D2011" s="45" t="s">
        <v>5262</v>
      </c>
      <c r="E2011" s="45" t="s">
        <v>5263</v>
      </c>
      <c r="F2011" s="187">
        <v>328.0</v>
      </c>
      <c r="G2011" s="180" t="str">
        <f>IFERROR(__xludf.DUMMYFUNCTION("TRIM(REGEXREPLACE(C2011, ""[0-9]+[a-f]?\."", """"))"),"Try to strangle you or burn you")</f>
        <v>Try to strangle you or burn you</v>
      </c>
      <c r="H2011" s="180" t="str">
        <f>IFERROR(__xludf.DUMMYFUNCTION("TRIM(REGEXREPLACE(D2011, ""[0-9]+[a-f]?\."", """"))"),"Essayer de vous étrangler ou de vous brûler")</f>
        <v>Essayer de vous étrangler ou de vous brûler</v>
      </c>
      <c r="I2011" s="180" t="str">
        <f>IFERROR(__xludf.DUMMYFUNCTION("TRIM(REGEXREPLACE(E2011, ""[0-9]+[a-f]?\."", """"))"),"Yi ƙoƙarin shake ku ko kona ku")</f>
        <v>Yi ƙoƙarin shake ku ko kona ku</v>
      </c>
      <c r="J2011" s="180" t="str">
        <f t="shared" ref="J2011:L2011" si="328">$F2011 &amp; ". "&amp;G2011</f>
        <v>328. Try to strangle you or burn you</v>
      </c>
      <c r="K2011" s="180" t="str">
        <f t="shared" si="328"/>
        <v>328. Essayer de vous étrangler ou de vous brûler</v>
      </c>
      <c r="L2011" s="180" t="str">
        <f t="shared" si="328"/>
        <v>328. Yi ƙoƙarin shake ku ko kona ku</v>
      </c>
    </row>
    <row r="2012">
      <c r="A2012" s="280" t="s">
        <v>1306</v>
      </c>
      <c r="B2012" s="281" t="s">
        <v>5267</v>
      </c>
      <c r="C2012" s="45" t="s">
        <v>5268</v>
      </c>
      <c r="D2012" s="45" t="s">
        <v>5269</v>
      </c>
      <c r="E2012" s="45" t="s">
        <v>5270</v>
      </c>
      <c r="F2012" s="187">
        <v>329.0</v>
      </c>
      <c r="G2012" s="180" t="str">
        <f>IFERROR(__xludf.DUMMYFUNCTION("TRIM(REGEXREPLACE(C2012, ""[0-9]+[a-f]?\."", """"))"),"threaten you with a knife, gun, or other type of weapon")</f>
        <v>threaten you with a knife, gun, or other type of weapon</v>
      </c>
      <c r="H2012" s="180" t="str">
        <f>IFERROR(__xludf.DUMMYFUNCTION("TRIM(REGEXREPLACE(D2012, ""[0-9]+[a-f]?\."", """"))"),"Vous menacer avec un couteau, une arme à feu ou tout autre type d'arme")</f>
        <v>Vous menacer avec un couteau, une arme à feu ou tout autre type d'arme</v>
      </c>
      <c r="I2012" s="180" t="str">
        <f>IFERROR(__xludf.DUMMYFUNCTION("TRIM(REGEXREPLACE(E2012, ""[0-9]+[a-f]?\."", """"))"),"yi muku barazana da wuka, bindiga, ko wani makami daban")</f>
        <v>yi muku barazana da wuka, bindiga, ko wani makami daban</v>
      </c>
      <c r="J2012" s="180" t="str">
        <f t="shared" ref="J2012:L2012" si="329">$F2012 &amp; ". "&amp;G2012</f>
        <v>329. threaten you with a knife, gun, or other type of weapon</v>
      </c>
      <c r="K2012" s="180" t="str">
        <f t="shared" si="329"/>
        <v>329. Vous menacer avec un couteau, une arme à feu ou tout autre type d'arme</v>
      </c>
      <c r="L2012" s="180" t="str">
        <f t="shared" si="329"/>
        <v>329. yi muku barazana da wuka, bindiga, ko wani makami daban</v>
      </c>
    </row>
    <row r="2013">
      <c r="A2013" s="280" t="s">
        <v>1306</v>
      </c>
      <c r="B2013" s="281" t="s">
        <v>5277</v>
      </c>
      <c r="C2013" s="45" t="s">
        <v>5278</v>
      </c>
      <c r="D2013" s="45" t="s">
        <v>5279</v>
      </c>
      <c r="E2013" s="45" t="s">
        <v>5280</v>
      </c>
      <c r="F2013" s="187">
        <v>330.0</v>
      </c>
      <c r="G2013" s="180" t="str">
        <f>IFERROR(__xludf.DUMMYFUNCTION("TRIM(REGEXREPLACE(C2013, ""[0-9]+[a-f]?\."", """"))"),"attack you with a knife, gun, or other type of weapon")</f>
        <v>attack you with a knife, gun, or other type of weapon</v>
      </c>
      <c r="H2013" s="180" t="str">
        <f>IFERROR(__xludf.DUMMYFUNCTION("TRIM(REGEXREPLACE(D2013, ""[0-9]+[a-f]?\."", """"))"),"Vous attaquer avec un couteau, une arme à feu ou tout autre type d'arme")</f>
        <v>Vous attaquer avec un couteau, une arme à feu ou tout autre type d'arme</v>
      </c>
      <c r="I2013" s="180" t="str">
        <f>IFERROR(__xludf.DUMMYFUNCTION("TRIM(REGEXREPLACE(E2013, ""[0-9]+[a-f]?\."", """"))"),"Kawo muku hari da wuka, bindiga, ko wani makami daban")</f>
        <v>Kawo muku hari da wuka, bindiga, ko wani makami daban</v>
      </c>
      <c r="J2013" s="180" t="str">
        <f t="shared" ref="J2013:L2013" si="330">$F2013 &amp; ". "&amp;G2013</f>
        <v>330. attack you with a knife, gun, or other type of weapon</v>
      </c>
      <c r="K2013" s="180" t="str">
        <f t="shared" si="330"/>
        <v>330. Vous attaquer avec un couteau, une arme à feu ou tout autre type d'arme</v>
      </c>
      <c r="L2013" s="180" t="str">
        <f t="shared" si="330"/>
        <v>330. Kawo muku hari da wuka, bindiga, ko wani makami daban</v>
      </c>
    </row>
    <row r="2014">
      <c r="A2014" s="280" t="s">
        <v>1306</v>
      </c>
      <c r="B2014" s="281" t="s">
        <v>5281</v>
      </c>
      <c r="C2014" s="45" t="s">
        <v>5282</v>
      </c>
      <c r="D2014" s="45" t="s">
        <v>5283</v>
      </c>
      <c r="E2014" s="45" t="s">
        <v>5284</v>
      </c>
      <c r="F2014" s="187">
        <v>331.0</v>
      </c>
      <c r="G2014" s="180" t="str">
        <f>IFERROR(__xludf.DUMMYFUNCTION("TRIM(REGEXREPLACE(C2014, ""[0-9]+[a-f]?\."", """"))"),"force you to perform sexual actswith him even when you did not want to")</f>
        <v>force you to perform sexual actswith him even when you did not want to</v>
      </c>
      <c r="H2014" s="180" t="str">
        <f>IFERROR(__xludf.DUMMYFUNCTION("TRIM(REGEXREPLACE(D2014, ""[0-9]+[a-f]?\."", """"))"),"vous forcer à accomplir des actes sexuels avec lui même lorsque vous ne le vouliez pas")</f>
        <v>vous forcer à accomplir des actes sexuels avec lui même lorsque vous ne le vouliez pas</v>
      </c>
      <c r="I2014" s="180" t="str">
        <f>IFERROR(__xludf.DUMMYFUNCTION("TRIM(REGEXREPLACE(E2014, ""[0-9]+[a-f]?\."", """"))"),"tilasta muku ka yin jima'i da shi ko da ba ki da buƙata")</f>
        <v>tilasta muku ka yin jima'i da shi ko da ba ki da buƙata</v>
      </c>
      <c r="J2014" s="180" t="str">
        <f t="shared" ref="J2014:L2014" si="331">$F2014 &amp; ". "&amp;G2014</f>
        <v>331. force you to perform sexual actswith him even when you did not want to</v>
      </c>
      <c r="K2014" s="180" t="str">
        <f t="shared" si="331"/>
        <v>331. vous forcer à accomplir des actes sexuels avec lui même lorsque vous ne le vouliez pas</v>
      </c>
      <c r="L2014" s="180" t="str">
        <f t="shared" si="331"/>
        <v>331. tilasta muku ka yin jima'i da shi ko da ba ki da buƙata</v>
      </c>
    </row>
    <row r="2015" hidden="1">
      <c r="A2015" s="298" t="s">
        <v>237</v>
      </c>
      <c r="B2015" s="310" t="s">
        <v>5216</v>
      </c>
      <c r="C2015" s="303"/>
      <c r="D2015" s="303"/>
      <c r="E2015" s="303"/>
    </row>
    <row r="2016" hidden="1">
      <c r="A2016" s="298" t="s">
        <v>237</v>
      </c>
      <c r="B2016" s="310" t="s">
        <v>5128</v>
      </c>
      <c r="C2016" s="303"/>
      <c r="D2016" s="303"/>
      <c r="E2016" s="303"/>
    </row>
    <row r="2017">
      <c r="A2017" s="323" t="s">
        <v>38</v>
      </c>
      <c r="B2017" s="279" t="s">
        <v>5294</v>
      </c>
      <c r="C2017" s="45" t="s">
        <v>5295</v>
      </c>
      <c r="D2017" s="45" t="s">
        <v>5296</v>
      </c>
      <c r="E2017" s="45" t="s">
        <v>5297</v>
      </c>
      <c r="F2017" s="187">
        <v>332.0</v>
      </c>
      <c r="G2017" s="180" t="str">
        <f>IFERROR(__xludf.DUMMYFUNCTION("TRIM(REGEXREPLACE(C2017, ""[0-9]+[a-f]?\."", """"))"),"Enumerator: THANK THE RESPONDENT FOR HER COOPERATION AND REASSURE HER ABOUT THE CONFIDENTIALITY OF HER ANSWERS.")</f>
        <v>Enumerator: THANK THE RESPONDENT FOR HER COOPERATION AND REASSURE HER ABOUT THE CONFIDENTIALITY OF HER ANSWERS.</v>
      </c>
      <c r="H2017" s="180" t="str">
        <f>IFERROR(__xludf.DUMMYFUNCTION("TRIM(REGEXREPLACE(D2017, ""[0-9]+[a-f]?\."", """"))"),"Enquêteur : REMERCIER LA RÉPONDANTE POUR SA COOPÉRATION ET LA RASSURER SUR LA CONFIDENTIALITÉ DE SES RÉPONSES.")</f>
        <v>Enquêteur : REMERCIER LA RÉPONDANTE POUR SA COOPÉRATION ET LA RASSURER SUR LA CONFIDENTIALITÉ DE SES RÉPONSES.</v>
      </c>
      <c r="I2017" s="180" t="str">
        <f>IFERROR(__xludf.DUMMYFUNCTION("TRIM(REGEXREPLACE(E2017, ""[0-9]+[a-f]?\."", """"))"),"Ɗan bincike: Ka gode wa mai bada amsa bisa haɗin kai da kuma ka tabbatar mata game da kiyaye SIRRIN HIRAR A KA YI DA ITA.")</f>
        <v>Ɗan bincike: Ka gode wa mai bada amsa bisa haɗin kai da kuma ka tabbatar mata game da kiyaye SIRRIN HIRAR A KA YI DA ITA.</v>
      </c>
      <c r="J2017" s="180" t="str">
        <f t="shared" ref="J2017:L2017" si="332">$F2017 &amp; ". "&amp;G2017</f>
        <v>332. Enumerator: THANK THE RESPONDENT FOR HER COOPERATION AND REASSURE HER ABOUT THE CONFIDENTIALITY OF HER ANSWERS.</v>
      </c>
      <c r="K2017" s="180" t="str">
        <f t="shared" si="332"/>
        <v>332. Enquêteur : REMERCIER LA RÉPONDANTE POUR SA COOPÉRATION ET LA RASSURER SUR LA CONFIDENTIALITÉ DE SES RÉPONSES.</v>
      </c>
      <c r="L2017" s="180" t="str">
        <f t="shared" si="332"/>
        <v>332. Ɗan bincike: Ka gode wa mai bada amsa bisa haɗin kai da kuma ka tabbatar mata game da kiyaye SIRRIN HIRAR A KA YI DA ITA.</v>
      </c>
    </row>
    <row r="2018" hidden="1">
      <c r="A2018" s="298" t="s">
        <v>237</v>
      </c>
      <c r="B2018" s="310" t="s">
        <v>3228</v>
      </c>
      <c r="C2018" s="310" t="s">
        <v>3229</v>
      </c>
      <c r="D2018" s="303"/>
      <c r="E2018" s="303"/>
    </row>
    <row r="2019" hidden="1">
      <c r="A2019" s="70" t="s">
        <v>127</v>
      </c>
      <c r="B2019" s="71" t="s">
        <v>5298</v>
      </c>
      <c r="C2019" s="200"/>
      <c r="D2019" s="200"/>
      <c r="E2019" s="200"/>
    </row>
    <row r="2020" hidden="1">
      <c r="A2020" s="168" t="s">
        <v>68</v>
      </c>
      <c r="B2020" s="71" t="s">
        <v>5303</v>
      </c>
      <c r="C2020" s="200"/>
      <c r="D2020" s="200"/>
      <c r="E2020" s="200"/>
    </row>
    <row r="2021" hidden="1">
      <c r="A2021" s="61"/>
      <c r="B2021" s="61"/>
      <c r="C2021" s="198"/>
      <c r="D2021" s="25"/>
      <c r="E2021" s="25"/>
    </row>
    <row r="2022" hidden="1">
      <c r="A2022" s="168" t="s">
        <v>127</v>
      </c>
      <c r="B2022" s="71" t="s">
        <v>5306</v>
      </c>
      <c r="C2022" s="200"/>
      <c r="D2022" s="200"/>
      <c r="E2022" s="200"/>
    </row>
    <row r="2023" hidden="1">
      <c r="A2023" s="61" t="s">
        <v>133</v>
      </c>
      <c r="B2023" s="61" t="s">
        <v>5307</v>
      </c>
      <c r="C2023" s="198" t="s">
        <v>5308</v>
      </c>
      <c r="D2023" s="25"/>
      <c r="E2023" s="25"/>
    </row>
    <row r="2024">
      <c r="A2024" s="278" t="s">
        <v>38</v>
      </c>
      <c r="B2024" s="279" t="s">
        <v>5309</v>
      </c>
      <c r="C2024" s="45" t="s">
        <v>2907</v>
      </c>
      <c r="D2024" s="45" t="s">
        <v>5312</v>
      </c>
      <c r="E2024" s="45" t="s">
        <v>5314</v>
      </c>
      <c r="F2024" s="187">
        <v>333.0</v>
      </c>
      <c r="G2024" s="180" t="str">
        <f>IFERROR(__xludf.DUMMYFUNCTION("TRIM(REGEXREPLACE(C2024, ""[0-9]+[a-f]?\."", """"))"),"HoH Questions")</f>
        <v>HoH Questions</v>
      </c>
      <c r="H2024" s="180" t="str">
        <f>IFERROR(__xludf.DUMMYFUNCTION("TRIM(REGEXREPLACE(D2024, ""[0-9]+[a-f]?\."", """"))"),"Questions Chef de menage")</f>
        <v>Questions Chef de menage</v>
      </c>
      <c r="I2024" s="180" t="str">
        <f>IFERROR(__xludf.DUMMYFUNCTION("TRIM(REGEXREPLACE(E2024, ""[0-9]+[a-f]?\."", """"))"),"Tambayoyin mai gida")</f>
        <v>Tambayoyin mai gida</v>
      </c>
      <c r="J2024" s="180" t="str">
        <f t="shared" ref="J2024:L2024" si="333">$F2024 &amp; ". "&amp;G2024</f>
        <v>333. HoH Questions</v>
      </c>
      <c r="K2024" s="180" t="str">
        <f t="shared" si="333"/>
        <v>333. Questions Chef de menage</v>
      </c>
      <c r="L2024" s="180" t="str">
        <f t="shared" si="333"/>
        <v>333. Tambayoyin mai gida</v>
      </c>
    </row>
    <row r="2025" hidden="1">
      <c r="A2025" s="259"/>
      <c r="B2025" s="259"/>
      <c r="C2025" s="259"/>
      <c r="D2025" s="259"/>
      <c r="E2025" s="259"/>
    </row>
    <row r="2026" hidden="1">
      <c r="A2026" s="168" t="s">
        <v>127</v>
      </c>
      <c r="B2026" s="71" t="s">
        <v>5318</v>
      </c>
      <c r="C2026" s="200"/>
      <c r="D2026" s="200"/>
      <c r="E2026" s="200"/>
    </row>
    <row r="2027">
      <c r="A2027" s="278" t="s">
        <v>38</v>
      </c>
      <c r="B2027" s="279" t="s">
        <v>5322</v>
      </c>
      <c r="C2027" s="45" t="s">
        <v>2943</v>
      </c>
      <c r="D2027" s="45" t="s">
        <v>2944</v>
      </c>
      <c r="E2027" s="45" t="s">
        <v>2945</v>
      </c>
      <c r="F2027" s="187">
        <v>334.0</v>
      </c>
      <c r="G2027" s="180" t="str">
        <f>IFERROR(__xludf.DUMMYFUNCTION("TRIM(REGEXREPLACE(C2027,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2027" s="180" t="str">
        <f>IFERROR(__xludf.DUMMYFUNCTION("TRIM(REGEXREPLACE(D2027,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2027" s="180" t="str">
        <f>IFERROR(__xludf.DUMMYFUNCTION("TRIM(REGEXREPLACE(E2027,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2027" s="180" t="str">
        <f t="shared" ref="J2027:L2027" si="334">$F2027 &amp; ". "&amp;G2027</f>
        <v>334. A household is a group of people, related or unrelated, who live together in the same housing, pool their resources together, share their meals and recognize the authority of the same one person who is the head of household.</v>
      </c>
      <c r="K2027" s="180" t="str">
        <f t="shared" si="334"/>
        <v>334. Un ménage est l’ensemble des personnes apparentées ou non qui vivent habituellement dans un même logement, mettent en commun leurs ressources, partagent leurs repas, et reconnaissent l’autorité d’une seule et même personne appelée chef de ménage.</v>
      </c>
      <c r="L2027" s="180" t="str">
        <f t="shared" si="334"/>
        <v>334. Gida shine mutanen da ko dangi ko a'a wanda suke rayuwa cikin gida guda, sun sa dukiyar su tare, suna cin abinci tare, kuma sun yarda da shugabancin mutum ɗaya wanda a ke ce ma mai gida.</v>
      </c>
    </row>
    <row r="2028">
      <c r="A2028" s="280" t="s">
        <v>1306</v>
      </c>
      <c r="B2028" s="281" t="s">
        <v>5327</v>
      </c>
      <c r="C2028" s="45" t="s">
        <v>5328</v>
      </c>
      <c r="D2028" s="45" t="s">
        <v>5329</v>
      </c>
      <c r="E2028" s="45" t="s">
        <v>5330</v>
      </c>
      <c r="F2028" s="187">
        <v>335.0</v>
      </c>
      <c r="G2028" s="180" t="str">
        <f>IFERROR(__xludf.DUMMYFUNCTION("TRIM(REGEXREPLACE(C2028, ""[0-9]+[a-f]?\."", """"))"),"Are there new members in the household since we last spoke to you? For reference, these are the members you mentioned:
 ${hoh_roster_list}")</f>
        <v>Are there new members in the household since we last spoke to you? For reference, these are the members you mentioned:
 ${hoh_roster_list}</v>
      </c>
      <c r="H2028" s="180" t="str">
        <f>IFERROR(__xludf.DUMMYFUNCTION("TRIM(REGEXREPLACE(D2028,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2028" s="180" t="str">
        <f>IFERROR(__xludf.DUMMYFUNCTION("TRIM(REGEXREPLACE(E2028,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2028" s="180" t="str">
        <f t="shared" ref="J2028:L2028" si="335">$F2028 &amp; ". "&amp;G2028</f>
        <v>335. Are there new members in the household since we last spoke to you? For reference, these are the members you mentioned:
 ${hoh_roster_list}</v>
      </c>
      <c r="K2028" s="180" t="str">
        <f t="shared" si="335"/>
        <v>335. Y a-t-il de nouveaux membres dans le foyer depuis notre dernière conversation ? Pour référence, voici les membres que vous avez mentionnés : 
 ${hoh_roster_list}</v>
      </c>
      <c r="L2028" s="180" t="str">
        <f t="shared" si="335"/>
        <v>335. Shin akwai sabbin membobi a gidan tun da muka yi magana da ku a ƙarshe? Don tunani, waɗannan su ne membobin da ka ambata: 
 ${hoh_roster_list}</v>
      </c>
    </row>
    <row r="2029">
      <c r="A2029" s="291" t="s">
        <v>268</v>
      </c>
      <c r="B2029" s="292" t="s">
        <v>5334</v>
      </c>
      <c r="C2029" s="45" t="s">
        <v>5335</v>
      </c>
      <c r="D2029" s="45" t="s">
        <v>5336</v>
      </c>
      <c r="E2029" s="45" t="s">
        <v>5337</v>
      </c>
      <c r="F2029" s="187">
        <v>336.0</v>
      </c>
      <c r="G2029" s="180" t="str">
        <f>IFERROR(__xludf.DUMMYFUNCTION("TRIM(REGEXREPLACE(C2029, ""[0-9]+[a-f]?\."", """"))"),"How many?")</f>
        <v>How many?</v>
      </c>
      <c r="H2029" s="180" t="str">
        <f>IFERROR(__xludf.DUMMYFUNCTION("TRIM(REGEXREPLACE(D2029, ""[0-9]+[a-f]?\."", """"))"),"Combien?")</f>
        <v>Combien?</v>
      </c>
      <c r="I2029" s="180" t="str">
        <f>IFERROR(__xludf.DUMMYFUNCTION("TRIM(REGEXREPLACE(E2029, ""[0-9]+[a-f]?\."", """"))"),"Nawa?")</f>
        <v>Nawa?</v>
      </c>
      <c r="J2029" s="180" t="str">
        <f t="shared" ref="J2029:L2029" si="336">$F2029 &amp; ". "&amp;G2029</f>
        <v>336. How many?</v>
      </c>
      <c r="K2029" s="180" t="str">
        <f t="shared" si="336"/>
        <v>336. Combien?</v>
      </c>
      <c r="L2029" s="180" t="str">
        <f t="shared" si="336"/>
        <v>336. Nawa?</v>
      </c>
    </row>
    <row r="2030" hidden="1">
      <c r="A2030" s="259"/>
      <c r="B2030" s="259"/>
      <c r="C2030" s="259"/>
      <c r="D2030" s="259"/>
      <c r="E2030" s="259"/>
    </row>
    <row r="2031" hidden="1">
      <c r="A2031" s="285" t="s">
        <v>426</v>
      </c>
      <c r="B2031" s="171" t="s">
        <v>5339</v>
      </c>
      <c r="C2031" s="171" t="s">
        <v>5340</v>
      </c>
      <c r="D2031" s="325"/>
      <c r="E2031" s="325"/>
    </row>
    <row r="2032" hidden="1">
      <c r="A2032" s="168" t="s">
        <v>68</v>
      </c>
      <c r="B2032" s="71" t="s">
        <v>5341</v>
      </c>
      <c r="C2032" s="289" t="s">
        <v>5343</v>
      </c>
      <c r="D2032" s="200"/>
      <c r="E2032" s="200"/>
    </row>
    <row r="2033" hidden="1">
      <c r="A2033" s="168" t="s">
        <v>68</v>
      </c>
      <c r="B2033" s="71" t="s">
        <v>5346</v>
      </c>
      <c r="C2033" s="200"/>
      <c r="D2033" s="200"/>
      <c r="E2033" s="200"/>
    </row>
    <row r="2034" hidden="1">
      <c r="A2034" s="168" t="s">
        <v>68</v>
      </c>
      <c r="B2034" s="71" t="s">
        <v>5347</v>
      </c>
      <c r="C2034" s="200"/>
      <c r="D2034" s="200"/>
      <c r="E2034" s="200"/>
    </row>
    <row r="2035" hidden="1">
      <c r="A2035" s="168" t="s">
        <v>68</v>
      </c>
      <c r="B2035" s="71" t="s">
        <v>5348</v>
      </c>
      <c r="C2035" s="200"/>
      <c r="D2035" s="200"/>
      <c r="E2035" s="200"/>
    </row>
    <row r="2036" hidden="1">
      <c r="A2036" s="298" t="s">
        <v>133</v>
      </c>
      <c r="B2036" s="299" t="s">
        <v>5349</v>
      </c>
      <c r="C2036" s="299" t="s">
        <v>5350</v>
      </c>
      <c r="D2036" s="300"/>
      <c r="E2036" s="300"/>
    </row>
    <row r="2037">
      <c r="A2037" s="282" t="s">
        <v>252</v>
      </c>
      <c r="B2037" s="283" t="s">
        <v>5351</v>
      </c>
      <c r="C2037" s="45" t="s">
        <v>5352</v>
      </c>
      <c r="D2037" s="45" t="s">
        <v>5353</v>
      </c>
      <c r="E2037" s="45" t="s">
        <v>5354</v>
      </c>
      <c r="F2037" s="187">
        <v>337.0</v>
      </c>
      <c r="G2037" s="180" t="str">
        <f>IFERROR(__xludf.DUMMYFUNCTION("TRIM(REGEXREPLACE(C2037, ""[0-9]+[a-f]?\."", """"))"),"What is the last name of ${hoh_hhtext}?")</f>
        <v>What is the last name of ${hoh_hhtext}?</v>
      </c>
      <c r="H2037" s="180" t="str">
        <f>IFERROR(__xludf.DUMMYFUNCTION("TRIM(REGEXREPLACE(D2037, ""[0-9]+[a-f]?\."", """"))"),"Quel est le nom de ${hoh_hhtextfrench} ?")</f>
        <v>Quel est le nom de ${hoh_hhtextfrench} ?</v>
      </c>
      <c r="I2037" s="180" t="str">
        <f>IFERROR(__xludf.DUMMYFUNCTION("TRIM(REGEXREPLACE(E2037, ""[0-9]+[a-f]?\."", """"))"),"Menene sunan uban ${hoh_hhtexthausa}?")</f>
        <v>Menene sunan uban ${hoh_hhtexthausa}?</v>
      </c>
      <c r="J2037" s="180" t="str">
        <f t="shared" ref="J2037:L2037" si="337">$F2037 &amp; ". "&amp;G2037</f>
        <v>337. What is the last name of ${hoh_hhtext}?</v>
      </c>
      <c r="K2037" s="180" t="str">
        <f t="shared" si="337"/>
        <v>337. Quel est le nom de ${hoh_hhtextfrench} ?</v>
      </c>
      <c r="L2037" s="180" t="str">
        <f t="shared" si="337"/>
        <v>337. Menene sunan uban ${hoh_hhtexthausa}?</v>
      </c>
    </row>
    <row r="2038">
      <c r="A2038" s="282" t="s">
        <v>252</v>
      </c>
      <c r="B2038" s="283" t="s">
        <v>5358</v>
      </c>
      <c r="C2038" s="45" t="s">
        <v>5359</v>
      </c>
      <c r="D2038" s="45" t="s">
        <v>5360</v>
      </c>
      <c r="E2038" s="45" t="s">
        <v>5361</v>
      </c>
      <c r="F2038" s="187">
        <v>338.0</v>
      </c>
      <c r="G2038" s="180" t="str">
        <f>IFERROR(__xludf.DUMMYFUNCTION("TRIM(REGEXREPLACE(C2038, ""[0-9]+[a-f]?\."", """"))"),"What is the first name of ${hoh_hhtext}?")</f>
        <v>What is the first name of ${hoh_hhtext}?</v>
      </c>
      <c r="H2038" s="180" t="str">
        <f>IFERROR(__xludf.DUMMYFUNCTION("TRIM(REGEXREPLACE(D2038, ""[0-9]+[a-f]?\."", """"))"),"Quel est le prenom de cette personne ${hoh_hhtextfrench} ?")</f>
        <v>Quel est le prenom de cette personne ${hoh_hhtextfrench} ?</v>
      </c>
      <c r="I2038" s="180" t="str">
        <f>IFERROR(__xludf.DUMMYFUNCTION("TRIM(REGEXREPLACE(E2038, ""[0-9]+[a-f]?\."", """"))"),"Menene sunan ${hoh_hhtexthausa}?")</f>
        <v>Menene sunan ${hoh_hhtexthausa}?</v>
      </c>
      <c r="J2038" s="180" t="str">
        <f t="shared" ref="J2038:L2038" si="338">$F2038 &amp; ". "&amp;G2038</f>
        <v>338. What is the first name of ${hoh_hhtext}?</v>
      </c>
      <c r="K2038" s="180" t="str">
        <f t="shared" si="338"/>
        <v>338. Quel est le prenom de cette personne ${hoh_hhtextfrench} ?</v>
      </c>
      <c r="L2038" s="180" t="str">
        <f t="shared" si="338"/>
        <v>338. Menene sunan ${hoh_hhtexthausa}?</v>
      </c>
    </row>
    <row r="2039" hidden="1">
      <c r="A2039" s="298" t="s">
        <v>237</v>
      </c>
      <c r="B2039" s="310" t="s">
        <v>5349</v>
      </c>
      <c r="C2039" s="303"/>
      <c r="D2039" s="303"/>
      <c r="E2039" s="303"/>
    </row>
    <row r="2040" hidden="1">
      <c r="A2040" s="168" t="s">
        <v>68</v>
      </c>
      <c r="B2040" s="71" t="s">
        <v>5368</v>
      </c>
      <c r="C2040" s="200"/>
      <c r="D2040" s="200"/>
      <c r="E2040" s="200"/>
    </row>
    <row r="2041">
      <c r="A2041" s="280" t="s">
        <v>5369</v>
      </c>
      <c r="B2041" s="281" t="s">
        <v>5370</v>
      </c>
      <c r="C2041" s="45" t="s">
        <v>5371</v>
      </c>
      <c r="D2041" s="45" t="s">
        <v>5372</v>
      </c>
      <c r="E2041" s="45" t="s">
        <v>5373</v>
      </c>
      <c r="F2041" s="187">
        <v>339.0</v>
      </c>
      <c r="G2041" s="180" t="str">
        <f>IFERROR(__xludf.DUMMYFUNCTION("TRIM(REGEXREPLACE(C2041, ""[0-9]+[a-f]?\."", """"))"),"What is ${hoh_new_mem_name}'s relationship to you, the household head?")</f>
        <v>What is ${hoh_new_mem_name}'s relationship to you, the household head?</v>
      </c>
      <c r="H2041" s="180" t="str">
        <f>IFERROR(__xludf.DUMMYFUNCTION("TRIM(REGEXREPLACE(D2041, ""[0-9]+[a-f]?\."", """"))"),"Quelle est la relation entre ${hoh_new_mem_name} et vous, le chef de ménage ?")</f>
        <v>Quelle est la relation entre ${hoh_new_mem_name} et vous, le chef de ménage ?</v>
      </c>
      <c r="I2041" s="180" t="str">
        <f>IFERROR(__xludf.DUMMYFUNCTION("TRIM(REGEXREPLACE(E2041, ""[0-9]+[a-f]?\."", """"))"),"Menene alaƙa tsakanin ${hoh_new_mem_name} da, mai gida?")</f>
        <v>Menene alaƙa tsakanin ${hoh_new_mem_name} da, mai gida?</v>
      </c>
      <c r="J2041" s="180" t="str">
        <f t="shared" ref="J2041:L2041" si="339">$F2041 &amp; ". "&amp;G2041</f>
        <v>339. What is ${hoh_new_mem_name}'s relationship to you, the household head?</v>
      </c>
      <c r="K2041" s="180" t="str">
        <f t="shared" si="339"/>
        <v>339. Quelle est la relation entre ${hoh_new_mem_name} et vous, le chef de ménage ?</v>
      </c>
      <c r="L2041" s="180" t="str">
        <f t="shared" si="339"/>
        <v>339. Menene alaƙa tsakanin ${hoh_new_mem_name} da, mai gida?</v>
      </c>
    </row>
    <row r="2042">
      <c r="A2042" s="280" t="s">
        <v>5379</v>
      </c>
      <c r="B2042" s="281" t="s">
        <v>5381</v>
      </c>
      <c r="C2042" s="45" t="s">
        <v>5382</v>
      </c>
      <c r="D2042" s="45" t="s">
        <v>5383</v>
      </c>
      <c r="E2042" s="45" t="s">
        <v>5384</v>
      </c>
      <c r="F2042" s="187">
        <v>340.0</v>
      </c>
      <c r="G2042" s="180" t="str">
        <f>IFERROR(__xludf.DUMMYFUNCTION("TRIM(REGEXREPLACE(C2042, ""[0-9]+[a-f]?\."", """"))"),"What is ${hoh_new_mem_name}'s sex?")</f>
        <v>What is ${hoh_new_mem_name}'s sex?</v>
      </c>
      <c r="H2042" s="180" t="str">
        <f>IFERROR(__xludf.DUMMYFUNCTION("TRIM(REGEXREPLACE(D2042, ""[0-9]+[a-f]?\."", """"))"),"Quel est le sexe de ${hoh_new_mem_name} ?")</f>
        <v>Quel est le sexe de ${hoh_new_mem_name} ?</v>
      </c>
      <c r="I2042" s="180" t="str">
        <f>IFERROR(__xludf.DUMMYFUNCTION("TRIM(REGEXREPLACE(E2042, ""[0-9]+[a-f]?\."", """"))"),"Menene jinsin ${hoh_new_mem_name}?")</f>
        <v>Menene jinsin ${hoh_new_mem_name}?</v>
      </c>
      <c r="J2042" s="180" t="str">
        <f t="shared" ref="J2042:L2042" si="340">$F2042 &amp; ". "&amp;G2042</f>
        <v>340. What is ${hoh_new_mem_name}'s sex?</v>
      </c>
      <c r="K2042" s="180" t="str">
        <f t="shared" si="340"/>
        <v>340. Quel est le sexe de ${hoh_new_mem_name} ?</v>
      </c>
      <c r="L2042" s="180" t="str">
        <f t="shared" si="340"/>
        <v>340. Menene jinsin ${hoh_new_mem_name}?</v>
      </c>
    </row>
    <row r="2043">
      <c r="A2043" s="291" t="s">
        <v>268</v>
      </c>
      <c r="B2043" s="292" t="s">
        <v>5385</v>
      </c>
      <c r="C2043" s="45" t="s">
        <v>5386</v>
      </c>
      <c r="D2043" s="45" t="s">
        <v>5387</v>
      </c>
      <c r="E2043" s="45" t="s">
        <v>5388</v>
      </c>
      <c r="F2043" s="187">
        <v>341.0</v>
      </c>
      <c r="G2043" s="180" t="str">
        <f>IFERROR(__xludf.DUMMYFUNCTION("TRIM(REGEXREPLACE(C2043, ""[0-9]+[a-f]?\."", """"))"),"What is ${hoh_new_mem_name}'s age?")</f>
        <v>What is ${hoh_new_mem_name}'s age?</v>
      </c>
      <c r="H2043" s="180" t="str">
        <f>IFERROR(__xludf.DUMMYFUNCTION("TRIM(REGEXREPLACE(D2043, ""[0-9]+[a-f]?\."", """"))"),"Quel âge a ${hoh_new_mem_name} ?")</f>
        <v>Quel âge a ${hoh_new_mem_name} ?</v>
      </c>
      <c r="I2043" s="180" t="str">
        <f>IFERROR(__xludf.DUMMYFUNCTION("TRIM(REGEXREPLACE(E2043, ""[0-9]+[a-f]?\."", """"))"),"${hoh_new_mem_name} Shekarun shi/ta nawa?")</f>
        <v>${hoh_new_mem_name} Shekarun shi/ta nawa?</v>
      </c>
      <c r="J2043" s="180" t="str">
        <f t="shared" ref="J2043:L2043" si="341">$F2043 &amp; ". "&amp;G2043</f>
        <v>341. What is ${hoh_new_mem_name}'s age?</v>
      </c>
      <c r="K2043" s="180" t="str">
        <f t="shared" si="341"/>
        <v>341. Quel âge a ${hoh_new_mem_name} ?</v>
      </c>
      <c r="L2043" s="180" t="str">
        <f t="shared" si="341"/>
        <v>341. ${hoh_new_mem_name} Shekarun shi/ta nawa?</v>
      </c>
    </row>
    <row r="2044" hidden="1">
      <c r="A2044" s="285" t="s">
        <v>468</v>
      </c>
      <c r="B2044" s="185" t="s">
        <v>5339</v>
      </c>
      <c r="C2044" s="185" t="s">
        <v>5340</v>
      </c>
      <c r="D2044" s="326"/>
      <c r="E2044" s="326"/>
    </row>
    <row r="2045" hidden="1">
      <c r="A2045" s="168" t="s">
        <v>127</v>
      </c>
      <c r="B2045" s="71" t="s">
        <v>5392</v>
      </c>
      <c r="C2045" s="200"/>
      <c r="D2045" s="200"/>
      <c r="E2045" s="200"/>
    </row>
    <row r="2046" hidden="1">
      <c r="A2046" s="168" t="s">
        <v>68</v>
      </c>
      <c r="B2046" s="71" t="s">
        <v>5394</v>
      </c>
      <c r="C2046" s="200"/>
      <c r="D2046" s="200"/>
      <c r="E2046" s="200"/>
    </row>
    <row r="2047" hidden="1">
      <c r="A2047" s="168" t="s">
        <v>68</v>
      </c>
      <c r="B2047" s="71" t="s">
        <v>5396</v>
      </c>
      <c r="C2047" s="200"/>
      <c r="D2047" s="200"/>
      <c r="E2047" s="200"/>
    </row>
    <row r="2048">
      <c r="A2048" s="278" t="s">
        <v>38</v>
      </c>
      <c r="B2048" s="279" t="s">
        <v>5398</v>
      </c>
      <c r="C2048" s="45" t="s">
        <v>5400</v>
      </c>
      <c r="D2048" s="45" t="s">
        <v>5402</v>
      </c>
      <c r="E2048" s="45" t="s">
        <v>5404</v>
      </c>
      <c r="F2048" s="187">
        <v>342.0</v>
      </c>
      <c r="G2048" s="180" t="str">
        <f>IFERROR(__xludf.DUMMYFUNCTION("TRIM(REGEXREPLACE(C2048, ""[0-9]+[a-f]?\."", """"))"),"I want to ask a few questions about the members of your household who are currently residing here.")</f>
        <v>I want to ask a few questions about the members of your household who are currently residing here.</v>
      </c>
      <c r="H2048" s="180" t="str">
        <f>IFERROR(__xludf.DUMMYFUNCTION("TRIM(REGEXREPLACE(D2048, ""[0-9]+[a-f]?\."", """"))"),"Je veux poser quelques questions sur les membres de votre ménage qui résident actuellement ici.")</f>
        <v>Je veux poser quelques questions sur les membres de votre ménage qui résident actuellement ici.</v>
      </c>
      <c r="I2048" s="180" t="str">
        <f>IFERROR(__xludf.DUMMYFUNCTION("TRIM(REGEXREPLACE(E2048, ""[0-9]+[a-f]?\."", """"))"),"Ina so in muku ƴan tambayoyi bisa yan gidanku da ke zaune a gida a yanzu.")</f>
        <v>Ina so in muku ƴan tambayoyi bisa yan gidanku da ke zaune a gida a yanzu.</v>
      </c>
      <c r="J2048" s="180" t="str">
        <f t="shared" ref="J2048:L2048" si="342">$F2048 &amp; ". "&amp;G2048</f>
        <v>342. I want to ask a few questions about the members of your household who are currently residing here.</v>
      </c>
      <c r="K2048" s="180" t="str">
        <f t="shared" si="342"/>
        <v>342. Je veux poser quelques questions sur les membres de votre ménage qui résident actuellement ici.</v>
      </c>
      <c r="L2048" s="180" t="str">
        <f t="shared" si="342"/>
        <v>342. Ina so in muku ƴan tambayoyi bisa yan gidanku da ke zaune a gida a yanzu.</v>
      </c>
    </row>
    <row r="2049" hidden="1">
      <c r="A2049" s="259"/>
      <c r="B2049" s="259"/>
      <c r="C2049" s="259"/>
      <c r="D2049" s="259"/>
      <c r="E2049" s="259"/>
    </row>
    <row r="2050" hidden="1">
      <c r="A2050" s="285" t="s">
        <v>426</v>
      </c>
      <c r="B2050" s="171" t="s">
        <v>5405</v>
      </c>
      <c r="C2050" s="171" t="s">
        <v>5406</v>
      </c>
      <c r="D2050" s="325"/>
      <c r="E2050" s="325"/>
    </row>
    <row r="2051" hidden="1">
      <c r="A2051" s="168" t="s">
        <v>127</v>
      </c>
      <c r="B2051" s="71" t="s">
        <v>5407</v>
      </c>
      <c r="C2051" s="200"/>
      <c r="D2051" s="200"/>
      <c r="E2051" s="200"/>
    </row>
    <row r="2052" hidden="1">
      <c r="A2052" s="168" t="s">
        <v>68</v>
      </c>
      <c r="B2052" s="71" t="s">
        <v>5410</v>
      </c>
      <c r="C2052" s="200"/>
      <c r="D2052" s="200"/>
      <c r="E2052" s="200"/>
    </row>
    <row r="2053" hidden="1">
      <c r="A2053" s="168" t="s">
        <v>68</v>
      </c>
      <c r="B2053" s="71" t="s">
        <v>5412</v>
      </c>
      <c r="C2053" s="289" t="s">
        <v>5413</v>
      </c>
      <c r="D2053" s="200"/>
      <c r="E2053" s="200"/>
    </row>
    <row r="2054" hidden="1">
      <c r="A2054" s="168" t="s">
        <v>68</v>
      </c>
      <c r="B2054" s="71" t="s">
        <v>5417</v>
      </c>
      <c r="C2054" s="289" t="s">
        <v>5418</v>
      </c>
      <c r="D2054" s="200"/>
      <c r="E2054" s="200"/>
    </row>
    <row r="2055" hidden="1">
      <c r="A2055" s="168" t="s">
        <v>68</v>
      </c>
      <c r="B2055" s="71" t="s">
        <v>5419</v>
      </c>
      <c r="C2055" s="289" t="s">
        <v>5420</v>
      </c>
      <c r="D2055" s="200"/>
      <c r="E2055" s="200"/>
    </row>
    <row r="2056" hidden="1">
      <c r="A2056" s="168" t="s">
        <v>68</v>
      </c>
      <c r="B2056" s="71" t="s">
        <v>5421</v>
      </c>
      <c r="C2056" s="200"/>
      <c r="D2056" s="200"/>
      <c r="E2056" s="200"/>
    </row>
    <row r="2057" hidden="1">
      <c r="A2057" s="168" t="s">
        <v>68</v>
      </c>
      <c r="B2057" s="71" t="s">
        <v>5422</v>
      </c>
      <c r="C2057" s="289" t="s">
        <v>5423</v>
      </c>
      <c r="D2057" s="200"/>
      <c r="E2057" s="200"/>
    </row>
    <row r="2058" hidden="1">
      <c r="A2058" s="168" t="s">
        <v>68</v>
      </c>
      <c r="B2058" s="71" t="s">
        <v>5426</v>
      </c>
      <c r="C2058" s="289" t="s">
        <v>5428</v>
      </c>
      <c r="D2058" s="200"/>
      <c r="E2058" s="200"/>
    </row>
    <row r="2059" hidden="1">
      <c r="A2059" s="168" t="s">
        <v>68</v>
      </c>
      <c r="B2059" s="71" t="s">
        <v>5429</v>
      </c>
      <c r="C2059" s="289" t="s">
        <v>5430</v>
      </c>
      <c r="D2059" s="200"/>
      <c r="E2059" s="200"/>
    </row>
    <row r="2060" hidden="1">
      <c r="A2060" s="168" t="s">
        <v>68</v>
      </c>
      <c r="B2060" s="71" t="s">
        <v>5431</v>
      </c>
      <c r="C2060" s="200"/>
      <c r="D2060" s="200"/>
      <c r="E2060" s="200"/>
    </row>
    <row r="2061" hidden="1">
      <c r="A2061" s="168" t="s">
        <v>68</v>
      </c>
      <c r="B2061" s="71" t="s">
        <v>5435</v>
      </c>
      <c r="C2061" s="200"/>
      <c r="D2061" s="200"/>
      <c r="E2061" s="200"/>
    </row>
    <row r="2062" hidden="1">
      <c r="A2062" s="168" t="s">
        <v>68</v>
      </c>
      <c r="B2062" s="71" t="s">
        <v>5438</v>
      </c>
      <c r="C2062" s="200"/>
      <c r="D2062" s="200"/>
      <c r="E2062" s="200"/>
    </row>
    <row r="2063">
      <c r="A2063" s="278" t="s">
        <v>38</v>
      </c>
      <c r="B2063" s="279" t="s">
        <v>5440</v>
      </c>
      <c r="C2063" s="45" t="s">
        <v>5441</v>
      </c>
      <c r="D2063" s="45" t="s">
        <v>5441</v>
      </c>
      <c r="E2063" s="45" t="s">
        <v>5441</v>
      </c>
      <c r="F2063" s="187">
        <v>343.0</v>
      </c>
      <c r="G2063" s="180" t="str">
        <f>IFERROR(__xludf.DUMMYFUNCTION("TRIM(REGEXREPLACE(C2063, ""[0-9]+[a-f]?\."", """"))"),"${hoh_roster_name}
 Sex: ${hoh_roster_sex}
 Age: ${hoh_roster_age}")</f>
        <v>${hoh_roster_name}
 Sex: ${hoh_roster_sex}
 Age: ${hoh_roster_age}</v>
      </c>
      <c r="H2063" s="180" t="str">
        <f>IFERROR(__xludf.DUMMYFUNCTION("TRIM(REGEXREPLACE(D2063, ""[0-9]+[a-f]?\."", """"))"),"${hoh_roster_name}
 Sex: ${hoh_roster_sex}
 Age: ${hoh_roster_age}")</f>
        <v>${hoh_roster_name}
 Sex: ${hoh_roster_sex}
 Age: ${hoh_roster_age}</v>
      </c>
      <c r="I2063" s="180" t="str">
        <f>IFERROR(__xludf.DUMMYFUNCTION("TRIM(REGEXREPLACE(E2063, ""[0-9]+[a-f]?\."", """"))"),"${hoh_roster_name}
 Sex: ${hoh_roster_sex}
 Age: ${hoh_roster_age}")</f>
        <v>${hoh_roster_name}
 Sex: ${hoh_roster_sex}
 Age: ${hoh_roster_age}</v>
      </c>
      <c r="J2063" s="180" t="str">
        <f t="shared" ref="J2063:L2063" si="343">$F2063 &amp; ". "&amp;G2063</f>
        <v>343. ${hoh_roster_name}
 Sex: ${hoh_roster_sex}
 Age: ${hoh_roster_age}</v>
      </c>
      <c r="K2063" s="180" t="str">
        <f t="shared" si="343"/>
        <v>343. ${hoh_roster_name}
 Sex: ${hoh_roster_sex}
 Age: ${hoh_roster_age}</v>
      </c>
      <c r="L2063" s="180" t="str">
        <f t="shared" si="343"/>
        <v>343. ${hoh_roster_name}
 Sex: ${hoh_roster_sex}
 Age: ${hoh_roster_age}</v>
      </c>
    </row>
    <row r="2064">
      <c r="A2064" s="280" t="s">
        <v>2509</v>
      </c>
      <c r="B2064" s="281" t="s">
        <v>5446</v>
      </c>
      <c r="C2064" s="45" t="s">
        <v>3080</v>
      </c>
      <c r="D2064" s="45" t="s">
        <v>3081</v>
      </c>
      <c r="E2064" s="45" t="s">
        <v>3082</v>
      </c>
      <c r="F2064" s="187">
        <v>344.0</v>
      </c>
      <c r="G2064" s="180" t="str">
        <f>IFERROR(__xludf.DUMMYFUNCTION("TRIM(REGEXREPLACE(C2064, ""[0-9]+[a-f]?\."", """"))"),"Is ${hoh_roster_name} a Nigerien national?")</f>
        <v>Is ${hoh_roster_name} a Nigerien national?</v>
      </c>
      <c r="H2064" s="180" t="str">
        <f>IFERROR(__xludf.DUMMYFUNCTION("TRIM(REGEXREPLACE(D2064, ""[0-9]+[a-f]?\."", """"))"),"${hoh_roster_name} est-il un citoyen(ne) du Niger ?")</f>
        <v>${hoh_roster_name} est-il un citoyen(ne) du Niger ?</v>
      </c>
      <c r="I2064" s="180" t="str">
        <f>IFERROR(__xludf.DUMMYFUNCTION("TRIM(REGEXREPLACE(E2064, ""[0-9]+[a-f]?\."", """"))"),"Ko ${hoh_roster_name} ɗan ƙasar Nijar ne?")</f>
        <v>Ko ${hoh_roster_name} ɗan ƙasar Nijar ne?</v>
      </c>
      <c r="J2064" s="180" t="str">
        <f t="shared" ref="J2064:L2064" si="344">$F2064 &amp; ". "&amp;G2064</f>
        <v>344. Is ${hoh_roster_name} a Nigerien national?</v>
      </c>
      <c r="K2064" s="180" t="str">
        <f t="shared" si="344"/>
        <v>344. ${hoh_roster_name} est-il un citoyen(ne) du Niger ?</v>
      </c>
      <c r="L2064" s="180" t="str">
        <f t="shared" si="344"/>
        <v>344. Ko ${hoh_roster_name} ɗan ƙasar Nijar ne?</v>
      </c>
    </row>
    <row r="2065">
      <c r="A2065" s="280" t="s">
        <v>2520</v>
      </c>
      <c r="B2065" s="281" t="s">
        <v>5449</v>
      </c>
      <c r="C2065" s="45" t="s">
        <v>3084</v>
      </c>
      <c r="D2065" s="45" t="s">
        <v>3085</v>
      </c>
      <c r="E2065" s="45" t="s">
        <v>3086</v>
      </c>
      <c r="F2065" s="187">
        <v>345.0</v>
      </c>
      <c r="G2065" s="180" t="str">
        <f>IFERROR(__xludf.DUMMYFUNCTION("TRIM(REGEXREPLACE(C2065, ""[0-9]+[a-f]?\."", """"))"),"Where are they a cititzen of?")</f>
        <v>Where are they a cititzen of?</v>
      </c>
      <c r="H2065" s="180" t="str">
        <f>IFERROR(__xludf.DUMMYFUNCTION("TRIM(REGEXREPLACE(D2065, ""[0-9]+[a-f]?\."", """"))"),"D'où sont-ils citoyens ?")</f>
        <v>D'où sont-ils citoyens ?</v>
      </c>
      <c r="I2065" s="180" t="str">
        <f>IFERROR(__xludf.DUMMYFUNCTION("TRIM(REGEXREPLACE(E2065, ""[0-9]+[a-f]?\."", """"))"),"Ƴan wace ƙasa ce?")</f>
        <v>Ƴan wace ƙasa ce?</v>
      </c>
      <c r="J2065" s="180" t="str">
        <f t="shared" ref="J2065:L2065" si="345">$F2065 &amp; ". "&amp;G2065</f>
        <v>345. Where are they a cititzen of?</v>
      </c>
      <c r="K2065" s="180" t="str">
        <f t="shared" si="345"/>
        <v>345. D'où sont-ils citoyens ?</v>
      </c>
      <c r="L2065" s="180" t="str">
        <f t="shared" si="345"/>
        <v>345. Ƴan wace ƙasa ce?</v>
      </c>
    </row>
    <row r="2066">
      <c r="A2066" s="282" t="s">
        <v>252</v>
      </c>
      <c r="B2066" s="283" t="s">
        <v>5454</v>
      </c>
      <c r="C2066" s="45" t="s">
        <v>3093</v>
      </c>
      <c r="D2066" s="45" t="s">
        <v>3094</v>
      </c>
      <c r="E2066" s="45" t="s">
        <v>3095</v>
      </c>
      <c r="F2066" s="187">
        <v>346.0</v>
      </c>
      <c r="G2066" s="180" t="str">
        <f>IFERROR(__xludf.DUMMYFUNCTION("TRIM(REGEXREPLACE(C2066, ""[0-9]+[a-f]?\."", """"))"),"Please enter the nationality of ${hoh_roster_name}")</f>
        <v>Please enter the nationality of ${hoh_roster_name}</v>
      </c>
      <c r="H2066" s="180" t="str">
        <f>IFERROR(__xludf.DUMMYFUNCTION("TRIM(REGEXREPLACE(D2066, ""[0-9]+[a-f]?\."", """"))"),"Veuillez saisir la nationalité de ${hoh_roster_name}")</f>
        <v>Veuillez saisir la nationalité de ${hoh_roster_name}</v>
      </c>
      <c r="I2066" s="180" t="str">
        <f>IFERROR(__xludf.DUMMYFUNCTION("TRIM(REGEXREPLACE(E2066, ""[0-9]+[a-f]?\."", """"))"),"Da fatan za a shigar da ƙasar ${hoh_roster_name}")</f>
        <v>Da fatan za a shigar da ƙasar ${hoh_roster_name}</v>
      </c>
      <c r="J2066" s="180" t="str">
        <f t="shared" ref="J2066:L2066" si="346">$F2066 &amp; ". "&amp;G2066</f>
        <v>346. Please enter the nationality of ${hoh_roster_name}</v>
      </c>
      <c r="K2066" s="180" t="str">
        <f t="shared" si="346"/>
        <v>346. Veuillez saisir la nationalité de ${hoh_roster_name}</v>
      </c>
      <c r="L2066" s="180" t="str">
        <f t="shared" si="346"/>
        <v>346. Da fatan za a shigar da ƙasar ${hoh_roster_name}</v>
      </c>
    </row>
    <row r="2067">
      <c r="A2067" s="280" t="s">
        <v>1306</v>
      </c>
      <c r="B2067" s="281" t="s">
        <v>5455</v>
      </c>
      <c r="C2067" s="45" t="s">
        <v>3096</v>
      </c>
      <c r="D2067" s="45" t="s">
        <v>3097</v>
      </c>
      <c r="E2067" s="45" t="s">
        <v>3098</v>
      </c>
      <c r="F2067" s="187">
        <v>347.0</v>
      </c>
      <c r="G2067" s="180" t="str">
        <f>IFERROR(__xludf.DUMMYFUNCTION("TRIM(REGEXREPLACE(C2067, ""[0-9]+[a-f]?\."", """"))"),"Is ${hoh_roster_name} still a member of this household?")</f>
        <v>Is ${hoh_roster_name} still a member of this household?</v>
      </c>
      <c r="H2067" s="180" t="str">
        <f>IFERROR(__xludf.DUMMYFUNCTION("TRIM(REGEXREPLACE(D2067, ""[0-9]+[a-f]?\."", """"))"),"${hoh_roster_name} est-il toujours membre de ce ménage ?")</f>
        <v>${hoh_roster_name} est-il toujours membre de ce ménage ?</v>
      </c>
      <c r="I2067" s="180" t="str">
        <f>IFERROR(__xludf.DUMMYFUNCTION("TRIM(REGEXREPLACE(E2067, ""[0-9]+[a-f]?\."", """"))"),"Ko suna yana cikin ƴan gidan nan?")</f>
        <v>Ko suna yana cikin ƴan gidan nan?</v>
      </c>
      <c r="J2067" s="180" t="str">
        <f t="shared" ref="J2067:L2067" si="347">$F2067 &amp; ". "&amp;G2067</f>
        <v>347. Is ${hoh_roster_name} still a member of this household?</v>
      </c>
      <c r="K2067" s="180" t="str">
        <f t="shared" si="347"/>
        <v>347. ${hoh_roster_name} est-il toujours membre de ce ménage ?</v>
      </c>
      <c r="L2067" s="180" t="str">
        <f t="shared" si="347"/>
        <v>347. Ko suna yana cikin ƴan gidan nan?</v>
      </c>
    </row>
    <row r="2068">
      <c r="A2068" s="280" t="s">
        <v>5459</v>
      </c>
      <c r="B2068" s="281" t="s">
        <v>5460</v>
      </c>
      <c r="C2068" s="45" t="s">
        <v>3101</v>
      </c>
      <c r="D2068" s="45" t="s">
        <v>3102</v>
      </c>
      <c r="E2068" s="45" t="s">
        <v>3104</v>
      </c>
      <c r="F2068" s="187">
        <v>348.0</v>
      </c>
      <c r="G2068" s="180" t="str">
        <f>IFERROR(__xludf.DUMMYFUNCTION("TRIM(REGEXREPLACE(C2068, ""[0-9]+[a-f]?\."", """"))"),"Why are they not a member of this household?")</f>
        <v>Why are they not a member of this household?</v>
      </c>
      <c r="H2068" s="180" t="str">
        <f>IFERROR(__xludf.DUMMYFUNCTION("TRIM(REGEXREPLACE(D2068, ""[0-9]+[a-f]?\."", """"))"),"Pourquoi ne font-ils pas partie de ce ménage ?")</f>
        <v>Pourquoi ne font-ils pas partie de ce ménage ?</v>
      </c>
      <c r="I2068" s="180" t="str">
        <f>IFERROR(__xludf.DUMMYFUNCTION("TRIM(REGEXREPLACE(E2068, ""[0-9]+[a-f]?\."", """"))"),"Me ya sa ba su cikin ƴan gidan nan ?")</f>
        <v>Me ya sa ba su cikin ƴan gidan nan ?</v>
      </c>
      <c r="J2068" s="180" t="str">
        <f t="shared" ref="J2068:L2068" si="348">$F2068 &amp; ". "&amp;G2068</f>
        <v>348. Why are they not a member of this household?</v>
      </c>
      <c r="K2068" s="180" t="str">
        <f t="shared" si="348"/>
        <v>348. Pourquoi ne font-ils pas partie de ce ménage ?</v>
      </c>
      <c r="L2068" s="180" t="str">
        <f t="shared" si="348"/>
        <v>348. Me ya sa ba su cikin ƴan gidan nan ?</v>
      </c>
    </row>
    <row r="2069">
      <c r="A2069" s="282" t="s">
        <v>252</v>
      </c>
      <c r="B2069" s="283" t="s">
        <v>5461</v>
      </c>
      <c r="C2069" s="45" t="s">
        <v>3111</v>
      </c>
      <c r="D2069" s="45" t="s">
        <v>3112</v>
      </c>
      <c r="E2069" s="45" t="s">
        <v>3113</v>
      </c>
      <c r="F2069" s="187">
        <v>349.0</v>
      </c>
      <c r="G2069" s="180" t="str">
        <f>IFERROR(__xludf.DUMMYFUNCTION("TRIM(REGEXREPLACE(C2069, ""[0-9]+[a-f]?\."", """"))"),"Other, specify:")</f>
        <v>Other, specify:</v>
      </c>
      <c r="H2069" s="180" t="str">
        <f>IFERROR(__xludf.DUMMYFUNCTION("TRIM(REGEXREPLACE(D2069, ""[0-9]+[a-f]?\."", """"))"),"Autre précisez:")</f>
        <v>Autre précisez:</v>
      </c>
      <c r="I2069" s="180" t="str">
        <f>IFERROR(__xludf.DUMMYFUNCTION("TRIM(REGEXREPLACE(E2069, ""[0-9]+[a-f]?\."", """"))"),"Sauran, bayar da cikakkun bayanai:")</f>
        <v>Sauran, bayar da cikakkun bayanai:</v>
      </c>
      <c r="J2069" s="180" t="str">
        <f t="shared" ref="J2069:L2069" si="349">$F2069 &amp; ". "&amp;G2069</f>
        <v>349. Other, specify:</v>
      </c>
      <c r="K2069" s="180" t="str">
        <f t="shared" si="349"/>
        <v>349. Autre précisez:</v>
      </c>
      <c r="L2069" s="180" t="str">
        <f t="shared" si="349"/>
        <v>349. Sauran, bayar da cikakkun bayanai:</v>
      </c>
    </row>
    <row r="2070">
      <c r="A2070" s="282" t="s">
        <v>252</v>
      </c>
      <c r="B2070" s="283" t="s">
        <v>5465</v>
      </c>
      <c r="C2070" s="45" t="s">
        <v>5466</v>
      </c>
      <c r="D2070" s="45" t="s">
        <v>5467</v>
      </c>
      <c r="E2070" s="45" t="s">
        <v>5467</v>
      </c>
      <c r="F2070" s="187">
        <v>350.0</v>
      </c>
      <c r="G2070" s="180" t="str">
        <f>IFERROR(__xludf.DUMMYFUNCTION("TRIM(REGEXREPLACE(C2070, ""[0-9]+[a-f]?\."", """"))"),"Enumerator: Record any details about the death of the family member")</f>
        <v>Enumerator: Record any details about the death of the family member</v>
      </c>
      <c r="H2070" s="180" t="str">
        <f>IFERROR(__xludf.DUMMYFUNCTION("TRIM(REGEXREPLACE(D2070, ""[0-9]+[a-f]?\."", """"))"),"Enqueteur: Veuillez noter toute information pertinente concernant le décès")</f>
        <v>Enqueteur: Veuillez noter toute information pertinente concernant le décès</v>
      </c>
      <c r="I2070" s="180" t="str">
        <f>IFERROR(__xludf.DUMMYFUNCTION("TRIM(REGEXREPLACE(E2070, ""[0-9]+[a-f]?\."", """"))"),"Enqueteur: Veuillez noter toute information pertinente concernant le décès")</f>
        <v>Enqueteur: Veuillez noter toute information pertinente concernant le décès</v>
      </c>
      <c r="J2070" s="180" t="str">
        <f t="shared" ref="J2070:L2070" si="350">$F2070 &amp; ". "&amp;G2070</f>
        <v>350. Enumerator: Record any details about the death of the family member</v>
      </c>
      <c r="K2070" s="180" t="str">
        <f t="shared" si="350"/>
        <v>350. Enqueteur: Veuillez noter toute information pertinente concernant le décès</v>
      </c>
      <c r="L2070" s="180" t="str">
        <f t="shared" si="350"/>
        <v>350. Enqueteur: Veuillez noter toute information pertinente concernant le décès</v>
      </c>
    </row>
    <row r="2071">
      <c r="A2071" s="280" t="s">
        <v>1306</v>
      </c>
      <c r="B2071" s="281" t="s">
        <v>5468</v>
      </c>
      <c r="C2071" s="45" t="s">
        <v>5470</v>
      </c>
      <c r="D2071" s="45" t="s">
        <v>5472</v>
      </c>
      <c r="E2071" s="45" t="s">
        <v>5474</v>
      </c>
      <c r="F2071" s="187">
        <v>351.0</v>
      </c>
      <c r="G2071" s="180" t="str">
        <f>IFERROR(__xludf.DUMMYFUNCTION("TRIM(REGEXREPLACE(C2071, ""[0-9]+[a-f]?\."", """"))"),"Is ${hoh_roster_name} currently living in your household?")</f>
        <v>Is ${hoh_roster_name} currently living in your household?</v>
      </c>
      <c r="H2071" s="180" t="str">
        <f>IFERROR(__xludf.DUMMYFUNCTION("TRIM(REGEXREPLACE(D2071, ""[0-9]+[a-f]?\."", """"))"),"Est-ce que ${hoh_roster_name} vit actuellement dans votre ménage ?")</f>
        <v>Est-ce que ${hoh_roster_name} vit actuellement dans votre ménage ?</v>
      </c>
      <c r="I2071" s="180" t="str">
        <f>IFERROR(__xludf.DUMMYFUNCTION("TRIM(REGEXREPLACE(E2071, ""[0-9]+[a-f]?\."", """"))"),"Ko ${hoh_roster_name} yana zaune a gidanku a halin yanzu ?")</f>
        <v>Ko ${hoh_roster_name} yana zaune a gidanku a halin yanzu ?</v>
      </c>
      <c r="J2071" s="180" t="str">
        <f t="shared" ref="J2071:L2071" si="351">$F2071 &amp; ". "&amp;G2071</f>
        <v>351. Is ${hoh_roster_name} currently living in your household?</v>
      </c>
      <c r="K2071" s="180" t="str">
        <f t="shared" si="351"/>
        <v>351. Est-ce que ${hoh_roster_name} vit actuellement dans votre ménage ?</v>
      </c>
      <c r="L2071" s="180" t="str">
        <f t="shared" si="351"/>
        <v>351. Ko ${hoh_roster_name} yana zaune a gidanku a halin yanzu ?</v>
      </c>
    </row>
    <row r="2072">
      <c r="A2072" s="280" t="s">
        <v>2509</v>
      </c>
      <c r="B2072" s="281" t="s">
        <v>5476</v>
      </c>
      <c r="C2072" s="45" t="s">
        <v>5477</v>
      </c>
      <c r="D2072" s="45" t="s">
        <v>5478</v>
      </c>
      <c r="E2072" s="45" t="s">
        <v>5480</v>
      </c>
      <c r="F2072" s="187">
        <v>352.0</v>
      </c>
      <c r="G2072" s="180" t="str">
        <f>IFERROR(__xludf.DUMMYFUNCTION("TRIM(REGEXREPLACE(C2072, ""[0-9]+[a-f]?\."", """"))"),"Is ${hoh_roster_name} currently living in Niger?")</f>
        <v>Is ${hoh_roster_name} currently living in Niger?</v>
      </c>
      <c r="H2072" s="180" t="str">
        <f>IFERROR(__xludf.DUMMYFUNCTION("TRIM(REGEXREPLACE(D2072, ""[0-9]+[a-f]?\."", """"))"),"Est-ce que ${hoh_roster_name} vit actuellement au Niger ?")</f>
        <v>Est-ce que ${hoh_roster_name} vit actuellement au Niger ?</v>
      </c>
      <c r="I2072" s="180" t="str">
        <f>IFERROR(__xludf.DUMMYFUNCTION("TRIM(REGEXREPLACE(E2072, ""[0-9]+[a-f]?\."", """"))"),"Ko ${hoh_roster_name} yana zaune a Nijar a halin yanzu?")</f>
        <v>Ko ${hoh_roster_name} yana zaune a Nijar a halin yanzu?</v>
      </c>
      <c r="J2072" s="180" t="str">
        <f t="shared" ref="J2072:L2072" si="352">$F2072 &amp; ". "&amp;G2072</f>
        <v>352. Is ${hoh_roster_name} currently living in Niger?</v>
      </c>
      <c r="K2072" s="180" t="str">
        <f t="shared" si="352"/>
        <v>352. Est-ce que ${hoh_roster_name} vit actuellement au Niger ?</v>
      </c>
      <c r="L2072" s="180" t="str">
        <f t="shared" si="352"/>
        <v>352. Ko ${hoh_roster_name} yana zaune a Nijar a halin yanzu?</v>
      </c>
    </row>
    <row r="2073">
      <c r="A2073" s="280" t="s">
        <v>1573</v>
      </c>
      <c r="B2073" s="281" t="s">
        <v>5486</v>
      </c>
      <c r="C2073" s="45" t="s">
        <v>5487</v>
      </c>
      <c r="D2073" s="45" t="s">
        <v>5488</v>
      </c>
      <c r="E2073" s="45" t="s">
        <v>5489</v>
      </c>
      <c r="F2073" s="187">
        <v>353.0</v>
      </c>
      <c r="G2073" s="180" t="str">
        <f>IFERROR(__xludf.DUMMYFUNCTION("TRIM(REGEXREPLACE(C2073, ""[0-9]+[a-f]?\."", """"))"),"What region is ${hoh_roster_name} currently living in?")</f>
        <v>What region is ${hoh_roster_name} currently living in?</v>
      </c>
      <c r="H2073" s="180" t="str">
        <f>IFERROR(__xludf.DUMMYFUNCTION("TRIM(REGEXREPLACE(D2073, ""[0-9]+[a-f]?\."", """"))"),"Dans quelle région vit actuellement ${hoh_roster_name} ?")</f>
        <v>Dans quelle région vit actuellement ${hoh_roster_name} ?</v>
      </c>
      <c r="I2073" s="180" t="str">
        <f>IFERROR(__xludf.DUMMYFUNCTION("TRIM(REGEXREPLACE(E2073, ""[0-9]+[a-f]?\."", """"))"),"A cikin wace jaha ce ${hoh_roster_name} yake zaune a yanzu?")</f>
        <v>A cikin wace jaha ce ${hoh_roster_name} yake zaune a yanzu?</v>
      </c>
      <c r="J2073" s="180" t="str">
        <f t="shared" ref="J2073:L2073" si="353">$F2073 &amp; ". "&amp;G2073</f>
        <v>353. What region is ${hoh_roster_name} currently living in?</v>
      </c>
      <c r="K2073" s="180" t="str">
        <f t="shared" si="353"/>
        <v>353. Dans quelle région vit actuellement ${hoh_roster_name} ?</v>
      </c>
      <c r="L2073" s="180" t="str">
        <f t="shared" si="353"/>
        <v>353. A cikin wace jaha ce ${hoh_roster_name} yake zaune a yanzu?</v>
      </c>
    </row>
    <row r="2074">
      <c r="A2074" s="280" t="s">
        <v>1586</v>
      </c>
      <c r="B2074" s="281" t="s">
        <v>5490</v>
      </c>
      <c r="C2074" s="45" t="s">
        <v>5491</v>
      </c>
      <c r="D2074" s="45" t="s">
        <v>5492</v>
      </c>
      <c r="E2074" s="45" t="s">
        <v>5493</v>
      </c>
      <c r="F2074" s="187">
        <v>354.0</v>
      </c>
      <c r="G2074" s="180" t="str">
        <f>IFERROR(__xludf.DUMMYFUNCTION("TRIM(REGEXREPLACE(C2074, ""[0-9]+[a-f]?\."", """"))"),"What country is ${hoh_roster_name} currently living in?")</f>
        <v>What country is ${hoh_roster_name} currently living in?</v>
      </c>
      <c r="H2074" s="180" t="str">
        <f>IFERROR(__xludf.DUMMYFUNCTION("TRIM(REGEXREPLACE(D2074, ""[0-9]+[a-f]?\."", """"))"),"Dans quel pays vit actuellement ${hoh_roster_name} ?")</f>
        <v>Dans quel pays vit actuellement ${hoh_roster_name} ?</v>
      </c>
      <c r="I2074" s="180" t="str">
        <f>IFERROR(__xludf.DUMMYFUNCTION("TRIM(REGEXREPLACE(E2074, ""[0-9]+[a-f]?\."", """"))"),"A cikin wace kasa ce ${hoh_roster_name} yake zaune a yanzu?")</f>
        <v>A cikin wace kasa ce ${hoh_roster_name} yake zaune a yanzu?</v>
      </c>
      <c r="J2074" s="180" t="str">
        <f t="shared" ref="J2074:L2074" si="354">$F2074 &amp; ". "&amp;G2074</f>
        <v>354. What country is ${hoh_roster_name} currently living in?</v>
      </c>
      <c r="K2074" s="180" t="str">
        <f t="shared" si="354"/>
        <v>354. Dans quel pays vit actuellement ${hoh_roster_name} ?</v>
      </c>
      <c r="L2074" s="180" t="str">
        <f t="shared" si="354"/>
        <v>354. A cikin wace kasa ce ${hoh_roster_name} yake zaune a yanzu?</v>
      </c>
    </row>
    <row r="2075">
      <c r="A2075" s="282" t="s">
        <v>252</v>
      </c>
      <c r="B2075" s="283" t="s">
        <v>5500</v>
      </c>
      <c r="C2075" s="45" t="s">
        <v>5501</v>
      </c>
      <c r="D2075" s="45" t="s">
        <v>5502</v>
      </c>
      <c r="E2075" s="45" t="s">
        <v>5503</v>
      </c>
      <c r="F2075" s="187">
        <v>355.0</v>
      </c>
      <c r="G2075" s="180" t="str">
        <f>IFERROR(__xludf.DUMMYFUNCTION("TRIM(REGEXREPLACE(C2075, ""[0-9]+[a-f]?\."", """"))"),"Specify other")</f>
        <v>Specify other</v>
      </c>
      <c r="H2075" s="180" t="str">
        <f>IFERROR(__xludf.DUMMYFUNCTION("TRIM(REGEXREPLACE(D2075, ""[0-9]+[a-f]?\."", """"))"),"Autre à préciser")</f>
        <v>Autre à préciser</v>
      </c>
      <c r="I2075" s="180" t="str">
        <f>IFERROR(__xludf.DUMMYFUNCTION("TRIM(REGEXREPLACE(E2075, ""[0-9]+[a-f]?\."", """"))"),"Wani daban a Bayyana")</f>
        <v>Wani daban a Bayyana</v>
      </c>
      <c r="J2075" s="180" t="str">
        <f t="shared" ref="J2075:L2075" si="355">$F2075 &amp; ". "&amp;G2075</f>
        <v>355. Specify other</v>
      </c>
      <c r="K2075" s="180" t="str">
        <f t="shared" si="355"/>
        <v>355. Autre à préciser</v>
      </c>
      <c r="L2075" s="180" t="str">
        <f t="shared" si="355"/>
        <v>355. Wani daban a Bayyana</v>
      </c>
    </row>
    <row r="2076">
      <c r="A2076" s="280" t="s">
        <v>1624</v>
      </c>
      <c r="B2076" s="281" t="s">
        <v>5504</v>
      </c>
      <c r="C2076" s="45" t="s">
        <v>5505</v>
      </c>
      <c r="D2076" s="45" t="s">
        <v>5506</v>
      </c>
      <c r="E2076" s="45" t="s">
        <v>5507</v>
      </c>
      <c r="F2076" s="187">
        <v>356.0</v>
      </c>
      <c r="G2076" s="180" t="str">
        <f>IFERROR(__xludf.DUMMYFUNCTION("TRIM(REGEXREPLACE(C2076, ""[0-9]+[a-f]?\."", """"))"),"Enumerator: Select town")</f>
        <v>Enumerator: Select town</v>
      </c>
      <c r="H2076" s="180" t="str">
        <f>IFERROR(__xludf.DUMMYFUNCTION("TRIM(REGEXREPLACE(D2076, ""[0-9]+[a-f]?\."", """"))"),"Enquêteur : Sélectionnez la ville")</f>
        <v>Enquêteur : Sélectionnez la ville</v>
      </c>
      <c r="I2076" s="180" t="str">
        <f>IFERROR(__xludf.DUMMYFUNCTION("TRIM(REGEXREPLACE(E2076, ""[0-9]+[a-f]?\."", """"))"),"Ɗan bincike: Zaɓi gari")</f>
        <v>Ɗan bincike: Zaɓi gari</v>
      </c>
      <c r="J2076" s="180" t="str">
        <f t="shared" ref="J2076:L2076" si="356">$F2076 &amp; ". "&amp;G2076</f>
        <v>356. Enumerator: Select town</v>
      </c>
      <c r="K2076" s="180" t="str">
        <f t="shared" si="356"/>
        <v>356. Enquêteur : Sélectionnez la ville</v>
      </c>
      <c r="L2076" s="180" t="str">
        <f t="shared" si="356"/>
        <v>356. Ɗan bincike: Zaɓi gari</v>
      </c>
    </row>
    <row r="2077">
      <c r="A2077" s="282" t="s">
        <v>252</v>
      </c>
      <c r="B2077" s="283" t="s">
        <v>5511</v>
      </c>
      <c r="C2077" s="45" t="s">
        <v>5512</v>
      </c>
      <c r="D2077" s="45" t="s">
        <v>5513</v>
      </c>
      <c r="E2077" s="45" t="s">
        <v>5514</v>
      </c>
      <c r="F2077" s="187">
        <v>357.0</v>
      </c>
      <c r="G2077" s="180" t="str">
        <f>IFERROR(__xludf.DUMMYFUNCTION("TRIM(REGEXREPLACE(C2077, ""[0-9]+[a-f]?\."", """"))"),"Specify other")</f>
        <v>Specify other</v>
      </c>
      <c r="H2077" s="180" t="str">
        <f>IFERROR(__xludf.DUMMYFUNCTION("TRIM(REGEXREPLACE(D2077, ""[0-9]+[a-f]?\."", """"))"),"Autre à préciser")</f>
        <v>Autre à préciser</v>
      </c>
      <c r="I2077" s="180" t="str">
        <f>IFERROR(__xludf.DUMMYFUNCTION("TRIM(REGEXREPLACE(E2077, ""[0-9]+[a-f]?\."", """"))"),"Wani daban a Bayyana")</f>
        <v>Wani daban a Bayyana</v>
      </c>
      <c r="J2077" s="180" t="str">
        <f t="shared" ref="J2077:L2077" si="357">$F2077 &amp; ". "&amp;G2077</f>
        <v>357. Specify other</v>
      </c>
      <c r="K2077" s="180" t="str">
        <f t="shared" si="357"/>
        <v>357. Autre à préciser</v>
      </c>
      <c r="L2077" s="180" t="str">
        <f t="shared" si="357"/>
        <v>357. Wani daban a Bayyana</v>
      </c>
    </row>
    <row r="2078" hidden="1">
      <c r="A2078" s="298" t="s">
        <v>133</v>
      </c>
      <c r="B2078" s="299" t="s">
        <v>5518</v>
      </c>
      <c r="C2078" s="300"/>
      <c r="D2078" s="300"/>
      <c r="E2078" s="300"/>
    </row>
    <row r="2079">
      <c r="A2079" s="280" t="s">
        <v>1306</v>
      </c>
      <c r="B2079" s="281" t="s">
        <v>5519</v>
      </c>
      <c r="C2079" s="45" t="s">
        <v>5520</v>
      </c>
      <c r="D2079" s="45" t="s">
        <v>5521</v>
      </c>
      <c r="E2079" s="45" t="s">
        <v>5522</v>
      </c>
      <c r="F2079" s="187">
        <v>358.0</v>
      </c>
      <c r="G2079" s="180" t="str">
        <f>IFERROR(__xludf.DUMMYFUNCTION("TRIM(REGEXREPLACE(C2079, ""[0-9]+[a-f]?\."", """"))"),"Does ${hoh_roster_name} currently suffer from any illness or disability that limits their ability to travel or work?")</f>
        <v>Does ${hoh_roster_name} currently suffer from any illness or disability that limits their ability to travel or work?</v>
      </c>
      <c r="H2079" s="180" t="str">
        <f>IFERROR(__xludf.DUMMYFUNCTION("TRIM(REGEXREPLACE(D2079, ""[0-9]+[a-f]?\."", """"))"),"Est-ce que ${hoh_roster_name} souffre actuellement d'une maladie ou d'un handicap qui limite sa capacité à voyager ou à travailler ?")</f>
        <v>Est-ce que ${hoh_roster_name} souffre actuellement d'une maladie ou d'un handicap qui limite sa capacité à voyager ou à travailler ?</v>
      </c>
      <c r="I2079" s="180" t="str">
        <f>IFERROR(__xludf.DUMMYFUNCTION("TRIM(REGEXREPLACE(E2079, ""[0-9]+[a-f]?\."", """"))"),"ko a halin yanzu ${hoh_roster_name} yana da rashin lafiya ko naƙasa wanda ke iya hanashi zuwa balaguro ko yin aiki?")</f>
        <v>ko a halin yanzu ${hoh_roster_name} yana da rashin lafiya ko naƙasa wanda ke iya hanashi zuwa balaguro ko yin aiki?</v>
      </c>
      <c r="J2079" s="180" t="str">
        <f t="shared" ref="J2079:L2079" si="358">$F2079 &amp; ". "&amp;G2079</f>
        <v>358. Does ${hoh_roster_name} currently suffer from any illness or disability that limits their ability to travel or work?</v>
      </c>
      <c r="K2079" s="180" t="str">
        <f t="shared" si="358"/>
        <v>358. Est-ce que ${hoh_roster_name} souffre actuellement d'une maladie ou d'un handicap qui limite sa capacité à voyager ou à travailler ?</v>
      </c>
      <c r="L2079" s="180" t="str">
        <f t="shared" si="358"/>
        <v>358. ko a halin yanzu ${hoh_roster_name} yana da rashin lafiya ko naƙasa wanda ke iya hanashi zuwa balaguro ko yin aiki?</v>
      </c>
    </row>
    <row r="2080">
      <c r="A2080" s="280" t="s">
        <v>3649</v>
      </c>
      <c r="B2080" s="281" t="s">
        <v>5529</v>
      </c>
      <c r="C2080" s="45" t="s">
        <v>5530</v>
      </c>
      <c r="D2080" s="45" t="s">
        <v>5531</v>
      </c>
      <c r="E2080" s="45" t="s">
        <v>5532</v>
      </c>
      <c r="F2080" s="187">
        <v>359.0</v>
      </c>
      <c r="G2080" s="180" t="str">
        <f>IFERROR(__xludf.DUMMYFUNCTION("TRIM(REGEXREPLACE(C2080, ""[0-9]+[a-f]?\."", """"))"),"What illness limits ${hoh_roster_name} in this way?")</f>
        <v>What illness limits ${hoh_roster_name} in this way?</v>
      </c>
      <c r="H2080" s="180" t="str">
        <f>IFERROR(__xludf.DUMMYFUNCTION("TRIM(REGEXREPLACE(D2080, ""[0-9]+[a-f]?\."", """"))"),"Quelle maladie limite ${hoh_roster_name} de cette manière ?")</f>
        <v>Quelle maladie limite ${hoh_roster_name} de cette manière ?</v>
      </c>
      <c r="I2080" s="180" t="str">
        <f>IFERROR(__xludf.DUMMYFUNCTION("TRIM(REGEXREPLACE(E2080, ""[0-9]+[a-f]?\."", """"))"),"Wace rashin lafiya ke tsaida ${hoh_roster_name} ta haka ?")</f>
        <v>Wace rashin lafiya ke tsaida ${hoh_roster_name} ta haka ?</v>
      </c>
      <c r="J2080" s="180" t="str">
        <f t="shared" ref="J2080:L2080" si="359">$F2080 &amp; ". "&amp;G2080</f>
        <v>359. What illness limits ${hoh_roster_name} in this way?</v>
      </c>
      <c r="K2080" s="180" t="str">
        <f t="shared" si="359"/>
        <v>359. Quelle maladie limite ${hoh_roster_name} de cette manière ?</v>
      </c>
      <c r="L2080" s="180" t="str">
        <f t="shared" si="359"/>
        <v>359. Wace rashin lafiya ke tsaida ${hoh_roster_name} ta haka ?</v>
      </c>
    </row>
    <row r="2081">
      <c r="A2081" s="282" t="s">
        <v>252</v>
      </c>
      <c r="B2081" s="283" t="s">
        <v>5533</v>
      </c>
      <c r="C2081" s="45" t="s">
        <v>5534</v>
      </c>
      <c r="D2081" s="45" t="s">
        <v>5535</v>
      </c>
      <c r="E2081" s="45" t="s">
        <v>5536</v>
      </c>
      <c r="F2081" s="187">
        <v>360.0</v>
      </c>
      <c r="G2081" s="180" t="str">
        <f>IFERROR(__xludf.DUMMYFUNCTION("TRIM(REGEXREPLACE(C2081, ""[0-9]+[a-f]?\."", """"))"),"Other, specify:")</f>
        <v>Other, specify:</v>
      </c>
      <c r="H2081" s="180" t="str">
        <f>IFERROR(__xludf.DUMMYFUNCTION("TRIM(REGEXREPLACE(D2081, ""[0-9]+[a-f]?\."", """"))"),"Autre précisez:")</f>
        <v>Autre précisez:</v>
      </c>
      <c r="I2081" s="180" t="str">
        <f>IFERROR(__xludf.DUMMYFUNCTION("TRIM(REGEXREPLACE(E2081, ""[0-9]+[a-f]?\."", """"))"),"Sauran, bayar da cikakkun bayanai:")</f>
        <v>Sauran, bayar da cikakkun bayanai:</v>
      </c>
      <c r="J2081" s="180" t="str">
        <f t="shared" ref="J2081:L2081" si="360">$F2081 &amp; ". "&amp;G2081</f>
        <v>360. Other, specify:</v>
      </c>
      <c r="K2081" s="180" t="str">
        <f t="shared" si="360"/>
        <v>360. Autre précisez:</v>
      </c>
      <c r="L2081" s="180" t="str">
        <f t="shared" si="360"/>
        <v>360. Sauran, bayar da cikakkun bayanai:</v>
      </c>
    </row>
    <row r="2082">
      <c r="A2082" s="280" t="s">
        <v>1306</v>
      </c>
      <c r="B2082" s="281" t="s">
        <v>5540</v>
      </c>
      <c r="C2082" s="45" t="s">
        <v>5541</v>
      </c>
      <c r="D2082" s="45" t="s">
        <v>5542</v>
      </c>
      <c r="E2082" s="45" t="s">
        <v>5543</v>
      </c>
      <c r="F2082" s="187">
        <v>361.0</v>
      </c>
      <c r="G2082" s="180" t="str">
        <f>IFERROR(__xludf.DUMMYFUNCTION("TRIM(REGEXREPLACE(C2082, ""[0-9]+[a-f]?\."", """"))"),"Does ${hoh_roster_name} have children?")</f>
        <v>Does ${hoh_roster_name} have children?</v>
      </c>
      <c r="H2082" s="180" t="str">
        <f>IFERROR(__xludf.DUMMYFUNCTION("TRIM(REGEXREPLACE(D2082, ""[0-9]+[a-f]?\."", """"))"),"Est-ce que ${hoh_roster_name} a des enfants ?")</f>
        <v>Est-ce que ${hoh_roster_name} a des enfants ?</v>
      </c>
      <c r="I2082" s="180" t="str">
        <f>IFERROR(__xludf.DUMMYFUNCTION("TRIM(REGEXREPLACE(E2082, ""[0-9]+[a-f]?\."", """"))"),"ko ${hoh_roster_name} yana da yara?")</f>
        <v>ko ${hoh_roster_name} yana da yara?</v>
      </c>
      <c r="J2082" s="180" t="str">
        <f t="shared" ref="J2082:L2082" si="361">$F2082 &amp; ". "&amp;G2082</f>
        <v>361. Does ${hoh_roster_name} have children?</v>
      </c>
      <c r="K2082" s="180" t="str">
        <f t="shared" si="361"/>
        <v>361. Est-ce que ${hoh_roster_name} a des enfants ?</v>
      </c>
      <c r="L2082" s="180" t="str">
        <f t="shared" si="361"/>
        <v>361. ko ${hoh_roster_name} yana da yara?</v>
      </c>
    </row>
    <row r="2083">
      <c r="A2083" s="291" t="s">
        <v>268</v>
      </c>
      <c r="B2083" s="292" t="s">
        <v>5544</v>
      </c>
      <c r="C2083" s="45" t="s">
        <v>5546</v>
      </c>
      <c r="D2083" s="45" t="s">
        <v>5547</v>
      </c>
      <c r="E2083" s="45" t="s">
        <v>5549</v>
      </c>
      <c r="F2083" s="187">
        <v>362.0</v>
      </c>
      <c r="G2083" s="180" t="str">
        <f>IFERROR(__xludf.DUMMYFUNCTION("TRIM(REGEXREPLACE(C2083, ""[0-9]+[a-f]?\."", """"))"),"How many children is ${hoh_roster_name} responsible for?")</f>
        <v>How many children is ${hoh_roster_name} responsible for?</v>
      </c>
      <c r="H2083" s="180" t="str">
        <f>IFERROR(__xludf.DUMMYFUNCTION("TRIM(REGEXREPLACE(D2083, ""[0-9]+[a-f]?\."", """"))"),"De combien d'enfants ${hoh_roster_name} est-il responsable ?")</f>
        <v>De combien d'enfants ${hoh_roster_name} est-il responsable ?</v>
      </c>
      <c r="I2083" s="180" t="str">
        <f>IFERROR(__xludf.DUMMYFUNCTION("TRIM(REGEXREPLACE(E2083, ""[0-9]+[a-f]?\."", """"))"),"Yara nawa ne ${hoh_roster_name} yake ɗauke da Nauyinsu?")</f>
        <v>Yara nawa ne ${hoh_roster_name} yake ɗauke da Nauyinsu?</v>
      </c>
      <c r="J2083" s="180" t="str">
        <f t="shared" ref="J2083:L2083" si="362">$F2083 &amp; ". "&amp;G2083</f>
        <v>362. How many children is ${hoh_roster_name} responsible for?</v>
      </c>
      <c r="K2083" s="180" t="str">
        <f t="shared" si="362"/>
        <v>362. De combien d'enfants ${hoh_roster_name} est-il responsable ?</v>
      </c>
      <c r="L2083" s="180" t="str">
        <f t="shared" si="362"/>
        <v>362. Yara nawa ne ${hoh_roster_name} yake ɗauke da Nauyinsu?</v>
      </c>
    </row>
    <row r="2084">
      <c r="A2084" s="280" t="s">
        <v>5551</v>
      </c>
      <c r="B2084" s="281" t="s">
        <v>5552</v>
      </c>
      <c r="C2084" s="45" t="s">
        <v>3188</v>
      </c>
      <c r="D2084" s="45" t="s">
        <v>3189</v>
      </c>
      <c r="E2084" s="45" t="s">
        <v>3190</v>
      </c>
      <c r="F2084" s="187">
        <v>363.0</v>
      </c>
      <c r="G2084" s="180" t="str">
        <f>IFERROR(__xludf.DUMMYFUNCTION("TRIM(REGEXREPLACE(C2084, ""[0-9]+[a-f]?\."", """"))"),"What is the highest level of education that ${hoh_roster_name} has completed?")</f>
        <v>What is the highest level of education that ${hoh_roster_name} has completed?</v>
      </c>
      <c r="H2084" s="180" t="str">
        <f>IFERROR(__xludf.DUMMYFUNCTION("TRIM(REGEXREPLACE(D2084, ""[0-9]+[a-f]?\."", """"))"),"Quel est le plus haut niveau d'études atteint par ${hoh_roster_name} ?")</f>
        <v>Quel est le plus haut niveau d'études atteint par ${hoh_roster_name} ?</v>
      </c>
      <c r="I2084" s="180" t="str">
        <f>IFERROR(__xludf.DUMMYFUNCTION("TRIM(REGEXREPLACE(E2084, ""[0-9]+[a-f]?\."", """"))"),"Menene mafi girman mastayin ilimi da ${hoh_roster_name} ya kai?")</f>
        <v>Menene mafi girman mastayin ilimi da ${hoh_roster_name} ya kai?</v>
      </c>
      <c r="J2084" s="180" t="str">
        <f t="shared" ref="J2084:L2084" si="363">$F2084 &amp; ". "&amp;G2084</f>
        <v>363. What is the highest level of education that ${hoh_roster_name} has completed?</v>
      </c>
      <c r="K2084" s="180" t="str">
        <f t="shared" si="363"/>
        <v>363. Quel est le plus haut niveau d'études atteint par ${hoh_roster_name} ?</v>
      </c>
      <c r="L2084" s="180" t="str">
        <f t="shared" si="363"/>
        <v>363. Menene mafi girman mastayin ilimi da ${hoh_roster_name} ya kai?</v>
      </c>
    </row>
    <row r="2085">
      <c r="A2085" s="280" t="s">
        <v>1306</v>
      </c>
      <c r="B2085" s="281" t="s">
        <v>5556</v>
      </c>
      <c r="C2085" s="45" t="s">
        <v>3192</v>
      </c>
      <c r="D2085" s="45" t="s">
        <v>3194</v>
      </c>
      <c r="E2085" s="45" t="s">
        <v>3196</v>
      </c>
      <c r="F2085" s="187">
        <v>364.0</v>
      </c>
      <c r="G2085" s="180" t="str">
        <f>IFERROR(__xludf.DUMMYFUNCTION("TRIM(REGEXREPLACE(C2085, ""[0-9]+[a-f]?\."", """"))"),"Is ${hoh_roster_name} currently enrolled in school?")</f>
        <v>Is ${hoh_roster_name} currently enrolled in school?</v>
      </c>
      <c r="H2085" s="180" t="str">
        <f>IFERROR(__xludf.DUMMYFUNCTION("TRIM(REGEXREPLACE(D2085, ""[0-9]+[a-f]?\."", """"))"),"Est-ce que ${hoh_roster_name} est actuellement inscrit à l'école ?")</f>
        <v>Est-ce que ${hoh_roster_name} est actuellement inscrit à l'école ?</v>
      </c>
      <c r="I2085" s="180" t="str">
        <f>IFERROR(__xludf.DUMMYFUNCTION("TRIM(REGEXREPLACE(E2085, ""[0-9]+[a-f]?\."", """"))"),"Ko ${hoh_roster_name} yana yin lakwal a halin yanzu?")</f>
        <v>Ko ${hoh_roster_name} yana yin lakwal a halin yanzu?</v>
      </c>
      <c r="J2085" s="180" t="str">
        <f t="shared" ref="J2085:L2085" si="364">$F2085 &amp; ". "&amp;G2085</f>
        <v>364. Is ${hoh_roster_name} currently enrolled in school?</v>
      </c>
      <c r="K2085" s="180" t="str">
        <f t="shared" si="364"/>
        <v>364. Est-ce que ${hoh_roster_name} est actuellement inscrit à l'école ?</v>
      </c>
      <c r="L2085" s="180" t="str">
        <f t="shared" si="364"/>
        <v>364. Ko ${hoh_roster_name} yana yin lakwal a halin yanzu?</v>
      </c>
    </row>
    <row r="2086">
      <c r="A2086" s="280" t="s">
        <v>5560</v>
      </c>
      <c r="B2086" s="281" t="s">
        <v>5561</v>
      </c>
      <c r="C2086" s="45" t="s">
        <v>3199</v>
      </c>
      <c r="D2086" s="45" t="s">
        <v>3200</v>
      </c>
      <c r="E2086" s="45" t="s">
        <v>3201</v>
      </c>
      <c r="F2086" s="187">
        <v>365.0</v>
      </c>
      <c r="G2086" s="180" t="str">
        <f>IFERROR(__xludf.DUMMYFUNCTION("TRIM(REGEXREPLACE(C2086, ""[0-9]+[a-f]?\."", """"))"),"What kind of school is ${hoh_roster_name} enrolled in?")</f>
        <v>What kind of school is ${hoh_roster_name} enrolled in?</v>
      </c>
      <c r="H2086" s="180" t="str">
        <f>IFERROR(__xludf.DUMMYFUNCTION("TRIM(REGEXREPLACE(D2086, ""[0-9]+[a-f]?\."", """"))"),"Dans quel type d'école est inscrit ${hoh_roster_name} ?")</f>
        <v>Dans quel type d'école est inscrit ${hoh_roster_name} ?</v>
      </c>
      <c r="I2086" s="180" t="str">
        <f>IFERROR(__xludf.DUMMYFUNCTION("TRIM(REGEXREPLACE(E2086, ""[0-9]+[a-f]?\."", """"))"),"Wace irin makaranta aka rubuta ${hoh_roster_name}?")</f>
        <v>Wace irin makaranta aka rubuta ${hoh_roster_name}?</v>
      </c>
      <c r="J2086" s="180" t="str">
        <f t="shared" ref="J2086:L2086" si="365">$F2086 &amp; ". "&amp;G2086</f>
        <v>365. What kind of school is ${hoh_roster_name} enrolled in?</v>
      </c>
      <c r="K2086" s="180" t="str">
        <f t="shared" si="365"/>
        <v>365. Dans quel type d'école est inscrit ${hoh_roster_name} ?</v>
      </c>
      <c r="L2086" s="180" t="str">
        <f t="shared" si="365"/>
        <v>365. Wace irin makaranta aka rubuta ${hoh_roster_name}?</v>
      </c>
    </row>
    <row r="2087">
      <c r="A2087" s="291" t="s">
        <v>268</v>
      </c>
      <c r="B2087" s="292" t="s">
        <v>5565</v>
      </c>
      <c r="C2087" s="45" t="s">
        <v>3202</v>
      </c>
      <c r="D2087" s="45" t="s">
        <v>3203</v>
      </c>
      <c r="E2087" s="45" t="s">
        <v>3204</v>
      </c>
      <c r="F2087" s="187">
        <v>366.0</v>
      </c>
      <c r="G2087" s="180" t="str">
        <f>IFERROR(__xludf.DUMMYFUNCTION("TRIM(REGEXREPLACE(C2087, ""[0-9]+[a-f]?\."", """"))"),"What is the cost of school fees for the current academic year in CFA?")</f>
        <v>What is the cost of school fees for the current academic year in CFA?</v>
      </c>
      <c r="H2087" s="180" t="str">
        <f>IFERROR(__xludf.DUMMYFUNCTION("TRIM(REGEXREPLACE(D2087, ""[0-9]+[a-f]?\."", """"))"),"Quel est le coût des frais de scolarité pour l'année scolaire en cours (en CFA) ?")</f>
        <v>Quel est le coût des frais de scolarité pour l'année scolaire en cours (en CFA) ?</v>
      </c>
      <c r="I2087" s="180" t="str">
        <f>IFERROR(__xludf.DUMMYFUNCTION("TRIM(REGEXREPLACE(E2087, ""[0-9]+[a-f]?\."", """"))"),"Nawa ne kuɗin makaranta na wannan shekarar (a sefa)?")</f>
        <v>Nawa ne kuɗin makaranta na wannan shekarar (a sefa)?</v>
      </c>
      <c r="J2087" s="180" t="str">
        <f t="shared" ref="J2087:L2087" si="366">$F2087 &amp; ". "&amp;G2087</f>
        <v>366. What is the cost of school fees for the current academic year in CFA?</v>
      </c>
      <c r="K2087" s="180" t="str">
        <f t="shared" si="366"/>
        <v>366. Quel est le coût des frais de scolarité pour l'année scolaire en cours (en CFA) ?</v>
      </c>
      <c r="L2087" s="180" t="str">
        <f t="shared" si="366"/>
        <v>366. Nawa ne kuɗin makaranta na wannan shekarar (a sefa)?</v>
      </c>
    </row>
    <row r="2088">
      <c r="A2088" s="291" t="s">
        <v>268</v>
      </c>
      <c r="B2088" s="292" t="s">
        <v>5569</v>
      </c>
      <c r="C2088" s="45" t="s">
        <v>3206</v>
      </c>
      <c r="D2088" s="45" t="s">
        <v>3207</v>
      </c>
      <c r="E2088" s="45" t="s">
        <v>3208</v>
      </c>
      <c r="F2088" s="187">
        <v>367.0</v>
      </c>
      <c r="G2088" s="180" t="str">
        <f>IFERROR(__xludf.DUMMYFUNCTION("TRIM(REGEXREPLACE(C2088, ""[0-9]+[a-f]?\."", """"))"),"In the past month (four weeks) how many days has ${hoh_roster_name} missed school for health reasons?")</f>
        <v>In the past month (four weeks) how many days has ${hoh_roster_name} missed school for health reasons?</v>
      </c>
      <c r="H2088" s="180" t="str">
        <f>IFERROR(__xludf.DUMMYFUNCTION("TRIM(REGEXREPLACE(D2088, ""[0-9]+[a-f]?\."", """"))"),"Au cours du dernier mois (quatre semaines), combien de jours ${hoh_roster_name} a-t-il manqué l'école pour des raisons de santé ?")</f>
        <v>Au cours du dernier mois (quatre semaines), combien de jours ${hoh_roster_name} a-t-il manqué l'école pour des raisons de santé ?</v>
      </c>
      <c r="I2088" s="180" t="str">
        <f>IFERROR(__xludf.DUMMYFUNCTION("TRIM(REGEXREPLACE(E2088, ""[0-9]+[a-f]?\."", """"))"),"A cikin watan da ya gabata (sati hudu), kwanaki nawa ${hoh_roster_name} yayi fashin zuwa makaranta saboda wata rishin lafiya?")</f>
        <v>A cikin watan da ya gabata (sati hudu), kwanaki nawa ${hoh_roster_name} yayi fashin zuwa makaranta saboda wata rishin lafiya?</v>
      </c>
      <c r="J2088" s="180" t="str">
        <f t="shared" ref="J2088:L2088" si="367">$F2088 &amp; ". "&amp;G2088</f>
        <v>367. In the past month (four weeks) how many days has ${hoh_roster_name} missed school for health reasons?</v>
      </c>
      <c r="K2088" s="180" t="str">
        <f t="shared" si="367"/>
        <v>367. Au cours du dernier mois (quatre semaines), combien de jours ${hoh_roster_name} a-t-il manqué l'école pour des raisons de santé ?</v>
      </c>
      <c r="L2088" s="180" t="str">
        <f t="shared" si="367"/>
        <v>367. A cikin watan da ya gabata (sati hudu), kwanaki nawa ${hoh_roster_name} yayi fashin zuwa makaranta saboda wata rishin lafiya?</v>
      </c>
    </row>
    <row r="2089">
      <c r="A2089" s="291" t="s">
        <v>268</v>
      </c>
      <c r="B2089" s="292" t="s">
        <v>5573</v>
      </c>
      <c r="C2089" s="45" t="s">
        <v>3210</v>
      </c>
      <c r="D2089" s="45" t="s">
        <v>3211</v>
      </c>
      <c r="E2089" s="45" t="s">
        <v>3212</v>
      </c>
      <c r="F2089" s="187">
        <v>368.0</v>
      </c>
      <c r="G2089" s="180" t="str">
        <f>IFERROR(__xludf.DUMMYFUNCTION("TRIM(REGEXREPLACE(C2089, ""[0-9]+[a-f]?\."", """"))"),"In the past month (four weeks) how many days has ${hoh_roster_name} missed school for work or other reasons?")</f>
        <v>In the past month (four weeks) how many days has ${hoh_roster_name} missed school for work or other reasons?</v>
      </c>
      <c r="H2089" s="180" t="str">
        <f>IFERROR(__xludf.DUMMYFUNCTION("TRIM(REGEXREPLACE(D2089,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2089" s="180" t="str">
        <f>IFERROR(__xludf.DUMMYFUNCTION("TRIM(REGEXREPLACE(E2089, ""[0-9]+[a-f]?\."", """"))"),"A cikin watan da ya gabata (makonni hudu), kwanaki nawa ${hoh_roster_name} yayi fashin makaranta saboda aiki ko wasu dalilai?")</f>
        <v>A cikin watan da ya gabata (makonni hudu), kwanaki nawa ${hoh_roster_name} yayi fashin makaranta saboda aiki ko wasu dalilai?</v>
      </c>
      <c r="J2089" s="180" t="str">
        <f t="shared" ref="J2089:L2089" si="368">$F2089 &amp; ". "&amp;G2089</f>
        <v>368. In the past month (four weeks) how many days has ${hoh_roster_name} missed school for work or other reasons?</v>
      </c>
      <c r="K2089" s="180" t="str">
        <f t="shared" si="368"/>
        <v>368. Au cours du dernier mois (quatre semaines), combien de jours ${hoh_roster_name} a-t-il manqué l'école pour le travail ou pour d'autres raisons ?</v>
      </c>
      <c r="L2089" s="180" t="str">
        <f t="shared" si="368"/>
        <v>368. A cikin watan da ya gabata (makonni hudu), kwanaki nawa ${hoh_roster_name} yayi fashin makaranta saboda aiki ko wasu dalilai?</v>
      </c>
    </row>
    <row r="2090">
      <c r="A2090" s="280" t="s">
        <v>2509</v>
      </c>
      <c r="B2090" s="281" t="s">
        <v>5580</v>
      </c>
      <c r="C2090" s="45" t="s">
        <v>3213</v>
      </c>
      <c r="D2090" s="45" t="s">
        <v>3214</v>
      </c>
      <c r="E2090" s="45" t="s">
        <v>3215</v>
      </c>
      <c r="F2090" s="187">
        <v>369.0</v>
      </c>
      <c r="G2090" s="180" t="str">
        <f>IFERROR(__xludf.DUMMYFUNCTION("TRIM(REGEXREPLACE(C2090, ""[0-9]+[a-f]?\."", """"))"),"Is ${hoh_roster_name} married?")</f>
        <v>Is ${hoh_roster_name} married?</v>
      </c>
      <c r="H2090" s="180" t="str">
        <f>IFERROR(__xludf.DUMMYFUNCTION("TRIM(REGEXREPLACE(D2090, ""[0-9]+[a-f]?\."", """"))"),"Est-ce que ${hoh_roster_name} est marié ?")</f>
        <v>Est-ce que ${hoh_roster_name} est marié ?</v>
      </c>
      <c r="I2090" s="180" t="str">
        <f>IFERROR(__xludf.DUMMYFUNCTION("TRIM(REGEXREPLACE(E2090, ""[0-9]+[a-f]?\."", """"))"),"Ko ${hoh_roster_name} yanada aure?")</f>
        <v>Ko ${hoh_roster_name} yanada aure?</v>
      </c>
      <c r="J2090" s="180" t="str">
        <f t="shared" ref="J2090:L2090" si="369">$F2090 &amp; ". "&amp;G2090</f>
        <v>369. Is ${hoh_roster_name} married?</v>
      </c>
      <c r="K2090" s="180" t="str">
        <f t="shared" si="369"/>
        <v>369. Est-ce que ${hoh_roster_name} est marié ?</v>
      </c>
      <c r="L2090" s="180" t="str">
        <f t="shared" si="369"/>
        <v>369. Ko ${hoh_roster_name} yanada aure?</v>
      </c>
    </row>
    <row r="2091">
      <c r="A2091" s="291" t="s">
        <v>268</v>
      </c>
      <c r="B2091" s="292" t="s">
        <v>5581</v>
      </c>
      <c r="C2091" s="45" t="s">
        <v>3218</v>
      </c>
      <c r="D2091" s="45" t="s">
        <v>3219</v>
      </c>
      <c r="E2091" s="45" t="s">
        <v>3220</v>
      </c>
      <c r="F2091" s="187">
        <v>370.0</v>
      </c>
      <c r="G2091" s="180" t="str">
        <f>IFERROR(__xludf.DUMMYFUNCTION("TRIM(REGEXREPLACE(C2091, ""[0-9]+[a-f]?\."", """"))"),"How many wives does ${hoh_new_mem_name} have?")</f>
        <v>How many wives does ${hoh_new_mem_name} have?</v>
      </c>
      <c r="H2091" s="180" t="str">
        <f>IFERROR(__xludf.DUMMYFUNCTION("TRIM(REGEXREPLACE(D2091, ""[0-9]+[a-f]?\."", """"))"),"Combien de femmes a ${hoh_roster_name} ?")</f>
        <v>Combien de femmes a ${hoh_roster_name} ?</v>
      </c>
      <c r="I2091" s="180" t="str">
        <f>IFERROR(__xludf.DUMMYFUNCTION("TRIM(REGEXREPLACE(E2091, ""[0-9]+[a-f]?\."", """"))"),"Mata nawa ${hoh_roster_name} yake da su?")</f>
        <v>Mata nawa ${hoh_roster_name} yake da su?</v>
      </c>
      <c r="J2091" s="180" t="str">
        <f t="shared" ref="J2091:L2091" si="370">$F2091 &amp; ". "&amp;G2091</f>
        <v>370. How many wives does ${hoh_new_mem_name} have?</v>
      </c>
      <c r="K2091" s="180" t="str">
        <f t="shared" si="370"/>
        <v>370. Combien de femmes a ${hoh_roster_name} ?</v>
      </c>
      <c r="L2091" s="180" t="str">
        <f t="shared" si="370"/>
        <v>370. Mata nawa ${hoh_roster_name} yake da su?</v>
      </c>
    </row>
    <row r="2092" hidden="1">
      <c r="A2092" s="298" t="s">
        <v>237</v>
      </c>
      <c r="B2092" s="310" t="s">
        <v>5588</v>
      </c>
      <c r="C2092" s="303"/>
      <c r="D2092" s="303"/>
      <c r="E2092" s="303"/>
    </row>
    <row r="2093" hidden="1">
      <c r="A2093" s="320"/>
      <c r="B2093" s="321"/>
      <c r="C2093" s="321"/>
      <c r="D2093" s="321"/>
      <c r="E2093" s="321"/>
    </row>
    <row r="2094" hidden="1">
      <c r="A2094" s="298" t="s">
        <v>133</v>
      </c>
      <c r="B2094" s="299" t="s">
        <v>5592</v>
      </c>
      <c r="C2094" s="299" t="s">
        <v>5593</v>
      </c>
      <c r="D2094" s="300"/>
      <c r="E2094" s="300"/>
    </row>
    <row r="2095">
      <c r="A2095" s="278" t="s">
        <v>38</v>
      </c>
      <c r="B2095" s="279" t="s">
        <v>5594</v>
      </c>
      <c r="C2095" s="45" t="s">
        <v>3230</v>
      </c>
      <c r="D2095" s="45" t="s">
        <v>3231</v>
      </c>
      <c r="E2095" s="45" t="s">
        <v>3232</v>
      </c>
      <c r="F2095" s="187">
        <v>371.0</v>
      </c>
      <c r="G2095" s="180" t="str">
        <f>IFERROR(__xludf.DUMMYFUNCTION("TRIM(REGEXREPLACE(C2095, ""[0-9]+[a-f]?\."", """"))"),"We would now like to ask you about the migration history of ${hoh_roster_name}.")</f>
        <v>We would now like to ask you about the migration history of ${hoh_roster_name}.</v>
      </c>
      <c r="H2095" s="180" t="str">
        <f>IFERROR(__xludf.DUMMYFUNCTION("TRIM(REGEXREPLACE(D2095, ""[0-9]+[a-f]?\."", """"))"),"Nous aimerions maintenant vous poser des questions sur l'historique de migration de ${hoh_roster_name}.")</f>
        <v>Nous aimerions maintenant vous poser des questions sur l'historique de migration de ${hoh_roster_name}.</v>
      </c>
      <c r="I2095" s="180" t="str">
        <f>IFERROR(__xludf.DUMMYFUNCTION("TRIM(REGEXREPLACE(E2095, ""[0-9]+[a-f]?\."", """"))"),"Yanzu muna so mu tambaye ka tarihin zuwa biɗa na ${hoh_roster_name}.")</f>
        <v>Yanzu muna so mu tambaye ka tarihin zuwa biɗa na ${hoh_roster_name}.</v>
      </c>
      <c r="J2095" s="180" t="str">
        <f t="shared" ref="J2095:L2095" si="371">$F2095 &amp; ". "&amp;G2095</f>
        <v>371. We would now like to ask you about the migration history of ${hoh_roster_name}.</v>
      </c>
      <c r="K2095" s="180" t="str">
        <f t="shared" si="371"/>
        <v>371. Nous aimerions maintenant vous poser des questions sur l'historique de migration de ${hoh_roster_name}.</v>
      </c>
      <c r="L2095" s="180" t="str">
        <f t="shared" si="371"/>
        <v>371. Yanzu muna so mu tambaye ka tarihin zuwa biɗa na ${hoh_roster_name}.</v>
      </c>
    </row>
    <row r="2096">
      <c r="A2096" s="280" t="s">
        <v>2509</v>
      </c>
      <c r="B2096" s="281" t="s">
        <v>5595</v>
      </c>
      <c r="C2096" s="45" t="s">
        <v>5597</v>
      </c>
      <c r="D2096" s="45" t="s">
        <v>5600</v>
      </c>
      <c r="E2096" s="45" t="s">
        <v>5601</v>
      </c>
      <c r="F2096" s="187">
        <v>372.0</v>
      </c>
      <c r="G2096" s="180" t="str">
        <f>IFERROR(__xludf.DUMMYFUNCTION("TRIM(REGEXREPLACE(C2096, ""[0-9]+[a-f]?\."", """"))"),"Since ${period_bl}, has ${hoh_roster_name} spent more than a week (7 days) away from home?")</f>
        <v>Since ${period_bl}, has ${hoh_roster_name} spent more than a week (7 days) away from home?</v>
      </c>
      <c r="H2096" s="180" t="str">
        <f>IFERROR(__xludf.DUMMYFUNCTION("TRIM(REGEXREPLACE(D2096, ""[0-9]+[a-f]?\."", """"))"),"Depuis cette ${period_french_bl}, ${hoh_roster_name} a-t-il passé plus d'une semaine (7 jours) loin de chez lui ?")</f>
        <v>Depuis cette ${period_french_bl}, ${hoh_roster_name} a-t-il passé plus d'une semaine (7 jours) loin de chez lui ?</v>
      </c>
      <c r="I2096" s="180" t="str">
        <f>IFERROR(__xludf.DUMMYFUNCTION("TRIM(REGEXREPLACE(E2096, ""[0-9]+[a-f]?\."", """"))"),"Tun wancan ${period_hausa_bl}, ${hoh_roster_name} ya shafe fiye da mako guda (kwana 7) baya gida?")</f>
        <v>Tun wancan ${period_hausa_bl}, ${hoh_roster_name} ya shafe fiye da mako guda (kwana 7) baya gida?</v>
      </c>
      <c r="J2096" s="180" t="str">
        <f t="shared" ref="J2096:L2096" si="372">$F2096 &amp; ". "&amp;G2096</f>
        <v>372. Since ${period_bl}, has ${hoh_roster_name} spent more than a week (7 days) away from home?</v>
      </c>
      <c r="K2096" s="180" t="str">
        <f t="shared" si="372"/>
        <v>372. Depuis cette ${period_french_bl}, ${hoh_roster_name} a-t-il passé plus d'une semaine (7 jours) loin de chez lui ?</v>
      </c>
      <c r="L2096" s="180" t="str">
        <f t="shared" si="372"/>
        <v>372. Tun wancan ${period_hausa_bl}, ${hoh_roster_name} ya shafe fiye da mako guda (kwana 7) baya gida?</v>
      </c>
    </row>
    <row r="2097">
      <c r="A2097" s="280" t="s">
        <v>5604</v>
      </c>
      <c r="B2097" s="281" t="s">
        <v>5605</v>
      </c>
      <c r="C2097" s="45" t="s">
        <v>5606</v>
      </c>
      <c r="D2097" s="45" t="s">
        <v>5607</v>
      </c>
      <c r="E2097" s="45" t="s">
        <v>5608</v>
      </c>
      <c r="F2097" s="187">
        <v>373.0</v>
      </c>
      <c r="G2097" s="180" t="str">
        <f>IFERROR(__xludf.DUMMYFUNCTION("TRIM(REGEXREPLACE(C2097, ""[0-9]+[a-f]?\."", """"))"),"Since ${period_bl}, in which of the following countries has ${hoh_roster_name} spent more than one week? Select all that apply")</f>
        <v>Since ${period_bl}, in which of the following countries has ${hoh_roster_name} spent more than one week? Select all that apply</v>
      </c>
      <c r="H2097" s="180" t="str">
        <f>IFERROR(__xludf.DUMMYFUNCTION("TRIM(REGEXREPLACE(D2097, ""[0-9]+[a-f]?\."", """"))"),"Depuis cette ${period_french_bl}, dans lequel des pays suivants hoh_roster_name a-t-il passé plus d'une semaine ? Sélectionnez tout ce qui s'y rapporte")</f>
        <v>Depuis cette ${period_french_bl}, dans lequel des pays suivants hoh_roster_name a-t-il passé plus d'une semaine ? Sélectionnez tout ce qui s'y rapporte</v>
      </c>
      <c r="I2097" s="180" t="str">
        <f>IFERROR(__xludf.DUMMYFUNCTION("TRIM(REGEXREPLACE(E2097, ""[0-9]+[a-f]?\."", """"))"),"Tun daga wancan ${period_hausa_bl}, a cikin waɗanne ƙasashe ne ${hoh_roster_name} ya shafe fiye da mako ɗaya? Zaɓi duk abin da ya dace")</f>
        <v>Tun daga wancan ${period_hausa_bl}, a cikin waɗanne ƙasashe ne ${hoh_roster_name} ya shafe fiye da mako ɗaya? Zaɓi duk abin da ya dace</v>
      </c>
      <c r="J2097" s="180" t="str">
        <f t="shared" ref="J2097:L2097" si="373">$F2097 &amp; ". "&amp;G2097</f>
        <v>373. Since ${period_bl}, in which of the following countries has ${hoh_roster_name} spent more than one week? Select all that apply</v>
      </c>
      <c r="K2097" s="180" t="str">
        <f t="shared" si="373"/>
        <v>373. Depuis cette ${period_french_bl}, dans lequel des pays suivants hoh_roster_name a-t-il passé plus d'une semaine ? Sélectionnez tout ce qui s'y rapporte</v>
      </c>
      <c r="L2097" s="180" t="str">
        <f t="shared" si="373"/>
        <v>373. Tun daga wancan ${period_hausa_bl}, a cikin waɗanne ƙasashe ne ${hoh_roster_name} ya shafe fiye da mako ɗaya? Zaɓi duk abin da ya dace</v>
      </c>
    </row>
    <row r="2098">
      <c r="A2098" s="282" t="s">
        <v>252</v>
      </c>
      <c r="B2098" s="283" t="s">
        <v>5613</v>
      </c>
      <c r="C2098" s="45" t="s">
        <v>5614</v>
      </c>
      <c r="D2098" s="45" t="s">
        <v>5615</v>
      </c>
      <c r="E2098" s="45" t="s">
        <v>5616</v>
      </c>
      <c r="F2098" s="187">
        <v>374.0</v>
      </c>
      <c r="G2098" s="180" t="str">
        <f>IFERROR(__xludf.DUMMYFUNCTION("TRIM(REGEXREPLACE(C2098, ""[0-9]+[a-f]?\."", """"))"),"Specify other")</f>
        <v>Specify other</v>
      </c>
      <c r="H2098" s="180" t="str">
        <f>IFERROR(__xludf.DUMMYFUNCTION("TRIM(REGEXREPLACE(D2098, ""[0-9]+[a-f]?\."", """"))"),"Autre à préciser")</f>
        <v>Autre à préciser</v>
      </c>
      <c r="I2098" s="180" t="str">
        <f>IFERROR(__xludf.DUMMYFUNCTION("TRIM(REGEXREPLACE(E2098, ""[0-9]+[a-f]?\."", """"))"),"Wani daban a Bayyana")</f>
        <v>Wani daban a Bayyana</v>
      </c>
      <c r="J2098" s="180" t="str">
        <f t="shared" ref="J2098:L2098" si="374">$F2098 &amp; ". "&amp;G2098</f>
        <v>374. Specify other</v>
      </c>
      <c r="K2098" s="180" t="str">
        <f t="shared" si="374"/>
        <v>374. Autre à préciser</v>
      </c>
      <c r="L2098" s="180" t="str">
        <f t="shared" si="374"/>
        <v>374. Wani daban a Bayyana</v>
      </c>
    </row>
    <row r="2099" hidden="1">
      <c r="A2099" s="168" t="s">
        <v>68</v>
      </c>
      <c r="B2099" s="71" t="s">
        <v>5617</v>
      </c>
      <c r="C2099" s="200"/>
      <c r="D2099" s="200"/>
      <c r="E2099" s="200"/>
    </row>
    <row r="2100" hidden="1">
      <c r="A2100" s="168" t="s">
        <v>68</v>
      </c>
      <c r="B2100" s="71" t="s">
        <v>5618</v>
      </c>
      <c r="C2100" s="200"/>
      <c r="D2100" s="200"/>
      <c r="E2100" s="200"/>
    </row>
    <row r="2101" hidden="1">
      <c r="A2101" s="168" t="s">
        <v>68</v>
      </c>
      <c r="B2101" s="71" t="s">
        <v>5619</v>
      </c>
      <c r="C2101" s="289" t="s">
        <v>5620</v>
      </c>
      <c r="D2101" s="200"/>
      <c r="E2101" s="200"/>
    </row>
    <row r="2102" hidden="1">
      <c r="A2102" s="168" t="s">
        <v>68</v>
      </c>
      <c r="B2102" s="71" t="s">
        <v>5621</v>
      </c>
      <c r="C2102" s="200"/>
      <c r="D2102" s="200"/>
      <c r="E2102" s="200"/>
    </row>
    <row r="2103" hidden="1">
      <c r="A2103" s="168" t="s">
        <v>127</v>
      </c>
      <c r="B2103" s="71" t="s">
        <v>5622</v>
      </c>
      <c r="C2103" s="200"/>
      <c r="D2103" s="200"/>
      <c r="E2103" s="200"/>
    </row>
    <row r="2104" hidden="1">
      <c r="A2104" s="285" t="s">
        <v>426</v>
      </c>
      <c r="B2104" s="171" t="s">
        <v>5624</v>
      </c>
      <c r="C2104" s="171" t="s">
        <v>5625</v>
      </c>
      <c r="D2104" s="325"/>
      <c r="E2104" s="325"/>
    </row>
    <row r="2105" hidden="1">
      <c r="A2105" s="168" t="s">
        <v>68</v>
      </c>
      <c r="B2105" s="71" t="s">
        <v>5626</v>
      </c>
      <c r="C2105" s="289" t="s">
        <v>5627</v>
      </c>
      <c r="D2105" s="200"/>
      <c r="E2105" s="200"/>
    </row>
    <row r="2106" hidden="1">
      <c r="A2106" s="168" t="s">
        <v>68</v>
      </c>
      <c r="B2106" s="71" t="s">
        <v>5629</v>
      </c>
      <c r="C2106" s="289" t="s">
        <v>5630</v>
      </c>
      <c r="D2106" s="200"/>
      <c r="E2106" s="200"/>
    </row>
    <row r="2107" hidden="1">
      <c r="A2107" s="168" t="s">
        <v>68</v>
      </c>
      <c r="B2107" s="71" t="s">
        <v>5632</v>
      </c>
      <c r="C2107" s="289" t="s">
        <v>5633</v>
      </c>
      <c r="D2107" s="200"/>
      <c r="E2107" s="200"/>
    </row>
    <row r="2108">
      <c r="A2108" s="280" t="s">
        <v>5635</v>
      </c>
      <c r="B2108" s="281" t="s">
        <v>5636</v>
      </c>
      <c r="C2108" s="45" t="s">
        <v>5637</v>
      </c>
      <c r="D2108" s="45" t="s">
        <v>5638</v>
      </c>
      <c r="E2108" s="45" t="s">
        <v>5639</v>
      </c>
      <c r="F2108" s="187">
        <v>375.0</v>
      </c>
      <c r="G2108" s="180" t="str">
        <f>IFERROR(__xludf.DUMMYFUNCTION("TRIM(REGEXREPLACE(C2108, ""[0-9]+[a-f]?\."", """"))"),"In ${hoh_destination}, what was the name of the city or town that ${hoh_roster_name} moved to?")</f>
        <v>In ${hoh_destination}, what was the name of the city or town that ${hoh_roster_name} moved to?</v>
      </c>
      <c r="H2108" s="180" t="str">
        <f>IFERROR(__xludf.DUMMYFUNCTION("TRIM(REGEXREPLACE(D2108, ""[0-9]+[a-f]?\."", """"))"),"À ${hoh_destination}, quel était le nom de la ville dans laquelle ${hoh_roster_name} il a séjourné ?")</f>
        <v>À ${hoh_destination}, quel était le nom de la ville dans laquelle ${hoh_roster_name} il a séjourné ?</v>
      </c>
      <c r="I2108" s="180" t="str">
        <f>IFERROR(__xludf.DUMMYFUNCTION("TRIM(REGEXREPLACE(E2108, ""[0-9]+[a-f]?\."", """"))"),"A ${hoh_destination}, menene sunan birnin da ${hoh_roster_name} ya zauna?")</f>
        <v>A ${hoh_destination}, menene sunan birnin da ${hoh_roster_name} ya zauna?</v>
      </c>
      <c r="J2108" s="180" t="str">
        <f t="shared" ref="J2108:L2108" si="375">$F2108 &amp; ". "&amp;G2108</f>
        <v>375. In ${hoh_destination}, what was the name of the city or town that ${hoh_roster_name} moved to?</v>
      </c>
      <c r="K2108" s="180" t="str">
        <f t="shared" si="375"/>
        <v>375. À ${hoh_destination}, quel était le nom de la ville dans laquelle ${hoh_roster_name} il a séjourné ?</v>
      </c>
      <c r="L2108" s="180" t="str">
        <f t="shared" si="375"/>
        <v>375. A ${hoh_destination}, menene sunan birnin da ${hoh_roster_name} ya zauna?</v>
      </c>
    </row>
    <row r="2109">
      <c r="A2109" s="282" t="s">
        <v>252</v>
      </c>
      <c r="B2109" s="283" t="s">
        <v>5640</v>
      </c>
      <c r="C2109" s="45" t="s">
        <v>5641</v>
      </c>
      <c r="D2109" s="45" t="s">
        <v>5643</v>
      </c>
      <c r="E2109" s="45" t="s">
        <v>5644</v>
      </c>
      <c r="F2109" s="187">
        <v>376.0</v>
      </c>
      <c r="G2109" s="180" t="str">
        <f>IFERROR(__xludf.DUMMYFUNCTION("TRIM(REGEXREPLACE(C2109, ""[0-9]+[a-f]?\."", """"))"),"Specify other")</f>
        <v>Specify other</v>
      </c>
      <c r="H2109" s="180" t="str">
        <f>IFERROR(__xludf.DUMMYFUNCTION("TRIM(REGEXREPLACE(D2109, ""[0-9]+[a-f]?\."", """"))"),"Autre à préciser")</f>
        <v>Autre à préciser</v>
      </c>
      <c r="I2109" s="180" t="str">
        <f>IFERROR(__xludf.DUMMYFUNCTION("TRIM(REGEXREPLACE(E2109, ""[0-9]+[a-f]?\."", """"))"),"Wani daban a Bayyana")</f>
        <v>Wani daban a Bayyana</v>
      </c>
      <c r="J2109" s="180" t="str">
        <f t="shared" ref="J2109:L2109" si="376">$F2109 &amp; ". "&amp;G2109</f>
        <v>376. Specify other</v>
      </c>
      <c r="K2109" s="180" t="str">
        <f t="shared" si="376"/>
        <v>376. Autre à préciser</v>
      </c>
      <c r="L2109" s="180" t="str">
        <f t="shared" si="376"/>
        <v>376. Wani daban a Bayyana</v>
      </c>
    </row>
    <row r="2110">
      <c r="A2110" s="280" t="s">
        <v>5645</v>
      </c>
      <c r="B2110" s="281" t="s">
        <v>5646</v>
      </c>
      <c r="C2110" s="45" t="s">
        <v>5647</v>
      </c>
      <c r="D2110" s="45" t="s">
        <v>5648</v>
      </c>
      <c r="E2110" s="45" t="s">
        <v>5650</v>
      </c>
      <c r="F2110" s="187">
        <v>377.0</v>
      </c>
      <c r="G2110" s="180" t="str">
        <f>IFERROR(__xludf.DUMMYFUNCTION("TRIM(REGEXREPLACE(C2110, ""[0-9]+[a-f]?\."", """"))"),"In ${hoh_destination}, what was the name of the region that ${hoh_roster_name} moved to?")</f>
        <v>In ${hoh_destination}, what was the name of the region that ${hoh_roster_name} moved to?</v>
      </c>
      <c r="H2110" s="180" t="str">
        <f>IFERROR(__xludf.DUMMYFUNCTION("TRIM(REGEXREPLACE(D2110, ""[0-9]+[a-f]?\."", """"))"),"Dans ${hoh_destination}, quel était le nom de la région vers laquelle ${hoh_roster_name} a été déplacé ?")</f>
        <v>Dans ${hoh_destination}, quel était le nom de la région vers laquelle ${hoh_roster_name} a été déplacé ?</v>
      </c>
      <c r="I2110" s="180" t="str">
        <f>IFERROR(__xludf.DUMMYFUNCTION("TRIM(REGEXREPLACE(E2110, ""[0-9]+[a-f]?\."", """"))"),"A ${hoh_destination}, menene sunan yankin da ${hoh_roster_name} ya koma?")</f>
        <v>A ${hoh_destination}, menene sunan yankin da ${hoh_roster_name} ya koma?</v>
      </c>
      <c r="J2110" s="180" t="str">
        <f t="shared" ref="J2110:L2110" si="377">$F2110 &amp; ". "&amp;G2110</f>
        <v>377. In ${hoh_destination}, what was the name of the region that ${hoh_roster_name} moved to?</v>
      </c>
      <c r="K2110" s="180" t="str">
        <f t="shared" si="377"/>
        <v>377. Dans ${hoh_destination}, quel était le nom de la région vers laquelle ${hoh_roster_name} a été déplacé ?</v>
      </c>
      <c r="L2110" s="180" t="str">
        <f t="shared" si="377"/>
        <v>377. A ${hoh_destination}, menene sunan yankin da ${hoh_roster_name} ya koma?</v>
      </c>
    </row>
    <row r="2111">
      <c r="A2111" s="282" t="s">
        <v>252</v>
      </c>
      <c r="B2111" s="283" t="s">
        <v>5653</v>
      </c>
      <c r="C2111" s="45" t="s">
        <v>5654</v>
      </c>
      <c r="D2111" s="45" t="s">
        <v>5655</v>
      </c>
      <c r="E2111" s="45" t="s">
        <v>5656</v>
      </c>
      <c r="F2111" s="187">
        <v>378.0</v>
      </c>
      <c r="G2111" s="180" t="str">
        <f>IFERROR(__xludf.DUMMYFUNCTION("TRIM(REGEXREPLACE(C2111, ""[0-9]+[a-f]?\."", """"))"),"Specify other")</f>
        <v>Specify other</v>
      </c>
      <c r="H2111" s="180" t="str">
        <f>IFERROR(__xludf.DUMMYFUNCTION("TRIM(REGEXREPLACE(D2111, ""[0-9]+[a-f]?\."", """"))"),"Autre à préciser")</f>
        <v>Autre à préciser</v>
      </c>
      <c r="I2111" s="180" t="str">
        <f>IFERROR(__xludf.DUMMYFUNCTION("TRIM(REGEXREPLACE(E2111, ""[0-9]+[a-f]?\."", """"))"),"Wani daban a Bayyana")</f>
        <v>Wani daban a Bayyana</v>
      </c>
      <c r="J2111" s="180" t="str">
        <f t="shared" ref="J2111:L2111" si="378">$F2111 &amp; ". "&amp;G2111</f>
        <v>378. Specify other</v>
      </c>
      <c r="K2111" s="180" t="str">
        <f t="shared" si="378"/>
        <v>378. Autre à préciser</v>
      </c>
      <c r="L2111" s="180" t="str">
        <f t="shared" si="378"/>
        <v>378. Wani daban a Bayyana</v>
      </c>
    </row>
    <row r="2112">
      <c r="A2112" s="291" t="s">
        <v>268</v>
      </c>
      <c r="B2112" s="292" t="s">
        <v>5660</v>
      </c>
      <c r="C2112" s="45" t="s">
        <v>5661</v>
      </c>
      <c r="D2112" s="45" t="s">
        <v>5662</v>
      </c>
      <c r="E2112" s="45" t="s">
        <v>5663</v>
      </c>
      <c r="F2112" s="187">
        <v>379.0</v>
      </c>
      <c r="G2112" s="180" t="str">
        <f>IFERROR(__xludf.DUMMYFUNCTION("TRIM(REGEXREPLACE(C2112, ""[0-9]+[a-f]?\."", """"))"),"How many times did ${hoh_roster_name} travel to ${hoh_destination} since ${period}?")</f>
        <v>How many times did ${hoh_roster_name} travel to ${hoh_destination} since ${period}?</v>
      </c>
      <c r="H2112" s="180" t="str">
        <f>IFERROR(__xludf.DUMMYFUNCTION("TRIM(REGEXREPLACE(D2112, ""[0-9]+[a-f]?\."", """"))"),"Combien de fois ${hoh_roster_name} s'est-il rendu à ${hoh_destination} depuis la ${period_french}?")</f>
        <v>Combien de fois ${hoh_roster_name} s'est-il rendu à ${hoh_destination} depuis la ${period_french}?</v>
      </c>
      <c r="I2112" s="180" t="str">
        <f>IFERROR(__xludf.DUMMYFUNCTION("TRIM(REGEXREPLACE(E2112, ""[0-9]+[a-f]?\."", """"))"),"Sau nawa ${hoh_roster_name} yayi tafiya zuwa ${hoh_destination} tun daga wancan ${period_hausa}?")</f>
        <v>Sau nawa ${hoh_roster_name} yayi tafiya zuwa ${hoh_destination} tun daga wancan ${period_hausa}?</v>
      </c>
      <c r="J2112" s="180" t="str">
        <f t="shared" ref="J2112:L2112" si="379">$F2112 &amp; ". "&amp;G2112</f>
        <v>379. How many times did ${hoh_roster_name} travel to ${hoh_destination} since ${period}?</v>
      </c>
      <c r="K2112" s="180" t="str">
        <f t="shared" si="379"/>
        <v>379. Combien de fois ${hoh_roster_name} s'est-il rendu à ${hoh_destination} depuis la ${period_french}?</v>
      </c>
      <c r="L2112" s="180" t="str">
        <f t="shared" si="379"/>
        <v>379. Sau nawa ${hoh_roster_name} yayi tafiya zuwa ${hoh_destination} tun daga wancan ${period_hausa}?</v>
      </c>
    </row>
    <row r="2113" hidden="1">
      <c r="A2113" s="285" t="s">
        <v>468</v>
      </c>
      <c r="B2113" s="285" t="s">
        <v>5624</v>
      </c>
      <c r="C2113" s="185" t="s">
        <v>5665</v>
      </c>
      <c r="D2113" s="326"/>
      <c r="E2113" s="326"/>
    </row>
    <row r="2114" hidden="1">
      <c r="A2114" s="168" t="s">
        <v>127</v>
      </c>
      <c r="B2114" s="71" t="s">
        <v>5671</v>
      </c>
      <c r="C2114" s="200"/>
      <c r="D2114" s="200"/>
      <c r="E2114" s="200"/>
    </row>
    <row r="2115" hidden="1">
      <c r="A2115" s="168" t="s">
        <v>68</v>
      </c>
      <c r="B2115" s="71" t="s">
        <v>5672</v>
      </c>
      <c r="C2115" s="200"/>
      <c r="D2115" s="200"/>
      <c r="E2115" s="200"/>
    </row>
    <row r="2116">
      <c r="A2116" s="280" t="s">
        <v>2509</v>
      </c>
      <c r="B2116" s="281" t="s">
        <v>5673</v>
      </c>
      <c r="C2116" s="45" t="s">
        <v>5674</v>
      </c>
      <c r="D2116" s="45" t="s">
        <v>5675</v>
      </c>
      <c r="E2116" s="45" t="s">
        <v>5676</v>
      </c>
      <c r="F2116" s="187">
        <v>380.0</v>
      </c>
      <c r="G2116" s="180" t="str">
        <f>IFERROR(__xludf.DUMMYFUNCTION("TRIM(REGEXREPLACE(C2116, ""[0-9]+[a-f]?\."", """"))"),"Since ${period_bl}, was there ever a time when ${hoh_roster_name} planned to migrate but then had to cancel their plans?")</f>
        <v>Since ${period_bl}, was there ever a time when ${hoh_roster_name} planned to migrate but then had to cancel their plans?</v>
      </c>
      <c r="H2116" s="180" t="str">
        <f>IFERROR(__xludf.DUMMYFUNCTION("TRIM(REGEXREPLACE(D2116, ""[0-9]+[a-f]?\."", """"))"),"Depuis cette ${period_french_bl}, y a-t-il déjà eu un moment où ${hoh_roster_name} avait prévu de migrer mais a ensuite dû annuler ses projets ?")</f>
        <v>Depuis cette ${period_french_bl}, y a-t-il déjà eu un moment où ${hoh_roster_name} avait prévu de migrer mais a ensuite dû annuler ses projets ?</v>
      </c>
      <c r="I2116" s="180" t="str">
        <f>IFERROR(__xludf.DUMMYFUNCTION("TRIM(REGEXREPLACE(E2116, ""[0-9]+[a-f]?\."", """"))"),"Tun daga ${period_hausa_bl}, ko akwai lokacin da ${hoh_roster_name} ya shirya zuwa biɗa amma sai ya soke shirinshi?")</f>
        <v>Tun daga ${period_hausa_bl}, ko akwai lokacin da ${hoh_roster_name} ya shirya zuwa biɗa amma sai ya soke shirinshi?</v>
      </c>
      <c r="J2116" s="180" t="str">
        <f t="shared" ref="J2116:L2116" si="380">$F2116 &amp; ". "&amp;G2116</f>
        <v>380. Since ${period_bl}, was there ever a time when ${hoh_roster_name} planned to migrate but then had to cancel their plans?</v>
      </c>
      <c r="K2116" s="180" t="str">
        <f t="shared" si="380"/>
        <v>380. Depuis cette ${period_french_bl}, y a-t-il déjà eu un moment où ${hoh_roster_name} avait prévu de migrer mais a ensuite dû annuler ses projets ?</v>
      </c>
      <c r="L2116" s="180" t="str">
        <f t="shared" si="380"/>
        <v>380. Tun daga ${period_hausa_bl}, ko akwai lokacin da ${hoh_roster_name} ya shirya zuwa biɗa amma sai ya soke shirinshi?</v>
      </c>
    </row>
    <row r="2117">
      <c r="A2117" s="280" t="s">
        <v>5604</v>
      </c>
      <c r="B2117" s="281" t="s">
        <v>5680</v>
      </c>
      <c r="C2117" s="45" t="s">
        <v>5681</v>
      </c>
      <c r="D2117" s="45" t="s">
        <v>5682</v>
      </c>
      <c r="E2117" s="45" t="s">
        <v>5683</v>
      </c>
      <c r="F2117" s="187">
        <v>381.0</v>
      </c>
      <c r="G2117" s="180" t="str">
        <f>IFERROR(__xludf.DUMMYFUNCTION("TRIM(REGEXREPLACE(C2117, ""[0-9]+[a-f]?\."", """"))"),"Where did they plan to migrate?")</f>
        <v>Where did they plan to migrate?</v>
      </c>
      <c r="H2117" s="180" t="str">
        <f>IFERROR(__xludf.DUMMYFUNCTION("TRIM(REGEXREPLACE(D2117, ""[0-9]+[a-f]?\."", """"))"),"Où envisageait-il de migrer ?")</f>
        <v>Où envisageait-il de migrer ?</v>
      </c>
      <c r="I2117" s="180" t="str">
        <f>IFERROR(__xludf.DUMMYFUNCTION("TRIM(REGEXREPLACE(E2117, ""[0-9]+[a-f]?\."", """"))"),"Zuwa ina ya shirya zuwa biɗar?")</f>
        <v>Zuwa ina ya shirya zuwa biɗar?</v>
      </c>
      <c r="J2117" s="180" t="str">
        <f t="shared" ref="J2117:L2117" si="381">$F2117 &amp; ". "&amp;G2117</f>
        <v>381. Where did they plan to migrate?</v>
      </c>
      <c r="K2117" s="180" t="str">
        <f t="shared" si="381"/>
        <v>381. Où envisageait-il de migrer ?</v>
      </c>
      <c r="L2117" s="180" t="str">
        <f t="shared" si="381"/>
        <v>381. Zuwa ina ya shirya zuwa biɗar?</v>
      </c>
    </row>
    <row r="2118">
      <c r="A2118" s="282" t="s">
        <v>252</v>
      </c>
      <c r="B2118" s="283" t="s">
        <v>5686</v>
      </c>
      <c r="C2118" s="45" t="s">
        <v>5687</v>
      </c>
      <c r="D2118" s="45" t="s">
        <v>5688</v>
      </c>
      <c r="E2118" s="45" t="s">
        <v>5689</v>
      </c>
      <c r="F2118" s="187">
        <v>382.0</v>
      </c>
      <c r="G2118" s="180" t="str">
        <f>IFERROR(__xludf.DUMMYFUNCTION("TRIM(REGEXREPLACE(C2118, ""[0-9]+[a-f]?\."", """"))"),"Specify other")</f>
        <v>Specify other</v>
      </c>
      <c r="H2118" s="180" t="str">
        <f>IFERROR(__xludf.DUMMYFUNCTION("TRIM(REGEXREPLACE(D2118, ""[0-9]+[a-f]?\."", """"))"),"Autre à préciser")</f>
        <v>Autre à préciser</v>
      </c>
      <c r="I2118" s="180" t="str">
        <f>IFERROR(__xludf.DUMMYFUNCTION("TRIM(REGEXREPLACE(E2118, ""[0-9]+[a-f]?\."", """"))"),"Wani daban a Bayyana")</f>
        <v>Wani daban a Bayyana</v>
      </c>
      <c r="J2118" s="180" t="str">
        <f t="shared" ref="J2118:L2118" si="382">$F2118 &amp; ". "&amp;G2118</f>
        <v>382. Specify other</v>
      </c>
      <c r="K2118" s="180" t="str">
        <f t="shared" si="382"/>
        <v>382. Autre à préciser</v>
      </c>
      <c r="L2118" s="180" t="str">
        <f t="shared" si="382"/>
        <v>382. Wani daban a Bayyana</v>
      </c>
    </row>
    <row r="2119" hidden="1">
      <c r="A2119" s="285" t="s">
        <v>426</v>
      </c>
      <c r="B2119" s="171" t="s">
        <v>5691</v>
      </c>
      <c r="C2119" s="171" t="s">
        <v>5692</v>
      </c>
      <c r="D2119" s="325"/>
      <c r="E2119" s="325"/>
    </row>
    <row r="2120" hidden="1">
      <c r="A2120" s="168" t="s">
        <v>68</v>
      </c>
      <c r="B2120" s="71" t="s">
        <v>5693</v>
      </c>
      <c r="C2120" s="200"/>
      <c r="D2120" s="200"/>
      <c r="E2120" s="200"/>
    </row>
    <row r="2121" hidden="1">
      <c r="A2121" s="168" t="s">
        <v>68</v>
      </c>
      <c r="B2121" s="71" t="s">
        <v>5694</v>
      </c>
      <c r="C2121" s="200"/>
      <c r="D2121" s="200"/>
      <c r="E2121" s="200"/>
    </row>
    <row r="2122" hidden="1">
      <c r="A2122" s="168" t="s">
        <v>68</v>
      </c>
      <c r="B2122" s="177" t="s">
        <v>5695</v>
      </c>
      <c r="C2122" s="289" t="s">
        <v>5633</v>
      </c>
      <c r="D2122" s="200"/>
      <c r="E2122" s="200"/>
    </row>
    <row r="2123">
      <c r="A2123" s="280" t="s">
        <v>5635</v>
      </c>
      <c r="B2123" s="338" t="s">
        <v>5696</v>
      </c>
      <c r="C2123" s="45" t="s">
        <v>5700</v>
      </c>
      <c r="D2123" s="45" t="s">
        <v>5701</v>
      </c>
      <c r="E2123" s="45" t="s">
        <v>5702</v>
      </c>
      <c r="F2123" s="187">
        <v>383.0</v>
      </c>
      <c r="G2123" s="180" t="str">
        <f>IFERROR(__xludf.DUMMYFUNCTION("TRIM(REGEXREPLACE(C2123, ""[0-9]+[a-f]?\."", """"))"),"In ${hoh_failed_country}, what was the name of the city or town that ${hoh_roster_name} planned to move to?")</f>
        <v>In ${hoh_failed_country}, what was the name of the city or town that ${hoh_roster_name} planned to move to?</v>
      </c>
      <c r="H2123" s="180" t="str">
        <f>IFERROR(__xludf.DUMMYFUNCTION("TRIM(REGEXREPLACE(D2123, ""[0-9]+[a-f]?\."", """"))"),"Dans ${hoh_failed_country}, quel était le nom de la ville ou du village vers lequel ${hoh_roster_name} prévoyait de voyager ?")</f>
        <v>Dans ${hoh_failed_country}, quel était le nom de la ville ou du village vers lequel ${hoh_roster_name} prévoyait de voyager ?</v>
      </c>
      <c r="I2123" s="180" t="str">
        <f>IFERROR(__xludf.DUMMYFUNCTION("TRIM(REGEXREPLACE(E2123, ""[0-9]+[a-f]?\."", """"))"),"A ƙasar ${hoh_failed_country}, menene sunan birni ko garin da sunan ${hoh_roster_name} yayi shirin zuwa?")</f>
        <v>A ƙasar ${hoh_failed_country}, menene sunan birni ko garin da sunan ${hoh_roster_name} yayi shirin zuwa?</v>
      </c>
      <c r="J2123" s="180" t="str">
        <f t="shared" ref="J2123:L2123" si="383">$F2123 &amp; ". "&amp;G2123</f>
        <v>383. In ${hoh_failed_country}, what was the name of the city or town that ${hoh_roster_name} planned to move to?</v>
      </c>
      <c r="K2123" s="180" t="str">
        <f t="shared" si="383"/>
        <v>383. Dans ${hoh_failed_country}, quel était le nom de la ville ou du village vers lequel ${hoh_roster_name} prévoyait de voyager ?</v>
      </c>
      <c r="L2123" s="180" t="str">
        <f t="shared" si="383"/>
        <v>383. A ƙasar ${hoh_failed_country}, menene sunan birni ko garin da sunan ${hoh_roster_name} yayi shirin zuwa?</v>
      </c>
    </row>
    <row r="2124">
      <c r="A2124" s="282" t="s">
        <v>252</v>
      </c>
      <c r="B2124" s="283" t="s">
        <v>5703</v>
      </c>
      <c r="C2124" s="45" t="s">
        <v>5704</v>
      </c>
      <c r="D2124" s="45" t="s">
        <v>5705</v>
      </c>
      <c r="E2124" s="45" t="s">
        <v>5706</v>
      </c>
      <c r="F2124" s="187">
        <v>384.0</v>
      </c>
      <c r="G2124" s="180" t="str">
        <f>IFERROR(__xludf.DUMMYFUNCTION("TRIM(REGEXREPLACE(C2124, ""[0-9]+[a-f]?\."", """"))"),"Specify other")</f>
        <v>Specify other</v>
      </c>
      <c r="H2124" s="180" t="str">
        <f>IFERROR(__xludf.DUMMYFUNCTION("TRIM(REGEXREPLACE(D2124, ""[0-9]+[a-f]?\."", """"))"),"Autre à préciser")</f>
        <v>Autre à préciser</v>
      </c>
      <c r="I2124" s="180" t="str">
        <f>IFERROR(__xludf.DUMMYFUNCTION("TRIM(REGEXREPLACE(E2124, ""[0-9]+[a-f]?\."", """"))"),"Wani daban a Bayyana")</f>
        <v>Wani daban a Bayyana</v>
      </c>
      <c r="J2124" s="180" t="str">
        <f t="shared" ref="J2124:L2124" si="384">$F2124 &amp; ". "&amp;G2124</f>
        <v>384. Specify other</v>
      </c>
      <c r="K2124" s="180" t="str">
        <f t="shared" si="384"/>
        <v>384. Autre à préciser</v>
      </c>
      <c r="L2124" s="180" t="str">
        <f t="shared" si="384"/>
        <v>384. Wani daban a Bayyana</v>
      </c>
    </row>
    <row r="2125">
      <c r="A2125" s="280" t="s">
        <v>5645</v>
      </c>
      <c r="B2125" s="281" t="s">
        <v>5710</v>
      </c>
      <c r="C2125" s="281" t="s">
        <v>5711</v>
      </c>
      <c r="D2125" s="281" t="s">
        <v>5712</v>
      </c>
      <c r="E2125" s="281" t="s">
        <v>5713</v>
      </c>
      <c r="F2125" s="187">
        <v>385.0</v>
      </c>
      <c r="G2125" s="180" t="str">
        <f>IFERROR(__xludf.DUMMYFUNCTION("TRIM(REGEXREPLACE(C2125, ""[0-9]+[a-f]?\."", """"))"),"In ${hoh_failed_country}, what was the name of the region that ${hoh_roster_name} planned to move to?")</f>
        <v>In ${hoh_failed_country}, what was the name of the region that ${hoh_roster_name} planned to move to?</v>
      </c>
      <c r="H2125" s="180" t="str">
        <f>IFERROR(__xludf.DUMMYFUNCTION("TRIM(REGEXREPLACE(D2125, ""[0-9]+[a-f]?\."", """"))"),"Dans ${hoh_failed_country}, quel était le nom de la région dans laquelle ${hoh_roster_name} prévoyait de voyager ?")</f>
        <v>Dans ${hoh_failed_country}, quel était le nom de la région dans laquelle ${hoh_roster_name} prévoyait de voyager ?</v>
      </c>
      <c r="I2125" s="180" t="str">
        <f>IFERROR(__xludf.DUMMYFUNCTION("TRIM(REGEXREPLACE(E2125, ""[0-9]+[a-f]?\."", """"))"),"A kasar ${hoh_failed_country}, menene sunan yankin da sunan ${hoh_roster_name} ya shirya zuwa?")</f>
        <v>A kasar ${hoh_failed_country}, menene sunan yankin da sunan ${hoh_roster_name} ya shirya zuwa?</v>
      </c>
      <c r="J2125" s="180" t="str">
        <f t="shared" ref="J2125:L2125" si="385">$F2125 &amp; ". "&amp;G2125</f>
        <v>385. In ${hoh_failed_country}, what was the name of the region that ${hoh_roster_name} planned to move to?</v>
      </c>
      <c r="K2125" s="180" t="str">
        <f t="shared" si="385"/>
        <v>385. Dans ${hoh_failed_country}, quel était le nom de la région dans laquelle ${hoh_roster_name} prévoyait de voyager ?</v>
      </c>
      <c r="L2125" s="180" t="str">
        <f t="shared" si="385"/>
        <v>385. A kasar ${hoh_failed_country}, menene sunan yankin da sunan ${hoh_roster_name} ya shirya zuwa?</v>
      </c>
    </row>
    <row r="2126">
      <c r="A2126" s="282" t="s">
        <v>252</v>
      </c>
      <c r="B2126" s="283" t="s">
        <v>5716</v>
      </c>
      <c r="C2126" s="45" t="s">
        <v>5717</v>
      </c>
      <c r="D2126" s="45" t="s">
        <v>5718</v>
      </c>
      <c r="E2126" s="45" t="s">
        <v>5720</v>
      </c>
      <c r="F2126" s="187">
        <v>386.0</v>
      </c>
      <c r="G2126" s="180" t="str">
        <f>IFERROR(__xludf.DUMMYFUNCTION("TRIM(REGEXREPLACE(C2126, ""[0-9]+[a-f]?\."", """"))"),"Specify other")</f>
        <v>Specify other</v>
      </c>
      <c r="H2126" s="180" t="str">
        <f>IFERROR(__xludf.DUMMYFUNCTION("TRIM(REGEXREPLACE(D2126, ""[0-9]+[a-f]?\."", """"))"),"Autre à préciser")</f>
        <v>Autre à préciser</v>
      </c>
      <c r="I2126" s="180" t="str">
        <f>IFERROR(__xludf.DUMMYFUNCTION("TRIM(REGEXREPLACE(E2126, ""[0-9]+[a-f]?\."", """"))"),"Wani daban a Bayyana")</f>
        <v>Wani daban a Bayyana</v>
      </c>
      <c r="J2126" s="180" t="str">
        <f t="shared" ref="J2126:L2126" si="386">$F2126 &amp; ". "&amp;G2126</f>
        <v>386. Specify other</v>
      </c>
      <c r="K2126" s="180" t="str">
        <f t="shared" si="386"/>
        <v>386. Autre à préciser</v>
      </c>
      <c r="L2126" s="180" t="str">
        <f t="shared" si="386"/>
        <v>386. Wani daban a Bayyana</v>
      </c>
    </row>
    <row r="2127">
      <c r="A2127" s="291" t="s">
        <v>268</v>
      </c>
      <c r="B2127" s="292" t="s">
        <v>5721</v>
      </c>
      <c r="C2127" s="45" t="s">
        <v>5722</v>
      </c>
      <c r="D2127" s="45" t="s">
        <v>5723</v>
      </c>
      <c r="E2127" s="45" t="s">
        <v>5724</v>
      </c>
      <c r="F2127" s="187">
        <v>387.0</v>
      </c>
      <c r="G2127" s="180" t="str">
        <f>IFERROR(__xludf.DUMMYFUNCTION("TRIM(REGEXREPLACE(C2127, ""[0-9]+[a-f]?\."", """"))"),"How many times did they plan to migrate to ${hoh_failed_country} and fail?")</f>
        <v>How many times did they plan to migrate to ${hoh_failed_country} and fail?</v>
      </c>
      <c r="H2127" s="180" t="str">
        <f>IFERROR(__xludf.DUMMYFUNCTION("TRIM(REGEXREPLACE(D2127, ""[0-9]+[a-f]?\."", """"))"),"Combien de fois ont-ils prévu de migrer vers ${hoh_failed_country} et ont-ils échoué ?")</f>
        <v>Combien de fois ont-ils prévu de migrer vers ${hoh_failed_country} et ont-ils échoué ?</v>
      </c>
      <c r="I2127" s="180" t="str">
        <f>IFERROR(__xludf.DUMMYFUNCTION("TRIM(REGEXREPLACE(E2127, ""[0-9]+[a-f]?\."", """"))"),"Sau nawa ya shirya zuwa ƙasar ${hoh_failed_country} kuma ya kasa?")</f>
        <v>Sau nawa ya shirya zuwa ƙasar ${hoh_failed_country} kuma ya kasa?</v>
      </c>
      <c r="J2127" s="180" t="str">
        <f t="shared" ref="J2127:L2127" si="387">$F2127 &amp; ". "&amp;G2127</f>
        <v>387. How many times did they plan to migrate to ${hoh_failed_country} and fail?</v>
      </c>
      <c r="K2127" s="180" t="str">
        <f t="shared" si="387"/>
        <v>387. Combien de fois ont-ils prévu de migrer vers ${hoh_failed_country} et ont-ils échoué ?</v>
      </c>
      <c r="L2127" s="180" t="str">
        <f t="shared" si="387"/>
        <v>387. Sau nawa ya shirya zuwa ƙasar ${hoh_failed_country} kuma ya kasa?</v>
      </c>
    </row>
    <row r="2128">
      <c r="A2128" s="280" t="s">
        <v>5725</v>
      </c>
      <c r="B2128" s="281" t="s">
        <v>5726</v>
      </c>
      <c r="C2128" s="45" t="s">
        <v>5727</v>
      </c>
      <c r="D2128" s="45" t="s">
        <v>5728</v>
      </c>
      <c r="E2128" s="45" t="s">
        <v>5729</v>
      </c>
      <c r="F2128" s="187">
        <v>388.0</v>
      </c>
      <c r="G2128" s="180" t="str">
        <f>IFERROR(__xludf.DUMMYFUNCTION("TRIM(REGEXREPLACE(C2128, ""[0-9]+[a-f]?\."", """"))"),"Why did they change their plans?")</f>
        <v>Why did they change their plans?</v>
      </c>
      <c r="H2128" s="180" t="str">
        <f>IFERROR(__xludf.DUMMYFUNCTION("TRIM(REGEXREPLACE(D2128, ""[0-9]+[a-f]?\."", """"))"),"Pourquoi a-t-il changé son plan?")</f>
        <v>Pourquoi a-t-il changé son plan?</v>
      </c>
      <c r="I2128" s="180" t="str">
        <f>IFERROR(__xludf.DUMMYFUNCTION("TRIM(REGEXREPLACE(E2128, ""[0-9]+[a-f]?\."", """"))"),"Me yasa ya fasa tafiyar?")</f>
        <v>Me yasa ya fasa tafiyar?</v>
      </c>
      <c r="J2128" s="180" t="str">
        <f t="shared" ref="J2128:L2128" si="388">$F2128 &amp; ". "&amp;G2128</f>
        <v>388. Why did they change their plans?</v>
      </c>
      <c r="K2128" s="180" t="str">
        <f t="shared" si="388"/>
        <v>388. Pourquoi a-t-il changé son plan?</v>
      </c>
      <c r="L2128" s="180" t="str">
        <f t="shared" si="388"/>
        <v>388. Me yasa ya fasa tafiyar?</v>
      </c>
    </row>
    <row r="2129">
      <c r="A2129" s="282" t="s">
        <v>252</v>
      </c>
      <c r="B2129" s="283" t="s">
        <v>5730</v>
      </c>
      <c r="C2129" s="45" t="s">
        <v>5731</v>
      </c>
      <c r="D2129" s="45" t="s">
        <v>5733</v>
      </c>
      <c r="E2129" s="45" t="s">
        <v>5735</v>
      </c>
      <c r="F2129" s="187">
        <v>389.0</v>
      </c>
      <c r="G2129" s="180" t="str">
        <f>IFERROR(__xludf.DUMMYFUNCTION("TRIM(REGEXREPLACE(C2129, ""[0-9]+[a-f]?\."", """"))"),"Specify other reason")</f>
        <v>Specify other reason</v>
      </c>
      <c r="H2129" s="180" t="str">
        <f>IFERROR(__xludf.DUMMYFUNCTION("TRIM(REGEXREPLACE(D2129, ""[0-9]+[a-f]?\."", """"))"),"Précisez une autre raison")</f>
        <v>Précisez une autre raison</v>
      </c>
      <c r="I2129" s="180" t="str">
        <f>IFERROR(__xludf.DUMMYFUNCTION("TRIM(REGEXREPLACE(E2129, ""[0-9]+[a-f]?\."", """"))"),"Baiyana wani dalili daban")</f>
        <v>Baiyana wani dalili daban</v>
      </c>
      <c r="J2129" s="180" t="str">
        <f t="shared" ref="J2129:L2129" si="389">$F2129 &amp; ". "&amp;G2129</f>
        <v>389. Specify other reason</v>
      </c>
      <c r="K2129" s="180" t="str">
        <f t="shared" si="389"/>
        <v>389. Précisez une autre raison</v>
      </c>
      <c r="L2129" s="180" t="str">
        <f t="shared" si="389"/>
        <v>389. Baiyana wani dalili daban</v>
      </c>
    </row>
    <row r="2130" hidden="1">
      <c r="A2130" s="285" t="s">
        <v>468</v>
      </c>
      <c r="B2130" s="185" t="s">
        <v>5691</v>
      </c>
      <c r="C2130" s="326"/>
      <c r="D2130" s="326"/>
      <c r="E2130" s="326"/>
    </row>
    <row r="2131" hidden="1">
      <c r="A2131" s="298" t="s">
        <v>237</v>
      </c>
      <c r="B2131" s="310" t="s">
        <v>5592</v>
      </c>
      <c r="C2131" s="310" t="s">
        <v>5593</v>
      </c>
      <c r="D2131" s="303"/>
      <c r="E2131" s="303"/>
    </row>
    <row r="2132" hidden="1">
      <c r="A2132" s="168" t="s">
        <v>127</v>
      </c>
      <c r="B2132" s="71" t="s">
        <v>5739</v>
      </c>
      <c r="C2132" s="200"/>
      <c r="D2132" s="200"/>
      <c r="E2132" s="200"/>
    </row>
    <row r="2133" hidden="1">
      <c r="A2133" s="168" t="s">
        <v>68</v>
      </c>
      <c r="B2133" s="71" t="s">
        <v>5742</v>
      </c>
      <c r="C2133" s="200"/>
      <c r="D2133" s="200"/>
      <c r="E2133" s="200"/>
    </row>
    <row r="2134" hidden="1">
      <c r="A2134" s="285" t="s">
        <v>468</v>
      </c>
      <c r="B2134" s="185" t="s">
        <v>5405</v>
      </c>
      <c r="C2134" s="185" t="s">
        <v>5406</v>
      </c>
      <c r="D2134" s="326"/>
      <c r="E2134" s="326"/>
    </row>
    <row r="2135" hidden="1">
      <c r="A2135" s="259"/>
      <c r="B2135" s="259"/>
      <c r="C2135" s="259"/>
      <c r="D2135" s="259"/>
      <c r="E2135" s="259"/>
    </row>
    <row r="2136" hidden="1">
      <c r="A2136" s="168" t="s">
        <v>68</v>
      </c>
      <c r="B2136" s="71" t="s">
        <v>5743</v>
      </c>
      <c r="C2136" s="289" t="s">
        <v>5744</v>
      </c>
      <c r="D2136" s="289" t="s">
        <v>5745</v>
      </c>
      <c r="E2136" s="289" t="s">
        <v>5746</v>
      </c>
    </row>
    <row r="2137" hidden="1">
      <c r="A2137" s="168" t="s">
        <v>68</v>
      </c>
      <c r="B2137" s="71" t="s">
        <v>5747</v>
      </c>
      <c r="C2137" s="289" t="s">
        <v>5748</v>
      </c>
      <c r="D2137" s="200"/>
      <c r="E2137" s="200"/>
    </row>
    <row r="2138" hidden="1">
      <c r="A2138" s="168" t="s">
        <v>68</v>
      </c>
      <c r="B2138" s="71" t="s">
        <v>5749</v>
      </c>
      <c r="C2138" s="200"/>
      <c r="D2138" s="200"/>
      <c r="E2138" s="200"/>
    </row>
    <row r="2139" hidden="1">
      <c r="A2139" s="168" t="s">
        <v>68</v>
      </c>
      <c r="B2139" s="71" t="s">
        <v>5750</v>
      </c>
      <c r="C2139" s="200"/>
      <c r="D2139" s="200"/>
      <c r="E2139" s="200"/>
    </row>
    <row r="2140" hidden="1">
      <c r="A2140" s="168" t="s">
        <v>68</v>
      </c>
      <c r="B2140" s="71" t="s">
        <v>5754</v>
      </c>
      <c r="C2140" s="200"/>
      <c r="D2140" s="200"/>
      <c r="E2140" s="200"/>
    </row>
    <row r="2141" hidden="1">
      <c r="A2141" s="168" t="s">
        <v>68</v>
      </c>
      <c r="B2141" s="71" t="s">
        <v>5755</v>
      </c>
      <c r="C2141" s="200"/>
      <c r="D2141" s="200"/>
      <c r="E2141" s="200"/>
    </row>
    <row r="2142" hidden="1">
      <c r="A2142" s="168" t="s">
        <v>68</v>
      </c>
      <c r="B2142" s="71" t="s">
        <v>5756</v>
      </c>
      <c r="C2142" s="200"/>
      <c r="D2142" s="200"/>
      <c r="E2142" s="200"/>
    </row>
    <row r="2143" hidden="1">
      <c r="A2143" s="320"/>
      <c r="B2143" s="321"/>
      <c r="C2143" s="321"/>
      <c r="D2143" s="321"/>
      <c r="E2143" s="321"/>
    </row>
    <row r="2144" hidden="1">
      <c r="A2144" s="298" t="s">
        <v>133</v>
      </c>
      <c r="B2144" s="299" t="s">
        <v>5757</v>
      </c>
      <c r="C2144" s="299" t="s">
        <v>5758</v>
      </c>
      <c r="D2144" s="300"/>
      <c r="E2144" s="300"/>
    </row>
    <row r="2145">
      <c r="A2145" s="278" t="s">
        <v>38</v>
      </c>
      <c r="B2145" s="279" t="s">
        <v>5759</v>
      </c>
      <c r="C2145" s="45" t="s">
        <v>5760</v>
      </c>
      <c r="D2145" s="45" t="s">
        <v>5761</v>
      </c>
      <c r="E2145" s="45" t="s">
        <v>5762</v>
      </c>
      <c r="F2145" s="187">
        <v>390.0</v>
      </c>
      <c r="G2145" s="180" t="str">
        <f>IFERROR(__xludf.DUMMYFUNCTION("TRIM(REGEXREPLACE(C2145, ""[0-9]+[a-f]?\."", """"))"),"Now I will ask you about how your household manages its resources.")</f>
        <v>Now I will ask you about how your household manages its resources.</v>
      </c>
      <c r="H2145" s="180" t="str">
        <f>IFERROR(__xludf.DUMMYFUNCTION("TRIM(REGEXREPLACE(D2145, ""[0-9]+[a-f]?\."", """"))"),"Je vais maintenant vous demander comment votre ménage gère ses ressources.")</f>
        <v>Je vais maintenant vous demander comment votre ménage gère ses ressources.</v>
      </c>
      <c r="I2145" s="180" t="str">
        <f>IFERROR(__xludf.DUMMYFUNCTION("TRIM(REGEXREPLACE(E2145, ""[0-9]+[a-f]?\."", """"))"),"Yanzu zan tambaye ku yadda gidanku yake sarrafa dukiyoyinshi.")</f>
        <v>Yanzu zan tambaye ku yadda gidanku yake sarrafa dukiyoyinshi.</v>
      </c>
      <c r="J2145" s="180" t="str">
        <f t="shared" ref="J2145:L2145" si="390">$F2145 &amp; ". "&amp;G2145</f>
        <v>390. Now I will ask you about how your household manages its resources.</v>
      </c>
      <c r="K2145" s="180" t="str">
        <f t="shared" si="390"/>
        <v>390. Je vais maintenant vous demander comment votre ménage gère ses ressources.</v>
      </c>
      <c r="L2145" s="180" t="str">
        <f t="shared" si="390"/>
        <v>390. Yanzu zan tambaye ku yadda gidanku yake sarrafa dukiyoyinshi.</v>
      </c>
    </row>
    <row r="2146">
      <c r="A2146" s="280" t="s">
        <v>2509</v>
      </c>
      <c r="B2146" s="281" t="s">
        <v>5770</v>
      </c>
      <c r="C2146" s="45" t="s">
        <v>3472</v>
      </c>
      <c r="D2146" s="45" t="s">
        <v>3474</v>
      </c>
      <c r="E2146" s="45" t="s">
        <v>3475</v>
      </c>
      <c r="F2146" s="187">
        <v>391.0</v>
      </c>
      <c r="G2146" s="180" t="str">
        <f>IFERROR(__xludf.DUMMYFUNCTION("TRIM(REGEXREPLACE(C2146, ""[0-9]+[a-f]?\."", """"))"),"Do you or another member of the household own this house?")</f>
        <v>Do you or another member of the household own this house?</v>
      </c>
      <c r="H2146" s="180" t="str">
        <f>IFERROR(__xludf.DUMMYFUNCTION("TRIM(REGEXREPLACE(D2146, ""[0-9]+[a-f]?\."", """"))"),"Est-ce que vous ou un autre membre du ménage êtes propriétaire de cette maison ?")</f>
        <v>Est-ce que vous ou un autre membre du ménage êtes propriétaire de cette maison ?</v>
      </c>
      <c r="I2146" s="180" t="str">
        <f>IFERROR(__xludf.DUMMYFUNCTION("TRIM(REGEXREPLACE(E2146, ""[0-9]+[a-f]?\."", """"))"),"Shin wannan gidan mallakarku ne kai ko wani dan cikin gidan ?")</f>
        <v>Shin wannan gidan mallakarku ne kai ko wani dan cikin gidan ?</v>
      </c>
      <c r="J2146" s="180" t="str">
        <f t="shared" ref="J2146:L2146" si="391">$F2146 &amp; ". "&amp;G2146</f>
        <v>391. Do you or another member of the household own this house?</v>
      </c>
      <c r="K2146" s="180" t="str">
        <f t="shared" si="391"/>
        <v>391. Est-ce que vous ou un autre membre du ménage êtes propriétaire de cette maison ?</v>
      </c>
      <c r="L2146" s="180" t="str">
        <f t="shared" si="391"/>
        <v>391. Shin wannan gidan mallakarku ne kai ko wani dan cikin gidan ?</v>
      </c>
    </row>
    <row r="2147">
      <c r="A2147" s="291" t="s">
        <v>268</v>
      </c>
      <c r="B2147" s="292" t="s">
        <v>5771</v>
      </c>
      <c r="C2147" s="45" t="s">
        <v>3479</v>
      </c>
      <c r="D2147" s="45" t="s">
        <v>3480</v>
      </c>
      <c r="E2147" s="45" t="s">
        <v>3481</v>
      </c>
      <c r="F2147" s="187">
        <v>392.0</v>
      </c>
      <c r="G2147" s="180" t="str">
        <f>IFERROR(__xludf.DUMMYFUNCTION("TRIM(REGEXREPLACE(C2147, ""[0-9]+[a-f]?\."", """"))"),"What is your best estimate of the value of your home in CFA?")</f>
        <v>What is your best estimate of the value of your home in CFA?</v>
      </c>
      <c r="H2147" s="180" t="str">
        <f>IFERROR(__xludf.DUMMYFUNCTION("TRIM(REGEXREPLACE(D2147, ""[0-9]+[a-f]?\."", """"))"),"Quelle est votre meilleure estimation de la valeur de votre maison en CFA ?")</f>
        <v>Quelle est votre meilleure estimation de la valeur de votre maison en CFA ?</v>
      </c>
      <c r="I2147" s="180" t="str">
        <f>IFERROR(__xludf.DUMMYFUNCTION("TRIM(REGEXREPLACE(E2147, ""[0-9]+[a-f]?\."", """"))"),"A ganinka wannan gidan aƙalla ya yi nawa a kudin CFA ?")</f>
        <v>A ganinka wannan gidan aƙalla ya yi nawa a kudin CFA ?</v>
      </c>
      <c r="J2147" s="180" t="str">
        <f t="shared" ref="J2147:L2147" si="392">$F2147 &amp; ". "&amp;G2147</f>
        <v>392. What is your best estimate of the value of your home in CFA?</v>
      </c>
      <c r="K2147" s="180" t="str">
        <f t="shared" si="392"/>
        <v>392. Quelle est votre meilleure estimation de la valeur de votre maison en CFA ?</v>
      </c>
      <c r="L2147" s="180" t="str">
        <f t="shared" si="392"/>
        <v>392. A ganinka wannan gidan aƙalla ya yi nawa a kudin CFA ?</v>
      </c>
    </row>
    <row r="2148">
      <c r="A2148" s="280" t="s">
        <v>5772</v>
      </c>
      <c r="B2148" s="281" t="s">
        <v>5773</v>
      </c>
      <c r="C2148" s="45" t="s">
        <v>3485</v>
      </c>
      <c r="D2148" s="45" t="s">
        <v>3486</v>
      </c>
      <c r="E2148" s="45" t="s">
        <v>3487</v>
      </c>
      <c r="F2148" s="187">
        <v>393.0</v>
      </c>
      <c r="G2148" s="180" t="str">
        <f>IFERROR(__xludf.DUMMYFUNCTION("TRIM(REGEXREPLACE(C2148, ""[0-9]+[a-f]?\."", """"))"),"Does your household own the following goods?")</f>
        <v>Does your household own the following goods?</v>
      </c>
      <c r="H2148" s="180" t="str">
        <f>IFERROR(__xludf.DUMMYFUNCTION("TRIM(REGEXREPLACE(D2148, ""[0-9]+[a-f]?\."", """"))"),"Votre ménage possède-t-il les biens suivants ?")</f>
        <v>Votre ménage possède-t-il les biens suivants ?</v>
      </c>
      <c r="I2148" s="180" t="str">
        <f>IFERROR(__xludf.DUMMYFUNCTION("TRIM(REGEXREPLACE(E2148, ""[0-9]+[a-f]?\."", """"))"),"Ko gidanku na da kadarori masu zuwa?")</f>
        <v>Ko gidanku na da kadarori masu zuwa?</v>
      </c>
      <c r="J2148" s="180" t="str">
        <f t="shared" ref="J2148:L2148" si="393">$F2148 &amp; ". "&amp;G2148</f>
        <v>393. Does your household own the following goods?</v>
      </c>
      <c r="K2148" s="180" t="str">
        <f t="shared" si="393"/>
        <v>393. Votre ménage possède-t-il les biens suivants ?</v>
      </c>
      <c r="L2148" s="180" t="str">
        <f t="shared" si="393"/>
        <v>393. Ko gidanku na da kadarori masu zuwa?</v>
      </c>
    </row>
    <row r="2149">
      <c r="A2149" s="280" t="s">
        <v>5775</v>
      </c>
      <c r="B2149" s="281" t="s">
        <v>5777</v>
      </c>
      <c r="C2149" s="45" t="s">
        <v>5779</v>
      </c>
      <c r="D2149" s="45" t="s">
        <v>5781</v>
      </c>
      <c r="E2149" s="45" t="s">
        <v>5783</v>
      </c>
      <c r="F2149" s="187">
        <v>394.0</v>
      </c>
      <c r="G2149" s="180" t="str">
        <f>IFERROR(__xludf.DUMMYFUNCTION("TRIM(REGEXREPLACE(C2149, ""[0-9]+[a-f]?\."", """"))"),"Does your household own any of the following types of livestock?")</f>
        <v>Does your household own any of the following types of livestock?</v>
      </c>
      <c r="H2149" s="180" t="str">
        <f>IFERROR(__xludf.DUMMYFUNCTION("TRIM(REGEXREPLACE(D2149, ""[0-9]+[a-f]?\."", """"))"),"Votre ménage possède-t-il l'un des types de bétail suivants ?")</f>
        <v>Votre ménage possède-t-il l'un des types de bétail suivants ?</v>
      </c>
      <c r="I2149" s="180" t="str">
        <f>IFERROR(__xludf.DUMMYFUNCTION("TRIM(REGEXREPLACE(E2149, ""[0-9]+[a-f]?\."", """"))"),"ko gidanku yana da ɗaya daga cikin irin wadannan dabbobi?")</f>
        <v>ko gidanku yana da ɗaya daga cikin irin wadannan dabbobi?</v>
      </c>
      <c r="J2149" s="180" t="str">
        <f t="shared" ref="J2149:L2149" si="394">$F2149 &amp; ". "&amp;G2149</f>
        <v>394. Does your household own any of the following types of livestock?</v>
      </c>
      <c r="K2149" s="180" t="str">
        <f t="shared" si="394"/>
        <v>394. Votre ménage possède-t-il l'un des types de bétail suivants ?</v>
      </c>
      <c r="L2149" s="180" t="str">
        <f t="shared" si="394"/>
        <v>394. ko gidanku yana da ɗaya daga cikin irin wadannan dabbobi?</v>
      </c>
    </row>
    <row r="2150" hidden="1">
      <c r="A2150" s="168" t="s">
        <v>127</v>
      </c>
      <c r="B2150" s="71" t="s">
        <v>5785</v>
      </c>
      <c r="C2150" s="200"/>
      <c r="D2150" s="200"/>
      <c r="E2150" s="200"/>
    </row>
    <row r="2151" hidden="1">
      <c r="A2151" s="285" t="s">
        <v>426</v>
      </c>
      <c r="B2151" s="171" t="s">
        <v>5786</v>
      </c>
      <c r="C2151" s="171" t="s">
        <v>5787</v>
      </c>
      <c r="D2151" s="171" t="s">
        <v>5789</v>
      </c>
      <c r="E2151" s="171" t="s">
        <v>5792</v>
      </c>
    </row>
    <row r="2152" hidden="1">
      <c r="A2152" s="168" t="s">
        <v>68</v>
      </c>
      <c r="B2152" s="71" t="s">
        <v>5793</v>
      </c>
      <c r="C2152" s="289" t="s">
        <v>5794</v>
      </c>
      <c r="D2152" s="289" t="s">
        <v>5795</v>
      </c>
      <c r="E2152" s="289" t="s">
        <v>5796</v>
      </c>
    </row>
    <row r="2153">
      <c r="A2153" s="291" t="s">
        <v>268</v>
      </c>
      <c r="B2153" s="292" t="s">
        <v>5799</v>
      </c>
      <c r="C2153" s="45" t="s">
        <v>5801</v>
      </c>
      <c r="D2153" s="45" t="s">
        <v>5802</v>
      </c>
      <c r="E2153" s="45" t="s">
        <v>5803</v>
      </c>
      <c r="F2153" s="187">
        <v>395.0</v>
      </c>
      <c r="G2153" s="180" t="str">
        <f>IFERROR(__xludf.DUMMYFUNCTION("TRIM(REGEXREPLACE(C2153, ""[0-9]+[a-f]?\."", """"))"),"How many ${hoh_livestock_name} does your household own?")</f>
        <v>How many ${hoh_livestock_name} does your household own?</v>
      </c>
      <c r="H2153" s="180" t="str">
        <f>IFERROR(__xludf.DUMMYFUNCTION("TRIM(REGEXREPLACE(D2153, ""[0-9]+[a-f]?\."", """"))"),"Combien de ${hoh_livestock_name} votre ménage possède-t-il ?")</f>
        <v>Combien de ${hoh_livestock_name} votre ménage possède-t-il ?</v>
      </c>
      <c r="I2153" s="180" t="str">
        <f>IFERROR(__xludf.DUMMYFUNCTION("TRIM(REGEXREPLACE(E2153, ""[0-9]+[a-f]?\."", """"))"),"${hoh_livestock_name} Nawa gidan ku ya mallaka ?")</f>
        <v>${hoh_livestock_name} Nawa gidan ku ya mallaka ?</v>
      </c>
      <c r="J2153" s="180" t="str">
        <f t="shared" ref="J2153:L2153" si="395">$F2153 &amp; ". "&amp;G2153</f>
        <v>395. How many ${hoh_livestock_name} does your household own?</v>
      </c>
      <c r="K2153" s="180" t="str">
        <f t="shared" si="395"/>
        <v>395. Combien de ${hoh_livestock_name} votre ménage possède-t-il ?</v>
      </c>
      <c r="L2153" s="180" t="str">
        <f t="shared" si="395"/>
        <v>395. ${hoh_livestock_name} Nawa gidan ku ya mallaka ?</v>
      </c>
    </row>
    <row r="2154">
      <c r="A2154" s="291" t="s">
        <v>268</v>
      </c>
      <c r="B2154" s="292" t="s">
        <v>5807</v>
      </c>
      <c r="C2154" s="45" t="s">
        <v>5808</v>
      </c>
      <c r="D2154" s="45" t="s">
        <v>5809</v>
      </c>
      <c r="E2154" s="45" t="s">
        <v>5810</v>
      </c>
      <c r="F2154" s="187">
        <v>396.0</v>
      </c>
      <c r="G2154" s="180" t="str">
        <f>IFERROR(__xludf.DUMMYFUNCTION("TRIM(REGEXREPLACE(C2154, ""[0-9]+[a-f]?\."", """"))"),"How much is ${hoh_livestock_name} worth in CFA?")</f>
        <v>How much is ${hoh_livestock_name} worth in CFA?</v>
      </c>
      <c r="H2154" s="180" t="str">
        <f>IFERROR(__xludf.DUMMYFUNCTION("TRIM(REGEXREPLACE(D2154, ""[0-9]+[a-f]?\."", """"))"),"Combien vaut ${hoh_livestock_name} en CFA ?")</f>
        <v>Combien vaut ${hoh_livestock_name} en CFA ?</v>
      </c>
      <c r="I2154" s="180" t="str">
        <f>IFERROR(__xludf.DUMMYFUNCTION("TRIM(REGEXREPLACE(E2154, ""[0-9]+[a-f]?\."", """"))"),"Nawa ne kuɗin ${hoh_livestock_name} a sefa?")</f>
        <v>Nawa ne kuɗin ${hoh_livestock_name} a sefa?</v>
      </c>
      <c r="J2154" s="180" t="str">
        <f t="shared" ref="J2154:L2154" si="396">$F2154 &amp; ". "&amp;G2154</f>
        <v>396. How much is ${hoh_livestock_name} worth in CFA?</v>
      </c>
      <c r="K2154" s="180" t="str">
        <f t="shared" si="396"/>
        <v>396. Combien vaut ${hoh_livestock_name} en CFA ?</v>
      </c>
      <c r="L2154" s="180" t="str">
        <f t="shared" si="396"/>
        <v>396. Nawa ne kuɗin ${hoh_livestock_name} a sefa?</v>
      </c>
    </row>
    <row r="2155" hidden="1">
      <c r="A2155" s="285" t="s">
        <v>468</v>
      </c>
      <c r="B2155" s="185" t="s">
        <v>5786</v>
      </c>
      <c r="C2155" s="185" t="s">
        <v>5787</v>
      </c>
      <c r="D2155" s="185" t="s">
        <v>5789</v>
      </c>
      <c r="E2155" s="185" t="s">
        <v>5792</v>
      </c>
    </row>
    <row r="2156" hidden="1">
      <c r="A2156" s="168" t="s">
        <v>127</v>
      </c>
      <c r="B2156" s="71" t="s">
        <v>5811</v>
      </c>
      <c r="C2156" s="200"/>
      <c r="D2156" s="200"/>
      <c r="E2156" s="200"/>
    </row>
    <row r="2157" hidden="1">
      <c r="A2157" s="168" t="s">
        <v>68</v>
      </c>
      <c r="B2157" s="71" t="s">
        <v>5812</v>
      </c>
      <c r="C2157" s="200"/>
      <c r="D2157" s="200"/>
      <c r="E2157" s="200"/>
    </row>
    <row r="2158" hidden="1">
      <c r="A2158" s="168" t="s">
        <v>127</v>
      </c>
      <c r="B2158" s="71" t="s">
        <v>5816</v>
      </c>
      <c r="C2158" s="200"/>
      <c r="D2158" s="200"/>
      <c r="E2158" s="200"/>
    </row>
    <row r="2159">
      <c r="A2159" s="278" t="s">
        <v>38</v>
      </c>
      <c r="B2159" s="279" t="s">
        <v>5817</v>
      </c>
      <c r="C2159" s="45" t="s">
        <v>5818</v>
      </c>
      <c r="D2159" s="45" t="s">
        <v>5819</v>
      </c>
      <c r="E2159" s="45" t="s">
        <v>3542</v>
      </c>
      <c r="F2159" s="187">
        <v>397.0</v>
      </c>
      <c r="G2159" s="180" t="str">
        <f>IFERROR(__xludf.DUMMYFUNCTION("TRIM(REGEXREPLACE(C2159,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2159" s="180" t="str">
        <f>IFERROR(__xludf.DUMMYFUNCTION("TRIM(REGEXREPLACE(D2159, ""[0-9]+[a-f]?\."", """"))"),"Maintenant, nous allons parler des activités agricoles et d'élevage de votre ménage.
 Commençons par la dernière saison agricole")</f>
        <v>Maintenant, nous allons parler des activités agricoles et d'élevage de votre ménage.
 Commençons par la dernière saison agricole</v>
      </c>
      <c r="I2159" s="180" t="str">
        <f>IFERROR(__xludf.DUMMYFUNCTION("TRIM(REGEXREPLACE(E2159, ""[0-9]+[a-f]?\."", """"))"),"Yanzu za mu yi hira bisa aikin noma da kiwo na gidanku.")</f>
        <v>Yanzu za mu yi hira bisa aikin noma da kiwo na gidanku.</v>
      </c>
      <c r="J2159" s="180" t="str">
        <f t="shared" ref="J2159:L2159" si="397">$F2159 &amp; ". "&amp;G2159</f>
        <v>397. Now we'll talk about your households' agricultural and and animal husbandry activities. 
 Let's starting with the most recent agricultural season</v>
      </c>
      <c r="K2159" s="180" t="str">
        <f t="shared" si="397"/>
        <v>397. Maintenant, nous allons parler des activités agricoles et d'élevage de votre ménage.
 Commençons par la dernière saison agricole</v>
      </c>
      <c r="L2159" s="180" t="str">
        <f t="shared" si="397"/>
        <v>397. Yanzu za mu yi hira bisa aikin noma da kiwo na gidanku.</v>
      </c>
    </row>
    <row r="2160">
      <c r="A2160" s="340" t="s">
        <v>280</v>
      </c>
      <c r="B2160" s="341" t="s">
        <v>5822</v>
      </c>
      <c r="C2160" s="45" t="s">
        <v>3548</v>
      </c>
      <c r="D2160" s="45" t="s">
        <v>3550</v>
      </c>
      <c r="E2160" s="45" t="s">
        <v>3551</v>
      </c>
      <c r="F2160" s="187">
        <v>398.0</v>
      </c>
      <c r="G2160" s="180" t="str">
        <f>IFERROR(__xludf.DUMMYFUNCTION("TRIM(REGEXREPLACE(C2160,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2160" s="180" t="str">
        <f>IFERROR(__xludf.DUMMYFUNCTION("TRIM(REGEXREPLACE(D2160,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2160" s="180" t="str">
        <f>IFERROR(__xludf.DUMMYFUNCTION("TRIM(REGEXREPLACE(E2160, ""[0-9]+[a-f]?\."", """"))"),"A ganinka da gonakan da kuka mallaka da na haya da na aro wanda kuka noma a bana sun kai eka nawa?")</f>
        <v>A ganinka da gonakan da kuka mallaka da na haya da na aro wanda kuka noma a bana sun kai eka nawa?</v>
      </c>
      <c r="J2160" s="180" t="str">
        <f t="shared" ref="J2160:L2160" si="398">$F2160 &amp; ". "&amp;G2160</f>
        <v>398. Thinking of all the agricultural land your household owned, rented or and had access to during the last agricultural season, please estimate its total size in hectres</v>
      </c>
      <c r="K2160" s="180" t="str">
        <f t="shared" si="398"/>
        <v>398. En pensant à toutes les terres agricoles que votre ménage possédait, louait ou auxquelles il avait accès au cours de la dernière saison agricole, veuillez estimer leur superficie totale en hectares</v>
      </c>
      <c r="L2160" s="180" t="str">
        <f t="shared" si="398"/>
        <v>398. A ganinka da gonakan da kuka mallaka da na haya da na aro wanda kuka noma a bana sun kai eka nawa?</v>
      </c>
    </row>
    <row r="2161">
      <c r="A2161" s="340" t="s">
        <v>280</v>
      </c>
      <c r="B2161" s="341" t="s">
        <v>5823</v>
      </c>
      <c r="C2161" s="45" t="s">
        <v>5824</v>
      </c>
      <c r="D2161" s="45" t="s">
        <v>5825</v>
      </c>
      <c r="E2161" s="45" t="s">
        <v>5826</v>
      </c>
      <c r="F2161" s="187">
        <v>399.0</v>
      </c>
      <c r="G2161" s="180" t="str">
        <f>IFERROR(__xludf.DUMMYFUNCTION("TRIM(REGEXREPLACE(C2161, ""[0-9]+[a-f]?\."", """"))"),"How much of this land (in hectares) do you or another member of your household own?")</f>
        <v>How much of this land (in hectares) do you or another member of your household own?</v>
      </c>
      <c r="H2161" s="180" t="str">
        <f>IFERROR(__xludf.DUMMYFUNCTION("TRIM(REGEXREPLACE(D2161, ""[0-9]+[a-f]?\."", """"))"),"Quelle superficie de cette terre (en hectares) vous ou un autre membre de votre ménage possédez?")</f>
        <v>Quelle superficie de cette terre (en hectares) vous ou un autre membre de votre ménage possédez?</v>
      </c>
      <c r="I2161" s="180" t="str">
        <f>IFERROR(__xludf.DUMMYFUNCTION("TRIM(REGEXREPLACE(E2161, ""[0-9]+[a-f]?\."", """"))"),"Eka nawa ne mallakinku cikin wadannan gonakin, ku ko wani ɗan gidanku?")</f>
        <v>Eka nawa ne mallakinku cikin wadannan gonakin, ku ko wani ɗan gidanku?</v>
      </c>
      <c r="J2161" s="180" t="str">
        <f t="shared" ref="J2161:L2161" si="399">$F2161 &amp; ". "&amp;G2161</f>
        <v>399. How much of this land (in hectares) do you or another member of your household own?</v>
      </c>
      <c r="K2161" s="180" t="str">
        <f t="shared" si="399"/>
        <v>399. Quelle superficie de cette terre (en hectares) vous ou un autre membre de votre ménage possédez?</v>
      </c>
      <c r="L2161" s="180" t="str">
        <f t="shared" si="399"/>
        <v>399. Eka nawa ne mallakinku cikin wadannan gonakin, ku ko wani ɗan gidanku?</v>
      </c>
    </row>
    <row r="2162">
      <c r="A2162" s="340" t="s">
        <v>280</v>
      </c>
      <c r="B2162" s="341" t="s">
        <v>5828</v>
      </c>
      <c r="C2162" s="45" t="s">
        <v>5829</v>
      </c>
      <c r="D2162" s="45" t="s">
        <v>5830</v>
      </c>
      <c r="E2162" s="45" t="s">
        <v>5831</v>
      </c>
      <c r="F2162" s="187">
        <v>400.0</v>
      </c>
      <c r="G2162" s="180" t="str">
        <f>IFERROR(__xludf.DUMMYFUNCTION("TRIM(REGEXREPLACE(C2162, ""[0-9]+[a-f]?\."", """"))"),"How much of this land, if any have you sold in the past year?")</f>
        <v>How much of this land, if any have you sold in the past year?</v>
      </c>
      <c r="H2162" s="180" t="str">
        <f>IFERROR(__xludf.DUMMYFUNCTION("TRIM(REGEXREPLACE(D2162, ""[0-9]+[a-f]?\."", """"))"),"Quelle superficie de ce terrain, si c'est déjà arrivé, avez-vous vendu au cours de l'année écoulée ?")</f>
        <v>Quelle superficie de ce terrain, si c'est déjà arrivé, avez-vous vendu au cours de l'année écoulée ?</v>
      </c>
      <c r="I2162" s="180" t="str">
        <f>IFERROR(__xludf.DUMMYFUNCTION("TRIM(REGEXREPLACE(E2162, ""[0-9]+[a-f]?\."", """"))"),"Eka nawa ne kuka saida, idan ya taɓa faruwa, a cikin shekarar da ta gabata?")</f>
        <v>Eka nawa ne kuka saida, idan ya taɓa faruwa, a cikin shekarar da ta gabata?</v>
      </c>
      <c r="J2162" s="180" t="str">
        <f t="shared" ref="J2162:L2162" si="400">$F2162 &amp; ". "&amp;G2162</f>
        <v>400. How much of this land, if any have you sold in the past year?</v>
      </c>
      <c r="K2162" s="180" t="str">
        <f t="shared" si="400"/>
        <v>400. Quelle superficie de ce terrain, si c'est déjà arrivé, avez-vous vendu au cours de l'année écoulée ?</v>
      </c>
      <c r="L2162" s="180" t="str">
        <f t="shared" si="400"/>
        <v>400. Eka nawa ne kuka saida, idan ya taɓa faruwa, a cikin shekarar da ta gabata?</v>
      </c>
    </row>
    <row r="2163">
      <c r="A2163" s="340" t="s">
        <v>280</v>
      </c>
      <c r="B2163" s="341" t="s">
        <v>5832</v>
      </c>
      <c r="C2163" s="45" t="s">
        <v>3569</v>
      </c>
      <c r="D2163" s="45" t="s">
        <v>3570</v>
      </c>
      <c r="E2163" s="45" t="s">
        <v>3571</v>
      </c>
      <c r="F2163" s="187">
        <v>401.0</v>
      </c>
      <c r="G2163" s="180" t="str">
        <f>IFERROR(__xludf.DUMMYFUNCTION("TRIM(REGEXREPLACE(C2163, ""[0-9]+[a-f]?\."", """"))"),"How much of this land, if any have you purchased in the past year?")</f>
        <v>How much of this land, if any have you purchased in the past year?</v>
      </c>
      <c r="H2163" s="180" t="str">
        <f>IFERROR(__xludf.DUMMYFUNCTION("TRIM(REGEXREPLACE(D2163, ""[0-9]+[a-f]?\."", """"))"),"Quelle superficie de ce terrain, si c'est déjà arrivé, avez-vous acheté au cours de la dernière année ?")</f>
        <v>Quelle superficie de ce terrain, si c'est déjà arrivé, avez-vous acheté au cours de la dernière année ?</v>
      </c>
      <c r="I2163" s="180" t="str">
        <f>IFERROR(__xludf.DUMMYFUNCTION("TRIM(REGEXREPLACE(E2163, ""[0-9]+[a-f]?\."", """"))"),"Eka nawa ne kuka saye, idan ya faru, a cikin shekarar da ta gabata?")</f>
        <v>Eka nawa ne kuka saye, idan ya faru, a cikin shekarar da ta gabata?</v>
      </c>
      <c r="J2163" s="180" t="str">
        <f t="shared" ref="J2163:L2163" si="401">$F2163 &amp; ". "&amp;G2163</f>
        <v>401. How much of this land, if any have you purchased in the past year?</v>
      </c>
      <c r="K2163" s="180" t="str">
        <f t="shared" si="401"/>
        <v>401. Quelle superficie de ce terrain, si c'est déjà arrivé, avez-vous acheté au cours de la dernière année ?</v>
      </c>
      <c r="L2163" s="180" t="str">
        <f t="shared" si="401"/>
        <v>401. Eka nawa ne kuka saye, idan ya faru, a cikin shekarar da ta gabata?</v>
      </c>
    </row>
    <row r="2164">
      <c r="A2164" s="340" t="s">
        <v>280</v>
      </c>
      <c r="B2164" s="341" t="s">
        <v>5837</v>
      </c>
      <c r="C2164" s="45" t="s">
        <v>3577</v>
      </c>
      <c r="D2164" s="45" t="s">
        <v>3579</v>
      </c>
      <c r="E2164" s="45" t="s">
        <v>3581</v>
      </c>
      <c r="F2164" s="187">
        <v>402.0</v>
      </c>
      <c r="G2164" s="180" t="str">
        <f>IFERROR(__xludf.DUMMYFUNCTION("TRIM(REGEXREPLACE(C2164, ""[0-9]+[a-f]?\."", """"))"),"How much of this land (in hectares) did you rent during the last agricultural season?")</f>
        <v>How much of this land (in hectares) did you rent during the last agricultural season?</v>
      </c>
      <c r="H2164" s="180" t="str">
        <f>IFERROR(__xludf.DUMMYFUNCTION("TRIM(REGEXREPLACE(D2164, ""[0-9]+[a-f]?\."", """"))"),"Quelle superficie de cette terre (en hectares) avez-vous louée au cours de la dernière saison agricole ?")</f>
        <v>Quelle superficie de cette terre (en hectares) avez-vous louée au cours de la dernière saison agricole ?</v>
      </c>
      <c r="I2164" s="180" t="str">
        <f>IFERROR(__xludf.DUMMYFUNCTION("TRIM(REGEXREPLACE(E2164, ""[0-9]+[a-f]?\."", """"))"),"Eka nawa ne kuka yi haya a lokacin noman da ta wuce?")</f>
        <v>Eka nawa ne kuka yi haya a lokacin noman da ta wuce?</v>
      </c>
      <c r="J2164" s="180" t="str">
        <f t="shared" ref="J2164:L2164" si="402">$F2164 &amp; ". "&amp;G2164</f>
        <v>402. How much of this land (in hectares) did you rent during the last agricultural season?</v>
      </c>
      <c r="K2164" s="180" t="str">
        <f t="shared" si="402"/>
        <v>402. Quelle superficie de cette terre (en hectares) avez-vous louée au cours de la dernière saison agricole ?</v>
      </c>
      <c r="L2164" s="180" t="str">
        <f t="shared" si="402"/>
        <v>402. Eka nawa ne kuka yi haya a lokacin noman da ta wuce?</v>
      </c>
    </row>
    <row r="2165">
      <c r="A2165" s="291" t="s">
        <v>268</v>
      </c>
      <c r="B2165" s="292" t="s">
        <v>5841</v>
      </c>
      <c r="C2165" s="45" t="s">
        <v>3587</v>
      </c>
      <c r="D2165" s="45" t="s">
        <v>3588</v>
      </c>
      <c r="E2165" s="45" t="s">
        <v>3589</v>
      </c>
      <c r="F2165" s="187">
        <v>403.0</v>
      </c>
      <c r="G2165" s="180" t="str">
        <f>IFERROR(__xludf.DUMMYFUNCTION("TRIM(REGEXREPLACE(C2165, ""[0-9]+[a-f]?\."", """"))"),"How much did you pay to rent this land during the last agricultural season (in CFA)?")</f>
        <v>How much did you pay to rent this land during the last agricultural season (in CFA)?</v>
      </c>
      <c r="H2165" s="180" t="str">
        <f>IFERROR(__xludf.DUMMYFUNCTION("TRIM(REGEXREPLACE(D2165, ""[0-9]+[a-f]?\."", """"))"),"A combien avez-vous loué ce terrain (en CFA) au cours de la dernière saison agricole ?")</f>
        <v>A combien avez-vous loué ce terrain (en CFA) au cours de la dernière saison agricole ?</v>
      </c>
      <c r="I2165" s="180" t="str">
        <f>IFERROR(__xludf.DUMMYFUNCTION("TRIM(REGEXREPLACE(E2165, ""[0-9]+[a-f]?\."", """"))"),"A nawa kuka yi hayar wannan gonar a lokacin noman da ta wuce (a sefa)?")</f>
        <v>A nawa kuka yi hayar wannan gonar a lokacin noman da ta wuce (a sefa)?</v>
      </c>
      <c r="J2165" s="180" t="str">
        <f t="shared" ref="J2165:L2165" si="403">$F2165 &amp; ". "&amp;G2165</f>
        <v>403. How much did you pay to rent this land during the last agricultural season (in CFA)?</v>
      </c>
      <c r="K2165" s="180" t="str">
        <f t="shared" si="403"/>
        <v>403. A combien avez-vous loué ce terrain (en CFA) au cours de la dernière saison agricole ?</v>
      </c>
      <c r="L2165" s="180" t="str">
        <f t="shared" si="403"/>
        <v>403. A nawa kuka yi hayar wannan gonar a lokacin noman da ta wuce (a sefa)?</v>
      </c>
    </row>
    <row r="2166" hidden="1">
      <c r="A2166" s="168" t="s">
        <v>127</v>
      </c>
      <c r="B2166" s="71" t="s">
        <v>5843</v>
      </c>
      <c r="C2166" s="200"/>
      <c r="D2166" s="200"/>
      <c r="E2166" s="200"/>
    </row>
    <row r="2167" hidden="1">
      <c r="A2167" s="168" t="s">
        <v>68</v>
      </c>
      <c r="B2167" s="71" t="s">
        <v>5847</v>
      </c>
      <c r="C2167" s="200"/>
      <c r="D2167" s="200"/>
      <c r="E2167" s="200"/>
    </row>
    <row r="2168">
      <c r="A2168" s="278" t="s">
        <v>38</v>
      </c>
      <c r="B2168" s="279" t="s">
        <v>5848</v>
      </c>
      <c r="C2168" s="45" t="s">
        <v>3600</v>
      </c>
      <c r="D2168" s="45" t="s">
        <v>3601</v>
      </c>
      <c r="E2168" s="45" t="s">
        <v>3602</v>
      </c>
      <c r="F2168" s="187">
        <v>404.0</v>
      </c>
      <c r="G2168" s="180" t="str">
        <f>IFERROR(__xludf.DUMMYFUNCTION("TRIM(REGEXREPLACE(C2168, ""[0-9]+[a-f]?\."", """"))"),"Now we will focus on agricultural activities during last agricultural season")</f>
        <v>Now we will focus on agricultural activities during last agricultural season</v>
      </c>
      <c r="H2168" s="180" t="str">
        <f>IFERROR(__xludf.DUMMYFUNCTION("TRIM(REGEXREPLACE(D2168, ""[0-9]+[a-f]?\."", """"))"),"Maintenant, nous allons nous concentrer sur les activités agricoles au cours de la dernière saison agricole")</f>
        <v>Maintenant, nous allons nous concentrer sur les activités agricoles au cours de la dernière saison agricole</v>
      </c>
      <c r="I2168" s="180" t="str">
        <f>IFERROR(__xludf.DUMMYFUNCTION("TRIM(REGEXREPLACE(E2168, ""[0-9]+[a-f]?\."", """"))"),"Yanzu za mu maida hankali kan ayyukan noma a lokacin damanar da ta wuce")</f>
        <v>Yanzu za mu maida hankali kan ayyukan noma a lokacin damanar da ta wuce</v>
      </c>
      <c r="J2168" s="180" t="str">
        <f t="shared" ref="J2168:L2168" si="404">$F2168 &amp; ". "&amp;G2168</f>
        <v>404. Now we will focus on agricultural activities during last agricultural season</v>
      </c>
      <c r="K2168" s="180" t="str">
        <f t="shared" si="404"/>
        <v>404. Maintenant, nous allons nous concentrer sur les activités agricoles au cours de la dernière saison agricole</v>
      </c>
      <c r="L2168" s="180" t="str">
        <f t="shared" si="404"/>
        <v>404. Yanzu za mu maida hankali kan ayyukan noma a lokacin damanar da ta wuce</v>
      </c>
    </row>
    <row r="2169">
      <c r="A2169" s="280" t="s">
        <v>5850</v>
      </c>
      <c r="B2169" s="281" t="s">
        <v>5852</v>
      </c>
      <c r="C2169" s="45" t="s">
        <v>3608</v>
      </c>
      <c r="D2169" s="45" t="s">
        <v>3609</v>
      </c>
      <c r="E2169" s="45" t="s">
        <v>3610</v>
      </c>
      <c r="F2169" s="187">
        <v>405.0</v>
      </c>
      <c r="G2169" s="180" t="str">
        <f>IFERROR(__xludf.DUMMYFUNCTION("TRIM(REGEXREPLACE(C2169, ""[0-9]+[a-f]?\."", """"))"),"Which of the following crops did your household grow during the last agricultural season?")</f>
        <v>Which of the following crops did your household grow during the last agricultural season?</v>
      </c>
      <c r="H2169" s="180" t="str">
        <f>IFERROR(__xludf.DUMMYFUNCTION("TRIM(REGEXREPLACE(D2169, ""[0-9]+[a-f]?\."", """"))"),"Laquelle des cultures suivantes votre ménage a-t-il cultivées au cours de la dernière saison agricole ?")</f>
        <v>Laquelle des cultures suivantes votre ménage a-t-il cultivées au cours de la dernière saison agricole ?</v>
      </c>
      <c r="I2169" s="180" t="str">
        <f>IFERROR(__xludf.DUMMYFUNCTION("TRIM(REGEXREPLACE(E2169, ""[0-9]+[a-f]?\."", """"))"),"Wanne daga cikin waɗannan amfanin gidanku ya noma a damanar da ta gabata?")</f>
        <v>Wanne daga cikin waɗannan amfanin gidanku ya noma a damanar da ta gabata?</v>
      </c>
      <c r="J2169" s="180" t="str">
        <f t="shared" ref="J2169:L2169" si="405">$F2169 &amp; ". "&amp;G2169</f>
        <v>405. Which of the following crops did your household grow during the last agricultural season?</v>
      </c>
      <c r="K2169" s="180" t="str">
        <f t="shared" si="405"/>
        <v>405. Laquelle des cultures suivantes votre ménage a-t-il cultivées au cours de la dernière saison agricole ?</v>
      </c>
      <c r="L2169" s="180" t="str">
        <f t="shared" si="405"/>
        <v>405. Wanne daga cikin waɗannan amfanin gidanku ya noma a damanar da ta gabata?</v>
      </c>
    </row>
    <row r="2170">
      <c r="A2170" s="282" t="s">
        <v>252</v>
      </c>
      <c r="B2170" s="283" t="s">
        <v>5856</v>
      </c>
      <c r="C2170" s="45" t="s">
        <v>3613</v>
      </c>
      <c r="D2170" s="45" t="s">
        <v>3614</v>
      </c>
      <c r="E2170" s="45" t="s">
        <v>3615</v>
      </c>
      <c r="F2170" s="187">
        <v>406.0</v>
      </c>
      <c r="G2170" s="180" t="str">
        <f>IFERROR(__xludf.DUMMYFUNCTION("TRIM(REGEXREPLACE(C2170, ""[0-9]+[a-f]?\."", """"))"),"Specify other:")</f>
        <v>Specify other:</v>
      </c>
      <c r="H2170" s="180" t="str">
        <f>IFERROR(__xludf.DUMMYFUNCTION("TRIM(REGEXREPLACE(D2170, ""[0-9]+[a-f]?\."", """"))"),"Précisez la culture")</f>
        <v>Précisez la culture</v>
      </c>
      <c r="I2170" s="180" t="str">
        <f>IFERROR(__xludf.DUMMYFUNCTION("TRIM(REGEXREPLACE(E2170, ""[0-9]+[a-f]?\."", """"))"),"Baiyana wani abu daban:")</f>
        <v>Baiyana wani abu daban:</v>
      </c>
      <c r="J2170" s="180" t="str">
        <f t="shared" ref="J2170:L2170" si="406">$F2170 &amp; ". "&amp;G2170</f>
        <v>406. Specify other:</v>
      </c>
      <c r="K2170" s="180" t="str">
        <f t="shared" si="406"/>
        <v>406. Précisez la culture</v>
      </c>
      <c r="L2170" s="180" t="str">
        <f t="shared" si="406"/>
        <v>406. Baiyana wani abu daban:</v>
      </c>
    </row>
    <row r="2171" hidden="1">
      <c r="A2171" s="168" t="s">
        <v>127</v>
      </c>
      <c r="B2171" s="71" t="s">
        <v>5861</v>
      </c>
      <c r="C2171" s="200"/>
      <c r="D2171" s="200"/>
      <c r="E2171" s="200"/>
    </row>
    <row r="2172" hidden="1">
      <c r="A2172" s="285" t="s">
        <v>426</v>
      </c>
      <c r="B2172" s="171" t="s">
        <v>5862</v>
      </c>
      <c r="C2172" s="171" t="s">
        <v>5863</v>
      </c>
      <c r="D2172" s="171" t="s">
        <v>5864</v>
      </c>
      <c r="E2172" s="171" t="s">
        <v>5865</v>
      </c>
    </row>
    <row r="2173" hidden="1">
      <c r="A2173" s="168" t="s">
        <v>68</v>
      </c>
      <c r="B2173" s="71" t="s">
        <v>5866</v>
      </c>
      <c r="C2173" s="289" t="s">
        <v>5867</v>
      </c>
      <c r="D2173" s="289" t="s">
        <v>5868</v>
      </c>
      <c r="E2173" s="289" t="s">
        <v>5869</v>
      </c>
    </row>
    <row r="2174" hidden="1">
      <c r="A2174" s="298" t="s">
        <v>133</v>
      </c>
      <c r="B2174" s="299" t="s">
        <v>5870</v>
      </c>
      <c r="C2174" s="300"/>
      <c r="D2174" s="300"/>
      <c r="E2174" s="300"/>
    </row>
    <row r="2175">
      <c r="A2175" s="340" t="s">
        <v>280</v>
      </c>
      <c r="B2175" s="341" t="s">
        <v>5871</v>
      </c>
      <c r="C2175" s="45" t="s">
        <v>5872</v>
      </c>
      <c r="D2175" s="45" t="s">
        <v>5873</v>
      </c>
      <c r="E2175" s="45" t="s">
        <v>5874</v>
      </c>
      <c r="F2175" s="187">
        <v>407.0</v>
      </c>
      <c r="G2175" s="180" t="str">
        <f>IFERROR(__xludf.DUMMYFUNCTION("TRIM(REGEXREPLACE(C2175, ""[0-9]+[a-f]?\."", """"))"),"How much of ${hoh_crop_name} did your household produce?")</f>
        <v>How much of ${hoh_crop_name} did your household produce?</v>
      </c>
      <c r="H2175" s="180" t="str">
        <f>IFERROR(__xludf.DUMMYFUNCTION("TRIM(REGEXREPLACE(D2175, ""[0-9]+[a-f]?\."", """"))"),"Quelle quantité de ${hoh_crop_name} votre ménage a-t-il produit ?")</f>
        <v>Quelle quantité de ${hoh_crop_name} votre ménage a-t-il produit ?</v>
      </c>
      <c r="I2175" s="180" t="str">
        <f>IFERROR(__xludf.DUMMYFUNCTION("TRIM(REGEXREPLACE(E2175, ""[0-9]+[a-f]?\."", """"))"),"${hoh_crop_name} Nawa gidanku ya samu?")</f>
        <v>${hoh_crop_name} Nawa gidanku ya samu?</v>
      </c>
      <c r="J2175" s="180" t="str">
        <f t="shared" ref="J2175:L2175" si="407">$F2175 &amp; ". "&amp;G2175</f>
        <v>407. How much of ${hoh_crop_name} did your household produce?</v>
      </c>
      <c r="K2175" s="180" t="str">
        <f t="shared" si="407"/>
        <v>407. Quelle quantité de ${hoh_crop_name} votre ménage a-t-il produit ?</v>
      </c>
      <c r="L2175" s="180" t="str">
        <f t="shared" si="407"/>
        <v>407. ${hoh_crop_name} Nawa gidanku ya samu?</v>
      </c>
    </row>
    <row r="2176">
      <c r="A2176" s="280" t="s">
        <v>5879</v>
      </c>
      <c r="B2176" s="281" t="s">
        <v>5880</v>
      </c>
      <c r="C2176" s="45" t="s">
        <v>5881</v>
      </c>
      <c r="D2176" s="45" t="s">
        <v>5882</v>
      </c>
      <c r="E2176" s="45" t="s">
        <v>5883</v>
      </c>
      <c r="F2176" s="187">
        <v>408.0</v>
      </c>
      <c r="G2176" s="180" t="str">
        <f>IFERROR(__xludf.DUMMYFUNCTION("TRIM(REGEXREPLACE(C2176, ""[0-9]+[a-f]?\."", """"))"),"Select crop unit for ${hoh_crop_name}")</f>
        <v>Select crop unit for ${hoh_crop_name}</v>
      </c>
      <c r="H2176" s="180" t="str">
        <f>IFERROR(__xludf.DUMMYFUNCTION("TRIM(REGEXREPLACE(D2176, ""[0-9]+[a-f]?\."", """"))"),"Sélectionnez l'unité de culture pour ${hoh_crop_name}")</f>
        <v>Sélectionnez l'unité de culture pour ${hoh_crop_name}</v>
      </c>
      <c r="I2176" s="180" t="str">
        <f>IFERROR(__xludf.DUMMYFUNCTION("TRIM(REGEXREPLACE(E2176, ""[0-9]+[a-f]?\."", """"))"),"Zaɓi amfanin gonar don ${hoh_crop_name}")</f>
        <v>Zaɓi amfanin gonar don ${hoh_crop_name}</v>
      </c>
      <c r="J2176" s="180" t="str">
        <f t="shared" ref="J2176:L2176" si="408">$F2176 &amp; ". "&amp;G2176</f>
        <v>408. Select crop unit for ${hoh_crop_name}</v>
      </c>
      <c r="K2176" s="180" t="str">
        <f t="shared" si="408"/>
        <v>408. Sélectionnez l'unité de culture pour ${hoh_crop_name}</v>
      </c>
      <c r="L2176" s="180" t="str">
        <f t="shared" si="408"/>
        <v>408. Zaɓi amfanin gonar don ${hoh_crop_name}</v>
      </c>
    </row>
    <row r="2177" hidden="1">
      <c r="A2177" s="298" t="s">
        <v>237</v>
      </c>
      <c r="B2177" s="310" t="s">
        <v>5870</v>
      </c>
      <c r="C2177" s="303"/>
      <c r="D2177" s="303"/>
      <c r="E2177" s="303"/>
    </row>
    <row r="2178">
      <c r="A2178" s="282" t="s">
        <v>252</v>
      </c>
      <c r="B2178" s="283" t="s">
        <v>5884</v>
      </c>
      <c r="C2178" s="45" t="s">
        <v>5885</v>
      </c>
      <c r="D2178" s="45" t="s">
        <v>5886</v>
      </c>
      <c r="E2178" s="45" t="s">
        <v>5887</v>
      </c>
      <c r="F2178" s="187">
        <v>409.0</v>
      </c>
      <c r="G2178" s="180" t="str">
        <f>IFERROR(__xludf.DUMMYFUNCTION("TRIM(REGEXREPLACE(C2178, ""[0-9]+[a-f]?\."", """"))"),"Specify other unit:")</f>
        <v>Specify other unit:</v>
      </c>
      <c r="H2178" s="180" t="str">
        <f>IFERROR(__xludf.DUMMYFUNCTION("TRIM(REGEXREPLACE(D2178, ""[0-9]+[a-f]?\."", """"))"),"Spécifiez une autre unité :")</f>
        <v>Spécifiez une autre unité :</v>
      </c>
      <c r="I2178" s="180" t="str">
        <f>IFERROR(__xludf.DUMMYFUNCTION("TRIM(REGEXREPLACE(E2178, ""[0-9]+[a-f]?\."", """"))"),"Baiyana wani amfanin gonar daban:")</f>
        <v>Baiyana wani amfanin gonar daban:</v>
      </c>
      <c r="J2178" s="180" t="str">
        <f t="shared" ref="J2178:L2178" si="409">$F2178 &amp; ". "&amp;G2178</f>
        <v>409. Specify other unit:</v>
      </c>
      <c r="K2178" s="180" t="str">
        <f t="shared" si="409"/>
        <v>409. Spécifiez une autre unité :</v>
      </c>
      <c r="L2178" s="180" t="str">
        <f t="shared" si="409"/>
        <v>409. Baiyana wani amfanin gonar daban:</v>
      </c>
    </row>
    <row r="2179" hidden="1">
      <c r="A2179" s="168" t="s">
        <v>68</v>
      </c>
      <c r="B2179" s="71" t="s">
        <v>5891</v>
      </c>
      <c r="C2179" s="289" t="s">
        <v>5892</v>
      </c>
      <c r="D2179" s="200"/>
      <c r="E2179" s="200"/>
    </row>
    <row r="2180">
      <c r="A2180" s="340" t="s">
        <v>280</v>
      </c>
      <c r="B2180" s="341" t="s">
        <v>5893</v>
      </c>
      <c r="C2180" s="45" t="s">
        <v>5894</v>
      </c>
      <c r="D2180" s="45" t="s">
        <v>5895</v>
      </c>
      <c r="E2180" s="45" t="s">
        <v>5896</v>
      </c>
      <c r="F2180" s="187">
        <v>410.0</v>
      </c>
      <c r="G2180" s="180" t="str">
        <f>IFERROR(__xludf.DUMMYFUNCTION("TRIM(REGEXREPLACE(C2180, ""[0-9]+[a-f]?\."", """"))"),"What quantity (${hoh_crop_unit_name}) of ${hoh_crop_name} did your household sell since the last harvest?")</f>
        <v>What quantity (${hoh_crop_unit_name}) of ${hoh_crop_name} did your household sell since the last harvest?</v>
      </c>
      <c r="H2180" s="180" t="str">
        <f>IFERROR(__xludf.DUMMYFUNCTION("TRIM(REGEXREPLACE(D2180, ""[0-9]+[a-f]?\."", """"))"),"Quelle quantité (${hoh_crop_unit_name}) de ${hoh_crop_name} votre ménage a-t-il vendu depuis la dernière récolte ?")</f>
        <v>Quelle quantité (${hoh_crop_unit_name}) de ${hoh_crop_name} votre ménage a-t-il vendu depuis la dernière récolte ?</v>
      </c>
      <c r="I2180" s="180" t="str">
        <f>IFERROR(__xludf.DUMMYFUNCTION("TRIM(REGEXREPLACE(E2180, ""[0-9]+[a-f]?\."", """"))"),"Nawa ne yawan (${hoh_crop_unit_name}) na ${hoh_crop_name} gidanku ya saida tun daga kaka na ƙarshe?")</f>
        <v>Nawa ne yawan (${hoh_crop_unit_name}) na ${hoh_crop_name} gidanku ya saida tun daga kaka na ƙarshe?</v>
      </c>
      <c r="J2180" s="180" t="str">
        <f t="shared" ref="J2180:L2180" si="410">$F2180 &amp; ". "&amp;G2180</f>
        <v>410. What quantity (${hoh_crop_unit_name}) of ${hoh_crop_name} did your household sell since the last harvest?</v>
      </c>
      <c r="K2180" s="180" t="str">
        <f t="shared" si="410"/>
        <v>410. Quelle quantité (${hoh_crop_unit_name}) de ${hoh_crop_name} votre ménage a-t-il vendu depuis la dernière récolte ?</v>
      </c>
      <c r="L2180" s="180" t="str">
        <f t="shared" si="410"/>
        <v>410. Nawa ne yawan (${hoh_crop_unit_name}) na ${hoh_crop_name} gidanku ya saida tun daga kaka na ƙarshe?</v>
      </c>
    </row>
    <row r="2181">
      <c r="A2181" s="291" t="s">
        <v>268</v>
      </c>
      <c r="B2181" s="292" t="s">
        <v>5901</v>
      </c>
      <c r="C2181" s="45" t="s">
        <v>5902</v>
      </c>
      <c r="D2181" s="45" t="s">
        <v>5903</v>
      </c>
      <c r="E2181" s="45" t="s">
        <v>5904</v>
      </c>
      <c r="F2181" s="187">
        <v>411.0</v>
      </c>
      <c r="G2181" s="180" t="str">
        <f>IFERROR(__xludf.DUMMYFUNCTION("TRIM(REGEXREPLACE(C2181, ""[0-9]+[a-f]?\."", """"))"),"What was the price per ${hoh_crop_unit_name} of ${hoh_crop_name} you sold in CFA?")</f>
        <v>What was the price per ${hoh_crop_unit_name} of ${hoh_crop_name} you sold in CFA?</v>
      </c>
      <c r="H2181" s="180" t="str">
        <f>IFERROR(__xludf.DUMMYFUNCTION("TRIM(REGEXREPLACE(D2181, ""[0-9]+[a-f]?\."", """"))"),"Quel était le prix unitaire (${hoh_crop_unit_name}) de ${hoh_crop_name} que vous avez vendu en CFA ?")</f>
        <v>Quel était le prix unitaire (${hoh_crop_unit_name}) de ${hoh_crop_name} que vous avez vendu en CFA ?</v>
      </c>
      <c r="I2181" s="180" t="str">
        <f>IFERROR(__xludf.DUMMYFUNCTION("TRIM(REGEXREPLACE(E2181, ""[0-9]+[a-f]?\."", """"))"),"Nawa farashin kowane ${hoh_crop_unit_name} na ${hoh_crop_name} da kuka saida a CFA?")</f>
        <v>Nawa farashin kowane ${hoh_crop_unit_name} na ${hoh_crop_name} da kuka saida a CFA?</v>
      </c>
      <c r="J2181" s="180" t="str">
        <f t="shared" ref="J2181:L2181" si="411">$F2181 &amp; ". "&amp;G2181</f>
        <v>411. What was the price per ${hoh_crop_unit_name} of ${hoh_crop_name} you sold in CFA?</v>
      </c>
      <c r="K2181" s="180" t="str">
        <f t="shared" si="411"/>
        <v>411. Quel était le prix unitaire (${hoh_crop_unit_name}) de ${hoh_crop_name} que vous avez vendu en CFA ?</v>
      </c>
      <c r="L2181" s="180" t="str">
        <f t="shared" si="411"/>
        <v>411. Nawa farashin kowane ${hoh_crop_unit_name} na ${hoh_crop_name} da kuka saida a CFA?</v>
      </c>
    </row>
    <row r="2182">
      <c r="A2182" s="340" t="s">
        <v>280</v>
      </c>
      <c r="B2182" s="341" t="s">
        <v>5906</v>
      </c>
      <c r="C2182" s="45" t="s">
        <v>5908</v>
      </c>
      <c r="D2182" s="45" t="s">
        <v>5910</v>
      </c>
      <c r="E2182" s="45" t="s">
        <v>5911</v>
      </c>
      <c r="F2182" s="187">
        <v>412.0</v>
      </c>
      <c r="G2182" s="180" t="str">
        <f>IFERROR(__xludf.DUMMYFUNCTION("TRIM(REGEXREPLACE(C2182, ""[0-9]+[a-f]?\."", """"))"),"How many ${hoh_crop_unit_name}s of ${hoh_crop_name} did your household consume?")</f>
        <v>How many ${hoh_crop_unit_name}s of ${hoh_crop_name} did your household consume?</v>
      </c>
      <c r="H2182" s="180" t="str">
        <f>IFERROR(__xludf.DUMMYFUNCTION("TRIM(REGEXREPLACE(D2182, ""[0-9]+[a-f]?\."", """"))"),"Quelle quantité (${hoh_crop_unit_name}) de ${hoh_crop_name} votre ménage a-t-il consommé ?")</f>
        <v>Quelle quantité (${hoh_crop_unit_name}) de ${hoh_crop_name} votre ménage a-t-il consommé ?</v>
      </c>
      <c r="I2182" s="180" t="str">
        <f>IFERROR(__xludf.DUMMYFUNCTION("TRIM(REGEXREPLACE(E2182, ""[0-9]+[a-f]?\."", """"))"),"Nawa yawan ${hoh_crop_unit_name} na ${hoh_crop_name} gidanku ya cinye?")</f>
        <v>Nawa yawan ${hoh_crop_unit_name} na ${hoh_crop_name} gidanku ya cinye?</v>
      </c>
      <c r="J2182" s="180" t="str">
        <f t="shared" ref="J2182:L2182" si="412">$F2182 &amp; ". "&amp;G2182</f>
        <v>412. How many ${hoh_crop_unit_name}s of ${hoh_crop_name} did your household consume?</v>
      </c>
      <c r="K2182" s="180" t="str">
        <f t="shared" si="412"/>
        <v>412. Quelle quantité (${hoh_crop_unit_name}) de ${hoh_crop_name} votre ménage a-t-il consommé ?</v>
      </c>
      <c r="L2182" s="180" t="str">
        <f t="shared" si="412"/>
        <v>412. Nawa yawan ${hoh_crop_unit_name} na ${hoh_crop_name} gidanku ya cinye?</v>
      </c>
    </row>
    <row r="2183">
      <c r="A2183" s="248" t="s">
        <v>268</v>
      </c>
      <c r="B2183" s="249" t="s">
        <v>5913</v>
      </c>
      <c r="C2183" s="198" t="s">
        <v>5914</v>
      </c>
      <c r="D2183" s="342"/>
      <c r="E2183" s="342"/>
      <c r="F2183" s="187">
        <v>413.0</v>
      </c>
      <c r="G2183" s="180" t="str">
        <f>IFERROR(__xludf.DUMMYFUNCTION("TRIM(REGEXREPLACE(C2183, ""[0-9]+[a-f]?\."", """"))"),"If you were to sell the ${hoh_crop_name} that you consumed, what would be the price per ${hoh_crop_unit_name} in CFA?")</f>
        <v>If you were to sell the ${hoh_crop_name} that you consumed, what would be the price per ${hoh_crop_unit_name} in CFA?</v>
      </c>
      <c r="H2183" s="180" t="str">
        <f>IFERROR(__xludf.DUMMYFUNCTION("TRIM(REGEXREPLACE(D2183, ""[0-9]+[a-f]?\."", """"))"),"")</f>
        <v/>
      </c>
      <c r="I2183" s="180" t="str">
        <f>IFERROR(__xludf.DUMMYFUNCTION("TRIM(REGEXREPLACE(E2183, ""[0-9]+[a-f]?\."", """"))"),"")</f>
        <v/>
      </c>
      <c r="J2183" s="180" t="str">
        <f t="shared" ref="J2183:L2183" si="413">$F2183 &amp; ". "&amp;G2183</f>
        <v>413. If you were to sell the ${hoh_crop_name} that you consumed, what would be the price per ${hoh_crop_unit_name} in CFA?</v>
      </c>
      <c r="K2183" s="180" t="str">
        <f t="shared" si="413"/>
        <v>413. </v>
      </c>
      <c r="L2183" s="180" t="str">
        <f t="shared" si="413"/>
        <v>413. </v>
      </c>
    </row>
    <row r="2184" hidden="1">
      <c r="A2184" s="168" t="s">
        <v>68</v>
      </c>
      <c r="B2184" s="71" t="s">
        <v>5919</v>
      </c>
      <c r="C2184" s="200"/>
      <c r="D2184" s="200"/>
      <c r="E2184" s="200"/>
    </row>
    <row r="2185">
      <c r="A2185" s="278" t="s">
        <v>38</v>
      </c>
      <c r="B2185" s="279" t="s">
        <v>5920</v>
      </c>
      <c r="C2185" s="45" t="s">
        <v>5921</v>
      </c>
      <c r="D2185" s="45" t="s">
        <v>5922</v>
      </c>
      <c r="E2185" s="45" t="s">
        <v>5923</v>
      </c>
      <c r="F2185" s="187">
        <v>414.0</v>
      </c>
      <c r="G2185" s="180" t="str">
        <f>IFERROR(__xludf.DUMMYFUNCTION("TRIM(REGEXREPLACE(C2185, ""[0-9]+[a-f]?\."", """"))"),"The amount you have left (${hoh_qty_left}) is negative. Please return and revise your responses.")</f>
        <v>The amount you have left (${hoh_qty_left}) is negative. Please return and revise your responses.</v>
      </c>
      <c r="H2185" s="180" t="str">
        <f>IFERROR(__xludf.DUMMYFUNCTION("TRIM(REGEXREPLACE(D2185, ""[0-9]+[a-f]?\."", """"))"),"Le montant qu'il vous reste (${hoh_qty_left}) est négatif. Veuillez revenir et réviser vos réponses.")</f>
        <v>Le montant qu'il vous reste (${hoh_qty_left}) est négatif. Veuillez revenir et réviser vos réponses.</v>
      </c>
      <c r="I2185" s="180" t="str">
        <f>IFERROR(__xludf.DUMMYFUNCTION("TRIM(REGEXREPLACE(E2185, ""[0-9]+[a-f]?\."", """"))"),"jimillar kuɗin da suka saura (${hoh_qty_left}) maras kyau ne. Da fatan za a dawo a sake duba amsoshin.")</f>
        <v>jimillar kuɗin da suka saura (${hoh_qty_left}) maras kyau ne. Da fatan za a dawo a sake duba amsoshin.</v>
      </c>
      <c r="J2185" s="180" t="str">
        <f t="shared" ref="J2185:L2185" si="414">$F2185 &amp; ". "&amp;G2185</f>
        <v>414. The amount you have left (${hoh_qty_left}) is negative. Please return and revise your responses.</v>
      </c>
      <c r="K2185" s="180" t="str">
        <f t="shared" si="414"/>
        <v>414. Le montant qu'il vous reste (${hoh_qty_left}) est négatif. Veuillez revenir et réviser vos réponses.</v>
      </c>
      <c r="L2185" s="180" t="str">
        <f t="shared" si="414"/>
        <v>414. jimillar kuɗin da suka saura (${hoh_qty_left}) maras kyau ne. Da fatan za a dawo a sake duba amsoshin.</v>
      </c>
    </row>
    <row r="2186">
      <c r="A2186" s="280" t="s">
        <v>2509</v>
      </c>
      <c r="B2186" s="281" t="s">
        <v>5929</v>
      </c>
      <c r="C2186" s="45" t="s">
        <v>5930</v>
      </c>
      <c r="D2186" s="45" t="s">
        <v>5931</v>
      </c>
      <c r="E2186" s="45" t="s">
        <v>5932</v>
      </c>
      <c r="F2186" s="187">
        <v>415.0</v>
      </c>
      <c r="G2186" s="180" t="str">
        <f>IFERROR(__xludf.DUMMYFUNCTION("TRIM(REGEXREPLACE(C2186, ""[0-9]+[a-f]?\."", """"))"),"Based on your responses, you had ${hoh_qty_left} ${hoh_crop_unit_name} left over. Does this sound correct?")</f>
        <v>Based on your responses, you had ${hoh_qty_left} ${hoh_crop_unit_name} left over. Does this sound correct?</v>
      </c>
      <c r="H2186" s="180" t="str">
        <f>IFERROR(__xludf.DUMMYFUNCTION("TRIM(REGEXREPLACE(D2186, ""[0-9]+[a-f]?\."", """"))"),"D'après vos réponses, il vous restait ${hoh_qty_left} ${hoh_crop_unit_name}. Est-ce que cela semble correct ?")</f>
        <v>D'après vos réponses, il vous restait ${hoh_qty_left} ${hoh_crop_unit_name}. Est-ce que cela semble correct ?</v>
      </c>
      <c r="I2186" s="180" t="str">
        <f>IFERROR(__xludf.DUMMYFUNCTION("TRIM(REGEXREPLACE(E2186, ""[0-9]+[a-f]?\."", """"))"),"Dangane da amsoshinku, kuna da sauran ${hoh_qty_left} ${hoh_crop_unit_name}. Ko wannan yayi daidai?")</f>
        <v>Dangane da amsoshinku, kuna da sauran ${hoh_qty_left} ${hoh_crop_unit_name}. Ko wannan yayi daidai?</v>
      </c>
      <c r="J2186" s="180" t="str">
        <f t="shared" ref="J2186:L2186" si="415">$F2186 &amp; ". "&amp;G2186</f>
        <v>415. Based on your responses, you had ${hoh_qty_left} ${hoh_crop_unit_name} left over. Does this sound correct?</v>
      </c>
      <c r="K2186" s="180" t="str">
        <f t="shared" si="415"/>
        <v>415. D'après vos réponses, il vous restait ${hoh_qty_left} ${hoh_crop_unit_name}. Est-ce que cela semble correct ?</v>
      </c>
      <c r="L2186" s="180" t="str">
        <f t="shared" si="415"/>
        <v>415. Dangane da amsoshinku, kuna da sauran ${hoh_qty_left} ${hoh_crop_unit_name}. Ko wannan yayi daidai?</v>
      </c>
    </row>
    <row r="2187" hidden="1">
      <c r="A2187" s="168" t="s">
        <v>68</v>
      </c>
      <c r="B2187" s="71" t="s">
        <v>5934</v>
      </c>
      <c r="C2187" s="200"/>
      <c r="D2187" s="200"/>
      <c r="E2187" s="200"/>
    </row>
    <row r="2188" hidden="1">
      <c r="A2188" s="343" t="s">
        <v>468</v>
      </c>
      <c r="B2188" s="185" t="s">
        <v>5862</v>
      </c>
      <c r="C2188" s="185" t="s">
        <v>5935</v>
      </c>
      <c r="D2188" s="185" t="s">
        <v>5936</v>
      </c>
      <c r="E2188" s="185" t="s">
        <v>5937</v>
      </c>
    </row>
    <row r="2189" hidden="1">
      <c r="A2189" s="320"/>
      <c r="B2189" s="321"/>
      <c r="C2189" s="321"/>
      <c r="D2189" s="321"/>
      <c r="E2189" s="321"/>
    </row>
    <row r="2190" hidden="1">
      <c r="A2190" s="298" t="s">
        <v>133</v>
      </c>
      <c r="B2190" s="299" t="s">
        <v>5938</v>
      </c>
      <c r="C2190" s="299" t="s">
        <v>5939</v>
      </c>
      <c r="D2190" s="299" t="s">
        <v>5940</v>
      </c>
      <c r="E2190" s="299" t="s">
        <v>5942</v>
      </c>
    </row>
    <row r="2191">
      <c r="A2191" s="278" t="s">
        <v>38</v>
      </c>
      <c r="B2191" s="279" t="s">
        <v>5943</v>
      </c>
      <c r="C2191" s="45" t="s">
        <v>5944</v>
      </c>
      <c r="D2191" s="45" t="s">
        <v>5945</v>
      </c>
      <c r="E2191" s="45" t="s">
        <v>5946</v>
      </c>
      <c r="F2191" s="187">
        <v>416.0</v>
      </c>
      <c r="G2191" s="180" t="str">
        <f>IFERROR(__xludf.DUMMYFUNCTION("TRIM(REGEXREPLACE(C2191, ""[0-9]+[a-f]?\."", """"))"),"How much did your household spend on the following types of expenses during the last agricultural season in CFA?")</f>
        <v>How much did your household spend on the following types of expenses during the last agricultural season in CFA?</v>
      </c>
      <c r="H2191" s="180" t="str">
        <f>IFERROR(__xludf.DUMMYFUNCTION("TRIM(REGEXREPLACE(D2191, ""[0-9]+[a-f]?\."", """"))"),"Combien votre ménage a-t-il dépensé pour les types de dépenses suivantes au cours de la dernière saison agricole (en CFA) ?")</f>
        <v>Combien votre ménage a-t-il dépensé pour les types de dépenses suivantes au cours de la dernière saison agricole (en CFA) ?</v>
      </c>
      <c r="I2191" s="180" t="str">
        <f>IFERROR(__xludf.DUMMYFUNCTION("TRIM(REGEXREPLACE(E2191, ""[0-9]+[a-f]?\."", """"))"),"Nawa ne gidanku ya kashe akan waɗannan abubuwan a lokacin noman da ya wuce (a sefa)?")</f>
        <v>Nawa ne gidanku ya kashe akan waɗannan abubuwan a lokacin noman da ya wuce (a sefa)?</v>
      </c>
      <c r="J2191" s="180" t="str">
        <f t="shared" ref="J2191:L2191" si="416">$F2191 &amp; ". "&amp;G2191</f>
        <v>416. How much did your household spend on the following types of expenses during the last agricultural season in CFA?</v>
      </c>
      <c r="K2191" s="180" t="str">
        <f t="shared" si="416"/>
        <v>416. Combien votre ménage a-t-il dépensé pour les types de dépenses suivantes au cours de la dernière saison agricole (en CFA) ?</v>
      </c>
      <c r="L2191" s="180" t="str">
        <f t="shared" si="416"/>
        <v>416. Nawa ne gidanku ya kashe akan waɗannan abubuwan a lokacin noman da ya wuce (a sefa)?</v>
      </c>
    </row>
    <row r="2192">
      <c r="A2192" s="291" t="s">
        <v>268</v>
      </c>
      <c r="B2192" s="292" t="s">
        <v>5948</v>
      </c>
      <c r="C2192" s="45" t="s">
        <v>5949</v>
      </c>
      <c r="D2192" s="45" t="s">
        <v>5950</v>
      </c>
      <c r="E2192" s="45" t="s">
        <v>5951</v>
      </c>
      <c r="F2192" s="187">
        <v>417.0</v>
      </c>
      <c r="G2192" s="180" t="str">
        <f>IFERROR(__xludf.DUMMYFUNCTION("TRIM(REGEXREPLACE(C2192, ""[0-9]+[a-f]?\."", """"))"),"Seeds")</f>
        <v>Seeds</v>
      </c>
      <c r="H2192" s="180" t="str">
        <f>IFERROR(__xludf.DUMMYFUNCTION("TRIM(REGEXREPLACE(D2192, ""[0-9]+[a-f]?\."", """"))"),"Semences")</f>
        <v>Semences</v>
      </c>
      <c r="I2192" s="180" t="str">
        <f>IFERROR(__xludf.DUMMYFUNCTION("TRIM(REGEXREPLACE(E2192, ""[0-9]+[a-f]?\."", """"))"),"Iri")</f>
        <v>Iri</v>
      </c>
      <c r="J2192" s="180" t="str">
        <f t="shared" ref="J2192:L2192" si="417">$F2192 &amp; ". "&amp;G2192</f>
        <v>417. Seeds</v>
      </c>
      <c r="K2192" s="180" t="str">
        <f t="shared" si="417"/>
        <v>417. Semences</v>
      </c>
      <c r="L2192" s="180" t="str">
        <f t="shared" si="417"/>
        <v>417. Iri</v>
      </c>
    </row>
    <row r="2193">
      <c r="A2193" s="291" t="s">
        <v>268</v>
      </c>
      <c r="B2193" s="292" t="s">
        <v>5952</v>
      </c>
      <c r="C2193" s="45" t="s">
        <v>5953</v>
      </c>
      <c r="D2193" s="45" t="s">
        <v>5954</v>
      </c>
      <c r="E2193" s="45" t="s">
        <v>5955</v>
      </c>
      <c r="F2193" s="187">
        <v>418.0</v>
      </c>
      <c r="G2193" s="180" t="str">
        <f>IFERROR(__xludf.DUMMYFUNCTION("TRIM(REGEXREPLACE(C2193, ""[0-9]+[a-f]?\."", """"))"),"Fertilizer")</f>
        <v>Fertilizer</v>
      </c>
      <c r="H2193" s="180" t="str">
        <f>IFERROR(__xludf.DUMMYFUNCTION("TRIM(REGEXREPLACE(D2193, ""[0-9]+[a-f]?\."", """"))"),"Engrais")</f>
        <v>Engrais</v>
      </c>
      <c r="I2193" s="180" t="str">
        <f>IFERROR(__xludf.DUMMYFUNCTION("TRIM(REGEXREPLACE(E2193, ""[0-9]+[a-f]?\."", """"))"),"Takin zamani")</f>
        <v>Takin zamani</v>
      </c>
      <c r="J2193" s="180" t="str">
        <f t="shared" ref="J2193:L2193" si="418">$F2193 &amp; ". "&amp;G2193</f>
        <v>418. Fertilizer</v>
      </c>
      <c r="K2193" s="180" t="str">
        <f t="shared" si="418"/>
        <v>418. Engrais</v>
      </c>
      <c r="L2193" s="180" t="str">
        <f t="shared" si="418"/>
        <v>418. Takin zamani</v>
      </c>
    </row>
    <row r="2194">
      <c r="A2194" s="291" t="s">
        <v>268</v>
      </c>
      <c r="B2194" s="292" t="s">
        <v>5960</v>
      </c>
      <c r="C2194" s="45" t="s">
        <v>3721</v>
      </c>
      <c r="D2194" s="45" t="s">
        <v>3722</v>
      </c>
      <c r="E2194" s="45" t="s">
        <v>3723</v>
      </c>
      <c r="F2194" s="187">
        <v>419.0</v>
      </c>
      <c r="G2194" s="180" t="str">
        <f>IFERROR(__xludf.DUMMYFUNCTION("TRIM(REGEXREPLACE(C2194, ""[0-9]+[a-f]?\."", """"))"),"Renting machines and tools (i.e. for plowing or spraying)")</f>
        <v>Renting machines and tools (i.e. for plowing or spraying)</v>
      </c>
      <c r="H2194" s="180" t="str">
        <f>IFERROR(__xludf.DUMMYFUNCTION("TRIM(REGEXREPLACE(D2194, ""[0-9]+[a-f]?\."", """"))"),"Location de machines et d'outils (c'est-à-dire pour labourer ou pulvériser)")</f>
        <v>Location de machines et d'outils (c'est-à-dire pour labourer ou pulvériser)</v>
      </c>
      <c r="I2194" s="180" t="str">
        <f>IFERROR(__xludf.DUMMYFUNCTION("TRIM(REGEXREPLACE(E2194, ""[0-9]+[a-f]?\."", """"))"),"Hayar injina da kayan aiki ( don noma ko feshi)")</f>
        <v>Hayar injina da kayan aiki ( don noma ko feshi)</v>
      </c>
      <c r="J2194" s="180" t="str">
        <f t="shared" ref="J2194:L2194" si="419">$F2194 &amp; ". "&amp;G2194</f>
        <v>419. Renting machines and tools (i.e. for plowing or spraying)</v>
      </c>
      <c r="K2194" s="180" t="str">
        <f t="shared" si="419"/>
        <v>419. Location de machines et d'outils (c'est-à-dire pour labourer ou pulvériser)</v>
      </c>
      <c r="L2194" s="180" t="str">
        <f t="shared" si="419"/>
        <v>419. Hayar injina da kayan aiki ( don noma ko feshi)</v>
      </c>
    </row>
    <row r="2195">
      <c r="A2195" s="291" t="s">
        <v>268</v>
      </c>
      <c r="B2195" s="292" t="s">
        <v>5962</v>
      </c>
      <c r="C2195" s="45" t="s">
        <v>3726</v>
      </c>
      <c r="D2195" s="45" t="s">
        <v>3728</v>
      </c>
      <c r="E2195" s="45" t="s">
        <v>3729</v>
      </c>
      <c r="F2195" s="187">
        <v>420.0</v>
      </c>
      <c r="G2195" s="180" t="str">
        <f>IFERROR(__xludf.DUMMYFUNCTION("TRIM(REGEXREPLACE(C2195, ""[0-9]+[a-f]?\."", """"))"),"Water")</f>
        <v>Water</v>
      </c>
      <c r="H2195" s="180" t="str">
        <f>IFERROR(__xludf.DUMMYFUNCTION("TRIM(REGEXREPLACE(D2195, ""[0-9]+[a-f]?\."", """"))"),"Eau")</f>
        <v>Eau</v>
      </c>
      <c r="I2195" s="180" t="str">
        <f>IFERROR(__xludf.DUMMYFUNCTION("TRIM(REGEXREPLACE(E2195, ""[0-9]+[a-f]?\."", """"))"),"Ruwa")</f>
        <v>Ruwa</v>
      </c>
      <c r="J2195" s="180" t="str">
        <f t="shared" ref="J2195:L2195" si="420">$F2195 &amp; ". "&amp;G2195</f>
        <v>420. Water</v>
      </c>
      <c r="K2195" s="180" t="str">
        <f t="shared" si="420"/>
        <v>420. Eau</v>
      </c>
      <c r="L2195" s="180" t="str">
        <f t="shared" si="420"/>
        <v>420. Ruwa</v>
      </c>
    </row>
    <row r="2196" hidden="1">
      <c r="A2196" s="298" t="s">
        <v>237</v>
      </c>
      <c r="B2196" s="310" t="s">
        <v>5938</v>
      </c>
      <c r="C2196" s="310" t="s">
        <v>5939</v>
      </c>
      <c r="D2196" s="310" t="s">
        <v>5964</v>
      </c>
      <c r="E2196" s="310" t="s">
        <v>5965</v>
      </c>
    </row>
    <row r="2197" hidden="1">
      <c r="A2197" s="168" t="s">
        <v>127</v>
      </c>
      <c r="B2197" s="71" t="s">
        <v>5966</v>
      </c>
      <c r="C2197" s="200"/>
      <c r="D2197" s="200"/>
      <c r="E2197" s="200"/>
    </row>
    <row r="2198" hidden="1">
      <c r="A2198" s="168" t="s">
        <v>68</v>
      </c>
      <c r="B2198" s="71" t="s">
        <v>5967</v>
      </c>
      <c r="C2198" s="200"/>
      <c r="D2198" s="200"/>
      <c r="E2198" s="200"/>
    </row>
    <row r="2199" hidden="1">
      <c r="A2199" s="320"/>
      <c r="B2199" s="321"/>
      <c r="C2199" s="321"/>
      <c r="D2199" s="321"/>
      <c r="E2199" s="321"/>
    </row>
    <row r="2200" hidden="1">
      <c r="A2200" s="168" t="s">
        <v>127</v>
      </c>
      <c r="B2200" s="71" t="s">
        <v>5968</v>
      </c>
      <c r="C2200" s="200"/>
      <c r="D2200" s="200"/>
      <c r="E2200" s="200"/>
    </row>
    <row r="2201">
      <c r="A2201" s="278" t="s">
        <v>38</v>
      </c>
      <c r="B2201" s="279" t="s">
        <v>5970</v>
      </c>
      <c r="C2201" s="45" t="s">
        <v>5971</v>
      </c>
      <c r="D2201" s="45" t="s">
        <v>5972</v>
      </c>
      <c r="E2201" s="45" t="s">
        <v>5973</v>
      </c>
      <c r="F2201" s="187">
        <v>421.0</v>
      </c>
      <c r="G2201" s="180" t="str">
        <f>IFERROR(__xludf.DUMMYFUNCTION("TRIM(REGEXREPLACE(C2201, ""[0-9]+[a-f]?\."", """"))"),"We want to understand how many days people worked in your fields and who did this work.")</f>
        <v>We want to understand how many days people worked in your fields and who did this work.</v>
      </c>
      <c r="H2201" s="180" t="str">
        <f>IFERROR(__xludf.DUMMYFUNCTION("TRIM(REGEXREPLACE(D2201, ""[0-9]+[a-f]?\."", """"))"),"Nous voulons comprendre combien de jours des gens ont travaillé dans vos champs et qui a fait ce travail.")</f>
        <v>Nous voulons comprendre combien de jours des gens ont travaillé dans vos champs et qui a fait ce travail.</v>
      </c>
      <c r="I2201" s="180" t="str">
        <f>IFERROR(__xludf.DUMMYFUNCTION("TRIM(REGEXREPLACE(E2201, ""[0-9]+[a-f]?\."", """"))"),"Muna son mu fahimci kwanaki nawa mutane suka yi aiki a gonakinku da kuma wanda ya yi wannan aikin.")</f>
        <v>Muna son mu fahimci kwanaki nawa mutane suka yi aiki a gonakinku da kuma wanda ya yi wannan aikin.</v>
      </c>
      <c r="J2201" s="180" t="str">
        <f t="shared" ref="J2201:L2201" si="421">$F2201 &amp; ". "&amp;G2201</f>
        <v>421. We want to understand how many days people worked in your fields and who did this work.</v>
      </c>
      <c r="K2201" s="180" t="str">
        <f t="shared" si="421"/>
        <v>421. Nous voulons comprendre combien de jours des gens ont travaillé dans vos champs et qui a fait ce travail.</v>
      </c>
      <c r="L2201" s="180" t="str">
        <f t="shared" si="421"/>
        <v>421. Muna son mu fahimci kwanaki nawa mutane suka yi aiki a gonakinku da kuma wanda ya yi wannan aikin.</v>
      </c>
    </row>
    <row r="2202">
      <c r="A2202" s="291" t="s">
        <v>268</v>
      </c>
      <c r="B2202" s="292" t="s">
        <v>5975</v>
      </c>
      <c r="C2202" s="45" t="s">
        <v>5976</v>
      </c>
      <c r="D2202" s="45" t="s">
        <v>5977</v>
      </c>
      <c r="E2202" s="45" t="s">
        <v>5978</v>
      </c>
      <c r="F2202" s="187">
        <v>422.0</v>
      </c>
      <c r="G2202" s="180" t="str">
        <f>IFERROR(__xludf.DUMMYFUNCTION("TRIM(REGEXREPLACE(C2202,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2202" s="180" t="str">
        <f>IFERROR(__xludf.DUMMYFUNCTION("TRIM(REGEXREPLACE(D2202,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2202" s="180" t="str">
        <f>IFERROR(__xludf.DUMMYFUNCTION("TRIM(REGEXREPLACE(E2202,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2202" s="180" t="str">
        <f t="shared" ref="J2202:L2202" si="422">$F2202 &amp; ". "&amp;G2202</f>
        <v>422. Think about the last agricultural season. How many weeks were people working in your fields? This includes work by people who are members of your household and those who are not members of your household.</v>
      </c>
      <c r="K2202" s="180" t="str">
        <f t="shared" si="422"/>
        <v>422. Pensez à la dernière saison agricole. Combien de semaines au total les gens ont-ils travaillé dans vos champs ? Cela inclut le travail des personnes qui sont membres de votre ménage et celles qui ne le sont pas.</v>
      </c>
      <c r="L2202" s="180" t="str">
        <f t="shared" si="422"/>
        <v>422. Ku tuna da lokacin noma na ƙarshe. Makonni nawa mutane ke aiki a filayenku? Wannan ya haɗa da aikin mutanen da ke cikin gidanku da waɗanda ba ƴan gidanku ba ne.</v>
      </c>
    </row>
    <row r="2203">
      <c r="A2203" s="291" t="s">
        <v>268</v>
      </c>
      <c r="B2203" s="292" t="s">
        <v>5981</v>
      </c>
      <c r="C2203" s="45" t="s">
        <v>5982</v>
      </c>
      <c r="D2203" s="45" t="s">
        <v>5983</v>
      </c>
      <c r="E2203" s="45" t="s">
        <v>5984</v>
      </c>
      <c r="F2203" s="187">
        <v>423.0</v>
      </c>
      <c r="G2203" s="180" t="str">
        <f>IFERROR(__xludf.DUMMYFUNCTION("TRIM(REGEXREPLACE(C2203,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2203" s="180" t="str">
        <f>IFERROR(__xludf.DUMMYFUNCTION("TRIM(REGEXREPLACE(D2203,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2203" s="180" t="str">
        <f>IFERROR(__xludf.DUMMYFUNCTION("TRIM(REGEXREPLACE(E2203,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2203" s="180" t="str">
        <f t="shared" ref="J2203:L2203" si="423">$F2203 &amp; ". "&amp;G2203</f>
        <v>423. Think about a typical week during the last agricultural season. How many days were people working in your fields? This includes work by people who are members of your household and those who are not members of your household.</v>
      </c>
      <c r="K2203" s="180" t="str">
        <f t="shared" si="423"/>
        <v>423. Pensez à une semaine typique au cours de la dernière saison agricole. Combien de jours les gens ont-ils travaillé dans vos champs par semaine ? Cela inclut le travail des personnes qui sont membres de votre ménage et celles qui ne le sont pas.</v>
      </c>
      <c r="L2203" s="180" t="str">
        <f t="shared" si="423"/>
        <v>423. Ku tuna da mako guda na lokacin damana ta ƙarshe. Kwanaki nawa mutane suke aiki a gonkinku a cikin kowane sati? Wannan ya haɗa da aikin mutanen da ke cikin gidan ku da waɗanda ba 'yan gidan ku ba ne.</v>
      </c>
    </row>
    <row r="2204" hidden="1">
      <c r="A2204" s="320"/>
      <c r="B2204" s="321"/>
      <c r="C2204" s="321"/>
      <c r="D2204" s="321"/>
      <c r="E2204" s="321"/>
    </row>
    <row r="2205" hidden="1">
      <c r="A2205" s="285" t="s">
        <v>426</v>
      </c>
      <c r="B2205" s="171" t="s">
        <v>5986</v>
      </c>
      <c r="C2205" s="171" t="s">
        <v>5987</v>
      </c>
      <c r="D2205" s="171" t="s">
        <v>5988</v>
      </c>
      <c r="E2205" s="171" t="s">
        <v>5989</v>
      </c>
    </row>
    <row r="2206" hidden="1">
      <c r="A2206" s="168" t="s">
        <v>68</v>
      </c>
      <c r="B2206" s="71" t="s">
        <v>5990</v>
      </c>
      <c r="C2206" s="200"/>
      <c r="D2206" s="200"/>
      <c r="E2206" s="200"/>
    </row>
    <row r="2207" hidden="1">
      <c r="A2207" s="168" t="s">
        <v>68</v>
      </c>
      <c r="B2207" s="71" t="s">
        <v>5992</v>
      </c>
      <c r="C2207" s="289" t="s">
        <v>5993</v>
      </c>
      <c r="D2207" s="289" t="s">
        <v>5994</v>
      </c>
      <c r="E2207" s="289" t="s">
        <v>5995</v>
      </c>
    </row>
    <row r="2208">
      <c r="A2208" s="291" t="s">
        <v>268</v>
      </c>
      <c r="B2208" s="292" t="s">
        <v>5996</v>
      </c>
      <c r="C2208" s="45" t="s">
        <v>5997</v>
      </c>
      <c r="D2208" s="45" t="s">
        <v>5998</v>
      </c>
      <c r="E2208" s="45" t="s">
        <v>5999</v>
      </c>
      <c r="F2208" s="187">
        <v>424.0</v>
      </c>
      <c r="G2208" s="180" t="str">
        <f>IFERROR(__xludf.DUMMYFUNCTION("TRIM(REGEXREPLACE(C2208, ""[0-9]+[a-f]?\."", """"))"),"Can you estimate how many days during the last agricultural season did ${hoh_labor_name} work in field?")</f>
        <v>Can you estimate how many days during the last agricultural season did ${hoh_labor_name} work in field?</v>
      </c>
      <c r="H2208" s="180" t="str">
        <f>IFERROR(__xludf.DUMMYFUNCTION("TRIM(REGEXREPLACE(D2208, ""[0-9]+[a-f]?\."", """"))"),"Pouvez-vous estimer combien de jours au cours de la dernière saison agricole ${hoh_labor_name} a-t-il travaillé dans les champs ?")</f>
        <v>Pouvez-vous estimer combien de jours au cours de la dernière saison agricole ${hoh_labor_name} a-t-il travaillé dans les champs ?</v>
      </c>
      <c r="I2208" s="180" t="str">
        <f>IFERROR(__xludf.DUMMYFUNCTION("TRIM(REGEXREPLACE(E2208, ""[0-9]+[a-f]?\."", """"))"),"Za ku iya ƙiyasin kwanaki nawa a lokacin noman da ya gabata ${hoh_labor_name} ya yi aikin a noma?")</f>
        <v>Za ku iya ƙiyasin kwanaki nawa a lokacin noman da ya gabata ${hoh_labor_name} ya yi aikin a noma?</v>
      </c>
      <c r="J2208" s="180" t="str">
        <f t="shared" ref="J2208:L2208" si="424">$F2208 &amp; ". "&amp;G2208</f>
        <v>424. Can you estimate how many days during the last agricultural season did ${hoh_labor_name} work in field?</v>
      </c>
      <c r="K2208" s="180" t="str">
        <f t="shared" si="424"/>
        <v>424. Pouvez-vous estimer combien de jours au cours de la dernière saison agricole ${hoh_labor_name} a-t-il travaillé dans les champs ?</v>
      </c>
      <c r="L2208" s="180" t="str">
        <f t="shared" si="424"/>
        <v>424. Za ku iya ƙiyasin kwanaki nawa a lokacin noman da ya gabata ${hoh_labor_name} ya yi aikin a noma?</v>
      </c>
    </row>
    <row r="2209" hidden="1">
      <c r="A2209" s="285" t="s">
        <v>468</v>
      </c>
      <c r="B2209" s="185" t="s">
        <v>5986</v>
      </c>
      <c r="C2209" s="185" t="s">
        <v>5987</v>
      </c>
      <c r="D2209" s="185" t="s">
        <v>5988</v>
      </c>
      <c r="E2209" s="185" t="s">
        <v>5989</v>
      </c>
    </row>
    <row r="2210">
      <c r="A2210" s="278" t="s">
        <v>38</v>
      </c>
      <c r="B2210" s="279" t="s">
        <v>6001</v>
      </c>
      <c r="C2210" s="45" t="s">
        <v>6002</v>
      </c>
      <c r="D2210" s="198" t="s">
        <v>6003</v>
      </c>
      <c r="E2210" s="198" t="s">
        <v>6004</v>
      </c>
      <c r="F2210" s="187">
        <v>425.0</v>
      </c>
      <c r="G2210" s="180" t="str">
        <f>IFERROR(__xludf.DUMMYFUNCTION("TRIM(REGEXREPLACE(C2210, ""[0-9]+[a-f]?\."", """"))"),"The following questions about agricultural labor are for the last agricultural season (last 180 days).")</f>
        <v>The following questions about agricultural labor are for the last agricultural season (last 180 days).</v>
      </c>
      <c r="H2210" s="180" t="str">
        <f>IFERROR(__xludf.DUMMYFUNCTION("TRIM(REGEXREPLACE(D2210, ""[0-9]+[a-f]?\."", """"))"),"Les questions suivantes sur le travail agricole concernent la derniere saison agricole (180 derniers jours)")</f>
        <v>Les questions suivantes sur le travail agricole concernent la derniere saison agricole (180 derniers jours)</v>
      </c>
      <c r="I2210" s="180" t="str">
        <f>IFERROR(__xludf.DUMMYFUNCTION("TRIM(REGEXREPLACE(E2210, ""[0-9]+[a-f]?\."", """"))"),"Q.420 Tambayoyi masu zuwa game da aikin noma bara (koinakin 180 na baya)")</f>
        <v>Q.420 Tambayoyi masu zuwa game da aikin noma bara (koinakin 180 na baya)</v>
      </c>
      <c r="J2210" s="180" t="str">
        <f t="shared" ref="J2210:L2210" si="425">$F2210 &amp; ". "&amp;G2210</f>
        <v>425. The following questions about agricultural labor are for the last agricultural season (last 180 days).</v>
      </c>
      <c r="K2210" s="180" t="str">
        <f t="shared" si="425"/>
        <v>425. Les questions suivantes sur le travail agricole concernent la derniere saison agricole (180 derniers jours)</v>
      </c>
      <c r="L2210" s="180" t="str">
        <f t="shared" si="425"/>
        <v>425. Q.420 Tambayoyi masu zuwa game da aikin noma bara (koinakin 180 na baya)</v>
      </c>
    </row>
    <row r="2211">
      <c r="A2211" s="280" t="s">
        <v>1306</v>
      </c>
      <c r="B2211" s="281" t="s">
        <v>6005</v>
      </c>
      <c r="C2211" s="45" t="s">
        <v>6008</v>
      </c>
      <c r="D2211" s="45" t="s">
        <v>6009</v>
      </c>
      <c r="E2211" s="45" t="s">
        <v>6010</v>
      </c>
      <c r="F2211" s="187">
        <v>426.0</v>
      </c>
      <c r="G2211" s="180" t="str">
        <f>IFERROR(__xludf.DUMMYFUNCTION("TRIM(REGEXREPLACE(C2211, ""[0-9]+[a-f]?\."", """"))"),"Did you hire anyone outside of your household to work in your fields?")</f>
        <v>Did you hire anyone outside of your household to work in your fields?</v>
      </c>
      <c r="H2211" s="180" t="str">
        <f>IFERROR(__xludf.DUMMYFUNCTION("TRIM(REGEXREPLACE(D2211, ""[0-9]+[a-f]?\."", """"))"),"Avez-vous embauché quelqu'un en dehors de votre ménage pour travailler dans vos champs ?")</f>
        <v>Avez-vous embauché quelqu'un en dehors de votre ménage pour travailler dans vos champs ?</v>
      </c>
      <c r="I2211" s="180" t="str">
        <f>IFERROR(__xludf.DUMMYFUNCTION("TRIM(REGEXREPLACE(E2211, ""[0-9]+[a-f]?\."", """"))"),"Ko kun ɗauki wani dan barema da ba ɗan gidanku ba don yin aiki a gonakinku?")</f>
        <v>Ko kun ɗauki wani dan barema da ba ɗan gidanku ba don yin aiki a gonakinku?</v>
      </c>
      <c r="J2211" s="180" t="str">
        <f t="shared" ref="J2211:L2211" si="426">$F2211 &amp; ". "&amp;G2211</f>
        <v>426. Did you hire anyone outside of your household to work in your fields?</v>
      </c>
      <c r="K2211" s="180" t="str">
        <f t="shared" si="426"/>
        <v>426. Avez-vous embauché quelqu'un en dehors de votre ménage pour travailler dans vos champs ?</v>
      </c>
      <c r="L2211" s="180" t="str">
        <f t="shared" si="426"/>
        <v>426. Ko kun ɗauki wani dan barema da ba ɗan gidanku ba don yin aiki a gonakinku?</v>
      </c>
    </row>
    <row r="2212">
      <c r="A2212" s="291" t="s">
        <v>268</v>
      </c>
      <c r="B2212" s="292" t="s">
        <v>6011</v>
      </c>
      <c r="C2212" s="45" t="s">
        <v>6013</v>
      </c>
      <c r="D2212" s="45" t="s">
        <v>6014</v>
      </c>
      <c r="E2212" s="61" t="s">
        <v>6015</v>
      </c>
      <c r="F2212" s="187">
        <v>427.0</v>
      </c>
      <c r="G2212" s="180" t="str">
        <f>IFERROR(__xludf.DUMMYFUNCTION("TRIM(REGEXREPLACE(C2212, ""[0-9]+[a-f]?\."", """"))"),"How many different people did you hire people to work in your fields?")</f>
        <v>How many different people did you hire people to work in your fields?</v>
      </c>
      <c r="H2212" s="180" t="str">
        <f>IFERROR(__xludf.DUMMYFUNCTION("TRIM(REGEXREPLACE(D2212, ""[0-9]+[a-f]?\."", """"))"),"Combien de personnes avez-vous embauchées pour travailler dans vos champs ?")</f>
        <v>Combien de personnes avez-vous embauchées pour travailler dans vos champs ?</v>
      </c>
      <c r="I2212" s="180" t="str">
        <f>IFERROR(__xludf.DUMMYFUNCTION("TRIM(REGEXREPLACE(E2212, ""[0-9]+[a-f]?\."", """"))"),"Mutane nawa kuka ɗauka don yin aiki a gonakinku?")</f>
        <v>Mutane nawa kuka ɗauka don yin aiki a gonakinku?</v>
      </c>
      <c r="J2212" s="180" t="str">
        <f t="shared" ref="J2212:L2212" si="427">$F2212 &amp; ". "&amp;G2212</f>
        <v>427. How many different people did you hire people to work in your fields?</v>
      </c>
      <c r="K2212" s="180" t="str">
        <f t="shared" si="427"/>
        <v>427. Combien de personnes avez-vous embauchées pour travailler dans vos champs ?</v>
      </c>
      <c r="L2212" s="180" t="str">
        <f t="shared" si="427"/>
        <v>427. Mutane nawa kuka ɗauka don yin aiki a gonakinku?</v>
      </c>
    </row>
    <row r="2213">
      <c r="A2213" s="291" t="s">
        <v>268</v>
      </c>
      <c r="B2213" s="292" t="s">
        <v>6019</v>
      </c>
      <c r="C2213" s="45" t="s">
        <v>6020</v>
      </c>
      <c r="D2213" s="45" t="s">
        <v>6022</v>
      </c>
      <c r="E2213" s="45" t="s">
        <v>6023</v>
      </c>
      <c r="F2213" s="187">
        <v>428.0</v>
      </c>
      <c r="G2213" s="180" t="str">
        <f>IFERROR(__xludf.DUMMYFUNCTION("TRIM(REGEXREPLACE(C2213, ""[0-9]+[a-f]?\."", """"))"),"How many days did each laborer work in your fields?")</f>
        <v>How many days did each laborer work in your fields?</v>
      </c>
      <c r="H2213" s="180" t="str">
        <f>IFERROR(__xludf.DUMMYFUNCTION("TRIM(REGEXREPLACE(D2213, ""[0-9]+[a-f]?\."", """"))"),"Combien de jours chaque ouvrier a-t-il travaillé dans vos champs ?")</f>
        <v>Combien de jours chaque ouvrier a-t-il travaillé dans vos champs ?</v>
      </c>
      <c r="I2213" s="180" t="str">
        <f>IFERROR(__xludf.DUMMYFUNCTION("TRIM(REGEXREPLACE(E2213, ""[0-9]+[a-f]?\."", """"))"),"Kwanaki nawa kowane ma'aikaci yayi aiki a gonakinku?")</f>
        <v>Kwanaki nawa kowane ma'aikaci yayi aiki a gonakinku?</v>
      </c>
      <c r="J2213" s="180" t="str">
        <f t="shared" ref="J2213:L2213" si="428">$F2213 &amp; ". "&amp;G2213</f>
        <v>428. How many days did each laborer work in your fields?</v>
      </c>
      <c r="K2213" s="180" t="str">
        <f t="shared" si="428"/>
        <v>428. Combien de jours chaque ouvrier a-t-il travaillé dans vos champs ?</v>
      </c>
      <c r="L2213" s="180" t="str">
        <f t="shared" si="428"/>
        <v>428. Kwanaki nawa kowane ma'aikaci yayi aiki a gonakinku?</v>
      </c>
    </row>
    <row r="2214">
      <c r="A2214" s="291" t="s">
        <v>268</v>
      </c>
      <c r="B2214" s="292" t="s">
        <v>6024</v>
      </c>
      <c r="C2214" s="45" t="s">
        <v>3793</v>
      </c>
      <c r="D2214" s="45" t="s">
        <v>3794</v>
      </c>
      <c r="E2214" s="45" t="s">
        <v>3795</v>
      </c>
      <c r="F2214" s="187">
        <v>429.0</v>
      </c>
      <c r="G2214" s="180" t="str">
        <f>IFERROR(__xludf.DUMMYFUNCTION("TRIM(REGEXREPLACE(C2214, ""[0-9]+[a-f]?\."", """"))"),"What was the daily wage you paid for people to work in your fields, or how much would you pay in CFA?")</f>
        <v>What was the daily wage you paid for people to work in your fields, or how much would you pay in CFA?</v>
      </c>
      <c r="H2214" s="180" t="str">
        <f>IFERROR(__xludf.DUMMYFUNCTION("TRIM(REGEXREPLACE(D2214, ""[0-9]+[a-f]?\."", """"))"),"Quel était le salaire journalier que vous payiez pour que les gens travaillent dans vos champs, ou combien paieriez-vous en CFA ?")</f>
        <v>Quel était le salaire journalier que vous payiez pour que les gens travaillent dans vos champs, ou combien paieriez-vous en CFA ?</v>
      </c>
      <c r="I2214" s="180" t="str">
        <f>IFERROR(__xludf.DUMMYFUNCTION("TRIM(REGEXREPLACE(E2214, ""[0-9]+[a-f]?\."", """"))"),"Nawa ne kuke biyan waɗanda suka yi aiki a gonakinku a dukkan wuni a sefa ?")</f>
        <v>Nawa ne kuke biyan waɗanda suka yi aiki a gonakinku a dukkan wuni a sefa ?</v>
      </c>
      <c r="J2214" s="180" t="str">
        <f t="shared" ref="J2214:L2214" si="429">$F2214 &amp; ". "&amp;G2214</f>
        <v>429. What was the daily wage you paid for people to work in your fields, or how much would you pay in CFA?</v>
      </c>
      <c r="K2214" s="180" t="str">
        <f t="shared" si="429"/>
        <v>429. Quel était le salaire journalier que vous payiez pour que les gens travaillent dans vos champs, ou combien paieriez-vous en CFA ?</v>
      </c>
      <c r="L2214" s="180" t="str">
        <f t="shared" si="429"/>
        <v>429. Nawa ne kuke biyan waɗanda suka yi aiki a gonakinku a dukkan wuni a sefa ?</v>
      </c>
    </row>
    <row r="2215" hidden="1">
      <c r="A2215" s="168" t="s">
        <v>68</v>
      </c>
      <c r="B2215" s="71" t="s">
        <v>6026</v>
      </c>
      <c r="C2215" s="289" t="s">
        <v>6027</v>
      </c>
      <c r="D2215" s="289" t="s">
        <v>6028</v>
      </c>
      <c r="E2215" s="289" t="s">
        <v>6029</v>
      </c>
    </row>
    <row r="2216">
      <c r="A2216" s="280" t="s">
        <v>1306</v>
      </c>
      <c r="B2216" s="281" t="s">
        <v>6030</v>
      </c>
      <c r="C2216" s="45" t="s">
        <v>3800</v>
      </c>
      <c r="D2216" s="45" t="s">
        <v>3801</v>
      </c>
      <c r="E2216" s="45" t="s">
        <v>3802</v>
      </c>
      <c r="F2216" s="187">
        <v>430.0</v>
      </c>
      <c r="G2216" s="180" t="str">
        <f>IFERROR(__xludf.DUMMYFUNCTION("TRIM(REGEXREPLACE(C2216,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2216" s="180" t="str">
        <f>IFERROR(__xludf.DUMMYFUNCTION("TRIM(REGEXREPLACE(D2216, ""[0-9]+[a-f]?\."", """"))"),"Pour toutes les dépenses pour vos champs dont nous avons parlé, vous avez payé ${hoh_total_paid} en CFA, est-ce correct ?")</f>
        <v>Pour toutes les dépenses pour vos champs dont nous avons parlé, vous avez payé ${hoh_total_paid} en CFA, est-ce correct ?</v>
      </c>
      <c r="I2216" s="180" t="str">
        <f>IFERROR(__xludf.DUMMYFUNCTION("TRIM(REGEXREPLACE(E2216,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2216" s="180" t="str">
        <f t="shared" ref="J2216:L2216" si="430">$F2216 &amp; ". "&amp;G2216</f>
        <v>430. Thinking of your expenses related to labor and investment in your fields during the last agricultural season, you spent a total of ${hoh_total_paid} in CFA, is this correct?</v>
      </c>
      <c r="K2216" s="180" t="str">
        <f t="shared" si="430"/>
        <v>430. Pour toutes les dépenses pour vos champs dont nous avons parlé, vous avez payé ${hoh_total_paid} en CFA, est-ce correct ?</v>
      </c>
      <c r="L2216" s="180" t="str">
        <f t="shared" si="430"/>
        <v>430. Ku tuna da dukkan kuɗaɗen da kuka kashe a kan aikin gona a lokacin aikin noma na ƙarshe, kun kashe jimillar ${hoh_total_paid} a CFA, wannan daidai ne?</v>
      </c>
    </row>
    <row r="2217">
      <c r="A2217" s="278" t="s">
        <v>38</v>
      </c>
      <c r="B2217" s="279" t="s">
        <v>6032</v>
      </c>
      <c r="C2217" s="45" t="s">
        <v>6033</v>
      </c>
      <c r="D2217" s="45" t="s">
        <v>6034</v>
      </c>
      <c r="E2217" s="45" t="s">
        <v>6035</v>
      </c>
      <c r="F2217" s="187">
        <v>431.0</v>
      </c>
      <c r="G2217" s="180" t="str">
        <f>IFERROR(__xludf.DUMMYFUNCTION("TRIM(REGEXREPLACE(C2217, ""[0-9]+[a-f]?\."", """"))"),"Now we'll ask about any work by members of your household in fields owned by other people.")</f>
        <v>Now we'll ask about any work by members of your household in fields owned by other people.</v>
      </c>
      <c r="H2217" s="180" t="str">
        <f>IFERROR(__xludf.DUMMYFUNCTION("TRIM(REGEXREPLACE(D2217,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2217" s="180" t="str">
        <f>IFERROR(__xludf.DUMMYFUNCTION("TRIM(REGEXREPLACE(E2217, ""[0-9]+[a-f]?\."", """"))"),"Yanzu za mu yi tambayoyi game da duk wani aiki da ƴan gidanku suka yi a gonakin wasu mutane.")</f>
        <v>Yanzu za mu yi tambayoyi game da duk wani aiki da ƴan gidanku suka yi a gonakin wasu mutane.</v>
      </c>
      <c r="J2217" s="180" t="str">
        <f t="shared" ref="J2217:L2217" si="431">$F2217 &amp; ". "&amp;G2217</f>
        <v>431. Now we'll ask about any work by members of your household in fields owned by other people.</v>
      </c>
      <c r="K2217" s="180" t="str">
        <f t="shared" si="431"/>
        <v>431. Nous allons maintenant poser des questions sur tout travail effectué par des membres de votre ménage dans des champs appartenant à d'autres personnes.</v>
      </c>
      <c r="L2217" s="180" t="str">
        <f t="shared" si="431"/>
        <v>431. Yanzu za mu yi tambayoyi game da duk wani aiki da ƴan gidanku suka yi a gonakin wasu mutane.</v>
      </c>
    </row>
    <row r="2218">
      <c r="A2218" s="280" t="s">
        <v>1306</v>
      </c>
      <c r="B2218" s="281" t="s">
        <v>6040</v>
      </c>
      <c r="C2218" s="45" t="s">
        <v>6042</v>
      </c>
      <c r="D2218" s="45" t="s">
        <v>6043</v>
      </c>
      <c r="E2218" s="45" t="s">
        <v>6045</v>
      </c>
      <c r="F2218" s="187">
        <v>432.0</v>
      </c>
      <c r="G2218" s="180" t="str">
        <f>IFERROR(__xludf.DUMMYFUNCTION("TRIM(REGEXREPLACE(C2218, ""[0-9]+[a-f]?\."", """"))"),"Have any family members worked as a day labor in fields for someone else?")</f>
        <v>Have any family members worked as a day labor in fields for someone else?</v>
      </c>
      <c r="H2218" s="180" t="str">
        <f>IFERROR(__xludf.DUMMYFUNCTION("TRIM(REGEXREPLACE(D2218,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2218" s="180" t="str">
        <f>IFERROR(__xludf.DUMMYFUNCTION("TRIM(REGEXREPLACE(E2218, ""[0-9]+[a-f]?\."", """"))"),"Ko wani ɗan gidanku ya yi aiki a matsayin ɗan barema a gonar wani?")</f>
        <v>Ko wani ɗan gidanku ya yi aiki a matsayin ɗan barema a gonar wani?</v>
      </c>
      <c r="J2218" s="180" t="str">
        <f t="shared" ref="J2218:L2218" si="432">$F2218 &amp; ". "&amp;G2218</f>
        <v>432. Have any family members worked as a day labor in fields for someone else?</v>
      </c>
      <c r="K2218" s="180" t="str">
        <f t="shared" si="432"/>
        <v>432. Pensez à tout membre de votre ménage, y-a t-il des membres de votre ménage qui ont travaillé comme journaliers dans le champs de quelqu'un d'autre ?</v>
      </c>
      <c r="L2218" s="180" t="str">
        <f t="shared" si="432"/>
        <v>432. Ko wani ɗan gidanku ya yi aiki a matsayin ɗan barema a gonar wani?</v>
      </c>
    </row>
    <row r="2219" hidden="1">
      <c r="A2219" s="168" t="s">
        <v>127</v>
      </c>
      <c r="B2219" s="71" t="s">
        <v>6046</v>
      </c>
      <c r="C2219" s="200"/>
      <c r="D2219" s="200"/>
      <c r="E2219" s="200"/>
    </row>
    <row r="2220" hidden="1">
      <c r="A2220" s="168" t="s">
        <v>68</v>
      </c>
      <c r="B2220" s="71" t="s">
        <v>6047</v>
      </c>
      <c r="C2220" s="200"/>
      <c r="D2220" s="200"/>
      <c r="E2220" s="200"/>
    </row>
    <row r="2221" hidden="1">
      <c r="A2221" s="168" t="s">
        <v>127</v>
      </c>
      <c r="B2221" s="71" t="s">
        <v>6048</v>
      </c>
      <c r="C2221" s="200"/>
      <c r="D2221" s="200"/>
      <c r="E2221" s="200"/>
    </row>
    <row r="2222" hidden="1">
      <c r="A2222" s="285" t="s">
        <v>426</v>
      </c>
      <c r="B2222" s="171" t="s">
        <v>6050</v>
      </c>
      <c r="C2222" s="171" t="s">
        <v>6052</v>
      </c>
      <c r="D2222" s="171" t="s">
        <v>6055</v>
      </c>
      <c r="E2222" s="171" t="s">
        <v>6056</v>
      </c>
    </row>
    <row r="2223" hidden="1">
      <c r="A2223" s="168" t="s">
        <v>68</v>
      </c>
      <c r="B2223" s="71" t="s">
        <v>6059</v>
      </c>
      <c r="C2223" s="200"/>
      <c r="D2223" s="200"/>
      <c r="E2223" s="200"/>
    </row>
    <row r="2224" hidden="1">
      <c r="A2224" s="168" t="s">
        <v>68</v>
      </c>
      <c r="B2224" s="71" t="s">
        <v>6060</v>
      </c>
      <c r="C2224" s="200"/>
      <c r="D2224" s="200"/>
      <c r="E2224" s="200"/>
    </row>
    <row r="2225">
      <c r="A2225" s="291" t="s">
        <v>268</v>
      </c>
      <c r="B2225" s="292" t="s">
        <v>6061</v>
      </c>
      <c r="C2225" s="45" t="s">
        <v>6062</v>
      </c>
      <c r="D2225" s="45" t="s">
        <v>6063</v>
      </c>
      <c r="E2225" s="45" t="s">
        <v>6064</v>
      </c>
      <c r="F2225" s="187">
        <v>433.0</v>
      </c>
      <c r="G2225" s="180" t="str">
        <f>IFERROR(__xludf.DUMMYFUNCTION("TRIM(REGEXREPLACE(C2225, ""[0-9]+[a-f]?\."", """"))"),"Can you estimate how many days ${hoh_paid_name} worked as a day laborer in the fields for someone else?")</f>
        <v>Can you estimate how many days ${hoh_paid_name} worked as a day laborer in the fields for someone else?</v>
      </c>
      <c r="H2225" s="180" t="str">
        <f>IFERROR(__xludf.DUMMYFUNCTION("TRIM(REGEXREPLACE(D2225, ""[0-9]+[a-f]?\."", """"))"),"Pouvez-vous estimer combien de jours ${hoh_paid_name} a travaillé comme journalier dans les champs d'autres personnes ?")</f>
        <v>Pouvez-vous estimer combien de jours ${hoh_paid_name} a travaillé comme journalier dans les champs d'autres personnes ?</v>
      </c>
      <c r="I2225" s="180" t="str">
        <f>IFERROR(__xludf.DUMMYFUNCTION("TRIM(REGEXREPLACE(E2225, ""[0-9]+[a-f]?\."", """"))"),"Za ku iya misalta ko wuni nawa ${hoh_paid_name} yayi aiki a matsayin ma'aikacin barema a gonar wasu mutane?")</f>
        <v>Za ku iya misalta ko wuni nawa ${hoh_paid_name} yayi aiki a matsayin ma'aikacin barema a gonar wasu mutane?</v>
      </c>
      <c r="J2225" s="180" t="str">
        <f t="shared" ref="J2225:L2225" si="433">$F2225 &amp; ". "&amp;G2225</f>
        <v>433. Can you estimate how many days ${hoh_paid_name} worked as a day laborer in the fields for someone else?</v>
      </c>
      <c r="K2225" s="180" t="str">
        <f t="shared" si="433"/>
        <v>433. Pouvez-vous estimer combien de jours ${hoh_paid_name} a travaillé comme journalier dans les champs d'autres personnes ?</v>
      </c>
      <c r="L2225" s="180" t="str">
        <f t="shared" si="433"/>
        <v>433. Za ku iya misalta ko wuni nawa ${hoh_paid_name} yayi aiki a matsayin ma'aikacin barema a gonar wasu mutane?</v>
      </c>
    </row>
    <row r="2226">
      <c r="A2226" s="291" t="s">
        <v>268</v>
      </c>
      <c r="B2226" s="292" t="s">
        <v>6066</v>
      </c>
      <c r="C2226" s="45" t="s">
        <v>3839</v>
      </c>
      <c r="D2226" s="45" t="s">
        <v>3840</v>
      </c>
      <c r="E2226" s="45" t="s">
        <v>3841</v>
      </c>
      <c r="F2226" s="187">
        <v>434.0</v>
      </c>
      <c r="G2226" s="180" t="str">
        <f>IFERROR(__xludf.DUMMYFUNCTION("TRIM(REGEXREPLACE(C2226, ""[0-9]+[a-f]?\."", """"))"),"What was the daily wage paid to ${hoh_paid_name} working as a day laborer for someone else in CFA?")</f>
        <v>What was the daily wage paid to ${hoh_paid_name} working as a day laborer for someone else in CFA?</v>
      </c>
      <c r="H2226" s="180" t="str">
        <f>IFERROR(__xludf.DUMMYFUNCTION("TRIM(REGEXREPLACE(D2226, ""[0-9]+[a-f]?\."", """"))"),"Quel était le salaire journalier payé à ${hoh_paid_name} travaillant comme journalier pour quelqu'un d'autre en CFA ?")</f>
        <v>Quel était le salaire journalier payé à ${hoh_paid_name} travaillant comme journalier pour quelqu'un d'autre en CFA ?</v>
      </c>
      <c r="I2226" s="180" t="str">
        <f>IFERROR(__xludf.DUMMYFUNCTION("TRIM(REGEXREPLACE(E2226, ""[0-9]+[a-f]?\."", """"))"),"Nawa biyan ${hoh_paid_name} na wuni a lokacin da yake barema a gonar wani a sefa?")</f>
        <v>Nawa biyan ${hoh_paid_name} na wuni a lokacin da yake barema a gonar wani a sefa?</v>
      </c>
      <c r="J2226" s="180" t="str">
        <f t="shared" ref="J2226:L2226" si="434">$F2226 &amp; ". "&amp;G2226</f>
        <v>434. What was the daily wage paid to ${hoh_paid_name} working as a day laborer for someone else in CFA?</v>
      </c>
      <c r="K2226" s="180" t="str">
        <f t="shared" si="434"/>
        <v>434. Quel était le salaire journalier payé à ${hoh_paid_name} travaillant comme journalier pour quelqu'un d'autre en CFA ?</v>
      </c>
      <c r="L2226" s="180" t="str">
        <f t="shared" si="434"/>
        <v>434. Nawa biyan ${hoh_paid_name} na wuni a lokacin da yake barema a gonar wani a sefa?</v>
      </c>
    </row>
    <row r="2227" hidden="1">
      <c r="A2227" s="168" t="s">
        <v>68</v>
      </c>
      <c r="B2227" s="71" t="s">
        <v>6075</v>
      </c>
      <c r="C2227" s="289" t="s">
        <v>6076</v>
      </c>
      <c r="D2227" s="289" t="s">
        <v>6077</v>
      </c>
      <c r="E2227" s="289" t="s">
        <v>6078</v>
      </c>
    </row>
    <row r="2228" hidden="1">
      <c r="A2228" s="285" t="s">
        <v>468</v>
      </c>
      <c r="B2228" s="185" t="s">
        <v>6050</v>
      </c>
      <c r="C2228" s="326"/>
      <c r="D2228" s="326"/>
      <c r="E2228" s="326"/>
    </row>
    <row r="2229" hidden="1">
      <c r="A2229" s="168" t="s">
        <v>127</v>
      </c>
      <c r="B2229" s="71" t="s">
        <v>6080</v>
      </c>
      <c r="C2229" s="200"/>
      <c r="D2229" s="200"/>
      <c r="E2229" s="200"/>
    </row>
    <row r="2230" hidden="1">
      <c r="A2230" s="168" t="s">
        <v>68</v>
      </c>
      <c r="B2230" s="71" t="s">
        <v>6083</v>
      </c>
      <c r="C2230" s="200"/>
      <c r="D2230" s="200"/>
      <c r="E2230" s="200"/>
    </row>
    <row r="2231">
      <c r="A2231" s="280" t="s">
        <v>1306</v>
      </c>
      <c r="B2231" s="281" t="s">
        <v>6084</v>
      </c>
      <c r="C2231" s="45" t="s">
        <v>6085</v>
      </c>
      <c r="D2231" s="45" t="s">
        <v>6086</v>
      </c>
      <c r="E2231" s="45" t="s">
        <v>6087</v>
      </c>
      <c r="F2231" s="187">
        <v>435.0</v>
      </c>
      <c r="G2231" s="180" t="str">
        <f>IFERROR(__xludf.DUMMYFUNCTION("TRIM(REGEXREPLACE(C2231, ""[0-9]+[a-f]?\."", """"))"),"Thinking about the last agricultural season, did you need to pay other expenses we did not ask you about?")</f>
        <v>Thinking about the last agricultural season, did you need to pay other expenses we did not ask you about?</v>
      </c>
      <c r="H2231" s="180" t="str">
        <f>IFERROR(__xludf.DUMMYFUNCTION("TRIM(REGEXREPLACE(D2231, ""[0-9]+[a-f]?\."", """"))"),"En pensant à la dernière saison agricole, avez-vous dû faire d'autres dépenses dont nous n'avons pas parlé ?")</f>
        <v>En pensant à la dernière saison agricole, avez-vous dû faire d'autres dépenses dont nous n'avons pas parlé ?</v>
      </c>
      <c r="I2231" s="180" t="str">
        <f>IFERROR(__xludf.DUMMYFUNCTION("TRIM(REGEXREPLACE(E2231, ""[0-9]+[a-f]?\."", """"))"),"A tunaninka a lokacin noman da ya gabata, akwai wasu kashe kashen kuɗi da kuka yi wanda ba mu yi zancen su ba?")</f>
        <v>A tunaninka a lokacin noman da ya gabata, akwai wasu kashe kashen kuɗi da kuka yi wanda ba mu yi zancen su ba?</v>
      </c>
      <c r="J2231" s="180" t="str">
        <f t="shared" ref="J2231:L2231" si="435">$F2231 &amp; ". "&amp;G2231</f>
        <v>435. Thinking about the last agricultural season, did you need to pay other expenses we did not ask you about?</v>
      </c>
      <c r="K2231" s="180" t="str">
        <f t="shared" si="435"/>
        <v>435. En pensant à la dernière saison agricole, avez-vous dû faire d'autres dépenses dont nous n'avons pas parlé ?</v>
      </c>
      <c r="L2231" s="180" t="str">
        <f t="shared" si="435"/>
        <v>435. A tunaninka a lokacin noman da ya gabata, akwai wasu kashe kashen kuɗi da kuka yi wanda ba mu yi zancen su ba?</v>
      </c>
    </row>
    <row r="2232">
      <c r="A2232" s="282" t="s">
        <v>252</v>
      </c>
      <c r="B2232" s="283" t="s">
        <v>6088</v>
      </c>
      <c r="C2232" s="45" t="s">
        <v>3875</v>
      </c>
      <c r="D2232" s="45" t="s">
        <v>3876</v>
      </c>
      <c r="E2232" s="45" t="s">
        <v>3877</v>
      </c>
      <c r="F2232" s="187">
        <v>436.0</v>
      </c>
      <c r="G2232" s="180" t="str">
        <f>IFERROR(__xludf.DUMMYFUNCTION("TRIM(REGEXREPLACE(C2232, ""[0-9]+[a-f]?\."", """"))"),"What was the expense?")</f>
        <v>What was the expense?</v>
      </c>
      <c r="H2232" s="180" t="str">
        <f>IFERROR(__xludf.DUMMYFUNCTION("TRIM(REGEXREPLACE(D2232, ""[0-9]+[a-f]?\."", """"))"),"Quelle était la dépense ?")</f>
        <v>Quelle était la dépense ?</v>
      </c>
      <c r="I2232" s="180" t="str">
        <f>IFERROR(__xludf.DUMMYFUNCTION("TRIM(REGEXREPLACE(E2232, ""[0-9]+[a-f]?\."", """"))"),"wane kashe kuɗi ne ?")</f>
        <v>wane kashe kuɗi ne ?</v>
      </c>
      <c r="J2232" s="180" t="str">
        <f t="shared" ref="J2232:L2232" si="436">$F2232 &amp; ". "&amp;G2232</f>
        <v>436. What was the expense?</v>
      </c>
      <c r="K2232" s="180" t="str">
        <f t="shared" si="436"/>
        <v>436. Quelle était la dépense ?</v>
      </c>
      <c r="L2232" s="180" t="str">
        <f t="shared" si="436"/>
        <v>436. wane kashe kuɗi ne ?</v>
      </c>
    </row>
    <row r="2233">
      <c r="A2233" s="291" t="s">
        <v>268</v>
      </c>
      <c r="B2233" s="292" t="s">
        <v>6090</v>
      </c>
      <c r="C2233" s="45" t="s">
        <v>3883</v>
      </c>
      <c r="D2233" s="45" t="s">
        <v>3884</v>
      </c>
      <c r="E2233" s="45" t="s">
        <v>3885</v>
      </c>
      <c r="F2233" s="187">
        <v>437.0</v>
      </c>
      <c r="G2233" s="180" t="str">
        <f>IFERROR(__xludf.DUMMYFUNCTION("TRIM(REGEXREPLACE(C2233, ""[0-9]+[a-f]?\."", """"))"),"What was the approximate value of ${hoh_ag_exp_other_name} in CFA?")</f>
        <v>What was the approximate value of ${hoh_ag_exp_other_name} in CFA?</v>
      </c>
      <c r="H2233" s="180" t="str">
        <f>IFERROR(__xludf.DUMMYFUNCTION("TRIM(REGEXREPLACE(D2233, ""[0-9]+[a-f]?\."", """"))"),"Quelle était la valeur approximative de ${hoh_ag_exp_other_name} en CFA ?")</f>
        <v>Quelle était la valeur approximative de ${hoh_ag_exp_other_name} en CFA ?</v>
      </c>
      <c r="I2233" s="180" t="str">
        <f>IFERROR(__xludf.DUMMYFUNCTION("TRIM(REGEXREPLACE(E2233, ""[0-9]+[a-f]?\."", """"))"),"Nawa farashin ${hoh_ag_exp_other_name} a wacan lokacin a sefa?")</f>
        <v>Nawa farashin ${hoh_ag_exp_other_name} a wacan lokacin a sefa?</v>
      </c>
      <c r="J2233" s="180" t="str">
        <f t="shared" ref="J2233:L2233" si="437">$F2233 &amp; ". "&amp;G2233</f>
        <v>437. What was the approximate value of ${hoh_ag_exp_other_name} in CFA?</v>
      </c>
      <c r="K2233" s="180" t="str">
        <f t="shared" si="437"/>
        <v>437. Quelle était la valeur approximative de ${hoh_ag_exp_other_name} en CFA ?</v>
      </c>
      <c r="L2233" s="180" t="str">
        <f t="shared" si="437"/>
        <v>437. Nawa farashin ${hoh_ag_exp_other_name} a wacan lokacin a sefa?</v>
      </c>
    </row>
    <row r="2234" hidden="1">
      <c r="A2234" s="168" t="s">
        <v>68</v>
      </c>
      <c r="B2234" s="71" t="s">
        <v>6091</v>
      </c>
      <c r="C2234" s="289" t="s">
        <v>6092</v>
      </c>
      <c r="D2234" s="200"/>
      <c r="E2234" s="200"/>
    </row>
    <row r="2235" hidden="1">
      <c r="A2235" s="168" t="s">
        <v>68</v>
      </c>
      <c r="B2235" s="71" t="s">
        <v>6093</v>
      </c>
      <c r="C2235" s="289" t="s">
        <v>6094</v>
      </c>
      <c r="D2235" s="200"/>
      <c r="E2235" s="200"/>
    </row>
    <row r="2236" hidden="1">
      <c r="A2236" s="168" t="s">
        <v>68</v>
      </c>
      <c r="B2236" s="71" t="s">
        <v>6095</v>
      </c>
      <c r="C2236" s="289" t="s">
        <v>6096</v>
      </c>
      <c r="D2236" s="200"/>
      <c r="E2236" s="200"/>
    </row>
    <row r="2237" hidden="1">
      <c r="A2237" s="168" t="s">
        <v>68</v>
      </c>
      <c r="B2237" s="71" t="s">
        <v>6097</v>
      </c>
      <c r="C2237" s="289" t="s">
        <v>6098</v>
      </c>
      <c r="D2237" s="200"/>
      <c r="E2237" s="200"/>
    </row>
    <row r="2238" hidden="1">
      <c r="A2238" s="168" t="s">
        <v>68</v>
      </c>
      <c r="B2238" s="71" t="s">
        <v>6099</v>
      </c>
      <c r="C2238" s="289" t="s">
        <v>6100</v>
      </c>
      <c r="D2238" s="200"/>
      <c r="E2238" s="200"/>
    </row>
    <row r="2239" hidden="1">
      <c r="A2239" s="168" t="s">
        <v>68</v>
      </c>
      <c r="B2239" s="71" t="s">
        <v>6101</v>
      </c>
      <c r="C2239" s="289" t="s">
        <v>6102</v>
      </c>
      <c r="D2239" s="200"/>
      <c r="E2239" s="200"/>
    </row>
    <row r="2240" hidden="1">
      <c r="A2240" s="168" t="s">
        <v>68</v>
      </c>
      <c r="B2240" s="71" t="s">
        <v>6103</v>
      </c>
      <c r="C2240" s="289" t="s">
        <v>6104</v>
      </c>
      <c r="D2240" s="200"/>
      <c r="E2240" s="200"/>
    </row>
    <row r="2241" hidden="1">
      <c r="A2241" s="168" t="s">
        <v>68</v>
      </c>
      <c r="B2241" s="71" t="s">
        <v>6105</v>
      </c>
      <c r="C2241" s="289" t="s">
        <v>6107</v>
      </c>
      <c r="D2241" s="200"/>
      <c r="E2241" s="200"/>
    </row>
    <row r="2242" hidden="1">
      <c r="A2242" s="168" t="s">
        <v>68</v>
      </c>
      <c r="B2242" s="71" t="s">
        <v>6108</v>
      </c>
      <c r="C2242" s="200"/>
      <c r="D2242" s="200"/>
      <c r="E2242" s="200"/>
    </row>
    <row r="2243">
      <c r="A2243" s="280" t="s">
        <v>1306</v>
      </c>
      <c r="B2243" s="281" t="s">
        <v>6109</v>
      </c>
      <c r="C2243" s="45" t="s">
        <v>6110</v>
      </c>
      <c r="D2243" s="45" t="s">
        <v>6111</v>
      </c>
      <c r="E2243" s="45" t="s">
        <v>6112</v>
      </c>
      <c r="F2243" s="187">
        <v>438.0</v>
      </c>
      <c r="G2243" s="180" t="str">
        <f>IFERROR(__xludf.DUMMYFUNCTION("TRIM(REGEXREPLACE(C2243, ""[0-9]+[a-f]?\."", """"))"),"Total income: ${hoh_total_income}
 Does this seem right?")</f>
        <v>Total income: ${hoh_total_income}
 Does this seem right?</v>
      </c>
      <c r="H2243" s="180" t="str">
        <f>IFERROR(__xludf.DUMMYFUNCTION("TRIM(REGEXREPLACE(D2243, ""[0-9]+[a-f]?\."", """"))"),"Revenu total : ${hoh_total_income}
 Cela vous semble-t-il juste ?")</f>
        <v>Revenu total : ${hoh_total_income}
 Cela vous semble-t-il juste ?</v>
      </c>
      <c r="I2243" s="180" t="str">
        <f>IFERROR(__xludf.DUMMYFUNCTION("TRIM(REGEXREPLACE(E2243, ""[0-9]+[a-f]?\."", """"))"),"Jimillar kuɗin shiga: ${hoh_total_income}
 ko kuna ganin hakan yayi daidai?")</f>
        <v>Jimillar kuɗin shiga: ${hoh_total_income}
 ko kuna ganin hakan yayi daidai?</v>
      </c>
      <c r="J2243" s="180" t="str">
        <f t="shared" ref="J2243:L2243" si="438">$F2243 &amp; ". "&amp;G2243</f>
        <v>438. Total income: ${hoh_total_income}
 Does this seem right?</v>
      </c>
      <c r="K2243" s="180" t="str">
        <f t="shared" si="438"/>
        <v>438. Revenu total : ${hoh_total_income}
 Cela vous semble-t-il juste ?</v>
      </c>
      <c r="L2243" s="180" t="str">
        <f t="shared" si="438"/>
        <v>438. Jimillar kuɗin shiga: ${hoh_total_income}
 ko kuna ganin hakan yayi daidai?</v>
      </c>
    </row>
    <row r="2244">
      <c r="A2244" s="278" t="s">
        <v>38</v>
      </c>
      <c r="B2244" s="279" t="s">
        <v>6113</v>
      </c>
      <c r="C2244" s="45" t="s">
        <v>6114</v>
      </c>
      <c r="D2244" s="45" t="s">
        <v>6115</v>
      </c>
      <c r="E2244" s="45" t="s">
        <v>6116</v>
      </c>
      <c r="F2244" s="187">
        <v>439.0</v>
      </c>
      <c r="G2244" s="180" t="str">
        <f>IFERROR(__xludf.DUMMYFUNCTION("TRIM(REGEXREPLACE(C2244, ""[0-9]+[a-f]?\."", """"))"),"Now we'll ask about income generating activity from animal husbandry in the past three months")</f>
        <v>Now we'll ask about income generating activity from animal husbandry in the past three months</v>
      </c>
      <c r="H2244" s="180" t="str">
        <f>IFERROR(__xludf.DUMMYFUNCTION("TRIM(REGEXREPLACE(D2244,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2244" s="180" t="str">
        <f>IFERROR(__xludf.DUMMYFUNCTION("TRIM(REGEXREPLACE(E2244, ""[0-9]+[a-f]?\."", """"))"),"Yanzu za mu yi hira game da ayyukan samar da kuɗaɗen shiga na kiwo a cikin watanni uku da suka gabata")</f>
        <v>Yanzu za mu yi hira game da ayyukan samar da kuɗaɗen shiga na kiwo a cikin watanni uku da suka gabata</v>
      </c>
      <c r="J2244" s="180" t="str">
        <f t="shared" ref="J2244:L2244" si="439">$F2244 &amp; ". "&amp;G2244</f>
        <v>439. Now we'll ask about income generating activity from animal husbandry in the past three months</v>
      </c>
      <c r="K2244" s="180" t="str">
        <f t="shared" si="439"/>
        <v>439. Maintenant, nous allons poser des questions sur l'activité génératrice de revenus liée à l'élevage au cours des trois derniers mois</v>
      </c>
      <c r="L2244" s="180" t="str">
        <f t="shared" si="439"/>
        <v>439. Yanzu za mu yi hira game da ayyukan samar da kuɗaɗen shiga na kiwo a cikin watanni uku da suka gabata</v>
      </c>
    </row>
    <row r="2245" hidden="1">
      <c r="A2245" s="168" t="s">
        <v>127</v>
      </c>
      <c r="B2245" s="71" t="s">
        <v>6118</v>
      </c>
      <c r="C2245" s="200"/>
      <c r="D2245" s="200"/>
      <c r="E2245" s="200"/>
    </row>
    <row r="2246" hidden="1">
      <c r="A2246" s="352" t="s">
        <v>426</v>
      </c>
      <c r="B2246" s="172" t="s">
        <v>6119</v>
      </c>
      <c r="C2246" s="172" t="s">
        <v>6120</v>
      </c>
      <c r="D2246" s="172" t="s">
        <v>6121</v>
      </c>
      <c r="E2246" s="172" t="s">
        <v>6122</v>
      </c>
    </row>
    <row r="2247" hidden="1">
      <c r="A2247" s="102" t="s">
        <v>68</v>
      </c>
      <c r="B2247" s="103" t="s">
        <v>6123</v>
      </c>
      <c r="C2247" s="353"/>
      <c r="D2247" s="128"/>
      <c r="E2247" s="128"/>
    </row>
    <row r="2248">
      <c r="A2248" s="248" t="s">
        <v>268</v>
      </c>
      <c r="B2248" s="249" t="s">
        <v>6124</v>
      </c>
      <c r="C2248" s="249" t="s">
        <v>6125</v>
      </c>
      <c r="D2248" s="249" t="s">
        <v>6127</v>
      </c>
      <c r="E2248" s="249" t="s">
        <v>6128</v>
      </c>
      <c r="F2248" s="187">
        <v>440.0</v>
      </c>
      <c r="G2248" s="180" t="str">
        <f>IFERROR(__xludf.DUMMYFUNCTION("TRIM(REGEXREPLACE(C2248, ""[0-9]+[a-f]?\."", """"))"),"How many ${hoh_livestock_act_name} did you buy?")</f>
        <v>How many ${hoh_livestock_act_name} did you buy?</v>
      </c>
      <c r="H2248" s="180" t="str">
        <f>IFERROR(__xludf.DUMMYFUNCTION("TRIM(REGEXREPLACE(D2248, ""[0-9]+[a-f]?\."", """"))"),"Au cours des trois derniers mois, combien de ${hoh_livestock_act_name} avez-vous acheté ?")</f>
        <v>Au cours des trois derniers mois, combien de ${hoh_livestock_act_name} avez-vous acheté ?</v>
      </c>
      <c r="I2248" s="180" t="str">
        <f>IFERROR(__xludf.DUMMYFUNCTION("TRIM(REGEXREPLACE(E2248, ""[0-9]+[a-f]?\."", """"))"),"${hoh_livestock_act_name} Nawa kuka saye?")</f>
        <v>${hoh_livestock_act_name} Nawa kuka saye?</v>
      </c>
      <c r="J2248" s="180" t="str">
        <f t="shared" ref="J2248:L2248" si="440">$F2248 &amp; ". "&amp;G2248</f>
        <v>440. How many ${hoh_livestock_act_name} did you buy?</v>
      </c>
      <c r="K2248" s="180" t="str">
        <f t="shared" si="440"/>
        <v>440. Au cours des trois derniers mois, combien de ${hoh_livestock_act_name} avez-vous acheté ?</v>
      </c>
      <c r="L2248" s="180" t="str">
        <f t="shared" si="440"/>
        <v>440. ${hoh_livestock_act_name} Nawa kuka saye?</v>
      </c>
    </row>
    <row r="2249">
      <c r="A2249" s="248" t="s">
        <v>268</v>
      </c>
      <c r="B2249" s="249" t="s">
        <v>6129</v>
      </c>
      <c r="C2249" s="249" t="s">
        <v>6130</v>
      </c>
      <c r="D2249" s="342"/>
      <c r="E2249" s="342"/>
      <c r="F2249" s="187">
        <v>441.0</v>
      </c>
      <c r="G2249" s="180" t="str">
        <f>IFERROR(__xludf.DUMMYFUNCTION("TRIM(REGEXREPLACE(C2249, ""[0-9]+[a-f]?\."", """"))"),"How much did you buy ${hoh_livestock_act_name} for in CFA?")</f>
        <v>How much did you buy ${hoh_livestock_act_name} for in CFA?</v>
      </c>
      <c r="H2249" s="180" t="str">
        <f>IFERROR(__xludf.DUMMYFUNCTION("TRIM(REGEXREPLACE(D2249, ""[0-9]+[a-f]?\."", """"))"),"")</f>
        <v/>
      </c>
      <c r="I2249" s="180" t="str">
        <f>IFERROR(__xludf.DUMMYFUNCTION("TRIM(REGEXREPLACE(E2249, ""[0-9]+[a-f]?\."", """"))"),"")</f>
        <v/>
      </c>
      <c r="J2249" s="180" t="str">
        <f t="shared" ref="J2249:L2249" si="441">$F2249 &amp; ". "&amp;G2249</f>
        <v>441. How much did you buy ${hoh_livestock_act_name} for in CFA?</v>
      </c>
      <c r="K2249" s="180" t="str">
        <f t="shared" si="441"/>
        <v>441. </v>
      </c>
      <c r="L2249" s="180" t="str">
        <f t="shared" si="441"/>
        <v>441. </v>
      </c>
    </row>
    <row r="2250">
      <c r="A2250" s="248" t="s">
        <v>268</v>
      </c>
      <c r="B2250" s="249" t="s">
        <v>6131</v>
      </c>
      <c r="C2250" s="249" t="s">
        <v>6132</v>
      </c>
      <c r="D2250" s="249" t="s">
        <v>6133</v>
      </c>
      <c r="E2250" s="249" t="s">
        <v>6134</v>
      </c>
      <c r="F2250" s="187">
        <v>442.0</v>
      </c>
      <c r="G2250" s="180" t="str">
        <f>IFERROR(__xludf.DUMMYFUNCTION("TRIM(REGEXREPLACE(C2250, ""[0-9]+[a-f]?\."", """"))"),"How many ${hoh_livestock_act_name} did you sell?")</f>
        <v>How many ${hoh_livestock_act_name} did you sell?</v>
      </c>
      <c r="H2250" s="180" t="str">
        <f>IFERROR(__xludf.DUMMYFUNCTION("TRIM(REGEXREPLACE(D2250, ""[0-9]+[a-f]?\."", """"))"),"Au cours des trois derniers mois, combien de ${hoh_livestock_act_name} avez-vous vendu ?")</f>
        <v>Au cours des trois derniers mois, combien de ${hoh_livestock_act_name} avez-vous vendu ?</v>
      </c>
      <c r="I2250" s="180" t="str">
        <f>IFERROR(__xludf.DUMMYFUNCTION("TRIM(REGEXREPLACE(E2250, ""[0-9]+[a-f]?\."", """"))"),"${hoh_livestock_act_name} nawa kuka saida?")</f>
        <v>${hoh_livestock_act_name} nawa kuka saida?</v>
      </c>
      <c r="J2250" s="180" t="str">
        <f t="shared" ref="J2250:L2250" si="442">$F2250 &amp; ". "&amp;G2250</f>
        <v>442. How many ${hoh_livestock_act_name} did you sell?</v>
      </c>
      <c r="K2250" s="180" t="str">
        <f t="shared" si="442"/>
        <v>442. Au cours des trois derniers mois, combien de ${hoh_livestock_act_name} avez-vous vendu ?</v>
      </c>
      <c r="L2250" s="180" t="str">
        <f t="shared" si="442"/>
        <v>442. ${hoh_livestock_act_name} nawa kuka saida?</v>
      </c>
    </row>
    <row r="2251">
      <c r="A2251" s="248" t="s">
        <v>268</v>
      </c>
      <c r="B2251" s="249" t="s">
        <v>6135</v>
      </c>
      <c r="C2251" s="249" t="s">
        <v>6136</v>
      </c>
      <c r="D2251" s="342"/>
      <c r="E2251" s="342"/>
      <c r="F2251" s="187">
        <v>443.0</v>
      </c>
      <c r="G2251" s="180" t="str">
        <f>IFERROR(__xludf.DUMMYFUNCTION("TRIM(REGEXREPLACE(C2251, ""[0-9]+[a-f]?\."", """"))"),"How much did you sell ${hoh_livestock_act_name} for in CFA?")</f>
        <v>How much did you sell ${hoh_livestock_act_name} for in CFA?</v>
      </c>
      <c r="H2251" s="180" t="str">
        <f>IFERROR(__xludf.DUMMYFUNCTION("TRIM(REGEXREPLACE(D2251, ""[0-9]+[a-f]?\."", """"))"),"")</f>
        <v/>
      </c>
      <c r="I2251" s="180" t="str">
        <f>IFERROR(__xludf.DUMMYFUNCTION("TRIM(REGEXREPLACE(E2251, ""[0-9]+[a-f]?\."", """"))"),"")</f>
        <v/>
      </c>
      <c r="J2251" s="180" t="str">
        <f t="shared" ref="J2251:L2251" si="443">$F2251 &amp; ". "&amp;G2251</f>
        <v>443. How much did you sell ${hoh_livestock_act_name} for in CFA?</v>
      </c>
      <c r="K2251" s="180" t="str">
        <f t="shared" si="443"/>
        <v>443. </v>
      </c>
      <c r="L2251" s="180" t="str">
        <f t="shared" si="443"/>
        <v>443. </v>
      </c>
    </row>
    <row r="2252">
      <c r="A2252" s="248" t="s">
        <v>268</v>
      </c>
      <c r="B2252" s="249" t="s">
        <v>6140</v>
      </c>
      <c r="C2252" s="249" t="s">
        <v>6141</v>
      </c>
      <c r="D2252" s="249" t="s">
        <v>6142</v>
      </c>
      <c r="E2252" s="249" t="s">
        <v>6143</v>
      </c>
      <c r="F2252" s="187">
        <v>444.0</v>
      </c>
      <c r="G2252" s="180" t="str">
        <f>IFERROR(__xludf.DUMMYFUNCTION("TRIM(REGEXREPLACE(C2252, ""[0-9]+[a-f]?\."", """"))"),"How many ${hoh_livestock_act_name} did you consume?")</f>
        <v>How many ${hoh_livestock_act_name} did you consume?</v>
      </c>
      <c r="H2252" s="180" t="str">
        <f>IFERROR(__xludf.DUMMYFUNCTION("TRIM(REGEXREPLACE(D2252, ""[0-9]+[a-f]?\."", """"))"),"Au cours des trois derniers mois, combien de ${hoh_livestock_act_name} avez-vous consommé ?")</f>
        <v>Au cours des trois derniers mois, combien de ${hoh_livestock_act_name} avez-vous consommé ?</v>
      </c>
      <c r="I2252" s="180" t="str">
        <f>IFERROR(__xludf.DUMMYFUNCTION("TRIM(REGEXREPLACE(E2252, ""[0-9]+[a-f]?\."", """"))"),"${hoh_livestock_act_name} Nawa kuka cinye ?")</f>
        <v>${hoh_livestock_act_name} Nawa kuka cinye ?</v>
      </c>
      <c r="J2252" s="180" t="str">
        <f t="shared" ref="J2252:L2252" si="444">$F2252 &amp; ". "&amp;G2252</f>
        <v>444. How many ${hoh_livestock_act_name} did you consume?</v>
      </c>
      <c r="K2252" s="180" t="str">
        <f t="shared" si="444"/>
        <v>444. Au cours des trois derniers mois, combien de ${hoh_livestock_act_name} avez-vous consommé ?</v>
      </c>
      <c r="L2252" s="180" t="str">
        <f t="shared" si="444"/>
        <v>444. ${hoh_livestock_act_name} Nawa kuka cinye ?</v>
      </c>
    </row>
    <row r="2253">
      <c r="A2253" s="248" t="s">
        <v>268</v>
      </c>
      <c r="B2253" s="249" t="s">
        <v>6144</v>
      </c>
      <c r="C2253" s="249" t="s">
        <v>6145</v>
      </c>
      <c r="D2253" s="342"/>
      <c r="E2253" s="342"/>
      <c r="F2253" s="187">
        <v>445.0</v>
      </c>
      <c r="G2253" s="180" t="str">
        <f>IFERROR(__xludf.DUMMYFUNCTION("TRIM(REGEXREPLACE(C2253, ""[0-9]+[a-f]?\."", """"))"),"If you were to sell the ${hoh_livestock_act_name} you consumed, how much would you sell them for in CFA?")</f>
        <v>If you were to sell the ${hoh_livestock_act_name} you consumed, how much would you sell them for in CFA?</v>
      </c>
      <c r="H2253" s="180" t="str">
        <f>IFERROR(__xludf.DUMMYFUNCTION("TRIM(REGEXREPLACE(D2253, ""[0-9]+[a-f]?\."", """"))"),"")</f>
        <v/>
      </c>
      <c r="I2253" s="180" t="str">
        <f>IFERROR(__xludf.DUMMYFUNCTION("TRIM(REGEXREPLACE(E2253, ""[0-9]+[a-f]?\."", """"))"),"")</f>
        <v/>
      </c>
      <c r="J2253" s="180" t="str">
        <f t="shared" ref="J2253:L2253" si="445">$F2253 &amp; ". "&amp;G2253</f>
        <v>445. If you were to sell the ${hoh_livestock_act_name} you consumed, how much would you sell them for in CFA?</v>
      </c>
      <c r="K2253" s="180" t="str">
        <f t="shared" si="445"/>
        <v>445. </v>
      </c>
      <c r="L2253" s="180" t="str">
        <f t="shared" si="445"/>
        <v>445. </v>
      </c>
    </row>
    <row r="2254" hidden="1">
      <c r="A2254" s="285" t="s">
        <v>468</v>
      </c>
      <c r="B2254" s="185" t="s">
        <v>6119</v>
      </c>
      <c r="C2254" s="185" t="s">
        <v>6120</v>
      </c>
      <c r="D2254" s="185" t="s">
        <v>6121</v>
      </c>
      <c r="E2254" s="185" t="s">
        <v>6122</v>
      </c>
    </row>
    <row r="2255" hidden="1">
      <c r="A2255" s="320"/>
      <c r="B2255" s="321"/>
      <c r="C2255" s="321"/>
      <c r="D2255" s="321"/>
      <c r="E2255" s="321"/>
    </row>
    <row r="2256" hidden="1">
      <c r="A2256" s="320"/>
      <c r="B2256" s="321"/>
      <c r="C2256" s="321"/>
      <c r="D2256" s="321"/>
      <c r="E2256" s="321"/>
    </row>
    <row r="2257">
      <c r="A2257" s="291" t="s">
        <v>268</v>
      </c>
      <c r="B2257" s="292" t="s">
        <v>6149</v>
      </c>
      <c r="C2257" s="45" t="s">
        <v>6150</v>
      </c>
      <c r="D2257" s="45" t="s">
        <v>6151</v>
      </c>
      <c r="E2257" s="45" t="s">
        <v>6152</v>
      </c>
      <c r="F2257" s="187">
        <v>446.0</v>
      </c>
      <c r="G2257" s="180" t="str">
        <f>IFERROR(__xludf.DUMMYFUNCTION("TRIM(REGEXREPLACE(C2257, ""[0-9]+[a-f]?\."", """"))"),"In the past three months, how much did you spend on food and health expense for all of your animals (in CFA)?")</f>
        <v>In the past three months, how much did you spend on food and health expense for all of your animals (in CFA)?</v>
      </c>
      <c r="H2257" s="180" t="str">
        <f>IFERROR(__xludf.DUMMYFUNCTION("TRIM(REGEXREPLACE(D2257, ""[0-9]+[a-f]?\."", """"))"),"Au cours des trois derniers mois, combien avez-vous dépensé en frais de nourriture et de santé pour tous vos animaux (en CFA) ?")</f>
        <v>Au cours des trois derniers mois, combien avez-vous dépensé en frais de nourriture et de santé pour tous vos animaux (en CFA) ?</v>
      </c>
      <c r="I2257" s="180" t="str">
        <f>IFERROR(__xludf.DUMMYFUNCTION("TRIM(REGEXREPLACE(E2257, ""[0-9]+[a-f]?\."", """"))"),"Nawa kuka kashe akan abinci da kiwon lafiyar dukkan dabbobinku (a sefa) ?")</f>
        <v>Nawa kuka kashe akan abinci da kiwon lafiyar dukkan dabbobinku (a sefa) ?</v>
      </c>
      <c r="J2257" s="180" t="str">
        <f t="shared" ref="J2257:L2257" si="446">$F2257 &amp; ". "&amp;G2257</f>
        <v>446. In the past three months, how much did you spend on food and health expense for all of your animals (in CFA)?</v>
      </c>
      <c r="K2257" s="180" t="str">
        <f t="shared" si="446"/>
        <v>446. Au cours des trois derniers mois, combien avez-vous dépensé en frais de nourriture et de santé pour tous vos animaux (en CFA) ?</v>
      </c>
      <c r="L2257" s="180" t="str">
        <f t="shared" si="446"/>
        <v>446. Nawa kuka kashe akan abinci da kiwon lafiyar dukkan dabbobinku (a sefa) ?</v>
      </c>
    </row>
    <row r="2258">
      <c r="A2258" s="278" t="s">
        <v>38</v>
      </c>
      <c r="B2258" s="279" t="s">
        <v>6153</v>
      </c>
      <c r="C2258" s="45" t="s">
        <v>6154</v>
      </c>
      <c r="D2258" s="45" t="s">
        <v>6155</v>
      </c>
      <c r="E2258" s="45" t="s">
        <v>6156</v>
      </c>
      <c r="F2258" s="187">
        <v>447.0</v>
      </c>
      <c r="G2258" s="180" t="str">
        <f>IFERROR(__xludf.DUMMYFUNCTION("TRIM(REGEXREPLACE(C2258,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2258" s="180" t="str">
        <f>IFERROR(__xludf.DUMMYFUNCTION("TRIM(REGEXREPLACE(D2258,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2258" s="180" t="str">
        <f>IFERROR(__xludf.DUMMYFUNCTION("TRIM(REGEXREPLACE(E2258,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2258" s="180" t="str">
        <f t="shared" ref="J2258:L2258" si="447">$F2258 &amp; ". "&amp;G2258</f>
        <v>447. When thinking about the past three months, I would like to ask you about how many days a typical week people in your household worked. We know people may work more during some weeks rather than others, please think about what happens during most weeks.</v>
      </c>
      <c r="K2258" s="180" t="str">
        <f t="shared" si="447"/>
        <v>447.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L2258" s="180" t="str">
        <f t="shared" si="447"/>
        <v>447. Tuna da watanni uku da suka wuce. Ina son in tambaye ku game da yawan kwanaki da ƴan gidanku ke yin aiki a cikin sati na yau da kullun. Mun san da mutane na iya yin aiki a cikin wani sati fiye da wani satin, amma yi tunanin abinda ke kasancewa a yawancin makonni.</v>
      </c>
    </row>
    <row r="2259">
      <c r="A2259" s="291" t="s">
        <v>268</v>
      </c>
      <c r="B2259" s="292" t="s">
        <v>6157</v>
      </c>
      <c r="C2259" s="45" t="s">
        <v>6158</v>
      </c>
      <c r="D2259" s="45" t="s">
        <v>6159</v>
      </c>
      <c r="E2259" s="45" t="s">
        <v>6160</v>
      </c>
      <c r="F2259" s="187">
        <v>448.0</v>
      </c>
      <c r="G2259" s="180" t="str">
        <f>IFERROR(__xludf.DUMMYFUNCTION("TRIM(REGEXREPLACE(C2259, ""[0-9]+[a-f]?\."", """"))"),"How many days did people in your household work to care for your animals in a typical week in the past three months?")</f>
        <v>How many days did people in your household work to care for your animals in a typical week in the past three months?</v>
      </c>
      <c r="H2259" s="180" t="str">
        <f>IFERROR(__xludf.DUMMYFUNCTION("TRIM(REGEXREPLACE(D2259,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2259" s="180" t="str">
        <f>IFERROR(__xludf.DUMMYFUNCTION("TRIM(REGEXREPLACE(E2259, ""[0-9]+[a-f]?\."", """"))"),"A cikin watanni uku da suka wuce, kwana nawa a cikin sati mutanen gidanku suka yi aiki don kula da bisashenku?")</f>
        <v>A cikin watanni uku da suka wuce, kwana nawa a cikin sati mutanen gidanku suka yi aiki don kula da bisashenku?</v>
      </c>
      <c r="J2259" s="180" t="str">
        <f t="shared" ref="J2259:L2259" si="448">$F2259 &amp; ". "&amp;G2259</f>
        <v>448. How many days did people in your household work to care for your animals in a typical week in the past three months?</v>
      </c>
      <c r="K2259" s="180" t="str">
        <f t="shared" si="448"/>
        <v>448. Dans les trois derniers mois, au cours d'une semaine normale, combien de jours les membres de votre ménage ont-ils travaillé pour s'occuper de vos animaux ?</v>
      </c>
      <c r="L2259" s="180" t="str">
        <f t="shared" si="448"/>
        <v>448. A cikin watanni uku da suka wuce, kwana nawa a cikin sati mutanen gidanku suka yi aiki don kula da bisashenku?</v>
      </c>
    </row>
    <row r="2260">
      <c r="A2260" s="280" t="s">
        <v>1306</v>
      </c>
      <c r="B2260" s="281" t="s">
        <v>6162</v>
      </c>
      <c r="C2260" s="45" t="s">
        <v>6163</v>
      </c>
      <c r="D2260" s="45" t="s">
        <v>6164</v>
      </c>
      <c r="E2260" s="45" t="s">
        <v>6165</v>
      </c>
      <c r="F2260" s="187">
        <v>449.0</v>
      </c>
      <c r="G2260" s="180" t="str">
        <f>IFERROR(__xludf.DUMMYFUNCTION("TRIM(REGEXREPLACE(C2260, ""[0-9]+[a-f]?\."", """"))"),"In the past three months, did you hire anyone outside your household to care for your animals?")</f>
        <v>In the past three months, did you hire anyone outside your household to care for your animals?</v>
      </c>
      <c r="H2260" s="180" t="str">
        <f>IFERROR(__xludf.DUMMYFUNCTION("TRIM(REGEXREPLACE(D2260, ""[0-9]+[a-f]?\."", """"))"),"Au cours des trois derniers mois, avez-vous embauché quelqu'un en dehors de votre ménage pour s'occuper de vos animaux ?")</f>
        <v>Au cours des trois derniers mois, avez-vous embauché quelqu'un en dehors de votre ménage pour s'occuper de vos animaux ?</v>
      </c>
      <c r="I2260" s="180" t="str">
        <f>IFERROR(__xludf.DUMMYFUNCTION("TRIM(REGEXREPLACE(E2260, ""[0-9]+[a-f]?\."", """"))"),"A cikin watanni uku da suka wuce, Ko kun ɗauki wani wanda ba ɗan gidanku ba don kula da dabbobinku?")</f>
        <v>A cikin watanni uku da suka wuce, Ko kun ɗauki wani wanda ba ɗan gidanku ba don kula da dabbobinku?</v>
      </c>
      <c r="J2260" s="180" t="str">
        <f t="shared" ref="J2260:L2260" si="449">$F2260 &amp; ". "&amp;G2260</f>
        <v>449. In the past three months, did you hire anyone outside your household to care for your animals?</v>
      </c>
      <c r="K2260" s="180" t="str">
        <f t="shared" si="449"/>
        <v>449. Au cours des trois derniers mois, avez-vous embauché quelqu'un en dehors de votre ménage pour s'occuper de vos animaux ?</v>
      </c>
      <c r="L2260" s="180" t="str">
        <f t="shared" si="449"/>
        <v>449. A cikin watanni uku da suka wuce, Ko kun ɗauki wani wanda ba ɗan gidanku ba don kula da dabbobinku?</v>
      </c>
    </row>
    <row r="2261">
      <c r="A2261" s="291" t="s">
        <v>268</v>
      </c>
      <c r="B2261" s="292" t="s">
        <v>6166</v>
      </c>
      <c r="C2261" s="45" t="s">
        <v>6167</v>
      </c>
      <c r="D2261" s="45" t="s">
        <v>6168</v>
      </c>
      <c r="E2261" s="45" t="s">
        <v>6169</v>
      </c>
      <c r="F2261" s="187">
        <v>450.0</v>
      </c>
      <c r="G2261" s="180" t="str">
        <f>IFERROR(__xludf.DUMMYFUNCTION("TRIM(REGEXREPLACE(C2261, ""[0-9]+[a-f]?\."", """"))"),"In the last 3 months, for how many weeks did you hire people to care for your livestock?")</f>
        <v>In the last 3 months, for how many weeks did you hire people to care for your livestock?</v>
      </c>
      <c r="H2261" s="180" t="str">
        <f>IFERROR(__xludf.DUMMYFUNCTION("TRIM(REGEXREPLACE(D2261, ""[0-9]+[a-f]?\."", """"))"),"Au cours des trois derniers mois, combien de semaines avez-vous embauché des personnes pour s'occuper de votre bétail ?")</f>
        <v>Au cours des trois derniers mois, combien de semaines avez-vous embauché des personnes pour s'occuper de votre bétail ?</v>
      </c>
      <c r="I2261" s="180" t="str">
        <f>IFERROR(__xludf.DUMMYFUNCTION("TRIM(REGEXREPLACE(E2261, ""[0-9]+[a-f]?\."", """"))"),"A cikin watanni 3 da suka wuce, sati nawa kuka dauki ƴan aiki don kula da dabbobinku?")</f>
        <v>A cikin watanni 3 da suka wuce, sati nawa kuka dauki ƴan aiki don kula da dabbobinku?</v>
      </c>
      <c r="J2261" s="180" t="str">
        <f t="shared" ref="J2261:L2261" si="450">$F2261 &amp; ". "&amp;G2261</f>
        <v>450. In the last 3 months, for how many weeks did you hire people to care for your livestock?</v>
      </c>
      <c r="K2261" s="180" t="str">
        <f t="shared" si="450"/>
        <v>450. Au cours des trois derniers mois, combien de semaines avez-vous embauché des personnes pour s'occuper de votre bétail ?</v>
      </c>
      <c r="L2261" s="180" t="str">
        <f t="shared" si="450"/>
        <v>450. A cikin watanni 3 da suka wuce, sati nawa kuka dauki ƴan aiki don kula da dabbobinku?</v>
      </c>
    </row>
    <row r="2262">
      <c r="A2262" s="291" t="s">
        <v>268</v>
      </c>
      <c r="B2262" s="292" t="s">
        <v>6170</v>
      </c>
      <c r="C2262" s="45" t="s">
        <v>6171</v>
      </c>
      <c r="D2262" s="45" t="s">
        <v>6172</v>
      </c>
      <c r="E2262" s="45" t="s">
        <v>6173</v>
      </c>
      <c r="F2262" s="187">
        <v>451.0</v>
      </c>
      <c r="G2262" s="180" t="str">
        <f>IFERROR(__xludf.DUMMYFUNCTION("TRIM(REGEXREPLACE(C2262, ""[0-9]+[a-f]?\."", """"))"),"What was the weekly wage paid to people who care for your animals, or how much would you pay in CFA?")</f>
        <v>What was the weekly wage paid to people who care for your animals, or how much would you pay in CFA?</v>
      </c>
      <c r="H2262" s="180" t="str">
        <f>IFERROR(__xludf.DUMMYFUNCTION("TRIM(REGEXREPLACE(D2262, ""[0-9]+[a-f]?\."", """"))"),"Quel était les frais hebdomadaire payés aux personnes qui s'occupent de vos animaux, ou combien paieriez-vous en CFA ?")</f>
        <v>Quel était les frais hebdomadaire payés aux personnes qui s'occupent de vos animaux, ou combien paieriez-vous en CFA ?</v>
      </c>
      <c r="I2262" s="180" t="str">
        <f>IFERROR(__xludf.DUMMYFUNCTION("TRIM(REGEXREPLACE(E2262, ""[0-9]+[a-f]?\."", """"))"),"105 a. Nawa albashin mako-mako na wannan mutanen da ke kula da dabbobinku a CFA?")</f>
        <v>105 a. Nawa albashin mako-mako na wannan mutanen da ke kula da dabbobinku a CFA?</v>
      </c>
      <c r="J2262" s="180" t="str">
        <f t="shared" ref="J2262:L2262" si="451">$F2262 &amp; ". "&amp;G2262</f>
        <v>451. What was the weekly wage paid to people who care for your animals, or how much would you pay in CFA?</v>
      </c>
      <c r="K2262" s="180" t="str">
        <f t="shared" si="451"/>
        <v>451. Quel était les frais hebdomadaire payés aux personnes qui s'occupent de vos animaux, ou combien paieriez-vous en CFA ?</v>
      </c>
      <c r="L2262" s="180" t="str">
        <f t="shared" si="451"/>
        <v>451. 105 a. Nawa albashin mako-mako na wannan mutanen da ke kula da dabbobinku a CFA?</v>
      </c>
    </row>
    <row r="2263" hidden="1">
      <c r="A2263" s="168" t="s">
        <v>68</v>
      </c>
      <c r="B2263" s="71" t="s">
        <v>6174</v>
      </c>
      <c r="C2263" s="200"/>
      <c r="D2263" s="200"/>
      <c r="E2263" s="200"/>
    </row>
    <row r="2264">
      <c r="A2264" s="280" t="s">
        <v>1306</v>
      </c>
      <c r="B2264" s="281" t="s">
        <v>6175</v>
      </c>
      <c r="C2264" s="45" t="s">
        <v>6176</v>
      </c>
      <c r="D2264" s="45" t="s">
        <v>6177</v>
      </c>
      <c r="E2264" s="45" t="s">
        <v>6178</v>
      </c>
      <c r="F2264" s="187">
        <v>452.0</v>
      </c>
      <c r="G2264" s="180" t="str">
        <f>IFERROR(__xludf.DUMMYFUNCTION("TRIM(REGEXREPLACE(C2264, ""[0-9]+[a-f]?\."", """"))"),"You paid ${hoh_hire_livestock_total} in CFA for people to care for your animals, is this correct?")</f>
        <v>You paid ${hoh_hire_livestock_total} in CFA for people to care for your animals, is this correct?</v>
      </c>
      <c r="H2264" s="180" t="str">
        <f>IFERROR(__xludf.DUMMYFUNCTION("TRIM(REGEXREPLACE(D2264, ""[0-9]+[a-f]?\."", """"))"),"Vous avez payé ${hoh_hire_livestock_total} (en CFA) aux personnes qui s'occupent de vos animaux, est-ce exact ?")</f>
        <v>Vous avez payé ${hoh_hire_livestock_total} (en CFA) aux personnes qui s'occupent de vos animaux, est-ce exact ?</v>
      </c>
      <c r="I2264" s="180" t="str">
        <f>IFERROR(__xludf.DUMMYFUNCTION("TRIM(REGEXREPLACE(E2264, ""[0-9]+[a-f]?\."", """"))"),"${hoh_hire_livestock_total} (a sefa) kuka biya, ko daidai ne?")</f>
        <v>${hoh_hire_livestock_total} (a sefa) kuka biya, ko daidai ne?</v>
      </c>
      <c r="J2264" s="180" t="str">
        <f t="shared" ref="J2264:L2264" si="452">$F2264 &amp; ". "&amp;G2264</f>
        <v>452. You paid ${hoh_hire_livestock_total} in CFA for people to care for your animals, is this correct?</v>
      </c>
      <c r="K2264" s="180" t="str">
        <f t="shared" si="452"/>
        <v>452. Vous avez payé ${hoh_hire_livestock_total} (en CFA) aux personnes qui s'occupent de vos animaux, est-ce exact ?</v>
      </c>
      <c r="L2264" s="180" t="str">
        <f t="shared" si="452"/>
        <v>452. ${hoh_hire_livestock_total} (a sefa) kuka biya, ko daidai ne?</v>
      </c>
    </row>
    <row r="2265">
      <c r="A2265" s="280" t="s">
        <v>1306</v>
      </c>
      <c r="B2265" s="281" t="s">
        <v>6179</v>
      </c>
      <c r="C2265" s="45" t="s">
        <v>4031</v>
      </c>
      <c r="D2265" s="45" t="s">
        <v>4032</v>
      </c>
      <c r="E2265" s="45" t="s">
        <v>4033</v>
      </c>
      <c r="F2265" s="187">
        <v>453.0</v>
      </c>
      <c r="G2265" s="180" t="str">
        <f>IFERROR(__xludf.DUMMYFUNCTION("TRIM(REGEXREPLACE(C2265, ""[0-9]+[a-f]?\."", """"))"),"In the past three months, did any member of your household care for livestock owned by other people?")</f>
        <v>In the past three months, did any member of your household care for livestock owned by other people?</v>
      </c>
      <c r="H2265" s="180" t="str">
        <f>IFERROR(__xludf.DUMMYFUNCTION("TRIM(REGEXREPLACE(D2265, ""[0-9]+[a-f]?\."", """"))"),"Au cours des trois derniers mois, un membre de votre ménage s'est-il occupé du bétail appartenant à d'autres personnes ?")</f>
        <v>Au cours des trois derniers mois, un membre de votre ménage s'est-il occupé du bétail appartenant à d'autres personnes ?</v>
      </c>
      <c r="I2265" s="180" t="str">
        <f>IFERROR(__xludf.DUMMYFUNCTION("TRIM(REGEXREPLACE(E2265, ""[0-9]+[a-f]?\."", """"))"),"A cikin watanni uku da suka wuce, akwai wani ɗan gidanku da ya kula da dabbobin wasu mutane?")</f>
        <v>A cikin watanni uku da suka wuce, akwai wani ɗan gidanku da ya kula da dabbobin wasu mutane?</v>
      </c>
      <c r="J2265" s="180" t="str">
        <f t="shared" ref="J2265:L2265" si="453">$F2265 &amp; ". "&amp;G2265</f>
        <v>453. In the past three months, did any member of your household care for livestock owned by other people?</v>
      </c>
      <c r="K2265" s="180" t="str">
        <f t="shared" si="453"/>
        <v>453. Au cours des trois derniers mois, un membre de votre ménage s'est-il occupé du bétail appartenant à d'autres personnes ?</v>
      </c>
      <c r="L2265" s="180" t="str">
        <f t="shared" si="453"/>
        <v>453. A cikin watanni uku da suka wuce, akwai wani ɗan gidanku da ya kula da dabbobin wasu mutane?</v>
      </c>
    </row>
    <row r="2266">
      <c r="A2266" s="291" t="s">
        <v>268</v>
      </c>
      <c r="B2266" s="292" t="s">
        <v>6184</v>
      </c>
      <c r="C2266" s="45" t="s">
        <v>4037</v>
      </c>
      <c r="D2266" s="45" t="s">
        <v>4038</v>
      </c>
      <c r="E2266" s="45" t="s">
        <v>4039</v>
      </c>
      <c r="F2266" s="187">
        <v>454.0</v>
      </c>
      <c r="G2266" s="180" t="str">
        <f>IFERROR(__xludf.DUMMYFUNCTION("TRIM(REGEXREPLACE(C2266, ""[0-9]+[a-f]?\."", """"))"),"In a typical week, how many days did they do this job?")</f>
        <v>In a typical week, how many days did they do this job?</v>
      </c>
      <c r="H2266" s="180" t="str">
        <f>IFERROR(__xludf.DUMMYFUNCTION("TRIM(REGEXREPLACE(D2266, ""[0-9]+[a-f]?\."", """"))"),"Au cours d'une semaine normale, combien de jours ont-ils fait ce travail ?")</f>
        <v>Au cours d'une semaine normale, combien de jours ont-ils fait ce travail ?</v>
      </c>
      <c r="I2266" s="180" t="str">
        <f>IFERROR(__xludf.DUMMYFUNCTION("TRIM(REGEXREPLACE(E2266, ""[0-9]+[a-f]?\."", """"))"),"A cikin mako, kwana nawa suka yi wannan aikin?")</f>
        <v>A cikin mako, kwana nawa suka yi wannan aikin?</v>
      </c>
      <c r="J2266" s="180" t="str">
        <f t="shared" ref="J2266:L2266" si="454">$F2266 &amp; ". "&amp;G2266</f>
        <v>454. In a typical week, how many days did they do this job?</v>
      </c>
      <c r="K2266" s="180" t="str">
        <f t="shared" si="454"/>
        <v>454. Au cours d'une semaine normale, combien de jours ont-ils fait ce travail ?</v>
      </c>
      <c r="L2266" s="180" t="str">
        <f t="shared" si="454"/>
        <v>454. A cikin mako, kwana nawa suka yi wannan aikin?</v>
      </c>
    </row>
    <row r="2267">
      <c r="A2267" s="291" t="s">
        <v>268</v>
      </c>
      <c r="B2267" s="292" t="s">
        <v>6185</v>
      </c>
      <c r="C2267" s="45" t="s">
        <v>6186</v>
      </c>
      <c r="D2267" s="45" t="s">
        <v>6187</v>
      </c>
      <c r="E2267" s="45" t="s">
        <v>6188</v>
      </c>
      <c r="F2267" s="187">
        <v>455.0</v>
      </c>
      <c r="G2267" s="180" t="str">
        <f>IFERROR(__xludf.DUMMYFUNCTION("TRIM(REGEXREPLACE(C2267, ""[0-9]+[a-f]?\."", """"))"),"What was the daily wage paid to household members who cared for livestock owned by other people?")</f>
        <v>What was the daily wage paid to household members who cared for livestock owned by other people?</v>
      </c>
      <c r="H2267" s="180" t="str">
        <f>IFERROR(__xludf.DUMMYFUNCTION("TRIM(REGEXREPLACE(D2267,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2267" s="180" t="str">
        <f>IFERROR(__xludf.DUMMYFUNCTION("TRIM(REGEXREPLACE(E2267, ""[0-9]+[a-f]?\."", """"))"),"Nawa ne biyan wuni na ƴan gida masu kula da dabbobin wasu mutane (a kuɗin CFA)?")</f>
        <v>Nawa ne biyan wuni na ƴan gida masu kula da dabbobin wasu mutane (a kuɗin CFA)?</v>
      </c>
      <c r="J2267" s="180" t="str">
        <f t="shared" ref="J2267:L2267" si="455">$F2267 &amp; ". "&amp;G2267</f>
        <v>455. What was the daily wage paid to household members who cared for livestock owned by other people?</v>
      </c>
      <c r="K2267" s="180" t="str">
        <f t="shared" si="455"/>
        <v>455. Quel étaient les frais journaliers payés aux membres de votre ménage qui s'occupent des animaux du bétail appartenant à d'autres personnes en CFA ?</v>
      </c>
      <c r="L2267" s="180" t="str">
        <f t="shared" si="455"/>
        <v>455. Nawa ne biyan wuni na ƴan gida masu kula da dabbobin wasu mutane (a kuɗin CFA)?</v>
      </c>
    </row>
    <row r="2268">
      <c r="A2268" s="278" t="s">
        <v>38</v>
      </c>
      <c r="B2268" s="279" t="s">
        <v>6189</v>
      </c>
      <c r="C2268" s="45" t="s">
        <v>6190</v>
      </c>
      <c r="D2268" s="45" t="s">
        <v>6191</v>
      </c>
      <c r="E2268" s="45" t="s">
        <v>6192</v>
      </c>
      <c r="F2268" s="187">
        <v>456.0</v>
      </c>
      <c r="G2268" s="180" t="str">
        <f>IFERROR(__xludf.DUMMYFUNCTION("TRIM(REGEXREPLACE(C2268, ""[0-9]+[a-f]?\."", """"))"),"Now we will ask about other forms of income people in your household may have earned in the past three months.")</f>
        <v>Now we will ask about other forms of income people in your household may have earned in the past three months.</v>
      </c>
      <c r="H2268" s="180" t="str">
        <f>IFERROR(__xludf.DUMMYFUNCTION("TRIM(REGEXREPLACE(D2268,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2268" s="180" t="str">
        <f>IFERROR(__xludf.DUMMYFUNCTION("TRIM(REGEXREPLACE(E2268, ""[0-9]+[a-f]?\."", """"))"),"Yanzu za mu yi tambayoyi bisa wasu hanyoyin samun kuɗin shiga da yan gidanku a cikin watanni uku da suka gabata.")</f>
        <v>Yanzu za mu yi tambayoyi bisa wasu hanyoyin samun kuɗin shiga da yan gidanku a cikin watanni uku da suka gabata.</v>
      </c>
      <c r="J2268" s="180" t="str">
        <f t="shared" ref="J2268:L2268" si="456">$F2268 &amp; ". "&amp;G2268</f>
        <v>456. Now we will ask about other forms of income people in your household may have earned in the past three months.</v>
      </c>
      <c r="K2268" s="180" t="str">
        <f t="shared" si="456"/>
        <v>456. Nous allons maintenant poser des questions sur les autres formes de revenus que les membres de votre ménage ont pu gagner au cours des trois derniers mois.</v>
      </c>
      <c r="L2268" s="180" t="str">
        <f t="shared" si="456"/>
        <v>456. Yanzu za mu yi tambayoyi bisa wasu hanyoyin samun kuɗin shiga da yan gidanku a cikin watanni uku da suka gabata.</v>
      </c>
    </row>
    <row r="2269">
      <c r="A2269" s="280" t="s">
        <v>1306</v>
      </c>
      <c r="B2269" s="281" t="s">
        <v>6193</v>
      </c>
      <c r="C2269" s="45" t="s">
        <v>6194</v>
      </c>
      <c r="D2269" s="45" t="s">
        <v>6195</v>
      </c>
      <c r="E2269" s="45" t="s">
        <v>6196</v>
      </c>
      <c r="F2269" s="187">
        <v>457.0</v>
      </c>
      <c r="G2269" s="180" t="str">
        <f>IFERROR(__xludf.DUMMYFUNCTION("TRIM(REGEXREPLACE(C2269, ""[0-9]+[a-f]?\."", """"))"),"Do you or another member of your household own land that is currently not used for agriculture, outside of your current home?")</f>
        <v>Do you or another member of your household own land that is currently not used for agriculture, outside of your current home?</v>
      </c>
      <c r="H2269" s="180" t="str">
        <f>IFERROR(__xludf.DUMMYFUNCTION("TRIM(REGEXREPLACE(D2269,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2269" s="180" t="str">
        <f>IFERROR(__xludf.DUMMYFUNCTION("TRIM(REGEXREPLACE(E2269, ""[0-9]+[a-f]?\."", """"))"),"Shin kai ko wani na gidanku kuna da wasu hilaye wanda ba na noma ba bancin gidanku da kuke ciki a halin yanzu?")</f>
        <v>Shin kai ko wani na gidanku kuna da wasu hilaye wanda ba na noma ba bancin gidanku da kuke ciki a halin yanzu?</v>
      </c>
      <c r="J2269" s="180" t="str">
        <f t="shared" ref="J2269:L2269" si="457">$F2269 &amp; ". "&amp;G2269</f>
        <v>457. Do you or another member of your household own land that is currently not used for agriculture, outside of your current home?</v>
      </c>
      <c r="K2269" s="180" t="str">
        <f t="shared" si="457"/>
        <v>457. Est-ce que vous ou un autre membre de votre ménage possédez des terres qui ne sont actuellement pas utilisées pour l'agriculture, en dehors de votre domicile actuel ?</v>
      </c>
      <c r="L2269" s="180" t="str">
        <f t="shared" si="457"/>
        <v>457. Shin kai ko wani na gidanku kuna da wasu hilaye wanda ba na noma ba bancin gidanku da kuke ciki a halin yanzu?</v>
      </c>
    </row>
    <row r="2270">
      <c r="A2270" s="291" t="s">
        <v>268</v>
      </c>
      <c r="B2270" s="292" t="s">
        <v>6197</v>
      </c>
      <c r="C2270" s="45" t="s">
        <v>4061</v>
      </c>
      <c r="D2270" s="45" t="s">
        <v>4062</v>
      </c>
      <c r="E2270" s="45" t="s">
        <v>4063</v>
      </c>
      <c r="F2270" s="187">
        <v>458.0</v>
      </c>
      <c r="G2270" s="180" t="str">
        <f>IFERROR(__xludf.DUMMYFUNCTION("TRIM(REGEXREPLACE(C2270, ""[0-9]+[a-f]?\."", """"))"),"In the past three months, what is the total revenue from rent of land or other property in CFA?")</f>
        <v>In the past three months, what is the total revenue from rent of land or other property in CFA?</v>
      </c>
      <c r="H2270" s="180" t="str">
        <f>IFERROR(__xludf.DUMMYFUNCTION("TRIM(REGEXREPLACE(D2270, ""[0-9]+[a-f]?\."", """"))"),"Au cours des trois derniers mois, quel a été le revenu total provenant de la location d'un terrain ou d'une autre propriété en CFA?")</f>
        <v>Au cours des trois derniers mois, quel a été le revenu total provenant de la location d'un terrain ou d'une autre propriété en CFA?</v>
      </c>
      <c r="I2270" s="180" t="str">
        <f>IFERROR(__xludf.DUMMYFUNCTION("TRIM(REGEXREPLACE(E2270, ""[0-9]+[a-f]?\."", """"))"),"A cikin watanni uku da suka gabata, menene jimillar kuɗin da aka samu ta hanyar hayan filaye ko wasu kadarori (a sefa)?")</f>
        <v>A cikin watanni uku da suka gabata, menene jimillar kuɗin da aka samu ta hanyar hayan filaye ko wasu kadarori (a sefa)?</v>
      </c>
      <c r="J2270" s="180" t="str">
        <f t="shared" ref="J2270:L2270" si="458">$F2270 &amp; ". "&amp;G2270</f>
        <v>458. In the past three months, what is the total revenue from rent of land or other property in CFA?</v>
      </c>
      <c r="K2270" s="180" t="str">
        <f t="shared" si="458"/>
        <v>458. Au cours des trois derniers mois, quel a été le revenu total provenant de la location d'un terrain ou d'une autre propriété en CFA?</v>
      </c>
      <c r="L2270" s="180" t="str">
        <f t="shared" si="458"/>
        <v>458. A cikin watanni uku da suka gabata, menene jimillar kuɗin da aka samu ta hanyar hayan filaye ko wasu kadarori (a sefa)?</v>
      </c>
    </row>
    <row r="2271">
      <c r="A2271" s="291" t="s">
        <v>268</v>
      </c>
      <c r="B2271" s="292" t="s">
        <v>6201</v>
      </c>
      <c r="C2271" s="45" t="s">
        <v>4072</v>
      </c>
      <c r="D2271" s="45" t="s">
        <v>4073</v>
      </c>
      <c r="E2271" s="45" t="s">
        <v>4074</v>
      </c>
      <c r="F2271" s="187">
        <v>459.0</v>
      </c>
      <c r="G2271" s="180" t="str">
        <f>IFERROR(__xludf.DUMMYFUNCTION("TRIM(REGEXREPLACE(C2271, ""[0-9]+[a-f]?\."", """"))"),"In the past three months, what is the total value of interest from loans you have given to others in CFA?")</f>
        <v>In the past three months, what is the total value of interest from loans you have given to others in CFA?</v>
      </c>
      <c r="H2271" s="180" t="str">
        <f>IFERROR(__xludf.DUMMYFUNCTION("TRIM(REGEXREPLACE(D2271, ""[0-9]+[a-f]?\."", """"))"),"Au cours des trois derniers mois, quelle est la valeur totale des intérêts des prêts que vous avez accordés à d'autres en CFA?")</f>
        <v>Au cours des trois derniers mois, quelle est la valeur totale des intérêts des prêts que vous avez accordés à d'autres en CFA?</v>
      </c>
      <c r="I2271" s="180" t="str">
        <f>IFERROR(__xludf.DUMMYFUNCTION("TRIM(REGEXREPLACE(E2271, ""[0-9]+[a-f]?\."", """"))"),"A cikin watanni uku da suka gabata, nawa ne jimillar kudin ruwan basussuka da kuka baiwa wasu (a sefa)?")</f>
        <v>A cikin watanni uku da suka gabata, nawa ne jimillar kudin ruwan basussuka da kuka baiwa wasu (a sefa)?</v>
      </c>
      <c r="J2271" s="180" t="str">
        <f t="shared" ref="J2271:L2271" si="459">$F2271 &amp; ". "&amp;G2271</f>
        <v>459. In the past three months, what is the total value of interest from loans you have given to others in CFA?</v>
      </c>
      <c r="K2271" s="180" t="str">
        <f t="shared" si="459"/>
        <v>459. Au cours des trois derniers mois, quelle est la valeur totale des intérêts des prêts que vous avez accordés à d'autres en CFA?</v>
      </c>
      <c r="L2271" s="180" t="str">
        <f t="shared" si="459"/>
        <v>459. A cikin watanni uku da suka gabata, nawa ne jimillar kudin ruwan basussuka da kuka baiwa wasu (a sefa)?</v>
      </c>
    </row>
    <row r="2272" hidden="1">
      <c r="A2272" s="168" t="s">
        <v>127</v>
      </c>
      <c r="B2272" s="71" t="s">
        <v>6202</v>
      </c>
      <c r="C2272" s="200"/>
      <c r="D2272" s="200"/>
      <c r="E2272" s="200"/>
    </row>
    <row r="2273" hidden="1">
      <c r="A2273" s="168" t="s">
        <v>68</v>
      </c>
      <c r="B2273" s="71" t="s">
        <v>6203</v>
      </c>
      <c r="C2273" s="200"/>
      <c r="D2273" s="200"/>
      <c r="E2273" s="200"/>
    </row>
    <row r="2274" hidden="1">
      <c r="A2274" s="320"/>
      <c r="B2274" s="321"/>
      <c r="C2274" s="321"/>
      <c r="D2274" s="321"/>
      <c r="E2274" s="321"/>
    </row>
    <row r="2275" hidden="1">
      <c r="A2275" s="168" t="s">
        <v>127</v>
      </c>
      <c r="B2275" s="71" t="s">
        <v>6204</v>
      </c>
      <c r="C2275" s="200"/>
      <c r="D2275" s="200"/>
      <c r="E2275" s="200"/>
    </row>
    <row r="2276">
      <c r="A2276" s="280" t="s">
        <v>1306</v>
      </c>
      <c r="B2276" s="281" t="s">
        <v>6205</v>
      </c>
      <c r="C2276" s="45" t="s">
        <v>6206</v>
      </c>
      <c r="D2276" s="45" t="s">
        <v>6207</v>
      </c>
      <c r="E2276" s="45" t="s">
        <v>6208</v>
      </c>
      <c r="F2276" s="187">
        <v>460.0</v>
      </c>
      <c r="G2276" s="180" t="str">
        <f>IFERROR(__xludf.DUMMYFUNCTION("TRIM(REGEXREPLACE(C2276,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2276" s="180" t="str">
        <f>IFERROR(__xludf.DUMMYFUNCTION("TRIM(REGEXREPLACE(D2276,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2276" s="180" t="str">
        <f>IFERROR(__xludf.DUMMYFUNCTION("TRIM(REGEXREPLACE(E2276,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2276" s="180" t="str">
        <f t="shared" ref="J2276:L2276" si="460">$F2276 &amp; ". "&amp;G2276</f>
        <v>460. Does anyone in the household fully, or partly own and operate an income generating activity that is not farming or herding? (i.e. a shop where you sell goods, restaurant, butcher shop)?</v>
      </c>
      <c r="K2276" s="180" t="str">
        <f t="shared" si="460"/>
        <v>460. Quelqu'un dans le ménage possède-t-il entièrement ou partiellement une activité génératrice de revenus autre que l'agriculture ou l'élevage ? (C'est-à-dire un magasin où vous vendez des marchandises, un restaurant, une boucherie) ?</v>
      </c>
      <c r="L2276" s="180" t="str">
        <f t="shared" si="460"/>
        <v>460. Ko akwai wani ɗan gidanku mai sana'a wanda jarin gaba daya nashi ko na hadin gwiwa ne banda noma da kiyo? ( kantin saida kaya, gidan abinci, fawa)?</v>
      </c>
    </row>
    <row r="2277">
      <c r="A2277" s="280" t="s">
        <v>6212</v>
      </c>
      <c r="B2277" s="281" t="s">
        <v>6213</v>
      </c>
      <c r="C2277" s="45" t="s">
        <v>6214</v>
      </c>
      <c r="D2277" s="45" t="s">
        <v>6215</v>
      </c>
      <c r="E2277" s="45" t="s">
        <v>6216</v>
      </c>
      <c r="F2277" s="187">
        <v>461.0</v>
      </c>
      <c r="G2277" s="180" t="str">
        <f>IFERROR(__xludf.DUMMYFUNCTION("TRIM(REGEXREPLACE(C2277, ""[0-9]+[a-f]?\."", """"))"),"What type of business is this?")</f>
        <v>What type of business is this?</v>
      </c>
      <c r="H2277" s="180" t="str">
        <f>IFERROR(__xludf.DUMMYFUNCTION("TRIM(REGEXREPLACE(D2277, ""[0-9]+[a-f]?\."", """"))"),"Quel type d'entreprise est-ce?")</f>
        <v>Quel type d'entreprise est-ce?</v>
      </c>
      <c r="I2277" s="180" t="str">
        <f>IFERROR(__xludf.DUMMYFUNCTION("TRIM(REGEXREPLACE(E2277, ""[0-9]+[a-f]?\."", """"))"),"Wane irin kasuwanci ne?")</f>
        <v>Wane irin kasuwanci ne?</v>
      </c>
      <c r="J2277" s="180" t="str">
        <f t="shared" ref="J2277:L2277" si="461">$F2277 &amp; ". "&amp;G2277</f>
        <v>461. What type of business is this?</v>
      </c>
      <c r="K2277" s="180" t="str">
        <f t="shared" si="461"/>
        <v>461. Quel type d'entreprise est-ce?</v>
      </c>
      <c r="L2277" s="180" t="str">
        <f t="shared" si="461"/>
        <v>461. Wane irin kasuwanci ne?</v>
      </c>
    </row>
    <row r="2278">
      <c r="A2278" s="282" t="s">
        <v>252</v>
      </c>
      <c r="B2278" s="283" t="s">
        <v>6217</v>
      </c>
      <c r="C2278" s="45" t="s">
        <v>6218</v>
      </c>
      <c r="D2278" s="45" t="s">
        <v>6219</v>
      </c>
      <c r="E2278" s="45" t="s">
        <v>6220</v>
      </c>
      <c r="F2278" s="187">
        <v>462.0</v>
      </c>
      <c r="G2278" s="180" t="str">
        <f>IFERROR(__xludf.DUMMYFUNCTION("TRIM(REGEXREPLACE(C2278, ""[0-9]+[a-f]?\."", """"))"),"Specify other")</f>
        <v>Specify other</v>
      </c>
      <c r="H2278" s="180" t="str">
        <f>IFERROR(__xludf.DUMMYFUNCTION("TRIM(REGEXREPLACE(D2278, ""[0-9]+[a-f]?\."", """"))"),"Autre à préciser :")</f>
        <v>Autre à préciser :</v>
      </c>
      <c r="I2278" s="180" t="str">
        <f>IFERROR(__xludf.DUMMYFUNCTION("TRIM(REGEXREPLACE(E2278, ""[0-9]+[a-f]?\."", """"))"),"Baiyana wani abu daban:")</f>
        <v>Baiyana wani abu daban:</v>
      </c>
      <c r="J2278" s="180" t="str">
        <f t="shared" ref="J2278:L2278" si="462">$F2278 &amp; ". "&amp;G2278</f>
        <v>462. Specify other</v>
      </c>
      <c r="K2278" s="180" t="str">
        <f t="shared" si="462"/>
        <v>462. Autre à préciser :</v>
      </c>
      <c r="L2278" s="180" t="str">
        <f t="shared" si="462"/>
        <v>462. Baiyana wani abu daban:</v>
      </c>
    </row>
    <row r="2279" hidden="1">
      <c r="A2279" s="168" t="s">
        <v>68</v>
      </c>
      <c r="B2279" s="71" t="s">
        <v>6221</v>
      </c>
      <c r="C2279" s="200"/>
      <c r="D2279" s="200"/>
      <c r="E2279" s="200"/>
    </row>
    <row r="2280">
      <c r="A2280" s="280" t="s">
        <v>1306</v>
      </c>
      <c r="B2280" s="281" t="s">
        <v>6222</v>
      </c>
      <c r="C2280" s="45" t="s">
        <v>6223</v>
      </c>
      <c r="D2280" s="45" t="s">
        <v>6224</v>
      </c>
      <c r="E2280" s="45" t="s">
        <v>6225</v>
      </c>
      <c r="F2280" s="187">
        <v>463.0</v>
      </c>
      <c r="G2280" s="180" t="str">
        <f>IFERROR(__xludf.DUMMYFUNCTION("TRIM(REGEXREPLACE(C2280, ""[0-9]+[a-f]?\."", """"))"),"Do you have a permanent location (i.e. building)?")</f>
        <v>Do you have a permanent location (i.e. building)?</v>
      </c>
      <c r="H2280" s="180" t="str">
        <f>IFERROR(__xludf.DUMMYFUNCTION("TRIM(REGEXREPLACE(D2280, ""[0-9]+[a-f]?\."", """"))"),"Avez-vous un emplacement permanent (c'est-à-dire un bâtiment) ?")</f>
        <v>Avez-vous un emplacement permanent (c'est-à-dire un bâtiment) ?</v>
      </c>
      <c r="I2280" s="180" t="str">
        <f>IFERROR(__xludf.DUMMYFUNCTION("TRIM(REGEXREPLACE(E2280, ""[0-9]+[a-f]?\."", """"))"),"Kuna da wurin dindindin (kamar gini)?")</f>
        <v>Kuna da wurin dindindin (kamar gini)?</v>
      </c>
      <c r="J2280" s="180" t="str">
        <f t="shared" ref="J2280:L2280" si="463">$F2280 &amp; ". "&amp;G2280</f>
        <v>463. Do you have a permanent location (i.e. building)?</v>
      </c>
      <c r="K2280" s="180" t="str">
        <f t="shared" si="463"/>
        <v>463. Avez-vous un emplacement permanent (c'est-à-dire un bâtiment) ?</v>
      </c>
      <c r="L2280" s="180" t="str">
        <f t="shared" si="463"/>
        <v>463. Kuna da wurin dindindin (kamar gini)?</v>
      </c>
    </row>
    <row r="2281">
      <c r="A2281" s="291" t="s">
        <v>268</v>
      </c>
      <c r="B2281" s="292" t="s">
        <v>6226</v>
      </c>
      <c r="C2281" s="45" t="s">
        <v>6227</v>
      </c>
      <c r="D2281" s="45" t="s">
        <v>6228</v>
      </c>
      <c r="E2281" s="45" t="s">
        <v>6229</v>
      </c>
      <c r="F2281" s="187">
        <v>464.0</v>
      </c>
      <c r="G2281" s="180" t="str">
        <f>IFERROR(__xludf.DUMMYFUNCTION("TRIM(REGEXREPLACE(C2281, ""[0-9]+[a-f]?\."", """"))"),"How many people outside of your household do you employ in this business?")</f>
        <v>How many people outside of your household do you employ in this business?</v>
      </c>
      <c r="H2281" s="180" t="str">
        <f>IFERROR(__xludf.DUMMYFUNCTION("TRIM(REGEXREPLACE(D2281, ""[0-9]+[a-f]?\."", """"))"),"Combien de personnes en dehors de votre ménage employez-vous dans cette entreprise ?")</f>
        <v>Combien de personnes en dehors de votre ménage employez-vous dans cette entreprise ?</v>
      </c>
      <c r="I2281" s="180" t="str">
        <f>IFERROR(__xludf.DUMMYFUNCTION("TRIM(REGEXREPLACE(E2281, ""[0-9]+[a-f]?\."", """"))"),"Mutane nawa ne kuka dauka aiki banda ƴan gidan a wannan kasuwancin?")</f>
        <v>Mutane nawa ne kuka dauka aiki banda ƴan gidan a wannan kasuwancin?</v>
      </c>
      <c r="J2281" s="180" t="str">
        <f t="shared" ref="J2281:L2281" si="464">$F2281 &amp; ". "&amp;G2281</f>
        <v>464. How many people outside of your household do you employ in this business?</v>
      </c>
      <c r="K2281" s="180" t="str">
        <f t="shared" si="464"/>
        <v>464. Combien de personnes en dehors de votre ménage employez-vous dans cette entreprise ?</v>
      </c>
      <c r="L2281" s="180" t="str">
        <f t="shared" si="464"/>
        <v>464. Mutane nawa ne kuka dauka aiki banda ƴan gidan a wannan kasuwancin?</v>
      </c>
    </row>
    <row r="2282">
      <c r="A2282" s="291" t="s">
        <v>268</v>
      </c>
      <c r="B2282" s="292" t="s">
        <v>6230</v>
      </c>
      <c r="C2282" s="45" t="s">
        <v>4112</v>
      </c>
      <c r="D2282" s="45" t="s">
        <v>4113</v>
      </c>
      <c r="E2282" s="45" t="s">
        <v>4114</v>
      </c>
      <c r="F2282" s="187">
        <v>465.0</v>
      </c>
      <c r="G2282" s="180" t="str">
        <f>IFERROR(__xludf.DUMMYFUNCTION("TRIM(REGEXREPLACE(C2282, ""[0-9]+[a-f]?\."", """"))"),"How much do you pay per day for people to work in this business in CFA?")</f>
        <v>How much do you pay per day for people to work in this business in CFA?</v>
      </c>
      <c r="H2282" s="180" t="str">
        <f>IFERROR(__xludf.DUMMYFUNCTION("TRIM(REGEXREPLACE(D2282, ""[0-9]+[a-f]?\."", """"))"),"Combien payez-vous par jour pour que les gens travaillent dans cette entreprise (en CFA) ?")</f>
        <v>Combien payez-vous par jour pour que les gens travaillent dans cette entreprise (en CFA) ?</v>
      </c>
      <c r="I2282" s="180" t="str">
        <f>IFERROR(__xludf.DUMMYFUNCTION("TRIM(REGEXREPLACE(E2282, ""[0-9]+[a-f]?\."", """"))"),"Nawa kuke biyan su a wuni (a sefa) ?")</f>
        <v>Nawa kuke biyan su a wuni (a sefa) ?</v>
      </c>
      <c r="J2282" s="180" t="str">
        <f t="shared" ref="J2282:L2282" si="465">$F2282 &amp; ". "&amp;G2282</f>
        <v>465. How much do you pay per day for people to work in this business in CFA?</v>
      </c>
      <c r="K2282" s="180" t="str">
        <f t="shared" si="465"/>
        <v>465. Combien payez-vous par jour pour que les gens travaillent dans cette entreprise (en CFA) ?</v>
      </c>
      <c r="L2282" s="180" t="str">
        <f t="shared" si="465"/>
        <v>465. Nawa kuke biyan su a wuni (a sefa) ?</v>
      </c>
    </row>
    <row r="2283" hidden="1">
      <c r="A2283" s="320"/>
      <c r="B2283" s="321"/>
      <c r="C2283" s="321"/>
      <c r="D2283" s="321"/>
      <c r="E2283" s="321"/>
    </row>
    <row r="2284" hidden="1">
      <c r="A2284" s="285" t="s">
        <v>426</v>
      </c>
      <c r="B2284" s="171" t="s">
        <v>6231</v>
      </c>
      <c r="C2284" s="171" t="s">
        <v>6232</v>
      </c>
      <c r="D2284" s="325"/>
      <c r="E2284" s="325"/>
    </row>
    <row r="2285" hidden="1">
      <c r="A2285" s="168" t="s">
        <v>68</v>
      </c>
      <c r="B2285" s="71" t="s">
        <v>6233</v>
      </c>
      <c r="C2285" s="200"/>
      <c r="D2285" s="200"/>
      <c r="E2285" s="200"/>
    </row>
    <row r="2286" hidden="1">
      <c r="A2286" s="168" t="s">
        <v>68</v>
      </c>
      <c r="B2286" s="71" t="s">
        <v>6234</v>
      </c>
      <c r="C2286" s="295"/>
      <c r="D2286" s="200"/>
      <c r="E2286" s="200"/>
    </row>
    <row r="2287" hidden="1">
      <c r="A2287" s="168" t="s">
        <v>68</v>
      </c>
      <c r="B2287" s="71" t="s">
        <v>6235</v>
      </c>
      <c r="C2287" s="200"/>
      <c r="D2287" s="200"/>
      <c r="E2287" s="200"/>
    </row>
    <row r="2288">
      <c r="A2288" s="291" t="s">
        <v>268</v>
      </c>
      <c r="B2288" s="292" t="s">
        <v>6236</v>
      </c>
      <c r="C2288" s="45" t="s">
        <v>4143</v>
      </c>
      <c r="D2288" s="45" t="s">
        <v>4144</v>
      </c>
      <c r="E2288" s="45" t="s">
        <v>4145</v>
      </c>
      <c r="F2288" s="187">
        <v>466.0</v>
      </c>
      <c r="G2288" s="180" t="str">
        <f>IFERROR(__xludf.DUMMYFUNCTION("TRIM(REGEXREPLACE(C2288, ""[0-9]+[a-f]?\."", """"))"),"In a typical week during the past three months, how many days did ${hoh_biz_name} work in the household business?")</f>
        <v>In a typical week during the past three months, how many days did ${hoh_biz_name} work in the household business?</v>
      </c>
      <c r="H2288" s="180" t="str">
        <f>IFERROR(__xludf.DUMMYFUNCTION("TRIM(REGEXREPLACE(D2288,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2288" s="180" t="str">
        <f>IFERROR(__xludf.DUMMYFUNCTION("TRIM(REGEXREPLACE(E2288, ""[0-9]+[a-f]?\."", """"))"),"Kwanaki nawa a cikin kowane mako guda a cikin watanni uku da suka gabata, ${hoh_biz_name} yayi aiki a cikin kasuwancin gida?")</f>
        <v>Kwanaki nawa a cikin kowane mako guda a cikin watanni uku da suka gabata, ${hoh_biz_name} yayi aiki a cikin kasuwancin gida?</v>
      </c>
      <c r="J2288" s="180" t="str">
        <f t="shared" ref="J2288:L2288" si="466">$F2288 &amp; ". "&amp;G2288</f>
        <v>466. In a typical week during the past three months, how many days did ${hoh_biz_name} work in the household business?</v>
      </c>
      <c r="K2288" s="180" t="str">
        <f t="shared" si="466"/>
        <v>466. Au cours d'une semaine normale au cours des trois derniers mois, combien de jours ${hoh_biz_name} a-t-il travaillé dans l'entreprise familiale ?</v>
      </c>
      <c r="L2288" s="180" t="str">
        <f t="shared" si="466"/>
        <v>466. Kwanaki nawa a cikin kowane mako guda a cikin watanni uku da suka gabata, ${hoh_biz_name} yayi aiki a cikin kasuwancin gida?</v>
      </c>
    </row>
    <row r="2289" hidden="1">
      <c r="A2289" s="285" t="s">
        <v>468</v>
      </c>
      <c r="B2289" s="185" t="s">
        <v>6231</v>
      </c>
      <c r="C2289" s="185" t="s">
        <v>6232</v>
      </c>
      <c r="D2289" s="326"/>
      <c r="E2289" s="326"/>
    </row>
    <row r="2290" hidden="1">
      <c r="A2290" s="168" t="s">
        <v>127</v>
      </c>
      <c r="B2290" s="71" t="s">
        <v>6237</v>
      </c>
      <c r="C2290" s="200"/>
      <c r="D2290" s="200"/>
      <c r="E2290" s="200"/>
    </row>
    <row r="2291" hidden="1">
      <c r="A2291" s="168" t="s">
        <v>68</v>
      </c>
      <c r="B2291" s="71" t="s">
        <v>6238</v>
      </c>
      <c r="C2291" s="200"/>
      <c r="D2291" s="200"/>
      <c r="E2291" s="200"/>
    </row>
    <row r="2292">
      <c r="A2292" s="291" t="s">
        <v>268</v>
      </c>
      <c r="B2292" s="292" t="s">
        <v>6239</v>
      </c>
      <c r="C2292" s="45" t="s">
        <v>6240</v>
      </c>
      <c r="D2292" s="45" t="s">
        <v>6241</v>
      </c>
      <c r="E2292" s="45" t="s">
        <v>6242</v>
      </c>
      <c r="F2292" s="187">
        <v>467.0</v>
      </c>
      <c r="G2292" s="180" t="str">
        <f>IFERROR(__xludf.DUMMYFUNCTION("TRIM(REGEXREPLACE(C2292,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2292" s="180" t="str">
        <f>IFERROR(__xludf.DUMMYFUNCTION("TRIM(REGEXREPLACE(D2292,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2292" s="180" t="str">
        <f>IFERROR(__xludf.DUMMYFUNCTION("TRIM(REGEXREPLACE(E2292,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2292" s="180" t="str">
        <f t="shared" ref="J2292:L2292" si="467">$F2292 &amp; ". "&amp;G2292</f>
        <v>467. Thinking about all of the revenues from this business in the past three months, what was the total amount of money coming in from this business in the last three months?</v>
      </c>
      <c r="K2292" s="180" t="str">
        <f t="shared" si="467"/>
        <v>467. Pense à tous les revenus de cette entreprise au cours des trois derniers mois, quel a été le montant total provenant de cette entreprise au cours des trois derniers mois ?</v>
      </c>
      <c r="L2292" s="180" t="str">
        <f t="shared" si="467"/>
        <v>467. Tuna da dukkan kuɗaɗen shiga na wannan kasuwancin a cikin watanni uku da suka wuce, nawa ne yawan kuɗin da aka samu daga wannan kasuwancin a cikin watanni uku da suka wuce?</v>
      </c>
    </row>
    <row r="2293">
      <c r="A2293" s="291" t="s">
        <v>268</v>
      </c>
      <c r="B2293" s="292" t="s">
        <v>6243</v>
      </c>
      <c r="C2293" s="45" t="s">
        <v>6244</v>
      </c>
      <c r="D2293" s="45" t="s">
        <v>6245</v>
      </c>
      <c r="E2293" s="45" t="s">
        <v>6246</v>
      </c>
      <c r="F2293" s="187">
        <v>468.0</v>
      </c>
      <c r="G2293" s="180" t="str">
        <f>IFERROR(__xludf.DUMMYFUNCTION("TRIM(REGEXREPLACE(C2293,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2293" s="180" t="str">
        <f>IFERROR(__xludf.DUMMYFUNCTION("TRIM(REGEXREPLACE(D2293,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2293" s="180" t="str">
        <f>IFERROR(__xludf.DUMMYFUNCTION("TRIM(REGEXREPLACE(E2293,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2293" s="180" t="str">
        <f t="shared" ref="J2293:L2293" si="468">$F2293 &amp; ". "&amp;G2293</f>
        <v>468. Thinking about all of the the expenses from this business, what was the total amount of money you spent on costs related to this business in the last three months?</v>
      </c>
      <c r="K2293" s="180" t="str">
        <f t="shared" si="468"/>
        <v>468. Pense à toutes les dépenses de cette entreprise, quel a été le montant total que vous avez dépensé pour les coûts liés à cette entreprise au cours des trois derniers mois ?</v>
      </c>
      <c r="L2293" s="180" t="str">
        <f t="shared" si="468"/>
        <v>468. Tuna da dukkan kuɗin da aka kashe don wannan kasuwancin, nawa ne jimillar kuɗin da kuka kashe a kan wannan kasuwancin a cikin watanni uku da suka wuce?</v>
      </c>
    </row>
    <row r="2294" hidden="1">
      <c r="A2294" s="168" t="s">
        <v>68</v>
      </c>
      <c r="B2294" s="71" t="s">
        <v>6248</v>
      </c>
      <c r="C2294" s="200"/>
      <c r="D2294" s="200"/>
      <c r="E2294" s="200"/>
    </row>
    <row r="2295">
      <c r="A2295" s="280" t="s">
        <v>1306</v>
      </c>
      <c r="B2295" s="281" t="s">
        <v>6249</v>
      </c>
      <c r="C2295" s="45" t="s">
        <v>6250</v>
      </c>
      <c r="D2295" s="45" t="s">
        <v>6251</v>
      </c>
      <c r="E2295" s="45" t="s">
        <v>6252</v>
      </c>
      <c r="F2295" s="187">
        <v>469.0</v>
      </c>
      <c r="G2295" s="180" t="str">
        <f>IFERROR(__xludf.DUMMYFUNCTION("TRIM(REGEXREPLACE(C2295,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2295" s="180" t="str">
        <f>IFERROR(__xludf.DUMMYFUNCTION("TRIM(REGEXREPLACE(D2295,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2295" s="180" t="str">
        <f>IFERROR(__xludf.DUMMYFUNCTION("TRIM(REGEXREPLACE(E2295,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2295" s="180" t="str">
        <f t="shared" ref="J2295:L2295" si="469">$F2295 &amp; ". "&amp;G2295</f>
        <v>469. Thinking about all the revenue and expense related to this business during the past three months, you said that the net income from this business for your household is ${hoh_biz_income}. Is that correct?</v>
      </c>
      <c r="K2295" s="180" t="str">
        <f t="shared" si="469"/>
        <v>469. En pensant à tous les revenus de cette entreprise et à toutes les dépenses, vous dites que la bénéfice net de cette entreprise au cours des trois derniers mois est ${hoh_biz_income}, est-ce exact ?</v>
      </c>
      <c r="L2295" s="180" t="str">
        <f t="shared" si="469"/>
        <v>469. Ku tuna da dukkan kuɗaɗen shiga da kashe kashen kuɗi da suka shafi wannan kasuwancin a cikin watanni uku da suka wuce. Kun ce yawan riban wannan kasuwancin shine ${hoh_biz_income}. Ko hakan daidai ne?</v>
      </c>
    </row>
    <row r="2296">
      <c r="A2296" s="278" t="s">
        <v>38</v>
      </c>
      <c r="B2296" s="279" t="s">
        <v>6254</v>
      </c>
      <c r="C2296" s="45" t="s">
        <v>6255</v>
      </c>
      <c r="D2296" s="45" t="s">
        <v>6256</v>
      </c>
      <c r="E2296" s="45" t="s">
        <v>6257</v>
      </c>
      <c r="F2296" s="187">
        <v>470.0</v>
      </c>
      <c r="G2296" s="180" t="str">
        <f>IFERROR(__xludf.DUMMYFUNCTION("TRIM(REGEXREPLACE(C2296, ""[0-9]+[a-f]?\."", """"))"),"We have discussed work done by members of your household in agriculture, in husbandry, in a business owned by your family.")</f>
        <v>We have discussed work done by members of your household in agriculture, in husbandry, in a business owned by your family.</v>
      </c>
      <c r="H2296" s="180" t="str">
        <f>IFERROR(__xludf.DUMMYFUNCTION("TRIM(REGEXREPLACE(D2296,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2296" s="180" t="str">
        <f>IFERROR(__xludf.DUMMYFUNCTION("TRIM(REGEXREPLACE(E2296, ""[0-9]+[a-f]?\."", """"))"),"“Mun tattauna bisa ayyukan da ƴan gidanku suka yi a harakar noma da kiwo, kasuwancin da ƴan gidanku suka mallaka.")</f>
        <v>“Mun tattauna bisa ayyukan da ƴan gidanku suka yi a harakar noma da kiwo, kasuwancin da ƴan gidanku suka mallaka.</v>
      </c>
      <c r="J2296" s="180" t="str">
        <f t="shared" ref="J2296:L2296" si="470">$F2296 &amp; ". "&amp;G2296</f>
        <v>470. We have discussed work done by members of your household in agriculture, in husbandry, in a business owned by your family.</v>
      </c>
      <c r="K2296" s="180" t="str">
        <f t="shared" si="470"/>
        <v>470. Nous avons discuté du travail effectué par les membres de votre ménage dans l'agriculture, l'élevage, dans une entreprise appartenant à votre famille.</v>
      </c>
      <c r="L2296" s="180" t="str">
        <f t="shared" si="470"/>
        <v>470. “Mun tattauna bisa ayyukan da ƴan gidanku suka yi a harakar noma da kiwo, kasuwancin da ƴan gidanku suka mallaka.</v>
      </c>
    </row>
    <row r="2297" hidden="1">
      <c r="A2297" s="168" t="s">
        <v>127</v>
      </c>
      <c r="B2297" s="71" t="s">
        <v>6258</v>
      </c>
      <c r="C2297" s="200"/>
      <c r="D2297" s="200"/>
      <c r="E2297" s="200"/>
    </row>
    <row r="2298" hidden="1">
      <c r="A2298" s="285" t="s">
        <v>426</v>
      </c>
      <c r="B2298" s="171" t="s">
        <v>6259</v>
      </c>
      <c r="C2298" s="171" t="s">
        <v>6260</v>
      </c>
      <c r="D2298" s="171" t="s">
        <v>6261</v>
      </c>
      <c r="E2298" s="171" t="s">
        <v>6262</v>
      </c>
    </row>
    <row r="2299" hidden="1">
      <c r="A2299" s="168" t="s">
        <v>68</v>
      </c>
      <c r="B2299" s="71" t="s">
        <v>6263</v>
      </c>
      <c r="C2299" s="200"/>
      <c r="D2299" s="200"/>
      <c r="E2299" s="200"/>
    </row>
    <row r="2300" hidden="1">
      <c r="A2300" s="168" t="s">
        <v>68</v>
      </c>
      <c r="B2300" s="71" t="s">
        <v>6264</v>
      </c>
      <c r="C2300" s="200"/>
      <c r="D2300" s="200"/>
      <c r="E2300" s="200"/>
    </row>
    <row r="2301">
      <c r="A2301" s="280" t="s">
        <v>1306</v>
      </c>
      <c r="B2301" s="281" t="s">
        <v>6268</v>
      </c>
      <c r="C2301" s="45" t="s">
        <v>6269</v>
      </c>
      <c r="D2301" s="45" t="s">
        <v>6270</v>
      </c>
      <c r="E2301" s="45" t="s">
        <v>6271</v>
      </c>
      <c r="F2301" s="187">
        <v>471.0</v>
      </c>
      <c r="G2301" s="180" t="str">
        <f>IFERROR(__xludf.DUMMYFUNCTION("TRIM(REGEXREPLACE(C2301, ""[0-9]+[a-f]?\."", """"))"),"In the past three months, did ${hoh_member_act_name} earn money from any other activity?")</f>
        <v>In the past three months, did ${hoh_member_act_name} earn money from any other activity?</v>
      </c>
      <c r="H2301" s="180" t="str">
        <f>IFERROR(__xludf.DUMMYFUNCTION("TRIM(REGEXREPLACE(D2301, ""[0-9]+[a-f]?\."", """"))"),"Au cours des trois derniers mois, ${hoh_member_act_name} a-t-il gagné de l'argent grâce à une autre activité ?")</f>
        <v>Au cours des trois derniers mois, ${hoh_member_act_name} a-t-il gagné de l'argent grâce à une autre activité ?</v>
      </c>
      <c r="I2301" s="180" t="str">
        <f>IFERROR(__xludf.DUMMYFUNCTION("TRIM(REGEXREPLACE(E2301, ""[0-9]+[a-f]?\."", """"))"),"A cikin watanni uku da suka gabata, ${hoh_member_act_name} ya samu kuɗi daga yin wani aiki?")</f>
        <v>A cikin watanni uku da suka gabata, ${hoh_member_act_name} ya samu kuɗi daga yin wani aiki?</v>
      </c>
      <c r="J2301" s="180" t="str">
        <f t="shared" ref="J2301:L2301" si="471">$F2301 &amp; ". "&amp;G2301</f>
        <v>471. In the past three months, did ${hoh_member_act_name} earn money from any other activity?</v>
      </c>
      <c r="K2301" s="180" t="str">
        <f t="shared" si="471"/>
        <v>471. Au cours des trois derniers mois, ${hoh_member_act_name} a-t-il gagné de l'argent grâce à une autre activité ?</v>
      </c>
      <c r="L2301" s="180" t="str">
        <f t="shared" si="471"/>
        <v>471. A cikin watanni uku da suka gabata, ${hoh_member_act_name} ya samu kuɗi daga yin wani aiki?</v>
      </c>
    </row>
    <row r="2302">
      <c r="A2302" s="280" t="s">
        <v>6212</v>
      </c>
      <c r="B2302" s="281" t="s">
        <v>6272</v>
      </c>
      <c r="C2302" s="45" t="s">
        <v>4222</v>
      </c>
      <c r="D2302" s="45" t="s">
        <v>4223</v>
      </c>
      <c r="E2302" s="45" t="s">
        <v>4224</v>
      </c>
      <c r="F2302" s="187">
        <v>472.0</v>
      </c>
      <c r="G2302" s="180" t="str">
        <f>IFERROR(__xludf.DUMMYFUNCTION("TRIM(REGEXREPLACE(C2302, ""[0-9]+[a-f]?\."", """"))"),"What was the activity?")</f>
        <v>What was the activity?</v>
      </c>
      <c r="H2302" s="180" t="str">
        <f>IFERROR(__xludf.DUMMYFUNCTION("TRIM(REGEXREPLACE(D2302, ""[0-9]+[a-f]?\."", """"))"),"Quelle était l'activité ?")</f>
        <v>Quelle était l'activité ?</v>
      </c>
      <c r="I2302" s="180" t="str">
        <f>IFERROR(__xludf.DUMMYFUNCTION("TRIM(REGEXREPLACE(E2302, ""[0-9]+[a-f]?\."", """"))"),"Menene aikin?")</f>
        <v>Menene aikin?</v>
      </c>
      <c r="J2302" s="180" t="str">
        <f t="shared" ref="J2302:L2302" si="472">$F2302 &amp; ". "&amp;G2302</f>
        <v>472. What was the activity?</v>
      </c>
      <c r="K2302" s="180" t="str">
        <f t="shared" si="472"/>
        <v>472. Quelle était l'activité ?</v>
      </c>
      <c r="L2302" s="180" t="str">
        <f t="shared" si="472"/>
        <v>472. Menene aikin?</v>
      </c>
    </row>
    <row r="2303">
      <c r="A2303" s="282" t="s">
        <v>252</v>
      </c>
      <c r="B2303" s="283" t="s">
        <v>6273</v>
      </c>
      <c r="C2303" s="45" t="s">
        <v>4225</v>
      </c>
      <c r="D2303" s="45" t="s">
        <v>4226</v>
      </c>
      <c r="E2303" s="45" t="s">
        <v>4227</v>
      </c>
      <c r="F2303" s="187">
        <v>473.0</v>
      </c>
      <c r="G2303" s="180" t="str">
        <f>IFERROR(__xludf.DUMMYFUNCTION("TRIM(REGEXREPLACE(C2303, ""[0-9]+[a-f]?\."", """"))"),"Specify the activity")</f>
        <v>Specify the activity</v>
      </c>
      <c r="H2303" s="180" t="str">
        <f>IFERROR(__xludf.DUMMYFUNCTION("TRIM(REGEXREPLACE(D2303, ""[0-9]+[a-f]?\."", """"))"),"Précisez l'activité")</f>
        <v>Précisez l'activité</v>
      </c>
      <c r="I2303" s="180" t="str">
        <f>IFERROR(__xludf.DUMMYFUNCTION("TRIM(REGEXREPLACE(E2303, ""[0-9]+[a-f]?\."", """"))"),"Baiyana aikin")</f>
        <v>Baiyana aikin</v>
      </c>
      <c r="J2303" s="180" t="str">
        <f t="shared" ref="J2303:L2303" si="473">$F2303 &amp; ". "&amp;G2303</f>
        <v>473. Specify the activity</v>
      </c>
      <c r="K2303" s="180" t="str">
        <f t="shared" si="473"/>
        <v>473. Précisez l'activité</v>
      </c>
      <c r="L2303" s="180" t="str">
        <f t="shared" si="473"/>
        <v>473. Baiyana aikin</v>
      </c>
    </row>
    <row r="2304" hidden="1">
      <c r="A2304" s="168" t="s">
        <v>68</v>
      </c>
      <c r="B2304" s="71" t="s">
        <v>6274</v>
      </c>
      <c r="C2304" s="200"/>
      <c r="D2304" s="200"/>
      <c r="E2304" s="200"/>
    </row>
    <row r="2305">
      <c r="A2305" s="291" t="s">
        <v>268</v>
      </c>
      <c r="B2305" s="292" t="s">
        <v>6275</v>
      </c>
      <c r="C2305" s="45" t="s">
        <v>6276</v>
      </c>
      <c r="D2305" s="45" t="s">
        <v>6277</v>
      </c>
      <c r="E2305" s="45" t="s">
        <v>6278</v>
      </c>
      <c r="F2305" s="187">
        <v>474.0</v>
      </c>
      <c r="G2305" s="180" t="str">
        <f>IFERROR(__xludf.DUMMYFUNCTION("TRIM(REGEXREPLACE(C2305,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2305" s="180" t="str">
        <f>IFERROR(__xludf.DUMMYFUNCTION("TRIM(REGEXREPLACE(D2305,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2305" s="180" t="str">
        <f>IFERROR(__xludf.DUMMYFUNCTION("TRIM(REGEXREPLACE(E2305,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2305" s="180" t="str">
        <f t="shared" ref="J2305:L2305" si="474">$F2305 &amp; ". "&amp;G2305</f>
        <v>474. How much does ${hoh_member_act_name} earn from this activity during an average week (that they are engaged in ${hoh_member_other_activity_name})?</v>
      </c>
      <c r="K2305" s="180" t="str">
        <f t="shared" si="474"/>
        <v>474. Combien ${hoh_member_act_name} gagne-t-il grâce à cette activité au cours d'une semaine en moyenne (pendant laquelle il est engagé comme ${hoh_member_other_activity_name}) ?</v>
      </c>
      <c r="L2305" s="180" t="str">
        <f t="shared" si="474"/>
        <v>474. A takaice nawa ${hoh_member_act_name} yake samu daga wannan aiki a cikin sati (a lokacin da suke cikin aikin ${hoh_member_other_activity_name})?</v>
      </c>
    </row>
    <row r="2306">
      <c r="A2306" s="291" t="s">
        <v>268</v>
      </c>
      <c r="B2306" s="292" t="s">
        <v>6279</v>
      </c>
      <c r="C2306" s="45" t="s">
        <v>6280</v>
      </c>
      <c r="D2306" s="45" t="s">
        <v>6281</v>
      </c>
      <c r="E2306" s="45" t="s">
        <v>6282</v>
      </c>
      <c r="F2306" s="187">
        <v>475.0</v>
      </c>
      <c r="G2306" s="180" t="str">
        <f>IFERROR(__xludf.DUMMYFUNCTION("TRIM(REGEXREPLACE(C2306, ""[0-9]+[a-f]?\."", """"))"),"Think about the past 3 months how many weeks did they engage in ${hoh_member_other_activity_name}?")</f>
        <v>Think about the past 3 months how many weeks did they engage in ${hoh_member_other_activity_name}?</v>
      </c>
      <c r="H2306" s="180" t="str">
        <f>IFERROR(__xludf.DUMMYFUNCTION("TRIM(REGEXREPLACE(D2306, ""[0-9]+[a-f]?\."", """"))"),"Pensez aux 3 derniers mois, combien de semaines ont-ils participé à ${hoh_member_other_activity_name} ?")</f>
        <v>Pensez aux 3 derniers mois, combien de semaines ont-ils participé à ${hoh_member_other_activity_name} ?</v>
      </c>
      <c r="I2306" s="180" t="str">
        <f>IFERROR(__xludf.DUMMYFUNCTION("TRIM(REGEXREPLACE(E2306, ""[0-9]+[a-f]?\."", """"))"),"A watanni 3 da suka gabata, sati nawa suka yi aikin ${hoh_member_other_activity_name}?")</f>
        <v>A watanni 3 da suka gabata, sati nawa suka yi aikin ${hoh_member_other_activity_name}?</v>
      </c>
      <c r="J2306" s="180" t="str">
        <f t="shared" ref="J2306:L2306" si="475">$F2306 &amp; ". "&amp;G2306</f>
        <v>475. Think about the past 3 months how many weeks did they engage in ${hoh_member_other_activity_name}?</v>
      </c>
      <c r="K2306" s="180" t="str">
        <f t="shared" si="475"/>
        <v>475. Pensez aux 3 derniers mois, combien de semaines ont-ils participé à ${hoh_member_other_activity_name} ?</v>
      </c>
      <c r="L2306" s="180" t="str">
        <f t="shared" si="475"/>
        <v>475. A watanni 3 da suka gabata, sati nawa suka yi aikin ${hoh_member_other_activity_name}?</v>
      </c>
    </row>
    <row r="2307">
      <c r="A2307" s="291" t="s">
        <v>268</v>
      </c>
      <c r="B2307" s="292" t="s">
        <v>6283</v>
      </c>
      <c r="C2307" s="45" t="s">
        <v>6284</v>
      </c>
      <c r="D2307" s="45" t="s">
        <v>6285</v>
      </c>
      <c r="E2307" s="45" t="s">
        <v>6286</v>
      </c>
      <c r="F2307" s="187">
        <v>476.0</v>
      </c>
      <c r="G2307" s="180" t="str">
        <f>IFERROR(__xludf.DUMMYFUNCTION("TRIM(REGEXREPLACE(C2307,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2307" s="180" t="str">
        <f>IFERROR(__xludf.DUMMYFUNCTION("TRIM(REGEXREPLACE(D2307,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2307" s="180" t="str">
        <f>IFERROR(__xludf.DUMMYFUNCTION("TRIM(REGEXREPLACE(E2307, ""[0-9]+[a-f]?\."", """"))"),"Ko za ku iya kimanta gudunmawar kuɗi da kaya da ${hoh_member_act_name} ya kawo gidan a cikin sati guda (banda aiki)?")</f>
        <v>Ko za ku iya kimanta gudunmawar kuɗi da kaya da ${hoh_member_act_name} ya kawo gidan a cikin sati guda (banda aiki)?</v>
      </c>
      <c r="J2307" s="180" t="str">
        <f t="shared" ref="J2307:L2307" si="476">$F2307 &amp; ". "&amp;G2307</f>
        <v>476. Can you estimate how much ${hoh_member_act_name} contributes to the household common pot in a typical week (excluding labor) including both cash and in goods?</v>
      </c>
      <c r="K2307" s="180" t="str">
        <f t="shared" si="476"/>
        <v>476. Pouvez-vous estimer la contribution de ${hoh_member_act_name} au fond commun du ménage au cours d'une semaine normale (hors main-d'œuvre), y compris en espèces et en nature ?</v>
      </c>
      <c r="L2307" s="180" t="str">
        <f t="shared" si="476"/>
        <v>476. Ko za ku iya kimanta gudunmawar kuɗi da kaya da ${hoh_member_act_name} ya kawo gidan a cikin sati guda (banda aiki)?</v>
      </c>
    </row>
    <row r="2308" hidden="1">
      <c r="A2308" s="285" t="s">
        <v>468</v>
      </c>
      <c r="B2308" s="185" t="s">
        <v>6259</v>
      </c>
      <c r="C2308" s="185" t="s">
        <v>6260</v>
      </c>
      <c r="D2308" s="185" t="s">
        <v>6261</v>
      </c>
      <c r="E2308" s="185" t="s">
        <v>6262</v>
      </c>
    </row>
    <row r="2309" hidden="1">
      <c r="A2309" s="168" t="s">
        <v>127</v>
      </c>
      <c r="B2309" s="71" t="s">
        <v>6287</v>
      </c>
      <c r="C2309" s="200"/>
      <c r="D2309" s="200"/>
      <c r="E2309" s="200"/>
    </row>
    <row r="2310" hidden="1">
      <c r="A2310" s="168" t="s">
        <v>68</v>
      </c>
      <c r="B2310" s="71" t="s">
        <v>6288</v>
      </c>
      <c r="C2310" s="200"/>
      <c r="D2310" s="200"/>
      <c r="E2310" s="200"/>
    </row>
    <row r="2311" hidden="1">
      <c r="A2311" s="320"/>
      <c r="B2311" s="321"/>
      <c r="C2311" s="321"/>
      <c r="D2311" s="321"/>
      <c r="E2311" s="321"/>
    </row>
    <row r="2312" hidden="1">
      <c r="A2312" s="298" t="s">
        <v>133</v>
      </c>
      <c r="B2312" s="299" t="s">
        <v>6289</v>
      </c>
      <c r="C2312" s="299" t="s">
        <v>6290</v>
      </c>
      <c r="D2312" s="300"/>
      <c r="E2312" s="300"/>
    </row>
    <row r="2313" hidden="1">
      <c r="A2313" s="168" t="s">
        <v>127</v>
      </c>
      <c r="B2313" s="71" t="s">
        <v>6292</v>
      </c>
      <c r="C2313" s="200"/>
      <c r="D2313" s="200"/>
      <c r="E2313" s="200"/>
    </row>
    <row r="2314">
      <c r="A2314" s="280" t="s">
        <v>2509</v>
      </c>
      <c r="B2314" s="281" t="s">
        <v>6293</v>
      </c>
      <c r="C2314" s="45" t="s">
        <v>6294</v>
      </c>
      <c r="D2314" s="45" t="s">
        <v>6295</v>
      </c>
      <c r="E2314" s="45" t="s">
        <v>6296</v>
      </c>
      <c r="F2314" s="187">
        <v>477.0</v>
      </c>
      <c r="G2314" s="180" t="str">
        <f>IFERROR(__xludf.DUMMYFUNCTION("TRIM(REGEXREPLACE(C2314,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2314" s="180" t="str">
        <f>IFERROR(__xludf.DUMMYFUNCTION("TRIM(REGEXREPLACE(D2314,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2314" s="180" t="str">
        <f>IFERROR(__xludf.DUMMYFUNCTION("TRIM(REGEXREPLACE(E2314,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2314" s="180" t="str">
        <f t="shared" ref="J2314:L2314" si="477">$F2314 &amp; ". "&amp;G2314</f>
        <v>477. In the past three months, have you or anyone in your household received money from someone who is not a member of your household and who lives elsewhere in Niger (outside your village)?</v>
      </c>
      <c r="K2314" s="180" t="str">
        <f t="shared" si="477"/>
        <v>477. Au cours des trois derniers mois, vous ou un membre de votre ménage avez reçu &lt;b&gt;de l'argent&lt;/b&gt; d'une personne qui n'est pas membre de votre ménage et qui habite &lt;b&gt;ailleurs au Niger&lt;/b&gt; (en dehors de votre village)?</v>
      </c>
      <c r="L2314" s="180" t="str">
        <f t="shared" si="477"/>
        <v>477. A cikin watanni uku da suka wuce, kai ko ɗan gidanku kun samu kuɗi daga wani da ba ɗan gidanku ba wanda yake zaune a wani gari a Nijar (wajen kauyenku)?</v>
      </c>
    </row>
    <row r="2315">
      <c r="A2315" s="291" t="s">
        <v>268</v>
      </c>
      <c r="B2315" s="292" t="s">
        <v>6297</v>
      </c>
      <c r="C2315" s="45" t="s">
        <v>6298</v>
      </c>
      <c r="D2315" s="45" t="s">
        <v>6299</v>
      </c>
      <c r="E2315" s="45" t="s">
        <v>6300</v>
      </c>
      <c r="F2315" s="187">
        <v>478.0</v>
      </c>
      <c r="G2315" s="180" t="str">
        <f>IFERROR(__xludf.DUMMYFUNCTION("TRIM(REGEXREPLACE(C2315, ""[0-9]+[a-f]?\."", """"))"),"How much in total did members of your household receive from people elsewhere in Niger (in CFA)?")</f>
        <v>How much in total did members of your household receive from people elsewhere in Niger (in CFA)?</v>
      </c>
      <c r="H2315" s="180" t="str">
        <f>IFERROR(__xludf.DUMMYFUNCTION("TRIM(REGEXREPLACE(D2315, ""[0-9]+[a-f]?\."", """"))"),"Combien au total les membres de votre ménage ont-ils reçu des personnes qui sont quelques part au Niger (en CFA)?")</f>
        <v>Combien au total les membres de votre ménage ont-ils reçu des personnes qui sont quelques part au Niger (en CFA)?</v>
      </c>
      <c r="I2315" s="180" t="str">
        <f>IFERROR(__xludf.DUMMYFUNCTION("TRIM(REGEXREPLACE(E2315, ""[0-9]+[a-f]?\."", """"))"),"Nawa ne ƴan gidanku suka samu daga wasu matanen da ke wani gari a Nijar (in CFA)?")</f>
        <v>Nawa ne ƴan gidanku suka samu daga wasu matanen da ke wani gari a Nijar (in CFA)?</v>
      </c>
      <c r="J2315" s="180" t="str">
        <f t="shared" ref="J2315:L2315" si="478">$F2315 &amp; ". "&amp;G2315</f>
        <v>478. How much in total did members of your household receive from people elsewhere in Niger (in CFA)?</v>
      </c>
      <c r="K2315" s="180" t="str">
        <f t="shared" si="478"/>
        <v>478. Combien au total les membres de votre ménage ont-ils reçu des personnes qui sont quelques part au Niger (en CFA)?</v>
      </c>
      <c r="L2315" s="180" t="str">
        <f t="shared" si="478"/>
        <v>478. Nawa ne ƴan gidanku suka samu daga wasu matanen da ke wani gari a Nijar (in CFA)?</v>
      </c>
    </row>
    <row r="2316">
      <c r="A2316" s="280" t="s">
        <v>6301</v>
      </c>
      <c r="B2316" s="281" t="s">
        <v>6302</v>
      </c>
      <c r="C2316" s="45" t="s">
        <v>6303</v>
      </c>
      <c r="D2316" s="45" t="s">
        <v>6304</v>
      </c>
      <c r="E2316" s="45" t="s">
        <v>6305</v>
      </c>
      <c r="F2316" s="187">
        <v>479.0</v>
      </c>
      <c r="G2316" s="180" t="str">
        <f>IFERROR(__xludf.DUMMYFUNCTION("TRIM(REGEXREPLACE(C2316, ""[0-9]+[a-f]?\."", """"))"),"How was this money transmitted to your household?")</f>
        <v>How was this money transmitted to your household?</v>
      </c>
      <c r="H2316" s="180" t="str">
        <f>IFERROR(__xludf.DUMMYFUNCTION("TRIM(REGEXREPLACE(D2316, ""[0-9]+[a-f]?\."", """"))"),"Comment cet argent a-t-il été envoyé à votre ménage ?")</f>
        <v>Comment cet argent a-t-il été envoyé à votre ménage ?</v>
      </c>
      <c r="I2316" s="180" t="str">
        <f>IFERROR(__xludf.DUMMYFUNCTION("TRIM(REGEXREPLACE(E2316, ""[0-9]+[a-f]?\."", """"))"),"Ta wace hanya aka aikawa gidanku wannan kuɗin ?")</f>
        <v>Ta wace hanya aka aikawa gidanku wannan kuɗin ?</v>
      </c>
      <c r="J2316" s="180" t="str">
        <f t="shared" ref="J2316:L2316" si="479">$F2316 &amp; ". "&amp;G2316</f>
        <v>479. How was this money transmitted to your household?</v>
      </c>
      <c r="K2316" s="180" t="str">
        <f t="shared" si="479"/>
        <v>479. Comment cet argent a-t-il été envoyé à votre ménage ?</v>
      </c>
      <c r="L2316" s="180" t="str">
        <f t="shared" si="479"/>
        <v>479. Ta wace hanya aka aikawa gidanku wannan kuɗin ?</v>
      </c>
    </row>
    <row r="2317">
      <c r="A2317" s="282" t="s">
        <v>252</v>
      </c>
      <c r="B2317" s="283" t="s">
        <v>6306</v>
      </c>
      <c r="C2317" s="45" t="s">
        <v>6307</v>
      </c>
      <c r="D2317" s="45" t="s">
        <v>6308</v>
      </c>
      <c r="E2317" s="45" t="s">
        <v>6309</v>
      </c>
      <c r="F2317" s="187">
        <v>480.0</v>
      </c>
      <c r="G2317" s="180" t="str">
        <f>IFERROR(__xludf.DUMMYFUNCTION("TRIM(REGEXREPLACE(C2317, ""[0-9]+[a-f]?\."", """"))"),"Specify other transfer method")</f>
        <v>Specify other transfer method</v>
      </c>
      <c r="H2317" s="180" t="str">
        <f>IFERROR(__xludf.DUMMYFUNCTION("TRIM(REGEXREPLACE(D2317, ""[0-9]+[a-f]?\."", """"))"),"Précisez la méthode du transfert")</f>
        <v>Précisez la méthode du transfert</v>
      </c>
      <c r="I2317" s="180" t="str">
        <f>IFERROR(__xludf.DUMMYFUNCTION("TRIM(REGEXREPLACE(E2317, ""[0-9]+[a-f]?\."", """"))"),"Wani daban a Bayyana")</f>
        <v>Wani daban a Bayyana</v>
      </c>
      <c r="J2317" s="180" t="str">
        <f t="shared" ref="J2317:L2317" si="480">$F2317 &amp; ". "&amp;G2317</f>
        <v>480. Specify other transfer method</v>
      </c>
      <c r="K2317" s="180" t="str">
        <f t="shared" si="480"/>
        <v>480. Précisez la méthode du transfert</v>
      </c>
      <c r="L2317" s="180" t="str">
        <f t="shared" si="480"/>
        <v>480. Wani daban a Bayyana</v>
      </c>
    </row>
    <row r="2318">
      <c r="A2318" s="280" t="s">
        <v>2509</v>
      </c>
      <c r="B2318" s="281" t="s">
        <v>6310</v>
      </c>
      <c r="C2318" s="45" t="s">
        <v>6311</v>
      </c>
      <c r="D2318" s="45" t="s">
        <v>6312</v>
      </c>
      <c r="E2318" s="45" t="s">
        <v>6314</v>
      </c>
      <c r="F2318" s="187">
        <v>481.0</v>
      </c>
      <c r="G2318" s="180" t="str">
        <f>IFERROR(__xludf.DUMMYFUNCTION("TRIM(REGEXREPLACE(C2318,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2318" s="180" t="str">
        <f>IFERROR(__xludf.DUMMYFUNCTION("TRIM(REGEXREPLACE(D2318,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2318" s="180" t="str">
        <f>IFERROR(__xludf.DUMMYFUNCTION("TRIM(REGEXREPLACE(E2318,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2318" s="180" t="str">
        <f t="shared" ref="J2318:L2318" si="481">$F2318 &amp; ". "&amp;G2318</f>
        <v>481. In the past three months, have you or anyone in your household received goods (payment in kind) from someone who is not a member of your household and who lives elsewhere in Niger (outside your village)?</v>
      </c>
      <c r="K2318" s="180" t="str">
        <f t="shared" si="481"/>
        <v>481. Au cours des trois derniers mois, vous ou un membre de votre ménage avez reçu &lt;b&gt;des biens&lt;/b&gt; (paiement en nature) d'une personne qui n'est pas membre de votre ménage et qui habite &lt;b&gt;ailleurs au Niger&lt;/b&gt; (en dehors de votre village)?</v>
      </c>
      <c r="L2318" s="180" t="str">
        <f t="shared" si="481"/>
        <v>481. A cikin watanni ukun da suka wuce, kai ko wani a cikin gidanku kun karɓi kaya (a matsayin biya) daga wani wanda ba ɗan gidanku ba ne kuma yana zaune a wani wuri a Nijar (Ba'a garinku ba)?</v>
      </c>
    </row>
    <row r="2319">
      <c r="A2319" s="291" t="s">
        <v>268</v>
      </c>
      <c r="B2319" s="292" t="s">
        <v>6315</v>
      </c>
      <c r="C2319" s="45" t="s">
        <v>6316</v>
      </c>
      <c r="D2319" s="45" t="s">
        <v>6317</v>
      </c>
      <c r="E2319" s="45" t="s">
        <v>6318</v>
      </c>
      <c r="F2319" s="187">
        <v>482.0</v>
      </c>
      <c r="G2319" s="180" t="str">
        <f>IFERROR(__xludf.DUMMYFUNCTION("TRIM(REGEXREPLACE(C2319, ""[0-9]+[a-f]?\."", """"))"),"What was the value of the goods members of your household receive from people elsewhere in Niger (in CFA)?")</f>
        <v>What was the value of the goods members of your household receive from people elsewhere in Niger (in CFA)?</v>
      </c>
      <c r="H2319" s="180" t="str">
        <f>IFERROR(__xludf.DUMMYFUNCTION("TRIM(REGEXREPLACE(D2319, ""[0-9]+[a-f]?\."", """"))"),"Quel était la valeur au totale des biens que les membres de votre ménage ont reçu des personnes qui sont quelques part au Niger 
 (en CFA)?")</f>
        <v>Quel était la valeur au totale des biens que les membres de votre ménage ont reçu des personnes qui sont quelques part au Niger 
 (en CFA)?</v>
      </c>
      <c r="I2319" s="180" t="str">
        <f>IFERROR(__xludf.DUMMYFUNCTION("TRIM(REGEXREPLACE(E2319, ""[0-9]+[a-f]?\."", """"))"),"Nawa kimar kayayyakin da ƴan gidanku suka karba daga wasu mutane a wasu wurare a Nijar (in CFA)?")</f>
        <v>Nawa kimar kayayyakin da ƴan gidanku suka karba daga wasu mutane a wasu wurare a Nijar (in CFA)?</v>
      </c>
      <c r="J2319" s="180" t="str">
        <f t="shared" ref="J2319:L2319" si="482">$F2319 &amp; ". "&amp;G2319</f>
        <v>482. What was the value of the goods members of your household receive from people elsewhere in Niger (in CFA)?</v>
      </c>
      <c r="K2319" s="180" t="str">
        <f t="shared" si="482"/>
        <v>482. Quel était la valeur au totale des biens que les membres de votre ménage ont reçu des personnes qui sont quelques part au Niger 
 (en CFA)?</v>
      </c>
      <c r="L2319" s="180" t="str">
        <f t="shared" si="482"/>
        <v>482. Nawa kimar kayayyakin da ƴan gidanku suka karba daga wasu mutane a wasu wurare a Nijar (in CFA)?</v>
      </c>
    </row>
    <row r="2320">
      <c r="A2320" s="280" t="s">
        <v>6319</v>
      </c>
      <c r="B2320" s="281" t="s">
        <v>6320</v>
      </c>
      <c r="C2320" s="45" t="s">
        <v>6321</v>
      </c>
      <c r="D2320" s="45" t="s">
        <v>6323</v>
      </c>
      <c r="E2320" s="45" t="s">
        <v>6324</v>
      </c>
      <c r="F2320" s="187">
        <v>483.0</v>
      </c>
      <c r="G2320" s="180" t="str">
        <f>IFERROR(__xludf.DUMMYFUNCTION("TRIM(REGEXREPLACE(C2320, ""[0-9]+[a-f]?\."", """"))"),"How were these goods transmitted to your household?")</f>
        <v>How were these goods transmitted to your household?</v>
      </c>
      <c r="H2320" s="180" t="str">
        <f>IFERROR(__xludf.DUMMYFUNCTION("TRIM(REGEXREPLACE(D2320, ""[0-9]+[a-f]?\."", """"))"),"Comment ces biens ont-ils été envoyé à votre ménage ?")</f>
        <v>Comment ces biens ont-ils été envoyé à votre ménage ?</v>
      </c>
      <c r="I2320" s="180" t="str">
        <f>IFERROR(__xludf.DUMMYFUNCTION("TRIM(REGEXREPLACE(E2320, ""[0-9]+[a-f]?\."", """"))"),"Ta yaya aka aika waɗannan kayayyakin zuwa gidanku?")</f>
        <v>Ta yaya aka aika waɗannan kayayyakin zuwa gidanku?</v>
      </c>
      <c r="J2320" s="180" t="str">
        <f t="shared" ref="J2320:L2320" si="483">$F2320 &amp; ". "&amp;G2320</f>
        <v>483. How were these goods transmitted to your household?</v>
      </c>
      <c r="K2320" s="180" t="str">
        <f t="shared" si="483"/>
        <v>483. Comment ces biens ont-ils été envoyé à votre ménage ?</v>
      </c>
      <c r="L2320" s="180" t="str">
        <f t="shared" si="483"/>
        <v>483. Ta yaya aka aika waɗannan kayayyakin zuwa gidanku?</v>
      </c>
    </row>
    <row r="2321">
      <c r="A2321" s="282" t="s">
        <v>252</v>
      </c>
      <c r="B2321" s="283" t="s">
        <v>6374</v>
      </c>
      <c r="C2321" s="45" t="s">
        <v>6375</v>
      </c>
      <c r="D2321" s="45" t="s">
        <v>6376</v>
      </c>
      <c r="E2321" s="45" t="s">
        <v>6377</v>
      </c>
      <c r="F2321" s="187">
        <v>484.0</v>
      </c>
      <c r="G2321" s="180" t="str">
        <f>IFERROR(__xludf.DUMMYFUNCTION("TRIM(REGEXREPLACE(C2321, ""[0-9]+[a-f]?\."", """"))"),"Specify other transfer method")</f>
        <v>Specify other transfer method</v>
      </c>
      <c r="H2321" s="180" t="str">
        <f>IFERROR(__xludf.DUMMYFUNCTION("TRIM(REGEXREPLACE(D2321, ""[0-9]+[a-f]?\."", """"))"),"Précisez la méthode du transfert")</f>
        <v>Précisez la méthode du transfert</v>
      </c>
      <c r="I2321" s="180" t="str">
        <f>IFERROR(__xludf.DUMMYFUNCTION("TRIM(REGEXREPLACE(E2321, ""[0-9]+[a-f]?\."", """"))"),"Wani daban a Bayyana")</f>
        <v>Wani daban a Bayyana</v>
      </c>
      <c r="J2321" s="180" t="str">
        <f t="shared" ref="J2321:L2321" si="484">$F2321 &amp; ". "&amp;G2321</f>
        <v>484. Specify other transfer method</v>
      </c>
      <c r="K2321" s="180" t="str">
        <f t="shared" si="484"/>
        <v>484. Précisez la méthode du transfert</v>
      </c>
      <c r="L2321" s="180" t="str">
        <f t="shared" si="484"/>
        <v>484. Wani daban a Bayyana</v>
      </c>
    </row>
    <row r="2322">
      <c r="A2322" s="280" t="s">
        <v>2509</v>
      </c>
      <c r="B2322" s="281" t="s">
        <v>6378</v>
      </c>
      <c r="C2322" s="45" t="s">
        <v>4327</v>
      </c>
      <c r="D2322" s="45" t="s">
        <v>4328</v>
      </c>
      <c r="E2322" s="45" t="s">
        <v>4329</v>
      </c>
      <c r="F2322" s="187">
        <v>485.0</v>
      </c>
      <c r="G2322" s="180" t="str">
        <f>IFERROR(__xludf.DUMMYFUNCTION("TRIM(REGEXREPLACE(C2322,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2322" s="180" t="str">
        <f>IFERROR(__xludf.DUMMYFUNCTION("TRIM(REGEXREPLACE(D2322,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2322" s="180" t="str">
        <f>IFERROR(__xludf.DUMMYFUNCTION("TRIM(REGEXREPLACE(E2322,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2322" s="180" t="str">
        <f t="shared" ref="J2322:L2322" si="485">$F2322 &amp; ". "&amp;G2322</f>
        <v>485. In the past three months, have you or anyone in your household received money from someone who is not a member of your household and who lives in a foreign country (outside of Niger)?</v>
      </c>
      <c r="K2322" s="180" t="str">
        <f t="shared" si="485"/>
        <v>485. Au cours des trois derniers mois, vous ou un membre de votre ménage avez-vous reçu &lt;b&gt;de l'argent&lt;/b&gt; d'une personne qui n'est pas membre de votre ménage et qui habite &lt;b&gt;à l'extérieur du Niger&lt;/b&gt; (dans un autre pays)?</v>
      </c>
      <c r="L2322" s="180" t="str">
        <f t="shared" si="485"/>
        <v>485. A cikin watanni uku da suka wuce, kai ko dan gidanku kun samu kuɗi daga wanda ba dan gidanku ba da ke zaune a ƙetaren Nijar (a wata kasa)?</v>
      </c>
    </row>
    <row r="2323">
      <c r="A2323" s="291" t="s">
        <v>268</v>
      </c>
      <c r="B2323" s="292" t="s">
        <v>6379</v>
      </c>
      <c r="C2323" s="45" t="s">
        <v>4331</v>
      </c>
      <c r="D2323" s="45" t="s">
        <v>4332</v>
      </c>
      <c r="E2323" s="45" t="s">
        <v>4333</v>
      </c>
      <c r="F2323" s="187">
        <v>486.0</v>
      </c>
      <c r="G2323" s="180" t="str">
        <f>IFERROR(__xludf.DUMMYFUNCTION("TRIM(REGEXREPLACE(C2323, ""[0-9]+[a-f]?\."", """"))"),"How much in total did members of your household receive from people out of Niger?")</f>
        <v>How much in total did members of your household receive from people out of Niger?</v>
      </c>
      <c r="H2323" s="180" t="str">
        <f>IFERROR(__xludf.DUMMYFUNCTION("TRIM(REGEXREPLACE(D2323, ""[0-9]+[a-f]?\."", """"))"),"Combien au total les membres de votre ménage ont-ils reçu des personnes qui ne sont pas au Niger ?")</f>
        <v>Combien au total les membres de votre ménage ont-ils reçu des personnes qui ne sont pas au Niger ?</v>
      </c>
      <c r="I2323" s="180" t="str">
        <f>IFERROR(__xludf.DUMMYFUNCTION("TRIM(REGEXREPLACE(E2323, ""[0-9]+[a-f]?\."", """"))"),"Nawa ne yan gidanku ya samu daga mutanen da ke zaune a ƙasar waje ba Nijar ba?")</f>
        <v>Nawa ne yan gidanku ya samu daga mutanen da ke zaune a ƙasar waje ba Nijar ba?</v>
      </c>
      <c r="J2323" s="180" t="str">
        <f t="shared" ref="J2323:L2323" si="486">$F2323 &amp; ". "&amp;G2323</f>
        <v>486. How much in total did members of your household receive from people out of Niger?</v>
      </c>
      <c r="K2323" s="180" t="str">
        <f t="shared" si="486"/>
        <v>486. Combien au total les membres de votre ménage ont-ils reçu des personnes qui ne sont pas au Niger ?</v>
      </c>
      <c r="L2323" s="180" t="str">
        <f t="shared" si="486"/>
        <v>486. Nawa ne yan gidanku ya samu daga mutanen da ke zaune a ƙasar waje ba Nijar ba?</v>
      </c>
    </row>
    <row r="2324">
      <c r="A2324" s="280" t="s">
        <v>6301</v>
      </c>
      <c r="B2324" s="281" t="s">
        <v>6380</v>
      </c>
      <c r="C2324" s="45" t="s">
        <v>6381</v>
      </c>
      <c r="D2324" s="45" t="s">
        <v>6382</v>
      </c>
      <c r="E2324" s="45" t="s">
        <v>6383</v>
      </c>
      <c r="F2324" s="187">
        <v>487.0</v>
      </c>
      <c r="G2324" s="180" t="str">
        <f>IFERROR(__xludf.DUMMYFUNCTION("TRIM(REGEXREPLACE(C2324, ""[0-9]+[a-f]?\."", """"))"),"How was this money transmitted to your household?")</f>
        <v>How was this money transmitted to your household?</v>
      </c>
      <c r="H2324" s="180" t="str">
        <f>IFERROR(__xludf.DUMMYFUNCTION("TRIM(REGEXREPLACE(D2324, ""[0-9]+[a-f]?\."", """"))"),"Comment cet argent a-t-il été envoyé à votre ménage ?")</f>
        <v>Comment cet argent a-t-il été envoyé à votre ménage ?</v>
      </c>
      <c r="I2324" s="180" t="str">
        <f>IFERROR(__xludf.DUMMYFUNCTION("TRIM(REGEXREPLACE(E2324, ""[0-9]+[a-f]?\."", """"))"),"Ta wace hanya aka aikawa gidanku wannan kuɗin ?")</f>
        <v>Ta wace hanya aka aikawa gidanku wannan kuɗin ?</v>
      </c>
      <c r="J2324" s="180" t="str">
        <f t="shared" ref="J2324:L2324" si="487">$F2324 &amp; ". "&amp;G2324</f>
        <v>487. How was this money transmitted to your household?</v>
      </c>
      <c r="K2324" s="180" t="str">
        <f t="shared" si="487"/>
        <v>487. Comment cet argent a-t-il été envoyé à votre ménage ?</v>
      </c>
      <c r="L2324" s="180" t="str">
        <f t="shared" si="487"/>
        <v>487. Ta wace hanya aka aikawa gidanku wannan kuɗin ?</v>
      </c>
    </row>
    <row r="2325">
      <c r="A2325" s="282" t="s">
        <v>252</v>
      </c>
      <c r="B2325" s="283" t="s">
        <v>6384</v>
      </c>
      <c r="C2325" s="45" t="s">
        <v>4350</v>
      </c>
      <c r="D2325" s="45" t="s">
        <v>4351</v>
      </c>
      <c r="E2325" s="45" t="s">
        <v>4352</v>
      </c>
      <c r="F2325" s="187">
        <v>488.0</v>
      </c>
      <c r="G2325" s="180" t="str">
        <f>IFERROR(__xludf.DUMMYFUNCTION("TRIM(REGEXREPLACE(C2325, ""[0-9]+[a-f]?\."", """"))"),"Specify other transfer method")</f>
        <v>Specify other transfer method</v>
      </c>
      <c r="H2325" s="180" t="str">
        <f>IFERROR(__xludf.DUMMYFUNCTION("TRIM(REGEXREPLACE(D2325, ""[0-9]+[a-f]?\."", """"))"),"Précisez la méthode du transfert")</f>
        <v>Précisez la méthode du transfert</v>
      </c>
      <c r="I2325" s="180" t="str">
        <f>IFERROR(__xludf.DUMMYFUNCTION("TRIM(REGEXREPLACE(E2325, ""[0-9]+[a-f]?\."", """"))"),"Wani daban a Bayyana")</f>
        <v>Wani daban a Bayyana</v>
      </c>
      <c r="J2325" s="180" t="str">
        <f t="shared" ref="J2325:L2325" si="488">$F2325 &amp; ". "&amp;G2325</f>
        <v>488. Specify other transfer method</v>
      </c>
      <c r="K2325" s="180" t="str">
        <f t="shared" si="488"/>
        <v>488. Précisez la méthode du transfert</v>
      </c>
      <c r="L2325" s="180" t="str">
        <f t="shared" si="488"/>
        <v>488. Wani daban a Bayyana</v>
      </c>
    </row>
    <row r="2326">
      <c r="A2326" s="280" t="s">
        <v>2509</v>
      </c>
      <c r="B2326" s="281" t="s">
        <v>6385</v>
      </c>
      <c r="C2326" s="45" t="s">
        <v>4360</v>
      </c>
      <c r="D2326" s="45" t="s">
        <v>4362</v>
      </c>
      <c r="E2326" s="45" t="s">
        <v>4364</v>
      </c>
      <c r="F2326" s="187">
        <v>489.0</v>
      </c>
      <c r="G2326" s="180" t="str">
        <f>IFERROR(__xludf.DUMMYFUNCTION("TRIM(REGEXREPLACE(C2326,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2326" s="180" t="str">
        <f>IFERROR(__xludf.DUMMYFUNCTION("TRIM(REGEXREPLACE(D2326,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2326" s="180" t="str">
        <f>IFERROR(__xludf.DUMMYFUNCTION("TRIM(REGEXREPLACE(E2326,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2326" s="180" t="str">
        <f t="shared" ref="J2326:L2326" si="489">$F2326 &amp; ". "&amp;G2326</f>
        <v>489. In the past three months, have you or anyone in your household received goods (payment in kind) from someone who is not a member of your household and who lives in a foreign country (outside of Niger)?</v>
      </c>
      <c r="K2326" s="180" t="str">
        <f t="shared" si="489"/>
        <v>489. Au cours des trois derniers mois, vous ou un membre de votre ménage avez reçu &lt;b&gt;des biens&lt;/b&gt; (paiement en nature) d'une personne qui n'est pas membre de votre ménage et qui habite &lt;b&gt;à l'extérieur du Niger&lt;/b&gt; (dans un autre pays)?</v>
      </c>
      <c r="L2326" s="180" t="str">
        <f t="shared" si="489"/>
        <v>489. A cikin wata uku da suka wuce, kai ko wani a cikin gidanku an baku wasu kaya (a matsayin biya) daga wani wanda ba ɗan gidanku ba da ke zaune a ƙetaren Nijar (a wata kasa)?</v>
      </c>
    </row>
    <row r="2327">
      <c r="A2327" s="291" t="s">
        <v>268</v>
      </c>
      <c r="B2327" s="292" t="s">
        <v>6390</v>
      </c>
      <c r="C2327" s="45" t="s">
        <v>6391</v>
      </c>
      <c r="D2327" s="45" t="s">
        <v>6392</v>
      </c>
      <c r="E2327" s="45" t="s">
        <v>6393</v>
      </c>
      <c r="F2327" s="187">
        <v>490.0</v>
      </c>
      <c r="G2327" s="180" t="str">
        <f>IFERROR(__xludf.DUMMYFUNCTION("TRIM(REGEXREPLACE(C2327, ""[0-9]+[a-f]?\."", """"))"),"What was the value of the goods members of your household receive from people out of Niger?")</f>
        <v>What was the value of the goods members of your household receive from people out of Niger?</v>
      </c>
      <c r="H2327" s="180" t="str">
        <f>IFERROR(__xludf.DUMMYFUNCTION("TRIM(REGEXREPLACE(D2327, ""[0-9]+[a-f]?\."", """"))"),"Quel était la valeur au totale des biens que les membres de votre ménage ont reçu des personnes qui ne sont pas au Niger ?")</f>
        <v>Quel était la valeur au totale des biens que les membres de votre ménage ont reçu des personnes qui ne sont pas au Niger ?</v>
      </c>
      <c r="I2327" s="180" t="str">
        <f>IFERROR(__xludf.DUMMYFUNCTION("TRIM(REGEXREPLACE(E2327, ""[0-9]+[a-f]?\."", """"))"),"Nawa kimar kayan da ƴan gidanku suka samo daga mutanen da ke zaune a ƙasar waje ba Nijar ba?")</f>
        <v>Nawa kimar kayan da ƴan gidanku suka samo daga mutanen da ke zaune a ƙasar waje ba Nijar ba?</v>
      </c>
      <c r="J2327" s="180" t="str">
        <f t="shared" ref="J2327:L2327" si="490">$F2327 &amp; ". "&amp;G2327</f>
        <v>490. What was the value of the goods members of your household receive from people out of Niger?</v>
      </c>
      <c r="K2327" s="180" t="str">
        <f t="shared" si="490"/>
        <v>490. Quel était la valeur au totale des biens que les membres de votre ménage ont reçu des personnes qui ne sont pas au Niger ?</v>
      </c>
      <c r="L2327" s="180" t="str">
        <f t="shared" si="490"/>
        <v>490. Nawa kimar kayan da ƴan gidanku suka samo daga mutanen da ke zaune a ƙasar waje ba Nijar ba?</v>
      </c>
    </row>
    <row r="2328">
      <c r="A2328" s="280" t="s">
        <v>6319</v>
      </c>
      <c r="B2328" s="281" t="s">
        <v>6399</v>
      </c>
      <c r="C2328" s="45" t="s">
        <v>4371</v>
      </c>
      <c r="D2328" s="45" t="s">
        <v>4373</v>
      </c>
      <c r="E2328" s="45" t="s">
        <v>4375</v>
      </c>
      <c r="F2328" s="187">
        <v>491.0</v>
      </c>
      <c r="G2328" s="180" t="str">
        <f>IFERROR(__xludf.DUMMYFUNCTION("TRIM(REGEXREPLACE(C2328, ""[0-9]+[a-f]?\."", """"))"),"How were these goods transmitted to your household?")</f>
        <v>How were these goods transmitted to your household?</v>
      </c>
      <c r="H2328" s="180" t="str">
        <f>IFERROR(__xludf.DUMMYFUNCTION("TRIM(REGEXREPLACE(D2328, ""[0-9]+[a-f]?\."", """"))"),"Comment ces biens ont-ils été envoyé à votre ménage ?")</f>
        <v>Comment ces biens ont-ils été envoyé à votre ménage ?</v>
      </c>
      <c r="I2328" s="180" t="str">
        <f>IFERROR(__xludf.DUMMYFUNCTION("TRIM(REGEXREPLACE(E2328, ""[0-9]+[a-f]?\."", """"))"),"Ta yaya aka aika waɗannan kayan zuwa gidanku?")</f>
        <v>Ta yaya aka aika waɗannan kayan zuwa gidanku?</v>
      </c>
      <c r="J2328" s="180" t="str">
        <f t="shared" ref="J2328:L2328" si="491">$F2328 &amp; ". "&amp;G2328</f>
        <v>491. How were these goods transmitted to your household?</v>
      </c>
      <c r="K2328" s="180" t="str">
        <f t="shared" si="491"/>
        <v>491. Comment ces biens ont-ils été envoyé à votre ménage ?</v>
      </c>
      <c r="L2328" s="180" t="str">
        <f t="shared" si="491"/>
        <v>491. Ta yaya aka aika waɗannan kayan zuwa gidanku?</v>
      </c>
    </row>
    <row r="2329">
      <c r="A2329" s="282" t="s">
        <v>252</v>
      </c>
      <c r="B2329" s="283" t="s">
        <v>6404</v>
      </c>
      <c r="C2329" s="45" t="s">
        <v>6405</v>
      </c>
      <c r="D2329" s="45" t="s">
        <v>6406</v>
      </c>
      <c r="E2329" s="45" t="s">
        <v>6409</v>
      </c>
      <c r="F2329" s="187">
        <v>492.0</v>
      </c>
      <c r="G2329" s="180" t="str">
        <f>IFERROR(__xludf.DUMMYFUNCTION("TRIM(REGEXREPLACE(C2329, ""[0-9]+[a-f]?\."", """"))"),"Specify other transfer method")</f>
        <v>Specify other transfer method</v>
      </c>
      <c r="H2329" s="180" t="str">
        <f>IFERROR(__xludf.DUMMYFUNCTION("TRIM(REGEXREPLACE(D2329, ""[0-9]+[a-f]?\."", """"))"),"Précisez la méthode du transfert")</f>
        <v>Précisez la méthode du transfert</v>
      </c>
      <c r="I2329" s="180" t="str">
        <f>IFERROR(__xludf.DUMMYFUNCTION("TRIM(REGEXREPLACE(E2329, ""[0-9]+[a-f]?\."", """"))"),"Wani daban a Bayyana")</f>
        <v>Wani daban a Bayyana</v>
      </c>
      <c r="J2329" s="180" t="str">
        <f t="shared" ref="J2329:L2329" si="492">$F2329 &amp; ". "&amp;G2329</f>
        <v>492. Specify other transfer method</v>
      </c>
      <c r="K2329" s="180" t="str">
        <f t="shared" si="492"/>
        <v>492. Précisez la méthode du transfert</v>
      </c>
      <c r="L2329" s="180" t="str">
        <f t="shared" si="492"/>
        <v>492. Wani daban a Bayyana</v>
      </c>
    </row>
    <row r="2330">
      <c r="A2330" s="280" t="s">
        <v>2509</v>
      </c>
      <c r="B2330" s="281" t="s">
        <v>6413</v>
      </c>
      <c r="C2330" s="45" t="s">
        <v>4391</v>
      </c>
      <c r="D2330" s="45" t="s">
        <v>4392</v>
      </c>
      <c r="E2330" s="45" t="s">
        <v>4393</v>
      </c>
      <c r="F2330" s="187">
        <v>493.0</v>
      </c>
      <c r="G2330" s="180" t="str">
        <f>IFERROR(__xludf.DUMMYFUNCTION("TRIM(REGEXREPLACE(C2330,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2330" s="180" t="str">
        <f>IFERROR(__xludf.DUMMYFUNCTION("TRIM(REGEXREPLACE(D2330,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2330" s="180" t="str">
        <f>IFERROR(__xludf.DUMMYFUNCTION("TRIM(REGEXREPLACE(E2330,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2330" s="180" t="str">
        <f t="shared" ref="J2330:L2330" si="493">$F2330 &amp; ". "&amp;G2330</f>
        <v>493. In the past three months, have you or anyone in your household shared or sent money to someone who is not a member of your household and who lives elsewhere in Niger (outside your village)?</v>
      </c>
      <c r="K2330" s="180" t="str">
        <f t="shared" si="493"/>
        <v>493. Au cours des trois derniers mois, vous ou quelqu'un de votre ménage avez-vous partagé ou envoyé &lt;b&gt;de l'argent&lt;/b&gt; à quelqu'un qui n'est pas membre de votre ménage et qui habite &lt;b&gt;ailleurs au Niger&lt;/b&gt;(en dehors de votre village)</v>
      </c>
      <c r="L2330" s="180" t="str">
        <f t="shared" si="493"/>
        <v>493. A cikin watanni uku da suka wuce, kai ko wani a cikin gidanku kun bada ko kun aika kuɗi ga wani wanda ba dan gidanku ba da ke zaune a wani wuri a Nijar (wajen garinku)</v>
      </c>
    </row>
    <row r="2331">
      <c r="A2331" s="291" t="s">
        <v>268</v>
      </c>
      <c r="B2331" s="292" t="s">
        <v>6418</v>
      </c>
      <c r="C2331" s="45" t="s">
        <v>4398</v>
      </c>
      <c r="D2331" s="45" t="s">
        <v>4399</v>
      </c>
      <c r="E2331" s="45" t="s">
        <v>4400</v>
      </c>
      <c r="F2331" s="187">
        <v>494.0</v>
      </c>
      <c r="G2331" s="180" t="str">
        <f>IFERROR(__xludf.DUMMYFUNCTION("TRIM(REGEXREPLACE(C2331, ""[0-9]+[a-f]?\."", """"))"),"How much did your household send to people elsewhere in Niger?")</f>
        <v>How much did your household send to people elsewhere in Niger?</v>
      </c>
      <c r="H2331" s="180" t="str">
        <f>IFERROR(__xludf.DUMMYFUNCTION("TRIM(REGEXREPLACE(D2331, ""[0-9]+[a-f]?\."", """"))"),"Combien votre ménage a-t-il envoyé à des personnes qui sont quelque part au Niger ?")</f>
        <v>Combien votre ménage a-t-il envoyé à des personnes qui sont quelque part au Niger ?</v>
      </c>
      <c r="I2331" s="180" t="str">
        <f>IFERROR(__xludf.DUMMYFUNCTION("TRIM(REGEXREPLACE(E2331, ""[0-9]+[a-f]?\."", """"))"),"Nawa ne gidanku ya aikawa mutanen da ke wasu wurare a Nijar?")</f>
        <v>Nawa ne gidanku ya aikawa mutanen da ke wasu wurare a Nijar?</v>
      </c>
      <c r="J2331" s="180" t="str">
        <f t="shared" ref="J2331:L2331" si="494">$F2331 &amp; ". "&amp;G2331</f>
        <v>494. How much did your household send to people elsewhere in Niger?</v>
      </c>
      <c r="K2331" s="180" t="str">
        <f t="shared" si="494"/>
        <v>494. Combien votre ménage a-t-il envoyé à des personnes qui sont quelque part au Niger ?</v>
      </c>
      <c r="L2331" s="180" t="str">
        <f t="shared" si="494"/>
        <v>494. Nawa ne gidanku ya aikawa mutanen da ke wasu wurare a Nijar?</v>
      </c>
    </row>
    <row r="2332">
      <c r="A2332" s="280" t="s">
        <v>6301</v>
      </c>
      <c r="B2332" s="281" t="s">
        <v>6419</v>
      </c>
      <c r="C2332" s="45" t="s">
        <v>6420</v>
      </c>
      <c r="D2332" s="45" t="s">
        <v>6421</v>
      </c>
      <c r="E2332" s="45" t="s">
        <v>6422</v>
      </c>
      <c r="F2332" s="187">
        <v>495.0</v>
      </c>
      <c r="G2332" s="180" t="str">
        <f>IFERROR(__xludf.DUMMYFUNCTION("TRIM(REGEXREPLACE(C2332, ""[0-9]+[a-f]?\."", """"))"),"How did you transmit the money to the recipient?")</f>
        <v>How did you transmit the money to the recipient?</v>
      </c>
      <c r="H2332" s="180" t="str">
        <f>IFERROR(__xludf.DUMMYFUNCTION("TRIM(REGEXREPLACE(D2332, ""[0-9]+[a-f]?\."", """"))"),"Comment avez-vous envoyé l'argent au destinataire ?")</f>
        <v>Comment avez-vous envoyé l'argent au destinataire ?</v>
      </c>
      <c r="I2332" s="180" t="str">
        <f>IFERROR(__xludf.DUMMYFUNCTION("TRIM(REGEXREPLACE(E2332, ""[0-9]+[a-f]?\."", """"))"),"Ta wace hanya kuka aika kuɗin ga mai karɓa?")</f>
        <v>Ta wace hanya kuka aika kuɗin ga mai karɓa?</v>
      </c>
      <c r="J2332" s="180" t="str">
        <f t="shared" ref="J2332:L2332" si="495">$F2332 &amp; ". "&amp;G2332</f>
        <v>495. How did you transmit the money to the recipient?</v>
      </c>
      <c r="K2332" s="180" t="str">
        <f t="shared" si="495"/>
        <v>495. Comment avez-vous envoyé l'argent au destinataire ?</v>
      </c>
      <c r="L2332" s="180" t="str">
        <f t="shared" si="495"/>
        <v>495. Ta wace hanya kuka aika kuɗin ga mai karɓa?</v>
      </c>
    </row>
    <row r="2333">
      <c r="A2333" s="282" t="s">
        <v>252</v>
      </c>
      <c r="B2333" s="283" t="s">
        <v>6423</v>
      </c>
      <c r="C2333" s="45" t="s">
        <v>4411</v>
      </c>
      <c r="D2333" s="45" t="s">
        <v>4412</v>
      </c>
      <c r="E2333" s="45" t="s">
        <v>4413</v>
      </c>
      <c r="F2333" s="187">
        <v>496.0</v>
      </c>
      <c r="G2333" s="180" t="str">
        <f>IFERROR(__xludf.DUMMYFUNCTION("TRIM(REGEXREPLACE(C2333, ""[0-9]+[a-f]?\."", """"))"),"Specify other transfer method")</f>
        <v>Specify other transfer method</v>
      </c>
      <c r="H2333" s="180" t="str">
        <f>IFERROR(__xludf.DUMMYFUNCTION("TRIM(REGEXREPLACE(D2333, ""[0-9]+[a-f]?\."", """"))"),"Précisez la méthode du transfert")</f>
        <v>Précisez la méthode du transfert</v>
      </c>
      <c r="I2333" s="180" t="str">
        <f>IFERROR(__xludf.DUMMYFUNCTION("TRIM(REGEXREPLACE(E2333, ""[0-9]+[a-f]?\."", """"))"),"Wani daban a Bayyana")</f>
        <v>Wani daban a Bayyana</v>
      </c>
      <c r="J2333" s="180" t="str">
        <f t="shared" ref="J2333:L2333" si="496">$F2333 &amp; ". "&amp;G2333</f>
        <v>496. Specify other transfer method</v>
      </c>
      <c r="K2333" s="180" t="str">
        <f t="shared" si="496"/>
        <v>496. Précisez la méthode du transfert</v>
      </c>
      <c r="L2333" s="180" t="str">
        <f t="shared" si="496"/>
        <v>496. Wani daban a Bayyana</v>
      </c>
    </row>
    <row r="2334">
      <c r="A2334" s="280" t="s">
        <v>2509</v>
      </c>
      <c r="B2334" s="281" t="s">
        <v>6424</v>
      </c>
      <c r="C2334" s="45" t="s">
        <v>4418</v>
      </c>
      <c r="D2334" s="45" t="s">
        <v>4419</v>
      </c>
      <c r="E2334" s="45" t="s">
        <v>4420</v>
      </c>
      <c r="F2334" s="187">
        <v>497.0</v>
      </c>
      <c r="G2334" s="180" t="str">
        <f>IFERROR(__xludf.DUMMYFUNCTION("TRIM(REGEXREPLACE(C2334,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2334" s="180" t="str">
        <f>IFERROR(__xludf.DUMMYFUNCTION("TRIM(REGEXREPLACE(D2334,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2334" s="180" t="str">
        <f>IFERROR(__xludf.DUMMYFUNCTION("TRIM(REGEXREPLACE(E2334,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2334" s="180" t="str">
        <f t="shared" ref="J2334:L2334" si="497">$F2334 &amp; ". "&amp;G2334</f>
        <v>497. In the past three months, have you or anyone in your household shared or sent goods (payment in kind) to someone who is not a member of your household and who lives elsewhere in Niger (outside your village)?</v>
      </c>
      <c r="K2334" s="180" t="str">
        <f t="shared" si="497"/>
        <v>497. Au cours des trois derniers mois, vous ou quelqu'un de votre ménage avez-vous partagé ou envoyé &lt;b&gt;des biens&lt;/b&gt; (paiement en nature) à quelqu'un qui n'est pas membre de votre ménage et qui habite &lt;b&gt;ailleurs au Niger&lt;/b&gt; (en dehors de votre village) ?</v>
      </c>
      <c r="L2334" s="180" t="str">
        <f t="shared" si="497"/>
        <v>497. A cikin watanni uku da suka wuce, kai ko wani a cikin gidanku kun bada ko kun aika kaya (a matsayin biya) ga wanda ba dan giɗanku ba da ke zaune a wani wuri a cikin Nijar (Ba'a garinku ba)?</v>
      </c>
    </row>
    <row r="2335">
      <c r="A2335" s="291" t="s">
        <v>268</v>
      </c>
      <c r="B2335" s="292" t="s">
        <v>6426</v>
      </c>
      <c r="C2335" s="45" t="s">
        <v>6427</v>
      </c>
      <c r="D2335" s="45" t="s">
        <v>6428</v>
      </c>
      <c r="E2335" s="45" t="s">
        <v>6429</v>
      </c>
      <c r="F2335" s="187">
        <v>498.0</v>
      </c>
      <c r="G2335" s="180" t="str">
        <f>IFERROR(__xludf.DUMMYFUNCTION("TRIM(REGEXREPLACE(C2335, ""[0-9]+[a-f]?\."", """"))"),"What was the value of the goods members of your household sent to people elsewhere in Niger?")</f>
        <v>What was the value of the goods members of your household sent to people elsewhere in Niger?</v>
      </c>
      <c r="H2335" s="180" t="str">
        <f>IFERROR(__xludf.DUMMYFUNCTION("TRIM(REGEXREPLACE(D2335,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2335" s="180" t="str">
        <f>IFERROR(__xludf.DUMMYFUNCTION("TRIM(REGEXREPLACE(E2335, ""[0-9]+[a-f]?\."", """"))"),"Nawa ne kimar kayan da ƴan gidanku suka aika wa mutane a wasu wurare a cikin Nijar?")</f>
        <v>Nawa ne kimar kayan da ƴan gidanku suka aika wa mutane a wasu wurare a cikin Nijar?</v>
      </c>
      <c r="J2335" s="180" t="str">
        <f t="shared" ref="J2335:L2335" si="498">$F2335 &amp; ". "&amp;G2335</f>
        <v>498. What was the value of the goods members of your household sent to people elsewhere in Niger?</v>
      </c>
      <c r="K2335" s="180" t="str">
        <f t="shared" si="498"/>
        <v>498. Quel était la valeur au totale des biens que les membres de votre ménage ont envoyé aux personnes qui sont quelques part au Niger ?</v>
      </c>
      <c r="L2335" s="180" t="str">
        <f t="shared" si="498"/>
        <v>498. Nawa ne kimar kayan da ƴan gidanku suka aika wa mutane a wasu wurare a cikin Nijar?</v>
      </c>
    </row>
    <row r="2336">
      <c r="A2336" s="280" t="s">
        <v>6319</v>
      </c>
      <c r="B2336" s="281" t="s">
        <v>6430</v>
      </c>
      <c r="C2336" s="45" t="s">
        <v>6431</v>
      </c>
      <c r="D2336" s="45" t="s">
        <v>6432</v>
      </c>
      <c r="E2336" s="45" t="s">
        <v>6433</v>
      </c>
      <c r="F2336" s="187">
        <v>499.0</v>
      </c>
      <c r="G2336" s="180" t="str">
        <f>IFERROR(__xludf.DUMMYFUNCTION("TRIM(REGEXREPLACE(C2336, ""[0-9]+[a-f]?\."", """"))"),"How were these goods transmitted to the recipient?")</f>
        <v>How were these goods transmitted to the recipient?</v>
      </c>
      <c r="H2336" s="180" t="str">
        <f>IFERROR(__xludf.DUMMYFUNCTION("TRIM(REGEXREPLACE(D2336, ""[0-9]+[a-f]?\."", """"))"),"Comment ces biens ont-ils été envoyé au destinataire ?")</f>
        <v>Comment ces biens ont-ils été envoyé au destinataire ?</v>
      </c>
      <c r="I2336" s="180" t="str">
        <f>IFERROR(__xludf.DUMMYFUNCTION("TRIM(REGEXREPLACE(E2336, ""[0-9]+[a-f]?\."", """"))"),"Ta yaya aka aika waɗannan kayayyaki zuwa ga mai karɓa?")</f>
        <v>Ta yaya aka aika waɗannan kayayyaki zuwa ga mai karɓa?</v>
      </c>
      <c r="J2336" s="180" t="str">
        <f t="shared" ref="J2336:L2336" si="499">$F2336 &amp; ". "&amp;G2336</f>
        <v>499. How were these goods transmitted to the recipient?</v>
      </c>
      <c r="K2336" s="180" t="str">
        <f t="shared" si="499"/>
        <v>499. Comment ces biens ont-ils été envoyé au destinataire ?</v>
      </c>
      <c r="L2336" s="180" t="str">
        <f t="shared" si="499"/>
        <v>499. Ta yaya aka aika waɗannan kayayyaki zuwa ga mai karɓa?</v>
      </c>
    </row>
    <row r="2337">
      <c r="A2337" s="282" t="s">
        <v>252</v>
      </c>
      <c r="B2337" s="283" t="s">
        <v>6435</v>
      </c>
      <c r="C2337" s="45" t="s">
        <v>6437</v>
      </c>
      <c r="D2337" s="45" t="s">
        <v>6438</v>
      </c>
      <c r="E2337" s="45" t="s">
        <v>6439</v>
      </c>
      <c r="F2337" s="187">
        <v>500.0</v>
      </c>
      <c r="G2337" s="180" t="str">
        <f>IFERROR(__xludf.DUMMYFUNCTION("TRIM(REGEXREPLACE(C2337, ""[0-9]+[a-f]?\."", """"))"),"Specify other transfer method")</f>
        <v>Specify other transfer method</v>
      </c>
      <c r="H2337" s="180" t="str">
        <f>IFERROR(__xludf.DUMMYFUNCTION("TRIM(REGEXREPLACE(D2337, ""[0-9]+[a-f]?\."", """"))"),"Precisez la methode du transfert")</f>
        <v>Precisez la methode du transfert</v>
      </c>
      <c r="I2337" s="180" t="str">
        <f>IFERROR(__xludf.DUMMYFUNCTION("TRIM(REGEXREPLACE(E2337, ""[0-9]+[a-f]?\."", """"))"),"Wani daban a Bayyana")</f>
        <v>Wani daban a Bayyana</v>
      </c>
      <c r="J2337" s="180" t="str">
        <f t="shared" ref="J2337:L2337" si="500">$F2337 &amp; ". "&amp;G2337</f>
        <v>500. Specify other transfer method</v>
      </c>
      <c r="K2337" s="180" t="str">
        <f t="shared" si="500"/>
        <v>500. Precisez la methode du transfert</v>
      </c>
      <c r="L2337" s="180" t="str">
        <f t="shared" si="500"/>
        <v>500. Wani daban a Bayyana</v>
      </c>
    </row>
    <row r="2338">
      <c r="A2338" s="280" t="s">
        <v>2509</v>
      </c>
      <c r="B2338" s="281" t="s">
        <v>6440</v>
      </c>
      <c r="C2338" s="45" t="s">
        <v>6441</v>
      </c>
      <c r="D2338" s="45" t="s">
        <v>6442</v>
      </c>
      <c r="E2338" s="45" t="s">
        <v>6443</v>
      </c>
      <c r="F2338" s="187">
        <v>501.0</v>
      </c>
      <c r="G2338" s="180" t="str">
        <f>IFERROR(__xludf.DUMMYFUNCTION("TRIM(REGEXREPLACE(C2338,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2338" s="180" t="str">
        <f>IFERROR(__xludf.DUMMYFUNCTION("TRIM(REGEXREPLACE(D2338,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2338" s="180" t="str">
        <f>IFERROR(__xludf.DUMMYFUNCTION("TRIM(REGEXREPLACE(E2338,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2338" s="180" t="str">
        <f t="shared" ref="J2338:L2338" si="501">$F2338 &amp; ". "&amp;G2338</f>
        <v>501. In the past three months, have you or anyone in your household shared or sent money to someone who is not a member of your household and who lives in a foreign country (outside of Niger)?</v>
      </c>
      <c r="K2338" s="180" t="str">
        <f t="shared" si="501"/>
        <v>501. Au cours des trois derniers mois, vous ou quelqu'un de votre ménage avez-vous partagé ou envoyé &lt;b&gt;de l'argent&lt;/b&gt; à quelqu'un qui n'est pas membre de votre ménage et qui habite &lt;b&gt;à l'extérieur du Niger&lt;/b&gt; (dans un autre pays)?</v>
      </c>
      <c r="L2338" s="180" t="str">
        <f t="shared" si="501"/>
        <v>501. A cikin watanni uku da suka gabata, kai ko wani a cikin gidanku kun bada ko kun aika kuɗi ga wanda ba ɗan gidanku ba da ke zaune a wajen Nijar (a wata kasa)?</v>
      </c>
    </row>
    <row r="2339">
      <c r="A2339" s="291" t="s">
        <v>268</v>
      </c>
      <c r="B2339" s="292" t="s">
        <v>6446</v>
      </c>
      <c r="C2339" s="45" t="s">
        <v>6447</v>
      </c>
      <c r="D2339" s="45" t="s">
        <v>6448</v>
      </c>
      <c r="E2339" s="45" t="s">
        <v>6449</v>
      </c>
      <c r="F2339" s="187">
        <v>502.0</v>
      </c>
      <c r="G2339" s="180" t="str">
        <f>IFERROR(__xludf.DUMMYFUNCTION("TRIM(REGEXREPLACE(C2339, ""[0-9]+[a-f]?\."", """"))"),"How much did your household send to people people out of Niger?")</f>
        <v>How much did your household send to people people out of Niger?</v>
      </c>
      <c r="H2339" s="180" t="str">
        <f>IFERROR(__xludf.DUMMYFUNCTION("TRIM(REGEXREPLACE(D2339, ""[0-9]+[a-f]?\."", """"))"),"Combien votre ménage a-t-il envoyé à d'autres personnes qui sont quelque part hors du Niger ?")</f>
        <v>Combien votre ménage a-t-il envoyé à d'autres personnes qui sont quelque part hors du Niger ?</v>
      </c>
      <c r="I2339" s="180" t="str">
        <f>IFERROR(__xludf.DUMMYFUNCTION("TRIM(REGEXREPLACE(E2339, ""[0-9]+[a-f]?\."", """"))"),"Nawa gidanku ya aikawa wasu mutane da ke wani wuri ba a Nijar ba?")</f>
        <v>Nawa gidanku ya aikawa wasu mutane da ke wani wuri ba a Nijar ba?</v>
      </c>
      <c r="J2339" s="180" t="str">
        <f t="shared" ref="J2339:L2339" si="502">$F2339 &amp; ". "&amp;G2339</f>
        <v>502. How much did your household send to people people out of Niger?</v>
      </c>
      <c r="K2339" s="180" t="str">
        <f t="shared" si="502"/>
        <v>502. Combien votre ménage a-t-il envoyé à d'autres personnes qui sont quelque part hors du Niger ?</v>
      </c>
      <c r="L2339" s="180" t="str">
        <f t="shared" si="502"/>
        <v>502. Nawa gidanku ya aikawa wasu mutane da ke wani wuri ba a Nijar ba?</v>
      </c>
    </row>
    <row r="2340">
      <c r="A2340" s="280" t="s">
        <v>6301</v>
      </c>
      <c r="B2340" s="281" t="s">
        <v>6453</v>
      </c>
      <c r="C2340" s="45" t="s">
        <v>4448</v>
      </c>
      <c r="D2340" s="45" t="s">
        <v>4449</v>
      </c>
      <c r="E2340" s="45" t="s">
        <v>4450</v>
      </c>
      <c r="F2340" s="187">
        <v>503.0</v>
      </c>
      <c r="G2340" s="180" t="str">
        <f>IFERROR(__xludf.DUMMYFUNCTION("TRIM(REGEXREPLACE(C2340, ""[0-9]+[a-f]?\."", """"))"),"How did you transmit the money to the recipient?")</f>
        <v>How did you transmit the money to the recipient?</v>
      </c>
      <c r="H2340" s="180" t="str">
        <f>IFERROR(__xludf.DUMMYFUNCTION("TRIM(REGEXREPLACE(D2340, ""[0-9]+[a-f]?\."", """"))"),"Comment avez-vous transmis l'argent au destinataire ?")</f>
        <v>Comment avez-vous transmis l'argent au destinataire ?</v>
      </c>
      <c r="I2340" s="180" t="str">
        <f>IFERROR(__xludf.DUMMYFUNCTION("TRIM(REGEXREPLACE(E2340, ""[0-9]+[a-f]?\."", """"))"),"Ta wace hanya kuka aika kuɗin ga mai karɓa?")</f>
        <v>Ta wace hanya kuka aika kuɗin ga mai karɓa?</v>
      </c>
      <c r="J2340" s="180" t="str">
        <f t="shared" ref="J2340:L2340" si="503">$F2340 &amp; ". "&amp;G2340</f>
        <v>503. How did you transmit the money to the recipient?</v>
      </c>
      <c r="K2340" s="180" t="str">
        <f t="shared" si="503"/>
        <v>503. Comment avez-vous transmis l'argent au destinataire ?</v>
      </c>
      <c r="L2340" s="180" t="str">
        <f t="shared" si="503"/>
        <v>503. Ta wace hanya kuka aika kuɗin ga mai karɓa?</v>
      </c>
    </row>
    <row r="2341">
      <c r="A2341" s="282" t="s">
        <v>252</v>
      </c>
      <c r="B2341" s="283" t="s">
        <v>6455</v>
      </c>
      <c r="C2341" s="45" t="s">
        <v>4456</v>
      </c>
      <c r="D2341" s="45" t="s">
        <v>4458</v>
      </c>
      <c r="E2341" s="45" t="s">
        <v>4459</v>
      </c>
      <c r="F2341" s="187">
        <v>504.0</v>
      </c>
      <c r="G2341" s="180" t="str">
        <f>IFERROR(__xludf.DUMMYFUNCTION("TRIM(REGEXREPLACE(C2341, ""[0-9]+[a-f]?\."", """"))"),"Specify other transfer method")</f>
        <v>Specify other transfer method</v>
      </c>
      <c r="H2341" s="180" t="str">
        <f>IFERROR(__xludf.DUMMYFUNCTION("TRIM(REGEXREPLACE(D2341, ""[0-9]+[a-f]?\."", """"))"),"Precisez la methode du transfert")</f>
        <v>Precisez la methode du transfert</v>
      </c>
      <c r="I2341" s="180" t="str">
        <f>IFERROR(__xludf.DUMMYFUNCTION("TRIM(REGEXREPLACE(E2341, ""[0-9]+[a-f]?\."", """"))"),"Wani daban a Bayyana")</f>
        <v>Wani daban a Bayyana</v>
      </c>
      <c r="J2341" s="180" t="str">
        <f t="shared" ref="J2341:L2341" si="504">$F2341 &amp; ". "&amp;G2341</f>
        <v>504. Specify other transfer method</v>
      </c>
      <c r="K2341" s="180" t="str">
        <f t="shared" si="504"/>
        <v>504. Precisez la methode du transfert</v>
      </c>
      <c r="L2341" s="180" t="str">
        <f t="shared" si="504"/>
        <v>504. Wani daban a Bayyana</v>
      </c>
    </row>
    <row r="2342">
      <c r="A2342" s="280" t="s">
        <v>2509</v>
      </c>
      <c r="B2342" s="281" t="s">
        <v>6459</v>
      </c>
      <c r="C2342" s="45" t="s">
        <v>4461</v>
      </c>
      <c r="D2342" s="45" t="s">
        <v>4463</v>
      </c>
      <c r="E2342" s="45" t="s">
        <v>4464</v>
      </c>
      <c r="F2342" s="187">
        <v>505.0</v>
      </c>
      <c r="G2342" s="180" t="str">
        <f>IFERROR(__xludf.DUMMYFUNCTION("TRIM(REGEXREPLACE(C2342,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2342" s="180" t="str">
        <f>IFERROR(__xludf.DUMMYFUNCTION("TRIM(REGEXREPLACE(D2342,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2342" s="180" t="str">
        <f>IFERROR(__xludf.DUMMYFUNCTION("TRIM(REGEXREPLACE(E2342,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2342" s="180" t="str">
        <f t="shared" ref="J2342:L2342" si="505">$F2342 &amp; ". "&amp;G2342</f>
        <v>505. In the past three months, have you or anyone in your household shared or sent goods (payment in kind) to someone who is not a member of your household and who lives in a foreign country (outside of Niger)?</v>
      </c>
      <c r="K2342" s="180" t="str">
        <f t="shared" si="505"/>
        <v>505. Au cours des trois derniers mois, vous ou quelqu'un de votre ménage avez-vous partagé ou envoyé &lt;b&gt;des biens&lt;/b&gt; (paiement en nature) à quelqu'un qui n'est pas membre de votre ménage et qui habite &lt;b&gt;à l'extérieur du Niger&lt;/b&gt; (dans un autre pays) ?</v>
      </c>
      <c r="L2342" s="180" t="str">
        <f t="shared" si="505"/>
        <v>505. A cikin watanni uku da suka wuce, kai ko wani a cikin gidanku kun bada ko kun aika kaya (a matsayin biya) ga wanda ba ɗan gidanku ba da ke zaune a wajen Nijar (a wata kasa)?</v>
      </c>
    </row>
    <row r="2343">
      <c r="A2343" s="291" t="s">
        <v>268</v>
      </c>
      <c r="B2343" s="292" t="s">
        <v>6461</v>
      </c>
      <c r="C2343" s="45" t="s">
        <v>6462</v>
      </c>
      <c r="D2343" s="45" t="s">
        <v>6463</v>
      </c>
      <c r="E2343" s="45" t="s">
        <v>6464</v>
      </c>
      <c r="F2343" s="187">
        <v>506.0</v>
      </c>
      <c r="G2343" s="180" t="str">
        <f>IFERROR(__xludf.DUMMYFUNCTION("TRIM(REGEXREPLACE(C2343, ""[0-9]+[a-f]?\."", """"))"),"What was the value of the goods members of your household sent to people out of Niger?")</f>
        <v>What was the value of the goods members of your household sent to people out of Niger?</v>
      </c>
      <c r="H2343" s="180" t="str">
        <f>IFERROR(__xludf.DUMMYFUNCTION("TRIM(REGEXREPLACE(D2343,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2343" s="180" t="str">
        <f>IFERROR(__xludf.DUMMYFUNCTION("TRIM(REGEXREPLACE(E2343, ""[0-9]+[a-f]?\."", """"))"),"Nawa ne kimar kayan da ƴan gidanku suka aikawa wasu mutane da ke wani wuri ba a Nijar ba?")</f>
        <v>Nawa ne kimar kayan da ƴan gidanku suka aikawa wasu mutane da ke wani wuri ba a Nijar ba?</v>
      </c>
      <c r="J2343" s="180" t="str">
        <f t="shared" ref="J2343:L2343" si="506">$F2343 &amp; ". "&amp;G2343</f>
        <v>506. What was the value of the goods members of your household sent to people out of Niger?</v>
      </c>
      <c r="K2343" s="180" t="str">
        <f t="shared" si="506"/>
        <v>506. Quel était le valeur au total des biens que les membres de votre ménage ont envoyé aux personnes qui sont quelques part hors du Niger ?</v>
      </c>
      <c r="L2343" s="180" t="str">
        <f t="shared" si="506"/>
        <v>506. Nawa ne kimar kayan da ƴan gidanku suka aikawa wasu mutane da ke wani wuri ba a Nijar ba?</v>
      </c>
    </row>
    <row r="2344">
      <c r="A2344" s="280" t="s">
        <v>6319</v>
      </c>
      <c r="B2344" s="281" t="s">
        <v>6468</v>
      </c>
      <c r="C2344" s="45" t="s">
        <v>6470</v>
      </c>
      <c r="D2344" s="45" t="s">
        <v>6471</v>
      </c>
      <c r="E2344" s="45" t="s">
        <v>6472</v>
      </c>
      <c r="F2344" s="187">
        <v>507.0</v>
      </c>
      <c r="G2344" s="180" t="str">
        <f>IFERROR(__xludf.DUMMYFUNCTION("TRIM(REGEXREPLACE(C2344, ""[0-9]+[a-f]?\."", """"))"),"How were these goods transmitted to the recipient?")</f>
        <v>How were these goods transmitted to the recipient?</v>
      </c>
      <c r="H2344" s="180" t="str">
        <f>IFERROR(__xludf.DUMMYFUNCTION("TRIM(REGEXREPLACE(D2344, ""[0-9]+[a-f]?\."", """"))"),"Comment ces biens ont-ils été envoyé au destinataire ?")</f>
        <v>Comment ces biens ont-ils été envoyé au destinataire ?</v>
      </c>
      <c r="I2344" s="180" t="str">
        <f>IFERROR(__xludf.DUMMYFUNCTION("TRIM(REGEXREPLACE(E2344, ""[0-9]+[a-f]?\."", """"))"),"Ta yaya aka aika waɗannan kayayyaki zuwa ga mai karɓa?")</f>
        <v>Ta yaya aka aika waɗannan kayayyaki zuwa ga mai karɓa?</v>
      </c>
      <c r="J2344" s="180" t="str">
        <f t="shared" ref="J2344:L2344" si="507">$F2344 &amp; ". "&amp;G2344</f>
        <v>507. How were these goods transmitted to the recipient?</v>
      </c>
      <c r="K2344" s="180" t="str">
        <f t="shared" si="507"/>
        <v>507. Comment ces biens ont-ils été envoyé au destinataire ?</v>
      </c>
      <c r="L2344" s="180" t="str">
        <f t="shared" si="507"/>
        <v>507. Ta yaya aka aika waɗannan kayayyaki zuwa ga mai karɓa?</v>
      </c>
    </row>
    <row r="2345">
      <c r="A2345" s="282" t="s">
        <v>252</v>
      </c>
      <c r="B2345" s="283" t="s">
        <v>6473</v>
      </c>
      <c r="C2345" s="45" t="s">
        <v>4486</v>
      </c>
      <c r="D2345" s="45" t="s">
        <v>4487</v>
      </c>
      <c r="E2345" s="45" t="s">
        <v>4488</v>
      </c>
      <c r="F2345" s="187">
        <v>508.0</v>
      </c>
      <c r="G2345" s="180" t="str">
        <f>IFERROR(__xludf.DUMMYFUNCTION("TRIM(REGEXREPLACE(C2345, ""[0-9]+[a-f]?\."", """"))"),"Specify other transfer method")</f>
        <v>Specify other transfer method</v>
      </c>
      <c r="H2345" s="180" t="str">
        <f>IFERROR(__xludf.DUMMYFUNCTION("TRIM(REGEXREPLACE(D2345, ""[0-9]+[a-f]?\."", """"))"),"Precisez la methode du transfert")</f>
        <v>Precisez la methode du transfert</v>
      </c>
      <c r="I2345" s="180" t="str">
        <f>IFERROR(__xludf.DUMMYFUNCTION("TRIM(REGEXREPLACE(E2345, ""[0-9]+[a-f]?\."", """"))"),"Wani daban a Bayyana")</f>
        <v>Wani daban a Bayyana</v>
      </c>
      <c r="J2345" s="180" t="str">
        <f t="shared" ref="J2345:L2345" si="508">$F2345 &amp; ". "&amp;G2345</f>
        <v>508. Specify other transfer method</v>
      </c>
      <c r="K2345" s="180" t="str">
        <f t="shared" si="508"/>
        <v>508. Precisez la methode du transfert</v>
      </c>
      <c r="L2345" s="180" t="str">
        <f t="shared" si="508"/>
        <v>508. Wani daban a Bayyana</v>
      </c>
    </row>
    <row r="2346">
      <c r="A2346" s="280" t="s">
        <v>6477</v>
      </c>
      <c r="B2346" s="281" t="s">
        <v>6478</v>
      </c>
      <c r="C2346" s="45" t="s">
        <v>4491</v>
      </c>
      <c r="D2346" s="45" t="s">
        <v>4493</v>
      </c>
      <c r="E2346" s="45" t="s">
        <v>4494</v>
      </c>
      <c r="F2346" s="187">
        <v>509.0</v>
      </c>
      <c r="G2346" s="180" t="str">
        <f>IFERROR(__xludf.DUMMYFUNCTION("TRIM(REGEXREPLACE(C2346, ""[0-9]+[a-f]?\."", """"))"),"In the past three months, have you received support from any of the following sources?")</f>
        <v>In the past three months, have you received support from any of the following sources?</v>
      </c>
      <c r="H2346" s="180" t="str">
        <f>IFERROR(__xludf.DUMMYFUNCTION("TRIM(REGEXREPLACE(D2346, ""[0-9]+[a-f]?\."", """"))"),"Au cours des trois derniers mois, avez-vous reçu de l'aide de l'une des sources suivantes ?")</f>
        <v>Au cours des trois derniers mois, avez-vous reçu de l'aide de l'une des sources suivantes ?</v>
      </c>
      <c r="I2346" s="180" t="str">
        <f>IFERROR(__xludf.DUMMYFUNCTION("TRIM(REGEXREPLACE(E2346, ""[0-9]+[a-f]?\."", """"))"),"A cikin watanni uku da suka wuce, kun samu taimako daga ɗayan waɗannan hanyoyin?")</f>
        <v>A cikin watanni uku da suka wuce, kun samu taimako daga ɗayan waɗannan hanyoyin?</v>
      </c>
      <c r="J2346" s="180" t="str">
        <f t="shared" ref="J2346:L2346" si="509">$F2346 &amp; ". "&amp;G2346</f>
        <v>509. In the past three months, have you received support from any of the following sources?</v>
      </c>
      <c r="K2346" s="180" t="str">
        <f t="shared" si="509"/>
        <v>509. Au cours des trois derniers mois, avez-vous reçu de l'aide de l'une des sources suivantes ?</v>
      </c>
      <c r="L2346" s="180" t="str">
        <f t="shared" si="509"/>
        <v>509. A cikin watanni uku da suka wuce, kun samu taimako daga ɗayan waɗannan hanyoyin?</v>
      </c>
    </row>
    <row r="2347">
      <c r="A2347" s="291" t="s">
        <v>268</v>
      </c>
      <c r="B2347" s="292" t="s">
        <v>6480</v>
      </c>
      <c r="C2347" s="45" t="s">
        <v>4499</v>
      </c>
      <c r="D2347" s="45" t="s">
        <v>4500</v>
      </c>
      <c r="E2347" s="45" t="s">
        <v>4501</v>
      </c>
      <c r="F2347" s="187">
        <v>510.0</v>
      </c>
      <c r="G2347" s="180" t="str">
        <f>IFERROR(__xludf.DUMMYFUNCTION("TRIM(REGEXREPLACE(C2347, ""[0-9]+[a-f]?\."", """"))"),"How much did ou receive from all the sources combined?")</f>
        <v>How much did ou receive from all the sources combined?</v>
      </c>
      <c r="H2347" s="180" t="str">
        <f>IFERROR(__xludf.DUMMYFUNCTION("TRIM(REGEXREPLACE(D2347, ""[0-9]+[a-f]?\."", """"))"),"Combien avez-vous reçu de toutes les sources confondues ?")</f>
        <v>Combien avez-vous reçu de toutes les sources confondues ?</v>
      </c>
      <c r="I2347" s="180" t="str">
        <f>IFERROR(__xludf.DUMMYFUNCTION("TRIM(REGEXREPLACE(E2347, ""[0-9]+[a-f]?\."", """"))"),"Nawa kuka samu daga duk hanyoyin shiga gaba ɗayan su?")</f>
        <v>Nawa kuka samu daga duk hanyoyin shiga gaba ɗayan su?</v>
      </c>
      <c r="J2347" s="180" t="str">
        <f t="shared" ref="J2347:L2347" si="510">$F2347 &amp; ". "&amp;G2347</f>
        <v>510. How much did ou receive from all the sources combined?</v>
      </c>
      <c r="K2347" s="180" t="str">
        <f t="shared" si="510"/>
        <v>510. Combien avez-vous reçu de toutes les sources confondues ?</v>
      </c>
      <c r="L2347" s="180" t="str">
        <f t="shared" si="510"/>
        <v>510. Nawa kuka samu daga duk hanyoyin shiga gaba ɗayan su?</v>
      </c>
    </row>
    <row r="2348">
      <c r="A2348" s="291" t="s">
        <v>268</v>
      </c>
      <c r="B2348" s="292" t="s">
        <v>6484</v>
      </c>
      <c r="C2348" s="45" t="s">
        <v>6485</v>
      </c>
      <c r="D2348" s="45" t="s">
        <v>6486</v>
      </c>
      <c r="E2348" s="45" t="s">
        <v>6487</v>
      </c>
      <c r="F2348" s="187">
        <v>511.0</v>
      </c>
      <c r="G2348" s="180" t="str">
        <f>IFERROR(__xludf.DUMMYFUNCTION("TRIM(REGEXREPLACE(C2348,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2348" s="180" t="str">
        <f>IFERROR(__xludf.DUMMYFUNCTION("TRIM(REGEXREPLACE(D2348,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2348" s="180" t="str">
        <f>IFERROR(__xludf.DUMMYFUNCTION("TRIM(REGEXREPLACE(E2348, ""[0-9]+[a-f]?\."", """"))"),"Nawa ne yawan kuɗin taimako ko kyauta da ƴan gidanku suka samu a cikin watanni uku da suka gabata (a sefa) ?")</f>
        <v>Nawa ne yawan kuɗin taimako ko kyauta da ƴan gidanku suka samu a cikin watanni uku da suka gabata (a sefa) ?</v>
      </c>
      <c r="J2348" s="180" t="str">
        <f t="shared" ref="J2348:L2348" si="511">$F2348 &amp; ". "&amp;G2348</f>
        <v>511. In addition to the transfers we just discussed, what is the total value of income from charity or gifts your household has received &lt;b&gt;in the past three months&lt;/b&gt; in CFA?</v>
      </c>
      <c r="K2348" s="180" t="str">
        <f t="shared" si="511"/>
        <v>511. En dehors des transferts qu'on vient de citer, quelle est la valeur totale des revenus provenant d'œuvres caritatives ou de cadeaux que votre ménage a reçus &lt;b&gt; au cours des trois derniers mois&lt;/b&gt; (en CFA) ?</v>
      </c>
      <c r="L2348" s="180" t="str">
        <f t="shared" si="511"/>
        <v>511. Nawa ne yawan kuɗin taimako ko kyauta da ƴan gidanku suka samu a cikin watanni uku da suka gabata (a sefa) ?</v>
      </c>
    </row>
    <row r="2349" hidden="1">
      <c r="A2349" s="168" t="s">
        <v>127</v>
      </c>
      <c r="B2349" s="71" t="s">
        <v>6488</v>
      </c>
      <c r="C2349" s="200"/>
      <c r="D2349" s="200"/>
      <c r="E2349" s="200"/>
    </row>
    <row r="2350" hidden="1">
      <c r="A2350" s="168" t="s">
        <v>68</v>
      </c>
      <c r="B2350" s="71" t="s">
        <v>6489</v>
      </c>
      <c r="C2350" s="200"/>
      <c r="D2350" s="200"/>
      <c r="E2350" s="200"/>
    </row>
    <row r="2351" hidden="1">
      <c r="A2351" s="298" t="s">
        <v>237</v>
      </c>
      <c r="B2351" s="310" t="s">
        <v>6289</v>
      </c>
      <c r="C2351" s="310" t="s">
        <v>6290</v>
      </c>
      <c r="D2351" s="303"/>
      <c r="E2351" s="303"/>
    </row>
    <row r="2352" hidden="1">
      <c r="A2352" s="168" t="s">
        <v>127</v>
      </c>
      <c r="B2352" s="71" t="s">
        <v>6490</v>
      </c>
      <c r="C2352" s="200"/>
      <c r="D2352" s="200"/>
      <c r="E2352" s="200"/>
    </row>
    <row r="2353" hidden="1">
      <c r="A2353" s="298" t="s">
        <v>133</v>
      </c>
      <c r="B2353" s="299" t="s">
        <v>6491</v>
      </c>
      <c r="C2353" s="299" t="s">
        <v>6492</v>
      </c>
      <c r="D2353" s="299" t="s">
        <v>6493</v>
      </c>
      <c r="E2353" s="299" t="s">
        <v>6494</v>
      </c>
    </row>
    <row r="2354">
      <c r="A2354" s="280" t="s">
        <v>1306</v>
      </c>
      <c r="B2354" s="281" t="s">
        <v>6495</v>
      </c>
      <c r="C2354" s="45" t="s">
        <v>6496</v>
      </c>
      <c r="D2354" s="45" t="s">
        <v>6497</v>
      </c>
      <c r="E2354" s="45" t="s">
        <v>6498</v>
      </c>
      <c r="F2354" s="187">
        <v>512.0</v>
      </c>
      <c r="G2354" s="180" t="str">
        <f>IFERROR(__xludf.DUMMYFUNCTION("TRIM(REGEXREPLACE(C2354, ""[0-9]+[a-f]?\."", """"))"),"In the past three months did your household make a significant investment or improvement in the house you reside in?")</f>
        <v>In the past three months did your household make a significant investment or improvement in the house you reside in?</v>
      </c>
      <c r="H2354" s="180" t="str">
        <f>IFERROR(__xludf.DUMMYFUNCTION("TRIM(REGEXREPLACE(D2354,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2354" s="180" t="str">
        <f>IFERROR(__xludf.DUMMYFUNCTION("TRIM(REGEXREPLACE(E2354, ""[0-9]+[a-f]?\."", """"))"),"A cikin watanni uku da suka wuce, gidanku ya saka wani babban jari ko ya gyara gidan da kuke zaune?")</f>
        <v>A cikin watanni uku da suka wuce, gidanku ya saka wani babban jari ko ya gyara gidan da kuke zaune?</v>
      </c>
      <c r="J2354" s="180" t="str">
        <f t="shared" ref="J2354:L2354" si="512">$F2354 &amp; ". "&amp;G2354</f>
        <v>512. In the past three months did your household make a significant investment or improvement in the house you reside in?</v>
      </c>
      <c r="K2354" s="180" t="str">
        <f t="shared" si="512"/>
        <v>512. &lt;b&gt; Au cours des trois derniers mois&lt;/b&gt;, votre ménage a-t-il fait un investissement important ou des améliorations dans la maison que vous habitez ?</v>
      </c>
      <c r="L2354" s="180" t="str">
        <f t="shared" si="512"/>
        <v>512. A cikin watanni uku da suka wuce, gidanku ya saka wani babban jari ko ya gyara gidan da kuke zaune?</v>
      </c>
    </row>
    <row r="2355">
      <c r="A2355" s="280" t="s">
        <v>1306</v>
      </c>
      <c r="B2355" s="281" t="s">
        <v>6499</v>
      </c>
      <c r="C2355" s="45" t="s">
        <v>6500</v>
      </c>
      <c r="D2355" s="45" t="s">
        <v>6501</v>
      </c>
      <c r="E2355" s="45" t="s">
        <v>6502</v>
      </c>
      <c r="F2355" s="187">
        <v>513.0</v>
      </c>
      <c r="G2355" s="180" t="str">
        <f>IFERROR(__xludf.DUMMYFUNCTION("TRIM(REGEXREPLACE(C2355, ""[0-9]+[a-f]?\."", """"))"),"Build additional rooms")</f>
        <v>Build additional rooms</v>
      </c>
      <c r="H2355" s="180" t="str">
        <f>IFERROR(__xludf.DUMMYFUNCTION("TRIM(REGEXREPLACE(D2355, ""[0-9]+[a-f]?\."", """"))"),"Construire des chambres supplémentaires")</f>
        <v>Construire des chambres supplémentaires</v>
      </c>
      <c r="I2355" s="180" t="str">
        <f>IFERROR(__xludf.DUMMYFUNCTION("TRIM(REGEXREPLACE(E2355, ""[0-9]+[a-f]?\."", """"))"),"Ginin ƙarin ɗakuna")</f>
        <v>Ginin ƙarin ɗakuna</v>
      </c>
      <c r="J2355" s="180" t="str">
        <f t="shared" ref="J2355:L2355" si="513">$F2355 &amp; ". "&amp;G2355</f>
        <v>513. Build additional rooms</v>
      </c>
      <c r="K2355" s="180" t="str">
        <f t="shared" si="513"/>
        <v>513. Construire des chambres supplémentaires</v>
      </c>
      <c r="L2355" s="180" t="str">
        <f t="shared" si="513"/>
        <v>513. Ginin ƙarin ɗakuna</v>
      </c>
    </row>
    <row r="2356">
      <c r="A2356" s="280" t="s">
        <v>1306</v>
      </c>
      <c r="B2356" s="281" t="s">
        <v>6503</v>
      </c>
      <c r="C2356" s="45" t="s">
        <v>6504</v>
      </c>
      <c r="D2356" s="45" t="s">
        <v>6505</v>
      </c>
      <c r="E2356" s="45" t="s">
        <v>6506</v>
      </c>
      <c r="F2356" s="187">
        <v>514.0</v>
      </c>
      <c r="G2356" s="180" t="str">
        <f>IFERROR(__xludf.DUMMYFUNCTION("TRIM(REGEXREPLACE(C2356, ""[0-9]+[a-f]?\."", """"))"),"Improve floors")</f>
        <v>Improve floors</v>
      </c>
      <c r="H2356" s="180" t="str">
        <f>IFERROR(__xludf.DUMMYFUNCTION("TRIM(REGEXREPLACE(D2356, ""[0-9]+[a-f]?\."", """"))"),"Améliorer les sols")</f>
        <v>Améliorer les sols</v>
      </c>
      <c r="I2356" s="180" t="str">
        <f>IFERROR(__xludf.DUMMYFUNCTION("TRIM(REGEXREPLACE(E2356, ""[0-9]+[a-f]?\."", """"))"),"Inganta filalayen gida")</f>
        <v>Inganta filalayen gida</v>
      </c>
      <c r="J2356" s="180" t="str">
        <f t="shared" ref="J2356:L2356" si="514">$F2356 &amp; ". "&amp;G2356</f>
        <v>514. Improve floors</v>
      </c>
      <c r="K2356" s="180" t="str">
        <f t="shared" si="514"/>
        <v>514. Améliorer les sols</v>
      </c>
      <c r="L2356" s="180" t="str">
        <f t="shared" si="514"/>
        <v>514. Inganta filalayen gida</v>
      </c>
    </row>
    <row r="2357">
      <c r="A2357" s="280" t="s">
        <v>1306</v>
      </c>
      <c r="B2357" s="281" t="s">
        <v>6507</v>
      </c>
      <c r="C2357" s="45" t="s">
        <v>6508</v>
      </c>
      <c r="D2357" s="45" t="s">
        <v>6509</v>
      </c>
      <c r="E2357" s="45" t="s">
        <v>6510</v>
      </c>
      <c r="F2357" s="187">
        <v>515.0</v>
      </c>
      <c r="G2357" s="180" t="str">
        <f>IFERROR(__xludf.DUMMYFUNCTION("TRIM(REGEXREPLACE(C2357, ""[0-9]+[a-f]?\."", """"))"),"Improve walls")</f>
        <v>Improve walls</v>
      </c>
      <c r="H2357" s="180" t="str">
        <f>IFERROR(__xludf.DUMMYFUNCTION("TRIM(REGEXREPLACE(D2357, ""[0-9]+[a-f]?\."", """"))"),"Réfectionner les murs")</f>
        <v>Réfectionner les murs</v>
      </c>
      <c r="I2357" s="180" t="str">
        <f>IFERROR(__xludf.DUMMYFUNCTION("TRIM(REGEXREPLACE(E2357, ""[0-9]+[a-f]?\."", """"))"),"gyara katangun gida")</f>
        <v>gyara katangun gida</v>
      </c>
      <c r="J2357" s="180" t="str">
        <f t="shared" ref="J2357:L2357" si="515">$F2357 &amp; ". "&amp;G2357</f>
        <v>515. Improve walls</v>
      </c>
      <c r="K2357" s="180" t="str">
        <f t="shared" si="515"/>
        <v>515. Réfectionner les murs</v>
      </c>
      <c r="L2357" s="180" t="str">
        <f t="shared" si="515"/>
        <v>515. gyara katangun gida</v>
      </c>
    </row>
    <row r="2358">
      <c r="A2358" s="280" t="s">
        <v>1306</v>
      </c>
      <c r="B2358" s="281" t="s">
        <v>6511</v>
      </c>
      <c r="C2358" s="45" t="s">
        <v>4554</v>
      </c>
      <c r="D2358" s="45" t="s">
        <v>4555</v>
      </c>
      <c r="E2358" s="45" t="s">
        <v>4556</v>
      </c>
      <c r="F2358" s="187">
        <v>516.0</v>
      </c>
      <c r="G2358" s="180" t="str">
        <f>IFERROR(__xludf.DUMMYFUNCTION("TRIM(REGEXREPLACE(C2358, ""[0-9]+[a-f]?\."", """"))"),"Improve roof")</f>
        <v>Improve roof</v>
      </c>
      <c r="H2358" s="180" t="str">
        <f>IFERROR(__xludf.DUMMYFUNCTION("TRIM(REGEXREPLACE(D2358, ""[0-9]+[a-f]?\."", """"))"),"Réfectionner le toit")</f>
        <v>Réfectionner le toit</v>
      </c>
      <c r="I2358" s="180" t="str">
        <f>IFERROR(__xludf.DUMMYFUNCTION("TRIM(REGEXREPLACE(E2358, ""[0-9]+[a-f]?\."", """"))"),"gyara rufin gida")</f>
        <v>gyara rufin gida</v>
      </c>
      <c r="J2358" s="180" t="str">
        <f t="shared" ref="J2358:L2358" si="516">$F2358 &amp; ". "&amp;G2358</f>
        <v>516. Improve roof</v>
      </c>
      <c r="K2358" s="180" t="str">
        <f t="shared" si="516"/>
        <v>516. Réfectionner le toit</v>
      </c>
      <c r="L2358" s="180" t="str">
        <f t="shared" si="516"/>
        <v>516. gyara rufin gida</v>
      </c>
    </row>
    <row r="2359">
      <c r="A2359" s="280" t="s">
        <v>1306</v>
      </c>
      <c r="B2359" s="281" t="s">
        <v>6513</v>
      </c>
      <c r="C2359" s="45" t="s">
        <v>4560</v>
      </c>
      <c r="D2359" s="45" t="s">
        <v>4561</v>
      </c>
      <c r="E2359" s="45" t="s">
        <v>4562</v>
      </c>
      <c r="F2359" s="187">
        <v>517.0</v>
      </c>
      <c r="G2359" s="180" t="str">
        <f>IFERROR(__xludf.DUMMYFUNCTION("TRIM(REGEXREPLACE(C2359, ""[0-9]+[a-f]?\."", """"))"),"Other improvement")</f>
        <v>Other improvement</v>
      </c>
      <c r="H2359" s="180" t="str">
        <f>IFERROR(__xludf.DUMMYFUNCTION("TRIM(REGEXREPLACE(D2359, ""[0-9]+[a-f]?\."", """"))"),"Autre amélioration")</f>
        <v>Autre amélioration</v>
      </c>
      <c r="I2359" s="180" t="str">
        <f>IFERROR(__xludf.DUMMYFUNCTION("TRIM(REGEXREPLACE(E2359, ""[0-9]+[a-f]?\."", """"))"),"Wasu gyare gyare daban")</f>
        <v>Wasu gyare gyare daban</v>
      </c>
      <c r="J2359" s="180" t="str">
        <f t="shared" ref="J2359:L2359" si="517">$F2359 &amp; ". "&amp;G2359</f>
        <v>517. Other improvement</v>
      </c>
      <c r="K2359" s="180" t="str">
        <f t="shared" si="517"/>
        <v>517. Autre amélioration</v>
      </c>
      <c r="L2359" s="180" t="str">
        <f t="shared" si="517"/>
        <v>517. Wasu gyare gyare daban</v>
      </c>
    </row>
    <row r="2360" hidden="1">
      <c r="A2360" s="298" t="s">
        <v>237</v>
      </c>
      <c r="B2360" s="310" t="s">
        <v>6491</v>
      </c>
      <c r="C2360" s="310" t="s">
        <v>6492</v>
      </c>
      <c r="D2360" s="310" t="s">
        <v>6493</v>
      </c>
      <c r="E2360" s="310" t="s">
        <v>6494</v>
      </c>
    </row>
    <row r="2361">
      <c r="A2361" s="282" t="s">
        <v>252</v>
      </c>
      <c r="B2361" s="283" t="s">
        <v>6517</v>
      </c>
      <c r="C2361" s="45" t="s">
        <v>6518</v>
      </c>
      <c r="D2361" s="45" t="s">
        <v>6519</v>
      </c>
      <c r="E2361" s="45" t="s">
        <v>6520</v>
      </c>
      <c r="F2361" s="187">
        <v>518.0</v>
      </c>
      <c r="G2361" s="180" t="str">
        <f>IFERROR(__xludf.DUMMYFUNCTION("TRIM(REGEXREPLACE(C2361, ""[0-9]+[a-f]?\."", """"))"),"Specify other improvement (i.e. connect to electricity, build latrine)")</f>
        <v>Specify other improvement (i.e. connect to electricity, build latrine)</v>
      </c>
      <c r="H2361" s="180" t="str">
        <f>IFERROR(__xludf.DUMMYFUNCTION("TRIM(REGEXREPLACE(D2361, ""[0-9]+[a-f]?\."", """"))"),"Précisez les autres améliorations (c.-à-d. connecter de l'électricité, construire des latrines)")</f>
        <v>Précisez les autres améliorations (c.-à-d. connecter de l'électricité, construire des latrines)</v>
      </c>
      <c r="I2361" s="180" t="str">
        <f>IFERROR(__xludf.DUMMYFUNCTION("TRIM(REGEXREPLACE(E2361, ""[0-9]+[a-f]?\."", """"))"),"Baiyana wasu abubuwan ingantawa (kamar sa wutar lantarki, gina salga (masai ) )")</f>
        <v>Baiyana wasu abubuwan ingantawa (kamar sa wutar lantarki, gina salga (masai ) )</v>
      </c>
      <c r="J2361" s="180" t="str">
        <f t="shared" ref="J2361:L2361" si="518">$F2361 &amp; ". "&amp;G2361</f>
        <v>518. Specify other improvement (i.e. connect to electricity, build latrine)</v>
      </c>
      <c r="K2361" s="180" t="str">
        <f t="shared" si="518"/>
        <v>518. Précisez les autres améliorations (c.-à-d. connecter de l'électricité, construire des latrines)</v>
      </c>
      <c r="L2361" s="180" t="str">
        <f t="shared" si="518"/>
        <v>518. Baiyana wasu abubuwan ingantawa (kamar sa wutar lantarki, gina salga (masai ) )</v>
      </c>
    </row>
    <row r="2362">
      <c r="A2362" s="291" t="s">
        <v>268</v>
      </c>
      <c r="B2362" s="292" t="s">
        <v>6522</v>
      </c>
      <c r="C2362" s="45" t="s">
        <v>6523</v>
      </c>
      <c r="D2362" s="45" t="s">
        <v>6524</v>
      </c>
      <c r="E2362" s="45" t="s">
        <v>6525</v>
      </c>
      <c r="F2362" s="187">
        <v>519.0</v>
      </c>
      <c r="G2362" s="180" t="str">
        <f>IFERROR(__xludf.DUMMYFUNCTION("TRIM(REGEXREPLACE(C2362, ""[0-9]+[a-f]?\."", """"))"),"Approximately how much did all of these investments together cost in CFA?")</f>
        <v>Approximately how much did all of these investments together cost in CFA?</v>
      </c>
      <c r="H2362" s="180" t="str">
        <f>IFERROR(__xludf.DUMMYFUNCTION("TRIM(REGEXREPLACE(D2362, ""[0-9]+[a-f]?\."", """"))"),"Combien ont coûté approximativement tous ces investissements (en CFA) ?")</f>
        <v>Combien ont coûté approximativement tous ces investissements (en CFA) ?</v>
      </c>
      <c r="I2362" s="180" t="str">
        <f>IFERROR(__xludf.DUMMYFUNCTION("TRIM(REGEXREPLACE(E2362, ""[0-9]+[a-f]?\."", """"))"),"Aƙalla nawa aka kashe akan waɗannan ayyukan a sefa?")</f>
        <v>Aƙalla nawa aka kashe akan waɗannan ayyukan a sefa?</v>
      </c>
      <c r="J2362" s="180" t="str">
        <f t="shared" ref="J2362:L2362" si="519">$F2362 &amp; ". "&amp;G2362</f>
        <v>519. Approximately how much did all of these investments together cost in CFA?</v>
      </c>
      <c r="K2362" s="180" t="str">
        <f t="shared" si="519"/>
        <v>519. Combien ont coûté approximativement tous ces investissements (en CFA) ?</v>
      </c>
      <c r="L2362" s="180" t="str">
        <f t="shared" si="519"/>
        <v>519. Aƙalla nawa aka kashe akan waɗannan ayyukan a sefa?</v>
      </c>
    </row>
    <row r="2363">
      <c r="A2363" s="280" t="s">
        <v>1306</v>
      </c>
      <c r="B2363" s="281" t="s">
        <v>6526</v>
      </c>
      <c r="C2363" s="45" t="s">
        <v>6527</v>
      </c>
      <c r="D2363" s="45" t="s">
        <v>6528</v>
      </c>
      <c r="E2363" s="45" t="s">
        <v>6529</v>
      </c>
      <c r="F2363" s="187">
        <v>520.0</v>
      </c>
      <c r="G2363" s="180" t="str">
        <f>IFERROR(__xludf.DUMMYFUNCTION("TRIM(REGEXREPLACE(C2363, ""[0-9]+[a-f]?\."", """"))"),"In the past 3 months did you make any investments in your non-agricultural business?")</f>
        <v>In the past 3 months did you make any investments in your non-agricultural business?</v>
      </c>
      <c r="H2363" s="180" t="str">
        <f>IFERROR(__xludf.DUMMYFUNCTION("TRIM(REGEXREPLACE(D2363, ""[0-9]+[a-f]?\."", """"))"),"Au cours des 3 derniers mois, avez-vous fait des investissements dans votre entreprise non agricole ?")</f>
        <v>Au cours des 3 derniers mois, avez-vous fait des investissements dans votre entreprise non agricole ?</v>
      </c>
      <c r="I2363" s="180" t="str">
        <f>IFERROR(__xludf.DUMMYFUNCTION("TRIM(REGEXREPLACE(E2363, ""[0-9]+[a-f]?\."", """"))"),"A cikin watanni 3 da suka gabata, kun zuba jari a cikin harkokinku da ba na noma ba?")</f>
        <v>A cikin watanni 3 da suka gabata, kun zuba jari a cikin harkokinku da ba na noma ba?</v>
      </c>
      <c r="J2363" s="180" t="str">
        <f t="shared" ref="J2363:L2363" si="520">$F2363 &amp; ". "&amp;G2363</f>
        <v>520. In the past 3 months did you make any investments in your non-agricultural business?</v>
      </c>
      <c r="K2363" s="180" t="str">
        <f t="shared" si="520"/>
        <v>520. Au cours des 3 derniers mois, avez-vous fait des investissements dans votre entreprise non agricole ?</v>
      </c>
      <c r="L2363" s="180" t="str">
        <f t="shared" si="520"/>
        <v>520. A cikin watanni 3 da suka gabata, kun zuba jari a cikin harkokinku da ba na noma ba?</v>
      </c>
    </row>
    <row r="2364">
      <c r="A2364" s="282" t="s">
        <v>252</v>
      </c>
      <c r="B2364" s="283" t="s">
        <v>6530</v>
      </c>
      <c r="C2364" s="45" t="s">
        <v>6531</v>
      </c>
      <c r="D2364" s="45" t="s">
        <v>6532</v>
      </c>
      <c r="E2364" s="45" t="s">
        <v>6533</v>
      </c>
      <c r="F2364" s="187">
        <v>521.0</v>
      </c>
      <c r="G2364" s="180" t="str">
        <f>IFERROR(__xludf.DUMMYFUNCTION("TRIM(REGEXREPLACE(C2364, ""[0-9]+[a-f]?\."", """"))"),"Specify the improvement to your business")</f>
        <v>Specify the improvement to your business</v>
      </c>
      <c r="H2364" s="180" t="str">
        <f>IFERROR(__xludf.DUMMYFUNCTION("TRIM(REGEXREPLACE(D2364, ""[0-9]+[a-f]?\."", """"))"),"Précisez les investissements que vous avez fait dans votre entreprise")</f>
        <v>Précisez les investissements que vous avez fait dans votre entreprise</v>
      </c>
      <c r="I2364" s="180" t="str">
        <f>IFERROR(__xludf.DUMMYFUNCTION("TRIM(REGEXREPLACE(E2364, ""[0-9]+[a-f]?\."", """"))"),"Ku bayyana kuɗin da kuka kashe don haɓɓaka kasuwancin ku")</f>
        <v>Ku bayyana kuɗin da kuka kashe don haɓɓaka kasuwancin ku</v>
      </c>
      <c r="J2364" s="180" t="str">
        <f t="shared" ref="J2364:L2364" si="521">$F2364 &amp; ". "&amp;G2364</f>
        <v>521. Specify the improvement to your business</v>
      </c>
      <c r="K2364" s="180" t="str">
        <f t="shared" si="521"/>
        <v>521. Précisez les investissements que vous avez fait dans votre entreprise</v>
      </c>
      <c r="L2364" s="180" t="str">
        <f t="shared" si="521"/>
        <v>521. Ku bayyana kuɗin da kuka kashe don haɓɓaka kasuwancin ku</v>
      </c>
    </row>
    <row r="2365">
      <c r="A2365" s="280" t="s">
        <v>1306</v>
      </c>
      <c r="B2365" s="281" t="s">
        <v>6534</v>
      </c>
      <c r="C2365" s="45" t="s">
        <v>4596</v>
      </c>
      <c r="D2365" s="45" t="s">
        <v>4598</v>
      </c>
      <c r="E2365" s="45" t="s">
        <v>4599</v>
      </c>
      <c r="F2365" s="187">
        <v>522.0</v>
      </c>
      <c r="G2365" s="180" t="str">
        <f>IFERROR(__xludf.DUMMYFUNCTION("TRIM(REGEXREPLACE(C2365, ""[0-9]+[a-f]?\."", """"))"),"In the past 3 months did you make any investments to improve the productivity of your land?")</f>
        <v>In the past 3 months did you make any investments to improve the productivity of your land?</v>
      </c>
      <c r="H2365" s="180" t="str">
        <f>IFERROR(__xludf.DUMMYFUNCTION("TRIM(REGEXREPLACE(D2365, ""[0-9]+[a-f]?\."", """"))"),"Au cours des 3 derniers mois, avez-vous fait des investissements pour améliorer la productivité de votre terre ?")</f>
        <v>Au cours des 3 derniers mois, avez-vous fait des investissements pour améliorer la productivité de votre terre ?</v>
      </c>
      <c r="I2365" s="180" t="str">
        <f>IFERROR(__xludf.DUMMYFUNCTION("TRIM(REGEXREPLACE(E2365, ""[0-9]+[a-f]?\."", """"))"),"A cikin watanni 3 da suka gabata, kun zuba kudi don inganta samun amfanin gonakinku?")</f>
        <v>A cikin watanni 3 da suka gabata, kun zuba kudi don inganta samun amfanin gonakinku?</v>
      </c>
      <c r="J2365" s="180" t="str">
        <f t="shared" ref="J2365:L2365" si="522">$F2365 &amp; ". "&amp;G2365</f>
        <v>522. In the past 3 months did you make any investments to improve the productivity of your land?</v>
      </c>
      <c r="K2365" s="180" t="str">
        <f t="shared" si="522"/>
        <v>522. Au cours des 3 derniers mois, avez-vous fait des investissements pour améliorer la productivité de votre terre ?</v>
      </c>
      <c r="L2365" s="180" t="str">
        <f t="shared" si="522"/>
        <v>522. A cikin watanni 3 da suka gabata, kun zuba kudi don inganta samun amfanin gonakinku?</v>
      </c>
    </row>
    <row r="2366">
      <c r="A2366" s="282" t="s">
        <v>252</v>
      </c>
      <c r="B2366" s="283" t="s">
        <v>6535</v>
      </c>
      <c r="C2366" s="45" t="s">
        <v>4601</v>
      </c>
      <c r="D2366" s="45" t="s">
        <v>4602</v>
      </c>
      <c r="E2366" s="45" t="s">
        <v>4603</v>
      </c>
      <c r="F2366" s="187">
        <v>523.0</v>
      </c>
      <c r="G2366" s="180" t="str">
        <f>IFERROR(__xludf.DUMMYFUNCTION("TRIM(REGEXREPLACE(C2366, ""[0-9]+[a-f]?\."", """"))"),"Specify improvement to land")</f>
        <v>Specify improvement to land</v>
      </c>
      <c r="H2366" s="180" t="str">
        <f>IFERROR(__xludf.DUMMYFUNCTION("TRIM(REGEXREPLACE(D2366, ""[0-9]+[a-f]?\."", """"))"),"Précisez les améliorations de votre terre que vous avez fait")</f>
        <v>Précisez les améliorations de votre terre que vous avez fait</v>
      </c>
      <c r="I2366" s="180" t="str">
        <f>IFERROR(__xludf.DUMMYFUNCTION("TRIM(REGEXREPLACE(E2366, ""[0-9]+[a-f]?\."", """"))"),"Ku bayyana kuɗin da kuka kashe don haɓɓaka gonarku")</f>
        <v>Ku bayyana kuɗin da kuka kashe don haɓɓaka gonarku</v>
      </c>
      <c r="J2366" s="180" t="str">
        <f t="shared" ref="J2366:L2366" si="523">$F2366 &amp; ". "&amp;G2366</f>
        <v>523. Specify improvement to land</v>
      </c>
      <c r="K2366" s="180" t="str">
        <f t="shared" si="523"/>
        <v>523. Précisez les améliorations de votre terre que vous avez fait</v>
      </c>
      <c r="L2366" s="180" t="str">
        <f t="shared" si="523"/>
        <v>523. Ku bayyana kuɗin da kuka kashe don haɓɓaka gonarku</v>
      </c>
    </row>
    <row r="2367" hidden="1">
      <c r="A2367" s="168" t="s">
        <v>127</v>
      </c>
      <c r="B2367" s="71" t="s">
        <v>6539</v>
      </c>
      <c r="C2367" s="200"/>
      <c r="D2367" s="200"/>
      <c r="E2367" s="200"/>
    </row>
    <row r="2368" hidden="1">
      <c r="A2368" s="168" t="s">
        <v>68</v>
      </c>
      <c r="B2368" s="71" t="s">
        <v>6541</v>
      </c>
      <c r="C2368" s="200"/>
      <c r="D2368" s="200"/>
      <c r="E2368" s="200"/>
    </row>
    <row r="2369" hidden="1">
      <c r="A2369" s="168" t="s">
        <v>127</v>
      </c>
      <c r="B2369" s="71" t="s">
        <v>6542</v>
      </c>
      <c r="C2369" s="200"/>
      <c r="D2369" s="200"/>
      <c r="E2369" s="200"/>
    </row>
    <row r="2370">
      <c r="A2370" s="278" t="s">
        <v>38</v>
      </c>
      <c r="B2370" s="279" t="s">
        <v>6543</v>
      </c>
      <c r="C2370" s="45" t="s">
        <v>4617</v>
      </c>
      <c r="D2370" s="45" t="s">
        <v>4619</v>
      </c>
      <c r="E2370" s="45" t="s">
        <v>4620</v>
      </c>
      <c r="F2370" s="187">
        <v>524.0</v>
      </c>
      <c r="G2370" s="180" t="str">
        <f>IFERROR(__xludf.DUMMYFUNCTION("TRIM(REGEXREPLACE(C2370, ""[0-9]+[a-f]?\."", """"))"),"Now I will ask you about different ways your household may use money that you earn.")</f>
        <v>Now I will ask you about different ways your household may use money that you earn.</v>
      </c>
      <c r="H2370" s="180" t="str">
        <f>IFERROR(__xludf.DUMMYFUNCTION("TRIM(REGEXREPLACE(D2370, ""[0-9]+[a-f]?\."", """"))"),"Je vais maintenant vous poser des questions sur les différentes façons dont votre ménage peut utiliser l'argent que vous gagnez.")</f>
        <v>Je vais maintenant vous poser des questions sur les différentes façons dont votre ménage peut utiliser l'argent que vous gagnez.</v>
      </c>
      <c r="I2370" s="180" t="str">
        <f>IFERROR(__xludf.DUMMYFUNCTION("TRIM(REGEXREPLACE(E2370, ""[0-9]+[a-f]?\."", """"))"),"Yanzu zan yi muku tambayoyi game hanyoyi daban-daban da gidanku ke iya amfani da su don kashe kuɗin da yake samu.")</f>
        <v>Yanzu zan yi muku tambayoyi game hanyoyi daban-daban da gidanku ke iya amfani da su don kashe kuɗin da yake samu.</v>
      </c>
      <c r="J2370" s="180" t="str">
        <f t="shared" ref="J2370:L2370" si="524">$F2370 &amp; ". "&amp;G2370</f>
        <v>524. Now I will ask you about different ways your household may use money that you earn.</v>
      </c>
      <c r="K2370" s="180" t="str">
        <f t="shared" si="524"/>
        <v>524. Je vais maintenant vous poser des questions sur les différentes façons dont votre ménage peut utiliser l'argent que vous gagnez.</v>
      </c>
      <c r="L2370" s="180" t="str">
        <f t="shared" si="524"/>
        <v>524. Yanzu zan yi muku tambayoyi game hanyoyi daban-daban da gidanku ke iya amfani da su don kashe kuɗin da yake samu.</v>
      </c>
    </row>
    <row r="2371">
      <c r="A2371" s="280" t="s">
        <v>3502</v>
      </c>
      <c r="B2371" s="281" t="s">
        <v>6549</v>
      </c>
      <c r="C2371" s="45" t="s">
        <v>6550</v>
      </c>
      <c r="D2371" s="45" t="s">
        <v>6551</v>
      </c>
      <c r="E2371" s="45" t="s">
        <v>6552</v>
      </c>
      <c r="F2371" s="187">
        <v>525.0</v>
      </c>
      <c r="G2371" s="180" t="str">
        <f>IFERROR(__xludf.DUMMYFUNCTION("TRIM(REGEXREPLACE(C2371, ""[0-9]+[a-f]?\."", """"))"),"Does your household currently have any savings that you keep in any of the following ways?")</f>
        <v>Does your household currently have any savings that you keep in any of the following ways?</v>
      </c>
      <c r="H2371" s="180" t="str">
        <f>IFERROR(__xludf.DUMMYFUNCTION("TRIM(REGEXREPLACE(D2371, ""[0-9]+[a-f]?\."", """"))"),"Votre ménage dispose-t-il actuellement d'économies que vous conservez de l'une des manières suivantes ?")</f>
        <v>Votre ménage dispose-t-il actuellement d'économies que vous conservez de l'une des manières suivantes ?</v>
      </c>
      <c r="I2371" s="180" t="str">
        <f>IFERROR(__xludf.DUMMYFUNCTION("TRIM(REGEXREPLACE(E2371, ""[0-9]+[a-f]?\."", """"))"),"Ko a halin yanzu gidanku na da ajiyar kuɗi daga ɗaya a cikin wanɗannan dubaru?")</f>
        <v>Ko a halin yanzu gidanku na da ajiyar kuɗi daga ɗaya a cikin wanɗannan dubaru?</v>
      </c>
      <c r="J2371" s="180" t="str">
        <f t="shared" ref="J2371:L2371" si="525">$F2371 &amp; ". "&amp;G2371</f>
        <v>525. Does your household currently have any savings that you keep in any of the following ways?</v>
      </c>
      <c r="K2371" s="180" t="str">
        <f t="shared" si="525"/>
        <v>525. Votre ménage dispose-t-il actuellement d'économies que vous conservez de l'une des manières suivantes ?</v>
      </c>
      <c r="L2371" s="180" t="str">
        <f t="shared" si="525"/>
        <v>525. Ko a halin yanzu gidanku na da ajiyar kuɗi daga ɗaya a cikin wanɗannan dubaru?</v>
      </c>
    </row>
    <row r="2372">
      <c r="A2372" s="282" t="s">
        <v>252</v>
      </c>
      <c r="B2372" s="283" t="s">
        <v>6558</v>
      </c>
      <c r="C2372" s="45" t="s">
        <v>4634</v>
      </c>
      <c r="D2372" s="45" t="s">
        <v>4635</v>
      </c>
      <c r="E2372" s="45" t="s">
        <v>4636</v>
      </c>
      <c r="F2372" s="187">
        <v>526.0</v>
      </c>
      <c r="G2372" s="180" t="str">
        <f>IFERROR(__xludf.DUMMYFUNCTION("TRIM(REGEXREPLACE(C2372, ""[0-9]+[a-f]?\."", """"))"),"Specify other:")</f>
        <v>Specify other:</v>
      </c>
      <c r="H2372" s="180" t="str">
        <f>IFERROR(__xludf.DUMMYFUNCTION("TRIM(REGEXREPLACE(D2372, ""[0-9]+[a-f]?\."", """"))"),"Autre a préciser :")</f>
        <v>Autre a préciser :</v>
      </c>
      <c r="I2372" s="180" t="str">
        <f>IFERROR(__xludf.DUMMYFUNCTION("TRIM(REGEXREPLACE(E2372, ""[0-9]+[a-f]?\."", """"))"),"Baiyana wani abu daban:")</f>
        <v>Baiyana wani abu daban:</v>
      </c>
      <c r="J2372" s="180" t="str">
        <f t="shared" ref="J2372:L2372" si="526">$F2372 &amp; ". "&amp;G2372</f>
        <v>526. Specify other:</v>
      </c>
      <c r="K2372" s="180" t="str">
        <f t="shared" si="526"/>
        <v>526. Autre a préciser :</v>
      </c>
      <c r="L2372" s="180" t="str">
        <f t="shared" si="526"/>
        <v>526. Baiyana wani abu daban:</v>
      </c>
    </row>
    <row r="2373" hidden="1">
      <c r="A2373" s="285" t="s">
        <v>426</v>
      </c>
      <c r="B2373" s="171" t="s">
        <v>6562</v>
      </c>
      <c r="C2373" s="171" t="s">
        <v>3532</v>
      </c>
      <c r="D2373" s="171" t="s">
        <v>3534</v>
      </c>
      <c r="E2373" s="171" t="s">
        <v>3538</v>
      </c>
    </row>
    <row r="2374" hidden="1">
      <c r="A2374" s="168" t="s">
        <v>68</v>
      </c>
      <c r="B2374" s="71" t="s">
        <v>6563</v>
      </c>
      <c r="C2374" s="200"/>
      <c r="D2374" s="200"/>
      <c r="E2374" s="200"/>
    </row>
    <row r="2375" hidden="1">
      <c r="A2375" s="168" t="s">
        <v>68</v>
      </c>
      <c r="B2375" s="71" t="s">
        <v>6564</v>
      </c>
      <c r="C2375" s="289" t="s">
        <v>3544</v>
      </c>
      <c r="D2375" s="289" t="s">
        <v>3545</v>
      </c>
      <c r="E2375" s="289" t="s">
        <v>6565</v>
      </c>
    </row>
    <row r="2376">
      <c r="A2376" s="291" t="s">
        <v>268</v>
      </c>
      <c r="B2376" s="292" t="s">
        <v>6566</v>
      </c>
      <c r="C2376" s="45" t="s">
        <v>6567</v>
      </c>
      <c r="D2376" s="45" t="s">
        <v>6568</v>
      </c>
      <c r="E2376" s="45" t="s">
        <v>6569</v>
      </c>
      <c r="F2376" s="187">
        <v>527.0</v>
      </c>
      <c r="G2376" s="180" t="str">
        <f>IFERROR(__xludf.DUMMYFUNCTION("TRIM(REGEXREPLACE(C2376, ""[0-9]+[a-f]?\."", """"))"),"Please share with us your best estimate of the value in CFA ${hoh_savings_name}")</f>
        <v>Please share with us your best estimate of the value in CFA ${hoh_savings_name}</v>
      </c>
      <c r="H2376" s="180" t="str">
        <f>IFERROR(__xludf.DUMMYFUNCTION("TRIM(REGEXREPLACE(D2376, ""[0-9]+[a-f]?\."", """"))"),"Veuillez nous dire votre meilleure estimation de la valeur en CFA ${hoh_savings_name}")</f>
        <v>Veuillez nous dire votre meilleure estimation de la valeur en CFA ${hoh_savings_name}</v>
      </c>
      <c r="I2376" s="180" t="str">
        <f>IFERROR(__xludf.DUMMYFUNCTION("TRIM(REGEXREPLACE(E2376, ""[0-9]+[a-f]?\."", """"))"),"Da fatan zaku baiyana mini yawan kuɗin a tsammaninku ${hoh_savings_name} a CFA")</f>
        <v>Da fatan zaku baiyana mini yawan kuɗin a tsammaninku ${hoh_savings_name} a CFA</v>
      </c>
      <c r="J2376" s="180" t="str">
        <f t="shared" ref="J2376:L2376" si="527">$F2376 &amp; ". "&amp;G2376</f>
        <v>527. Please share with us your best estimate of the value in CFA ${hoh_savings_name}</v>
      </c>
      <c r="K2376" s="180" t="str">
        <f t="shared" si="527"/>
        <v>527. Veuillez nous dire votre meilleure estimation de la valeur en CFA ${hoh_savings_name}</v>
      </c>
      <c r="L2376" s="180" t="str">
        <f t="shared" si="527"/>
        <v>527. Da fatan zaku baiyana mini yawan kuɗin a tsammaninku ${hoh_savings_name} a CFA</v>
      </c>
    </row>
    <row r="2377">
      <c r="A2377" s="280" t="s">
        <v>1306</v>
      </c>
      <c r="B2377" s="281" t="s">
        <v>6573</v>
      </c>
      <c r="C2377" s="45" t="s">
        <v>6574</v>
      </c>
      <c r="D2377" s="45" t="s">
        <v>6575</v>
      </c>
      <c r="E2377" s="45" t="s">
        <v>6576</v>
      </c>
      <c r="F2377" s="187">
        <v>528.0</v>
      </c>
      <c r="G2377" s="180" t="str">
        <f>IFERROR(__xludf.DUMMYFUNCTION("TRIM(REGEXREPLACE(C2377, ""[0-9]+[a-f]?\."", """"))"),"Do you earn interest on this money ${hoh_savings_name}?")</f>
        <v>Do you earn interest on this money ${hoh_savings_name}?</v>
      </c>
      <c r="H2377" s="180" t="str">
        <f>IFERROR(__xludf.DUMMYFUNCTION("TRIM(REGEXREPLACE(D2377, ""[0-9]+[a-f]?\."", """"))"),"Gagnez-vous des intérêts sur cet argent ${hoh_savings_name} ?")</f>
        <v>Gagnez-vous des intérêts sur cet argent ${hoh_savings_name} ?</v>
      </c>
      <c r="I2377" s="180" t="str">
        <f>IFERROR(__xludf.DUMMYFUNCTION("TRIM(REGEXREPLACE(E2377, ""[0-9]+[a-f]?\."", """"))"),"Kuna samun kudin ruwa akan wannan kuɗin ${hoh_savings_name}?")</f>
        <v>Kuna samun kudin ruwa akan wannan kuɗin ${hoh_savings_name}?</v>
      </c>
      <c r="J2377" s="180" t="str">
        <f t="shared" ref="J2377:L2377" si="528">$F2377 &amp; ". "&amp;G2377</f>
        <v>528. Do you earn interest on this money ${hoh_savings_name}?</v>
      </c>
      <c r="K2377" s="180" t="str">
        <f t="shared" si="528"/>
        <v>528. Gagnez-vous des intérêts sur cet argent ${hoh_savings_name} ?</v>
      </c>
      <c r="L2377" s="180" t="str">
        <f t="shared" si="528"/>
        <v>528. Kuna samun kudin ruwa akan wannan kuɗin ${hoh_savings_name}?</v>
      </c>
    </row>
    <row r="2378" hidden="1">
      <c r="A2378" s="285" t="s">
        <v>468</v>
      </c>
      <c r="B2378" s="185" t="s">
        <v>6562</v>
      </c>
      <c r="C2378" s="185" t="s">
        <v>3532</v>
      </c>
      <c r="D2378" s="185" t="s">
        <v>3534</v>
      </c>
      <c r="E2378" s="185" t="s">
        <v>3538</v>
      </c>
    </row>
    <row r="2379" hidden="1">
      <c r="A2379" s="168" t="s">
        <v>127</v>
      </c>
      <c r="B2379" s="71" t="s">
        <v>6578</v>
      </c>
      <c r="C2379" s="200"/>
      <c r="D2379" s="200"/>
      <c r="E2379" s="200"/>
    </row>
    <row r="2380" hidden="1">
      <c r="A2380" s="168" t="s">
        <v>68</v>
      </c>
      <c r="B2380" s="71" t="s">
        <v>6579</v>
      </c>
      <c r="C2380" s="200"/>
      <c r="D2380" s="200"/>
      <c r="E2380" s="200"/>
    </row>
    <row r="2381" hidden="1">
      <c r="A2381" s="168" t="s">
        <v>68</v>
      </c>
      <c r="B2381" s="71" t="s">
        <v>6583</v>
      </c>
      <c r="C2381" s="200"/>
      <c r="D2381" s="200"/>
      <c r="E2381" s="200"/>
    </row>
    <row r="2382">
      <c r="A2382" s="280" t="s">
        <v>1306</v>
      </c>
      <c r="B2382" s="281" t="s">
        <v>6585</v>
      </c>
      <c r="C2382" s="45" t="s">
        <v>6586</v>
      </c>
      <c r="D2382" s="45" t="s">
        <v>6588</v>
      </c>
      <c r="E2382" s="45" t="s">
        <v>6589</v>
      </c>
      <c r="F2382" s="187">
        <v>529.0</v>
      </c>
      <c r="G2382" s="180" t="str">
        <f>IFERROR(__xludf.DUMMYFUNCTION("TRIM(REGEXREPLACE(C2382, ""[0-9]+[a-f]?\."", """"))"),"Total savings: ${hoh_savings_total}: Does this look correct?")</f>
        <v>Total savings: ${hoh_savings_total}: Does this look correct?</v>
      </c>
      <c r="H2382" s="180" t="str">
        <f>IFERROR(__xludf.DUMMYFUNCTION("TRIM(REGEXREPLACE(D2382, ""[0-9]+[a-f]?\."", """"))"),"Économies totales : ${hoh_savings_total} : cela vous semble correct ?")</f>
        <v>Économies totales : ${hoh_savings_total} : cela vous semble correct ?</v>
      </c>
      <c r="I2382" s="180" t="str">
        <f>IFERROR(__xludf.DUMMYFUNCTION("TRIM(REGEXREPLACE(E2382, ""[0-9]+[a-f]?\."", """"))"),"Jimillar ajiya: ${hoh_savings_total}: kuna ganin ​​wannan yayi daidai?")</f>
        <v>Jimillar ajiya: ${hoh_savings_total}: kuna ganin ​​wannan yayi daidai?</v>
      </c>
      <c r="J2382" s="180" t="str">
        <f t="shared" ref="J2382:L2382" si="529">$F2382 &amp; ". "&amp;G2382</f>
        <v>529. Total savings: ${hoh_savings_total}: Does this look correct?</v>
      </c>
      <c r="K2382" s="180" t="str">
        <f t="shared" si="529"/>
        <v>529. Économies totales : ${hoh_savings_total} : cela vous semble correct ?</v>
      </c>
      <c r="L2382" s="180" t="str">
        <f t="shared" si="529"/>
        <v>529. Jimillar ajiya: ${hoh_savings_total}: kuna ganin ​​wannan yayi daidai?</v>
      </c>
    </row>
    <row r="2383" hidden="1">
      <c r="A2383" s="288"/>
      <c r="B2383" s="360"/>
      <c r="C2383" s="360"/>
      <c r="D2383" s="360"/>
      <c r="E2383" s="360"/>
    </row>
    <row r="2384">
      <c r="A2384" s="280" t="s">
        <v>4465</v>
      </c>
      <c r="B2384" s="281" t="s">
        <v>6590</v>
      </c>
      <c r="C2384" s="45" t="s">
        <v>6591</v>
      </c>
      <c r="D2384" s="45" t="s">
        <v>6592</v>
      </c>
      <c r="E2384" s="45" t="s">
        <v>6593</v>
      </c>
      <c r="F2384" s="187">
        <v>530.0</v>
      </c>
      <c r="G2384" s="180" t="str">
        <f>IFERROR(__xludf.DUMMYFUNCTION("TRIM(REGEXREPLACE(C2384, ""[0-9]+[a-f]?\."", """"))"),"During ${period}, was your household negatively affected by any of the following types of events?")</f>
        <v>During ${period}, was your household negatively affected by any of the following types of events?</v>
      </c>
      <c r="H2384" s="180" t="str">
        <f>IFERROR(__xludf.DUMMYFUNCTION("TRIM(REGEXREPLACE(D2384, ""[0-9]+[a-f]?\."", """"))"),"Au cours de ${period_french}, votre ménage a-t-il été affecté négativement par l'un des types d'événements suivants ?")</f>
        <v>Au cours de ${period_french}, votre ménage a-t-il été affecté négativement par l'un des types d'événements suivants ?</v>
      </c>
      <c r="I2384" s="180" t="str">
        <f>IFERROR(__xludf.DUMMYFUNCTION("TRIM(REGEXREPLACE(E2384, ""[0-9]+[a-f]?\."", """"))"),"A lokacin ${period_hausa}, ko gidanku ya fuskanci wani daga cikin matsaloli nan masu zuwa? Zaɓi duk abin da ya dace")</f>
        <v>A lokacin ${period_hausa}, ko gidanku ya fuskanci wani daga cikin matsaloli nan masu zuwa? Zaɓi duk abin da ya dace</v>
      </c>
      <c r="J2384" s="180" t="str">
        <f t="shared" ref="J2384:L2384" si="530">$F2384 &amp; ". "&amp;G2384</f>
        <v>530. During ${period}, was your household negatively affected by any of the following types of events?</v>
      </c>
      <c r="K2384" s="180" t="str">
        <f t="shared" si="530"/>
        <v>530. Au cours de ${period_french}, votre ménage a-t-il été affecté négativement par l'un des types d'événements suivants ?</v>
      </c>
      <c r="L2384" s="180" t="str">
        <f t="shared" si="530"/>
        <v>530. A lokacin ${period_hausa}, ko gidanku ya fuskanci wani daga cikin matsaloli nan masu zuwa? Zaɓi duk abin da ya dace</v>
      </c>
    </row>
    <row r="2385">
      <c r="A2385" s="282" t="s">
        <v>252</v>
      </c>
      <c r="B2385" s="283" t="s">
        <v>6594</v>
      </c>
      <c r="C2385" s="45" t="s">
        <v>6595</v>
      </c>
      <c r="D2385" s="45" t="s">
        <v>6596</v>
      </c>
      <c r="E2385" s="45" t="s">
        <v>6597</v>
      </c>
      <c r="F2385" s="187">
        <v>531.0</v>
      </c>
      <c r="G2385" s="180" t="str">
        <f>IFERROR(__xludf.DUMMYFUNCTION("TRIM(REGEXREPLACE(C2385, ""[0-9]+[a-f]?\."", """"))"),"Please briefly describe the event(s) that negatveily affected your household")</f>
        <v>Please briefly describe the event(s) that negatveily affected your household</v>
      </c>
      <c r="H2385" s="180" t="str">
        <f>IFERROR(__xludf.DUMMYFUNCTION("TRIM(REGEXREPLACE(D2385, ""[0-9]+[a-f]?\."", """"))"),"Veuillez décrire brièvement le/les événement(s) qui ont eu des effets négatifs sur votre ménage au cours des 3 derniers mois")</f>
        <v>Veuillez décrire brièvement le/les événement(s) qui ont eu des effets négatifs sur votre ménage au cours des 3 derniers mois</v>
      </c>
      <c r="I2385" s="180" t="str">
        <f>IFERROR(__xludf.DUMMYFUNCTION("TRIM(REGEXREPLACE(E2385, ""[0-9]+[a-f]?\."", """"))"),"Da fatan za ku yi taƙaitaccen bayani a kan abin da ya shafi gidan ku")</f>
        <v>Da fatan za ku yi taƙaitaccen bayani a kan abin da ya shafi gidan ku</v>
      </c>
      <c r="J2385" s="180" t="str">
        <f t="shared" ref="J2385:L2385" si="531">$F2385 &amp; ". "&amp;G2385</f>
        <v>531. Please briefly describe the event(s) that negatveily affected your household</v>
      </c>
      <c r="K2385" s="180" t="str">
        <f t="shared" si="531"/>
        <v>531. Veuillez décrire brièvement le/les événement(s) qui ont eu des effets négatifs sur votre ménage au cours des 3 derniers mois</v>
      </c>
      <c r="L2385" s="180" t="str">
        <f t="shared" si="531"/>
        <v>531. Da fatan za ku yi taƙaitaccen bayani a kan abin da ya shafi gidan ku</v>
      </c>
    </row>
    <row r="2386" hidden="1">
      <c r="A2386" s="168" t="s">
        <v>127</v>
      </c>
      <c r="B2386" s="71" t="s">
        <v>6598</v>
      </c>
      <c r="C2386" s="200"/>
      <c r="D2386" s="200"/>
      <c r="E2386" s="200"/>
    </row>
    <row r="2387" hidden="1">
      <c r="A2387" s="285" t="s">
        <v>426</v>
      </c>
      <c r="B2387" s="171" t="s">
        <v>6599</v>
      </c>
      <c r="C2387" s="171" t="s">
        <v>4481</v>
      </c>
      <c r="D2387" s="325"/>
      <c r="E2387" s="325"/>
    </row>
    <row r="2388" hidden="1">
      <c r="A2388" s="168" t="s">
        <v>68</v>
      </c>
      <c r="B2388" s="71" t="s">
        <v>6600</v>
      </c>
      <c r="C2388" s="289" t="s">
        <v>4490</v>
      </c>
      <c r="D2388" s="200"/>
      <c r="E2388" s="200"/>
    </row>
    <row r="2389" hidden="1">
      <c r="A2389" s="298" t="s">
        <v>133</v>
      </c>
      <c r="B2389" s="299" t="s">
        <v>6601</v>
      </c>
      <c r="C2389" s="300"/>
      <c r="D2389" s="300"/>
      <c r="E2389" s="300"/>
    </row>
    <row r="2390">
      <c r="A2390" s="280" t="s">
        <v>2509</v>
      </c>
      <c r="B2390" s="281" t="s">
        <v>6602</v>
      </c>
      <c r="C2390" s="45" t="s">
        <v>6603</v>
      </c>
      <c r="D2390" s="45" t="s">
        <v>6604</v>
      </c>
      <c r="E2390" s="45" t="s">
        <v>6605</v>
      </c>
      <c r="F2390" s="187">
        <v>532.0</v>
      </c>
      <c r="G2390" s="180" t="str">
        <f>IFERROR(__xludf.DUMMYFUNCTION("TRIM(REGEXREPLACE(C2390, ""[0-9]+[a-f]?\."", """"))"),"In response to ${hoh_emergency_name}, did you or your household take the following actions?")</f>
        <v>In response to ${hoh_emergency_name}, did you or your household take the following actions?</v>
      </c>
      <c r="H2390" s="180" t="str">
        <f>IFERROR(__xludf.DUMMYFUNCTION("TRIM(REGEXREPLACE(D2390, ""[0-9]+[a-f]?\."", """"))"),"En réponse à ${hoh_emergency_name}, avez-vous vous ou votre ménage pris les mesures suivantes ??")</f>
        <v>En réponse à ${hoh_emergency_name}, avez-vous vous ou votre ménage pris les mesures suivantes ??</v>
      </c>
      <c r="I2390" s="180" t="str">
        <f>IFERROR(__xludf.DUMMYFUNCTION("TRIM(REGEXREPLACE(E2390, ""[0-9]+[a-f]?\."", """"))"),"Dangance da ${hoh_emergency_name}, ku ko ƴan gindanku kun ɗauki waɗannan matakai?")</f>
        <v>Dangance da ${hoh_emergency_name}, ku ko ƴan gindanku kun ɗauki waɗannan matakai?</v>
      </c>
      <c r="J2390" s="180" t="str">
        <f t="shared" ref="J2390:L2390" si="532">$F2390 &amp; ". "&amp;G2390</f>
        <v>532. In response to ${hoh_emergency_name}, did you or your household take the following actions?</v>
      </c>
      <c r="K2390" s="180" t="str">
        <f t="shared" si="532"/>
        <v>532. En réponse à ${hoh_emergency_name}, avez-vous vous ou votre ménage pris les mesures suivantes ??</v>
      </c>
      <c r="L2390" s="180" t="str">
        <f t="shared" si="532"/>
        <v>532. Dangance da ${hoh_emergency_name}, ku ko ƴan gindanku kun ɗauki waɗannan matakai?</v>
      </c>
    </row>
    <row r="2391">
      <c r="A2391" s="280" t="s">
        <v>2509</v>
      </c>
      <c r="B2391" s="281" t="s">
        <v>6607</v>
      </c>
      <c r="C2391" s="45" t="s">
        <v>6608</v>
      </c>
      <c r="D2391" s="45" t="s">
        <v>6609</v>
      </c>
      <c r="E2391" s="45" t="s">
        <v>6610</v>
      </c>
      <c r="F2391" s="187">
        <v>533.0</v>
      </c>
      <c r="G2391" s="180" t="str">
        <f>IFERROR(__xludf.DUMMYFUNCTION("TRIM(REGEXREPLACE(C2391, ""[0-9]+[a-f]?\."", """"))"),"Sell assets?")</f>
        <v>Sell assets?</v>
      </c>
      <c r="H2391" s="180" t="str">
        <f>IFERROR(__xludf.DUMMYFUNCTION("TRIM(REGEXREPLACE(D2391, ""[0-9]+[a-f]?\."", """"))"),"Vendre des actifs")</f>
        <v>Vendre des actifs</v>
      </c>
      <c r="I2391" s="180" t="str">
        <f>IFERROR(__xludf.DUMMYFUNCTION("TRIM(REGEXREPLACE(E2391, ""[0-9]+[a-f]?\."", """"))"),"Saida kadarori")</f>
        <v>Saida kadarori</v>
      </c>
      <c r="J2391" s="180" t="str">
        <f t="shared" ref="J2391:L2391" si="533">$F2391 &amp; ". "&amp;G2391</f>
        <v>533. Sell assets?</v>
      </c>
      <c r="K2391" s="180" t="str">
        <f t="shared" si="533"/>
        <v>533. Vendre des actifs</v>
      </c>
      <c r="L2391" s="180" t="str">
        <f t="shared" si="533"/>
        <v>533. Saida kadarori</v>
      </c>
    </row>
    <row r="2392">
      <c r="A2392" s="280" t="s">
        <v>2509</v>
      </c>
      <c r="B2392" s="281" t="s">
        <v>6614</v>
      </c>
      <c r="C2392" s="45" t="s">
        <v>4709</v>
      </c>
      <c r="D2392" s="45" t="s">
        <v>4710</v>
      </c>
      <c r="E2392" s="45" t="s">
        <v>4711</v>
      </c>
      <c r="F2392" s="187">
        <v>534.0</v>
      </c>
      <c r="G2392" s="180" t="str">
        <f>IFERROR(__xludf.DUMMYFUNCTION("TRIM(REGEXREPLACE(C2392, ""[0-9]+[a-f]?\."", """"))"),"Borrow money?")</f>
        <v>Borrow money?</v>
      </c>
      <c r="H2392" s="180" t="str">
        <f>IFERROR(__xludf.DUMMYFUNCTION("TRIM(REGEXREPLACE(D2392, ""[0-9]+[a-f]?\."", """"))"),"Emprunter de l'argent")</f>
        <v>Emprunter de l'argent</v>
      </c>
      <c r="I2392" s="180" t="str">
        <f>IFERROR(__xludf.DUMMYFUNCTION("TRIM(REGEXREPLACE(E2392, ""[0-9]+[a-f]?\."", """"))"),"Bashin kuɗi")</f>
        <v>Bashin kuɗi</v>
      </c>
      <c r="J2392" s="180" t="str">
        <f t="shared" ref="J2392:L2392" si="534">$F2392 &amp; ". "&amp;G2392</f>
        <v>534. Borrow money?</v>
      </c>
      <c r="K2392" s="180" t="str">
        <f t="shared" si="534"/>
        <v>534. Emprunter de l'argent</v>
      </c>
      <c r="L2392" s="180" t="str">
        <f t="shared" si="534"/>
        <v>534. Bashin kuɗi</v>
      </c>
    </row>
    <row r="2393">
      <c r="A2393" s="280" t="s">
        <v>2509</v>
      </c>
      <c r="B2393" s="281" t="s">
        <v>6615</v>
      </c>
      <c r="C2393" s="45" t="s">
        <v>6616</v>
      </c>
      <c r="D2393" s="45" t="s">
        <v>6617</v>
      </c>
      <c r="E2393" s="45" t="s">
        <v>6618</v>
      </c>
      <c r="F2393" s="187">
        <v>535.0</v>
      </c>
      <c r="G2393" s="180" t="str">
        <f>IFERROR(__xludf.DUMMYFUNCTION("TRIM(REGEXREPLACE(C2393, ""[0-9]+[a-f]?\."", """"))"),"Spend your savings?")</f>
        <v>Spend your savings?</v>
      </c>
      <c r="H2393" s="180" t="str">
        <f>IFERROR(__xludf.DUMMYFUNCTION("TRIM(REGEXREPLACE(D2393, ""[0-9]+[a-f]?\."", """"))"),"Utiliser votre épargne")</f>
        <v>Utiliser votre épargne</v>
      </c>
      <c r="I2393" s="180" t="str">
        <f>IFERROR(__xludf.DUMMYFUNCTION("TRIM(REGEXREPLACE(E2393, ""[0-9]+[a-f]?\."", """"))"),"Kashe kuɗin ajiyar ku")</f>
        <v>Kashe kuɗin ajiyar ku</v>
      </c>
      <c r="J2393" s="180" t="str">
        <f t="shared" ref="J2393:L2393" si="535">$F2393 &amp; ". "&amp;G2393</f>
        <v>535. Spend your savings?</v>
      </c>
      <c r="K2393" s="180" t="str">
        <f t="shared" si="535"/>
        <v>535. Utiliser votre épargne</v>
      </c>
      <c r="L2393" s="180" t="str">
        <f t="shared" si="535"/>
        <v>535. Kashe kuɗin ajiyar ku</v>
      </c>
    </row>
    <row r="2394">
      <c r="A2394" s="280" t="s">
        <v>2509</v>
      </c>
      <c r="B2394" s="281" t="s">
        <v>6624</v>
      </c>
      <c r="C2394" s="45" t="s">
        <v>6625</v>
      </c>
      <c r="D2394" s="45" t="s">
        <v>6626</v>
      </c>
      <c r="E2394" s="45" t="s">
        <v>6627</v>
      </c>
      <c r="F2394" s="187">
        <v>536.0</v>
      </c>
      <c r="G2394" s="180" t="str">
        <f>IFERROR(__xludf.DUMMYFUNCTION("TRIM(REGEXREPLACE(C2394, ""[0-9]+[a-f]?\."", """"))"),"Reduce spending on food or change your food consumption?")</f>
        <v>Reduce spending on food or change your food consumption?</v>
      </c>
      <c r="H2394" s="180" t="str">
        <f>IFERROR(__xludf.DUMMYFUNCTION("TRIM(REGEXREPLACE(D2394, ""[0-9]+[a-f]?\."", """"))"),"Réduire les dépenses alimentaires ou changé des habitudes de consommation ?")</f>
        <v>Réduire les dépenses alimentaires ou changé des habitudes de consommation ?</v>
      </c>
      <c r="I2394" s="180" t="str">
        <f>IFERROR(__xludf.DUMMYFUNCTION("TRIM(REGEXREPLACE(E2394, ""[0-9]+[a-f]?\."", """"))"),"Rage kashe kuɗi akan abinci ko canza abincin?")</f>
        <v>Rage kashe kuɗi akan abinci ko canza abincin?</v>
      </c>
      <c r="J2394" s="180" t="str">
        <f t="shared" ref="J2394:L2394" si="536">$F2394 &amp; ". "&amp;G2394</f>
        <v>536. Reduce spending on food or change your food consumption?</v>
      </c>
      <c r="K2394" s="180" t="str">
        <f t="shared" si="536"/>
        <v>536. Réduire les dépenses alimentaires ou changé des habitudes de consommation ?</v>
      </c>
      <c r="L2394" s="180" t="str">
        <f t="shared" si="536"/>
        <v>536. Rage kashe kuɗi akan abinci ko canza abincin?</v>
      </c>
    </row>
    <row r="2395" hidden="1">
      <c r="A2395" s="298" t="s">
        <v>237</v>
      </c>
      <c r="B2395" s="310" t="s">
        <v>6601</v>
      </c>
      <c r="C2395" s="303"/>
      <c r="D2395" s="303"/>
      <c r="E2395" s="303"/>
    </row>
    <row r="2396" hidden="1">
      <c r="A2396" s="298" t="s">
        <v>133</v>
      </c>
      <c r="B2396" s="299" t="s">
        <v>6628</v>
      </c>
      <c r="C2396" s="300"/>
      <c r="D2396" s="300"/>
      <c r="E2396" s="300"/>
    </row>
    <row r="2397">
      <c r="A2397" s="278" t="s">
        <v>38</v>
      </c>
      <c r="B2397" s="279" t="s">
        <v>6632</v>
      </c>
      <c r="C2397" s="45" t="s">
        <v>6633</v>
      </c>
      <c r="D2397" s="45" t="s">
        <v>6634</v>
      </c>
      <c r="E2397" s="45" t="s">
        <v>6635</v>
      </c>
      <c r="F2397" s="187">
        <v>537.0</v>
      </c>
      <c r="G2397" s="180" t="str">
        <f>IFERROR(__xludf.DUMMYFUNCTION("TRIM(REGEXREPLACE(C2397, ""[0-9]+[a-f]?\."", """"))"),"For ${hoh_emergency_name}
 What was the value of the following in CFA?")</f>
        <v>For ${hoh_emergency_name}
 What was the value of the following in CFA?</v>
      </c>
      <c r="H2397" s="180" t="str">
        <f>IFERROR(__xludf.DUMMYFUNCTION("TRIM(REGEXREPLACE(D2397, ""[0-9]+[a-f]?\."", """"))"),"Par rapport à ${hoh_emergency_name}
 Quelle était la valeur des éléments suivantes en CFA?")</f>
        <v>Par rapport à ${hoh_emergency_name}
 Quelle était la valeur des éléments suivantes en CFA?</v>
      </c>
      <c r="I2397" s="180" t="str">
        <f>IFERROR(__xludf.DUMMYFUNCTION("TRIM(REGEXREPLACE(E2397, ""[0-9]+[a-f]?\."", """"))"),"Game da ${hoh_emergency_name}
 Nawa ne kimar waɗannan abubuwan a kuɗin CFA?")</f>
        <v>Game da ${hoh_emergency_name}
 Nawa ne kimar waɗannan abubuwan a kuɗin CFA?</v>
      </c>
      <c r="J2397" s="180" t="str">
        <f t="shared" ref="J2397:L2397" si="537">$F2397 &amp; ". "&amp;G2397</f>
        <v>537. For ${hoh_emergency_name}
 What was the value of the following in CFA?</v>
      </c>
      <c r="K2397" s="180" t="str">
        <f t="shared" si="537"/>
        <v>537. Par rapport à ${hoh_emergency_name}
 Quelle était la valeur des éléments suivantes en CFA?</v>
      </c>
      <c r="L2397" s="180" t="str">
        <f t="shared" si="537"/>
        <v>537. Game da ${hoh_emergency_name}
 Nawa ne kimar waɗannan abubuwan a kuɗin CFA?</v>
      </c>
    </row>
    <row r="2398">
      <c r="A2398" s="291" t="s">
        <v>268</v>
      </c>
      <c r="B2398" s="292" t="s">
        <v>6639</v>
      </c>
      <c r="C2398" s="45" t="s">
        <v>6640</v>
      </c>
      <c r="D2398" s="45" t="s">
        <v>6641</v>
      </c>
      <c r="E2398" s="45" t="s">
        <v>6642</v>
      </c>
      <c r="F2398" s="187">
        <v>538.0</v>
      </c>
      <c r="G2398" s="180" t="str">
        <f>IFERROR(__xludf.DUMMYFUNCTION("TRIM(REGEXREPLACE(C2398, ""[0-9]+[a-f]?\."", """"))"),"Assets you sold")</f>
        <v>Assets you sold</v>
      </c>
      <c r="H2398" s="180" t="str">
        <f>IFERROR(__xludf.DUMMYFUNCTION("TRIM(REGEXREPLACE(D2398, ""[0-9]+[a-f]?\."", """"))"),"Les actifs que vous avez vendus")</f>
        <v>Les actifs que vous avez vendus</v>
      </c>
      <c r="I2398" s="180" t="str">
        <f>IFERROR(__xludf.DUMMYFUNCTION("TRIM(REGEXREPLACE(E2398, ""[0-9]+[a-f]?\."", """"))"),"Kadarorin da kuka saida")</f>
        <v>Kadarorin da kuka saida</v>
      </c>
      <c r="J2398" s="180" t="str">
        <f t="shared" ref="J2398:L2398" si="538">$F2398 &amp; ". "&amp;G2398</f>
        <v>538. Assets you sold</v>
      </c>
      <c r="K2398" s="180" t="str">
        <f t="shared" si="538"/>
        <v>538. Les actifs que vous avez vendus</v>
      </c>
      <c r="L2398" s="180" t="str">
        <f t="shared" si="538"/>
        <v>538. Kadarorin da kuka saida</v>
      </c>
    </row>
    <row r="2399">
      <c r="A2399" s="291" t="s">
        <v>268</v>
      </c>
      <c r="B2399" s="292" t="s">
        <v>6643</v>
      </c>
      <c r="C2399" s="45" t="s">
        <v>6644</v>
      </c>
      <c r="D2399" s="45" t="s">
        <v>6645</v>
      </c>
      <c r="E2399" s="45" t="s">
        <v>6646</v>
      </c>
      <c r="F2399" s="187">
        <v>539.0</v>
      </c>
      <c r="G2399" s="180" t="str">
        <f>IFERROR(__xludf.DUMMYFUNCTION("TRIM(REGEXREPLACE(C2399, ""[0-9]+[a-f]?\."", """"))"),"Loan(s) you took")</f>
        <v>Loan(s) you took</v>
      </c>
      <c r="H2399" s="180" t="str">
        <f>IFERROR(__xludf.DUMMYFUNCTION("TRIM(REGEXREPLACE(D2399, ""[0-9]+[a-f]?\."", """"))"),"Les prêt(s) que vous avez contracté")</f>
        <v>Les prêt(s) que vous avez contracté</v>
      </c>
      <c r="I2399" s="180" t="str">
        <f>IFERROR(__xludf.DUMMYFUNCTION("TRIM(REGEXREPLACE(E2399, ""[0-9]+[a-f]?\."", """"))"),"Bashin da kuka ɗauka")</f>
        <v>Bashin da kuka ɗauka</v>
      </c>
      <c r="J2399" s="180" t="str">
        <f t="shared" ref="J2399:L2399" si="539">$F2399 &amp; ". "&amp;G2399</f>
        <v>539. Loan(s) you took</v>
      </c>
      <c r="K2399" s="180" t="str">
        <f t="shared" si="539"/>
        <v>539. Les prêt(s) que vous avez contracté</v>
      </c>
      <c r="L2399" s="180" t="str">
        <f t="shared" si="539"/>
        <v>539. Bashin da kuka ɗauka</v>
      </c>
    </row>
    <row r="2400">
      <c r="A2400" s="291" t="s">
        <v>268</v>
      </c>
      <c r="B2400" s="292" t="s">
        <v>6648</v>
      </c>
      <c r="C2400" s="45" t="s">
        <v>6649</v>
      </c>
      <c r="D2400" s="45" t="s">
        <v>6650</v>
      </c>
      <c r="E2400" s="45" t="s">
        <v>6651</v>
      </c>
      <c r="F2400" s="187">
        <v>540.0</v>
      </c>
      <c r="G2400" s="180" t="str">
        <f>IFERROR(__xludf.DUMMYFUNCTION("TRIM(REGEXREPLACE(C2400, ""[0-9]+[a-f]?\."", """"))"),"Savings you spent?")</f>
        <v>Savings you spent?</v>
      </c>
      <c r="H2400" s="180" t="str">
        <f>IFERROR(__xludf.DUMMYFUNCTION("TRIM(REGEXREPLACE(D2400, ""[0-9]+[a-f]?\."", """"))"),"L'épargne que vous avez utilisé")</f>
        <v>L'épargne que vous avez utilisé</v>
      </c>
      <c r="I2400" s="180" t="str">
        <f>IFERROR(__xludf.DUMMYFUNCTION("TRIM(REGEXREPLACE(E2400, ""[0-9]+[a-f]?\."", """"))"),"Ajiyar da kuka kashe")</f>
        <v>Ajiyar da kuka kashe</v>
      </c>
      <c r="J2400" s="180" t="str">
        <f t="shared" ref="J2400:L2400" si="540">$F2400 &amp; ". "&amp;G2400</f>
        <v>540. Savings you spent?</v>
      </c>
      <c r="K2400" s="180" t="str">
        <f t="shared" si="540"/>
        <v>540. L'épargne que vous avez utilisé</v>
      </c>
      <c r="L2400" s="180" t="str">
        <f t="shared" si="540"/>
        <v>540. Ajiyar da kuka kashe</v>
      </c>
    </row>
    <row r="2401" hidden="1">
      <c r="A2401" s="298" t="s">
        <v>237</v>
      </c>
      <c r="B2401" s="310" t="s">
        <v>6628</v>
      </c>
      <c r="C2401" s="303"/>
      <c r="D2401" s="303"/>
      <c r="E2401" s="303"/>
    </row>
    <row r="2402" hidden="1">
      <c r="A2402" s="285" t="s">
        <v>468</v>
      </c>
      <c r="B2402" s="185" t="s">
        <v>6599</v>
      </c>
      <c r="C2402" s="185" t="s">
        <v>4481</v>
      </c>
      <c r="D2402" s="326"/>
      <c r="E2402" s="326"/>
    </row>
    <row r="2403" hidden="1">
      <c r="A2403" s="168" t="s">
        <v>127</v>
      </c>
      <c r="B2403" s="71" t="s">
        <v>6653</v>
      </c>
      <c r="C2403" s="200"/>
      <c r="D2403" s="200"/>
      <c r="E2403" s="200"/>
    </row>
    <row r="2404" hidden="1">
      <c r="A2404" s="168" t="s">
        <v>68</v>
      </c>
      <c r="B2404" s="71" t="s">
        <v>6654</v>
      </c>
      <c r="C2404" s="200"/>
      <c r="D2404" s="200"/>
      <c r="E2404" s="200"/>
    </row>
    <row r="2405" hidden="1">
      <c r="A2405" s="168" t="s">
        <v>127</v>
      </c>
      <c r="B2405" s="71" t="s">
        <v>6655</v>
      </c>
      <c r="C2405" s="200"/>
      <c r="D2405" s="200"/>
      <c r="E2405" s="200"/>
    </row>
    <row r="2406">
      <c r="A2406" s="278" t="s">
        <v>38</v>
      </c>
      <c r="B2406" s="279" t="s">
        <v>6656</v>
      </c>
      <c r="C2406" s="45" t="s">
        <v>6657</v>
      </c>
      <c r="D2406" s="45" t="s">
        <v>6658</v>
      </c>
      <c r="E2406" s="45" t="s">
        <v>6659</v>
      </c>
      <c r="F2406" s="187">
        <v>541.0</v>
      </c>
      <c r="G2406" s="180" t="str">
        <f>IFERROR(__xludf.DUMMYFUNCTION("TRIM(REGEXREPLACE(C2406,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2406" s="180" t="str">
        <f>IFERROR(__xludf.DUMMYFUNCTION("TRIM(REGEXREPLACE(D2406,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2406" s="180" t="str">
        <f>IFERROR(__xludf.DUMMYFUNCTION("TRIM(REGEXREPLACE(E2406,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2406" s="180" t="str">
        <f t="shared" ref="J2406:L2406" si="541">$F2406 &amp; ". "&amp;G2406</f>
        <v>541. Now I would like to ask you about any money that you and your family owe to other people; money you have borrowed from people outside your household.</v>
      </c>
      <c r="K2406" s="180" t="str">
        <f t="shared" si="541"/>
        <v>541. Maintenant, je voudrais vous poser des questions sur l'argent que vous et votre ménage devez à d'autres personnes ; l'argent que vous avez emprunté à des personnes extérieures à votre ménage.</v>
      </c>
      <c r="L2406" s="180" t="str">
        <f t="shared" si="541"/>
        <v>541. Yanzu ina son in tambaye ku game da duk wani kuɗin da ku da ƴan gidanku kuka ɗauko daga wajen wasu mutane; kuɗin da kuka aro daga mutane wanda ba ƴan gidanku ba.</v>
      </c>
    </row>
    <row r="2407">
      <c r="A2407" s="280" t="s">
        <v>2509</v>
      </c>
      <c r="B2407" s="281" t="s">
        <v>6661</v>
      </c>
      <c r="C2407" s="45" t="s">
        <v>6662</v>
      </c>
      <c r="D2407" s="45" t="s">
        <v>6663</v>
      </c>
      <c r="E2407" s="45" t="s">
        <v>6664</v>
      </c>
      <c r="F2407" s="187">
        <v>542.0</v>
      </c>
      <c r="G2407" s="180" t="str">
        <f>IFERROR(__xludf.DUMMYFUNCTION("TRIM(REGEXREPLACE(C2407, ""[0-9]+[a-f]?\."", """"))"),"In the last three months did you or a member of your household try to secure a loan from any source but were refused?")</f>
        <v>In the last three months did you or a member of your household try to secure a loan from any source but were refused?</v>
      </c>
      <c r="H2407" s="180" t="str">
        <f>IFERROR(__xludf.DUMMYFUNCTION("TRIM(REGEXREPLACE(D2407,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2407" s="180" t="str">
        <f>IFERROR(__xludf.DUMMYFUNCTION("TRIM(REGEXREPLACE(E2407, ""[0-9]+[a-f]?\."", """"))"),"A cikin watanni uku da suka wuce kai ko wani dan gidanku kun yi ƙoƙarin samun bashi daga kowace hanya amma an ƙi?")</f>
        <v>A cikin watanni uku da suka wuce kai ko wani dan gidanku kun yi ƙoƙarin samun bashi daga kowace hanya amma an ƙi?</v>
      </c>
      <c r="J2407" s="180" t="str">
        <f t="shared" ref="J2407:L2407" si="542">$F2407 &amp; ". "&amp;G2407</f>
        <v>542. In the last three months did you or a member of your household try to secure a loan from any source but were refused?</v>
      </c>
      <c r="K2407" s="180" t="str">
        <f t="shared" si="542"/>
        <v>542. Au cours des trois derniers mois, vous ou un membre de votre ménage avez-vous essayé d'obtenir un prêt auprès de n'importe quelle source, mais cela a été refusé ?</v>
      </c>
      <c r="L2407" s="180" t="str">
        <f t="shared" si="542"/>
        <v>542. A cikin watanni uku da suka wuce kai ko wani dan gidanku kun yi ƙoƙarin samun bashi daga kowace hanya amma an ƙi?</v>
      </c>
    </row>
    <row r="2408">
      <c r="A2408" s="291" t="s">
        <v>268</v>
      </c>
      <c r="B2408" s="292" t="s">
        <v>6665</v>
      </c>
      <c r="C2408" s="45" t="s">
        <v>6666</v>
      </c>
      <c r="D2408" s="45" t="s">
        <v>6667</v>
      </c>
      <c r="E2408" s="45" t="s">
        <v>6668</v>
      </c>
      <c r="F2408" s="187">
        <v>543.0</v>
      </c>
      <c r="G2408" s="180" t="str">
        <f>IFERROR(__xludf.DUMMYFUNCTION("TRIM(REGEXREPLACE(C2408, ""[0-9]+[a-f]?\."", """"))"),"What was the value of the loan in CFA?")</f>
        <v>What was the value of the loan in CFA?</v>
      </c>
      <c r="H2408" s="180" t="str">
        <f>IFERROR(__xludf.DUMMYFUNCTION("TRIM(REGEXREPLACE(D2408, ""[0-9]+[a-f]?\."", """"))"),"Quelle était la valeur du prêt en CFA?")</f>
        <v>Quelle était la valeur du prêt en CFA?</v>
      </c>
      <c r="I2408" s="180" t="str">
        <f>IFERROR(__xludf.DUMMYFUNCTION("TRIM(REGEXREPLACE(E2408, ""[0-9]+[a-f]?\."", """"))"),"Nawa ne yawan kuɗin bashin a sefa?")</f>
        <v>Nawa ne yawan kuɗin bashin a sefa?</v>
      </c>
      <c r="J2408" s="180" t="str">
        <f t="shared" ref="J2408:L2408" si="543">$F2408 &amp; ". "&amp;G2408</f>
        <v>543. What was the value of the loan in CFA?</v>
      </c>
      <c r="K2408" s="180" t="str">
        <f t="shared" si="543"/>
        <v>543. Quelle était la valeur du prêt en CFA?</v>
      </c>
      <c r="L2408" s="180" t="str">
        <f t="shared" si="543"/>
        <v>543. Nawa ne yawan kuɗin bashin a sefa?</v>
      </c>
    </row>
    <row r="2409">
      <c r="A2409" s="291" t="s">
        <v>268</v>
      </c>
      <c r="B2409" s="292" t="s">
        <v>6670</v>
      </c>
      <c r="C2409" s="45" t="s">
        <v>6671</v>
      </c>
      <c r="D2409" s="45" t="s">
        <v>6672</v>
      </c>
      <c r="E2409" s="45" t="s">
        <v>6673</v>
      </c>
      <c r="F2409" s="187">
        <v>544.0</v>
      </c>
      <c r="G2409" s="180" t="str">
        <f>IFERROR(__xludf.DUMMYFUNCTION("TRIM(REGEXREPLACE(C2409,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2409" s="180" t="str">
        <f>IFERROR(__xludf.DUMMYFUNCTION("TRIM(REGEXREPLACE(D2409,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2409" s="180" t="str">
        <f>IFERROR(__xludf.DUMMYFUNCTION("TRIM(REGEXREPLACE(E2409,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2409" s="180" t="str">
        <f t="shared" ref="J2409:L2409" si="544">$F2409 &amp; ". "&amp;G2409</f>
        <v>544. Think about all the people you or members of your household owe money, including recent loans, what is the total value your household owes (in CFA)?</v>
      </c>
      <c r="K2409" s="180" t="str">
        <f t="shared" si="544"/>
        <v>544. Pensez à toutes les personnes que vous ou les membres de votre ménage devez de l'argent, y compris les prêts récents, quelle est la valeur totale que votre ménage doit (en CFA) ?</v>
      </c>
      <c r="L2409" s="180" t="str">
        <f t="shared" si="544"/>
        <v>544. Ku tuna da duk mutanen da ke bin da ƴan gidanku kuɗi, dukan basussuka sabi da tsohi, nawa jimillar kuɗin a ke bin gidanku (a kuɗin sefa CFA)?</v>
      </c>
    </row>
    <row r="2410">
      <c r="A2410" s="280" t="s">
        <v>2509</v>
      </c>
      <c r="B2410" s="281" t="s">
        <v>6674</v>
      </c>
      <c r="C2410" s="45" t="s">
        <v>6676</v>
      </c>
      <c r="D2410" s="45" t="s">
        <v>6677</v>
      </c>
      <c r="E2410" s="45" t="s">
        <v>6678</v>
      </c>
      <c r="F2410" s="187">
        <v>545.0</v>
      </c>
      <c r="G2410" s="180" t="str">
        <f>IFERROR(__xludf.DUMMYFUNCTION("TRIM(REGEXREPLACE(C2410, ""[0-9]+[a-f]?\."", """"))"),"Do you know if a loan was given to your household by a household that participated in the TSARI or other Mercy Corp programs?")</f>
        <v>Do you know if a loan was given to your household by a household that participated in the TSARI or other Mercy Corp programs?</v>
      </c>
      <c r="H2410" s="180" t="str">
        <f>IFERROR(__xludf.DUMMYFUNCTION("TRIM(REGEXREPLACE(D2410,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2410" s="180" t="str">
        <f>IFERROR(__xludf.DUMMYFUNCTION("TRIM(REGEXREPLACE(E2410, ""[0-9]+[a-f]?\."", """"))"),"Kun san ko gidan ku ya ɗauki ramcen kuɗi daga wani gidan da yake cikin shirin TSARI ko wasu shirye-shiryen Mercy Corp?")</f>
        <v>Kun san ko gidan ku ya ɗauki ramcen kuɗi daga wani gidan da yake cikin shirin TSARI ko wasu shirye-shiryen Mercy Corp?</v>
      </c>
      <c r="J2410" s="180" t="str">
        <f t="shared" ref="J2410:L2410" si="545">$F2410 &amp; ". "&amp;G2410</f>
        <v>545. Do you know if a loan was given to your household by a household that participated in the TSARI or other Mercy Corp programs?</v>
      </c>
      <c r="K2410" s="180" t="str">
        <f t="shared" si="545"/>
        <v>545. Savez-vous si un prêt a été accordé à votre ménage par un ménage ayant participé au programme TSARI ou à d'autres programmes de Mercy Corp ?</v>
      </c>
      <c r="L2410" s="180" t="str">
        <f t="shared" si="545"/>
        <v>545. Kun san ko gidan ku ya ɗauki ramcen kuɗi daga wani gidan da yake cikin shirin TSARI ko wasu shirye-shiryen Mercy Corp?</v>
      </c>
    </row>
    <row r="2411">
      <c r="A2411" s="280" t="s">
        <v>1306</v>
      </c>
      <c r="B2411" s="281" t="s">
        <v>6679</v>
      </c>
      <c r="C2411" s="45" t="s">
        <v>6680</v>
      </c>
      <c r="D2411" s="45" t="s">
        <v>6681</v>
      </c>
      <c r="E2411" s="45" t="s">
        <v>6682</v>
      </c>
      <c r="F2411" s="187">
        <v>546.0</v>
      </c>
      <c r="G2411" s="180" t="str">
        <f>IFERROR(__xludf.DUMMYFUNCTION("TRIM(REGEXREPLACE(C2411,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2411" s="180" t="str">
        <f>IFERROR(__xludf.DUMMYFUNCTION("TRIM(REGEXREPLACE(D2411,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2411" s="180" t="str">
        <f>IFERROR(__xludf.DUMMYFUNCTION("TRIM(REGEXREPLACE(E2411,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2411" s="180" t="str">
        <f t="shared" ref="J2411:L2411" si="546">$F2411 &amp; ". "&amp;G2411</f>
        <v>546. In the past three months, have you or anyone in your household received money or goods from someone who is not a member of your household and lives in your village in Niger?</v>
      </c>
      <c r="K2411" s="180" t="str">
        <f t="shared" si="546"/>
        <v>546. Au cours des trois derniers mois, est-ce que vous ou un membre de votre ménage avez reçu de l'argent ou des biens d'une personne qui n'est pas membre de votre ménage et qui habite dans votre village au Niger ?</v>
      </c>
      <c r="L2411" s="180" t="str">
        <f t="shared" si="546"/>
        <v>546. A cikin wata uku da suka wuce, kai ko wani a cikin gidanku kun karɓi kuɗi ko kaya daga wani wanda ba ɗan gidanku ba kuma yana zaune a ƙauyenku a Nijar?</v>
      </c>
    </row>
    <row r="2412">
      <c r="A2412" s="280" t="s">
        <v>2509</v>
      </c>
      <c r="B2412" s="281" t="s">
        <v>6683</v>
      </c>
      <c r="C2412" s="45" t="s">
        <v>6684</v>
      </c>
      <c r="D2412" s="45" t="s">
        <v>6685</v>
      </c>
      <c r="E2412" s="45" t="s">
        <v>6686</v>
      </c>
      <c r="F2412" s="187">
        <v>547.0</v>
      </c>
      <c r="G2412" s="180" t="str">
        <f>IFERROR(__xludf.DUMMYFUNCTION("TRIM(REGEXREPLACE(C2412,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2412" s="180" t="str">
        <f>IFERROR(__xludf.DUMMYFUNCTION("TRIM(REGEXREPLACE(D2412,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2412" s="180" t="str">
        <f>IFERROR(__xludf.DUMMYFUNCTION("TRIM(REGEXREPLACE(E2412,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2412" s="180" t="str">
        <f t="shared" ref="J2412:L2412" si="547">$F2412 &amp; ". "&amp;G2412</f>
        <v>547. Do you know if the person who gave your hosuehold money was from a household that participated in the TSARI or other Mercy Corp programs?</v>
      </c>
      <c r="K2412" s="180" t="str">
        <f t="shared" si="547"/>
        <v>547. Savez-vous si la personne qui a donné l'argent à votre ménage appartenait à un ménage qui a participé au programme TSARI ou à d'autres programmes de Mercy Corp ?</v>
      </c>
      <c r="L2412" s="180" t="str">
        <f t="shared" si="547"/>
        <v>547. Shin kun san ko mutumin da ya ba gidan ku kuɗin ɗan wani gida ne wanda suka samu shiga cikin shirin TSARI ko wasu shirye-shiryen Mercy Corp?</v>
      </c>
    </row>
    <row r="2413" hidden="1">
      <c r="A2413" s="168" t="s">
        <v>127</v>
      </c>
      <c r="B2413" s="71" t="s">
        <v>6687</v>
      </c>
      <c r="C2413" s="200"/>
      <c r="D2413" s="200"/>
      <c r="E2413" s="200"/>
    </row>
    <row r="2414" hidden="1">
      <c r="A2414" s="168" t="s">
        <v>68</v>
      </c>
      <c r="B2414" s="71" t="s">
        <v>6688</v>
      </c>
      <c r="C2414" s="200"/>
      <c r="D2414" s="200"/>
      <c r="E2414" s="200"/>
    </row>
    <row r="2415" hidden="1">
      <c r="A2415" s="168" t="s">
        <v>127</v>
      </c>
      <c r="B2415" s="71" t="s">
        <v>6689</v>
      </c>
      <c r="C2415" s="200"/>
      <c r="D2415" s="200"/>
      <c r="E2415" s="200"/>
    </row>
    <row r="2416">
      <c r="A2416" s="278" t="s">
        <v>38</v>
      </c>
      <c r="B2416" s="279" t="s">
        <v>6690</v>
      </c>
      <c r="C2416" s="45" t="s">
        <v>6691</v>
      </c>
      <c r="D2416" s="45" t="s">
        <v>6692</v>
      </c>
      <c r="E2416" s="45" t="s">
        <v>6693</v>
      </c>
      <c r="F2416" s="187">
        <v>548.0</v>
      </c>
      <c r="G2416" s="180" t="str">
        <f>IFERROR(__xludf.DUMMYFUNCTION("TRIM(REGEXREPLACE(C2416, ""[0-9]+[a-f]?\."", """"))"),"I will now ask you about meals people in your household have consumed in the past 7 days.")</f>
        <v>I will now ask you about meals people in your household have consumed in the past 7 days.</v>
      </c>
      <c r="H2416" s="180" t="str">
        <f>IFERROR(__xludf.DUMMYFUNCTION("TRIM(REGEXREPLACE(D2416,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2416" s="180" t="str">
        <f>IFERROR(__xludf.DUMMYFUNCTION("TRIM(REGEXREPLACE(E2416, ""[0-9]+[a-f]?\."", """"))"),"Yanzu zan tambaye ku bisa abincin da mutanen gidanku suka ci a cikin kwanaki 7 da suka wuce.")</f>
        <v>Yanzu zan tambaye ku bisa abincin da mutanen gidanku suka ci a cikin kwanaki 7 da suka wuce.</v>
      </c>
      <c r="J2416" s="180" t="str">
        <f t="shared" ref="J2416:L2416" si="548">$F2416 &amp; ". "&amp;G2416</f>
        <v>548. I will now ask you about meals people in your household have consumed in the past 7 days.</v>
      </c>
      <c r="K2416" s="180" t="str">
        <f t="shared" si="548"/>
        <v>548. Je vais maintenant vous poser des questions sur les repas que les membres de votre ménage ont consommé au cours des 7 derniers jours.</v>
      </c>
      <c r="L2416" s="180" t="str">
        <f t="shared" si="548"/>
        <v>548. Yanzu zan tambaye ku bisa abincin da mutanen gidanku suka ci a cikin kwanaki 7 da suka wuce.</v>
      </c>
    </row>
    <row r="2417">
      <c r="A2417" s="280" t="s">
        <v>2509</v>
      </c>
      <c r="B2417" s="281" t="s">
        <v>6694</v>
      </c>
      <c r="C2417" s="45" t="s">
        <v>6695</v>
      </c>
      <c r="D2417" s="45" t="s">
        <v>6696</v>
      </c>
      <c r="E2417" s="45" t="s">
        <v>6697</v>
      </c>
      <c r="F2417" s="187">
        <v>549.0</v>
      </c>
      <c r="G2417" s="180" t="str">
        <f>IFERROR(__xludf.DUMMYFUNCTION("TRIM(REGEXREPLACE(C2417, ""[0-9]+[a-f]?\."", """"))"),"In the last 7 days, have adults gone a whole day without meals?")</f>
        <v>In the last 7 days, have adults gone a whole day without meals?</v>
      </c>
      <c r="H2417" s="180" t="str">
        <f>IFERROR(__xludf.DUMMYFUNCTION("TRIM(REGEXREPLACE(D2417, ""[0-9]+[a-f]?\."", """"))"),"Au cours des 7 derniers jours, des adultes sont-ils restés une journée entière sans manger de repas ?")</f>
        <v>Au cours des 7 derniers jours, des adultes sont-ils restés une journée entière sans manger de repas ?</v>
      </c>
      <c r="I2417" s="180" t="str">
        <f>IFERROR(__xludf.DUMMYFUNCTION("TRIM(REGEXREPLACE(E2417, ""[0-9]+[a-f]?\."", """"))"),"A cikin kwanaki 7 da suka wuce, ko manya gidanku sun zauna tsawon wuni guda basu ci abinci ba?")</f>
        <v>A cikin kwanaki 7 da suka wuce, ko manya gidanku sun zauna tsawon wuni guda basu ci abinci ba?</v>
      </c>
      <c r="J2417" s="180" t="str">
        <f t="shared" ref="J2417:L2417" si="549">$F2417 &amp; ". "&amp;G2417</f>
        <v>549. In the last 7 days, have adults gone a whole day without meals?</v>
      </c>
      <c r="K2417" s="180" t="str">
        <f t="shared" si="549"/>
        <v>549. Au cours des 7 derniers jours, des adultes sont-ils restés une journée entière sans manger de repas ?</v>
      </c>
      <c r="L2417" s="180" t="str">
        <f t="shared" si="549"/>
        <v>549. A cikin kwanaki 7 da suka wuce, ko manya gidanku sun zauna tsawon wuni guda basu ci abinci ba?</v>
      </c>
    </row>
    <row r="2418">
      <c r="A2418" s="291" t="s">
        <v>268</v>
      </c>
      <c r="B2418" s="292" t="s">
        <v>6698</v>
      </c>
      <c r="C2418" s="45" t="s">
        <v>6699</v>
      </c>
      <c r="D2418" s="45" t="s">
        <v>6700</v>
      </c>
      <c r="E2418" s="45" t="s">
        <v>6701</v>
      </c>
      <c r="F2418" s="187">
        <v>550.0</v>
      </c>
      <c r="G2418" s="180" t="str">
        <f>IFERROR(__xludf.DUMMYFUNCTION("TRIM(REGEXREPLACE(C2418, ""[0-9]+[a-f]?\."", """"))"),"How many days?")</f>
        <v>How many days?</v>
      </c>
      <c r="H2418" s="180" t="str">
        <f>IFERROR(__xludf.DUMMYFUNCTION("TRIM(REGEXREPLACE(D2418, ""[0-9]+[a-f]?\."", """"))"),"Pendant combien de jours?")</f>
        <v>Pendant combien de jours?</v>
      </c>
      <c r="I2418" s="180" t="str">
        <f>IFERROR(__xludf.DUMMYFUNCTION("TRIM(REGEXREPLACE(E2418, ""[0-9]+[a-f]?\."", """"))"),"151a Tsawon kwanaki nawa?")</f>
        <v>151a Tsawon kwanaki nawa?</v>
      </c>
      <c r="J2418" s="180" t="str">
        <f t="shared" ref="J2418:L2418" si="550">$F2418 &amp; ". "&amp;G2418</f>
        <v>550. How many days?</v>
      </c>
      <c r="K2418" s="180" t="str">
        <f t="shared" si="550"/>
        <v>550. Pendant combien de jours?</v>
      </c>
      <c r="L2418" s="180" t="str">
        <f t="shared" si="550"/>
        <v>550. 151a Tsawon kwanaki nawa?</v>
      </c>
    </row>
    <row r="2419">
      <c r="A2419" s="280" t="s">
        <v>2509</v>
      </c>
      <c r="B2419" s="281" t="s">
        <v>6702</v>
      </c>
      <c r="C2419" s="45" t="s">
        <v>6703</v>
      </c>
      <c r="D2419" s="45" t="s">
        <v>6704</v>
      </c>
      <c r="E2419" s="45" t="s">
        <v>6705</v>
      </c>
      <c r="F2419" s="187">
        <v>551.0</v>
      </c>
      <c r="G2419" s="180" t="str">
        <f>IFERROR(__xludf.DUMMYFUNCTION("TRIM(REGEXREPLACE(C2419, ""[0-9]+[a-f]?\."", """"))"),"In the last 7 days, have adults cut the size of meals or skipped meals?")</f>
        <v>In the last 7 days, have adults cut the size of meals or skipped meals?</v>
      </c>
      <c r="H2419" s="180" t="str">
        <f>IFERROR(__xludf.DUMMYFUNCTION("TRIM(REGEXREPLACE(D2419, ""[0-9]+[a-f]?\."", """"))"),"Au cours des 7 derniers jours, les adultes ont-ils réduit la taille de leur repas ou les ont-ils sauté?")</f>
        <v>Au cours des 7 derniers jours, les adultes ont-ils réduit la taille de leur repas ou les ont-ils sauté?</v>
      </c>
      <c r="I2419" s="180" t="str">
        <f>IFERROR(__xludf.DUMMYFUNCTION("TRIM(REGEXREPLACE(E2419, ""[0-9]+[a-f]?\."", """"))"),"A cikin kwanaki 7 na ƙarshe, ko manyan gidanku sun rage yawan abincin da suka saba ci ko sun tsallake shi?")</f>
        <v>A cikin kwanaki 7 na ƙarshe, ko manyan gidanku sun rage yawan abincin da suka saba ci ko sun tsallake shi?</v>
      </c>
      <c r="J2419" s="180" t="str">
        <f t="shared" ref="J2419:L2419" si="551">$F2419 &amp; ". "&amp;G2419</f>
        <v>551. In the last 7 days, have adults cut the size of meals or skipped meals?</v>
      </c>
      <c r="K2419" s="180" t="str">
        <f t="shared" si="551"/>
        <v>551. Au cours des 7 derniers jours, les adultes ont-ils réduit la taille de leur repas ou les ont-ils sauté?</v>
      </c>
      <c r="L2419" s="180" t="str">
        <f t="shared" si="551"/>
        <v>551. A cikin kwanaki 7 na ƙarshe, ko manyan gidanku sun rage yawan abincin da suka saba ci ko sun tsallake shi?</v>
      </c>
    </row>
    <row r="2420">
      <c r="A2420" s="291" t="s">
        <v>268</v>
      </c>
      <c r="B2420" s="292" t="s">
        <v>6706</v>
      </c>
      <c r="C2420" s="45" t="s">
        <v>4675</v>
      </c>
      <c r="D2420" s="45" t="s">
        <v>4676</v>
      </c>
      <c r="E2420" s="45" t="s">
        <v>6707</v>
      </c>
      <c r="F2420" s="187">
        <v>552.0</v>
      </c>
      <c r="G2420" s="180" t="str">
        <f>IFERROR(__xludf.DUMMYFUNCTION("TRIM(REGEXREPLACE(C2420, ""[0-9]+[a-f]?\."", """"))"),"How many days?")</f>
        <v>How many days?</v>
      </c>
      <c r="H2420" s="180" t="str">
        <f>IFERROR(__xludf.DUMMYFUNCTION("TRIM(REGEXREPLACE(D2420, ""[0-9]+[a-f]?\."", """"))"),"Pendant combien de jours?")</f>
        <v>Pendant combien de jours?</v>
      </c>
      <c r="I2420" s="180" t="str">
        <f>IFERROR(__xludf.DUMMYFUNCTION("TRIM(REGEXREPLACE(E2420, ""[0-9]+[a-f]?\."", """"))"),"Tsawon kwanaki nawa?")</f>
        <v>Tsawon kwanaki nawa?</v>
      </c>
      <c r="J2420" s="180" t="str">
        <f t="shared" ref="J2420:L2420" si="552">$F2420 &amp; ". "&amp;G2420</f>
        <v>552. How many days?</v>
      </c>
      <c r="K2420" s="180" t="str">
        <f t="shared" si="552"/>
        <v>552. Pendant combien de jours?</v>
      </c>
      <c r="L2420" s="180" t="str">
        <f t="shared" si="552"/>
        <v>552. Tsawon kwanaki nawa?</v>
      </c>
    </row>
    <row r="2421">
      <c r="A2421" s="291" t="s">
        <v>268</v>
      </c>
      <c r="B2421" s="292" t="s">
        <v>6708</v>
      </c>
      <c r="C2421" s="45" t="s">
        <v>6709</v>
      </c>
      <c r="D2421" s="45" t="s">
        <v>6710</v>
      </c>
      <c r="E2421" s="45" t="s">
        <v>6711</v>
      </c>
      <c r="F2421" s="187">
        <v>553.0</v>
      </c>
      <c r="G2421" s="180" t="str">
        <f>IFERROR(__xludf.DUMMYFUNCTION("TRIM(REGEXREPLACE(C2421, ""[0-9]+[a-f]?\."", """"))"),"In the past week how many days have adults in your household consumed animal protein (including fish, meat, poultry)?")</f>
        <v>In the past week how many days have adults in your household consumed animal protein (including fish, meat, poultry)?</v>
      </c>
      <c r="H2421" s="180" t="str">
        <f>IFERROR(__xludf.DUMMYFUNCTION("TRIM(REGEXREPLACE(D2421,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2421" s="180" t="str">
        <f>IFERROR(__xludf.DUMMYFUNCTION("TRIM(REGEXREPLACE(E2421, ""[0-9]+[a-f]?\."", """"))"),"A cikin kwanaki 7 da suka wuce sau nawa manyan gidanku suka ci abinci masu gina jiki kamar su kifi ko nama ko kaji?")</f>
        <v>A cikin kwanaki 7 da suka wuce sau nawa manyan gidanku suka ci abinci masu gina jiki kamar su kifi ko nama ko kaji?</v>
      </c>
      <c r="J2421" s="180" t="str">
        <f t="shared" ref="J2421:L2421" si="553">$F2421 &amp; ". "&amp;G2421</f>
        <v>553. In the past week how many days have adults in your household consumed animal protein (including fish, meat, poultry)?</v>
      </c>
      <c r="K2421" s="180" t="str">
        <f t="shared" si="553"/>
        <v>553. Au cours des 7 derniers jours, combien de fois les adultes de votre ménage ont-ils consommé des protéines animales (y compris poisson, viande, volaille) ?</v>
      </c>
      <c r="L2421" s="180" t="str">
        <f t="shared" si="553"/>
        <v>553. A cikin kwanaki 7 da suka wuce sau nawa manyan gidanku suka ci abinci masu gina jiki kamar su kifi ko nama ko kaji?</v>
      </c>
    </row>
    <row r="2422">
      <c r="A2422" s="280" t="s">
        <v>2509</v>
      </c>
      <c r="B2422" s="281" t="s">
        <v>6712</v>
      </c>
      <c r="C2422" s="45" t="s">
        <v>6713</v>
      </c>
      <c r="D2422" s="45" t="s">
        <v>6714</v>
      </c>
      <c r="E2422" s="45" t="s">
        <v>6715</v>
      </c>
      <c r="F2422" s="187">
        <v>554.0</v>
      </c>
      <c r="G2422" s="180" t="str">
        <f>IFERROR(__xludf.DUMMYFUNCTION("TRIM(REGEXREPLACE(C2422, ""[0-9]+[a-f]?\."", """"))"),"In the last 7 days, have children (&lt;14) gone a whole day without meals?")</f>
        <v>In the last 7 days, have children (&lt;14) gone a whole day without meals?</v>
      </c>
      <c r="H2422" s="180" t="str">
        <f>IFERROR(__xludf.DUMMYFUNCTION("TRIM(REGEXREPLACE(D2422, ""[0-9]+[a-f]?\."", """"))"),"Au cours des 7 derniers jours, des enfants (&lt;14) ont-ils passé une journée entière sans manger de repas ?")</f>
        <v>Au cours des 7 derniers jours, des enfants (&lt;14) ont-ils passé une journée entière sans manger de repas ?</v>
      </c>
      <c r="I2422" s="180" t="str">
        <f>IFERROR(__xludf.DUMMYFUNCTION("TRIM(REGEXREPLACE(E2422, ""[0-9]+[a-f]?\."", """"))"),"A cikin kwanaki 7 na ƙarshe, ko yara ƴan ƙasa da shekara goma sha huɗu sun zauna tsawon wuni guda ba su ci da abinci ba?")</f>
        <v>A cikin kwanaki 7 na ƙarshe, ko yara ƴan ƙasa da shekara goma sha huɗu sun zauna tsawon wuni guda ba su ci da abinci ba?</v>
      </c>
      <c r="J2422" s="180" t="str">
        <f t="shared" ref="J2422:L2422" si="554">$F2422 &amp; ". "&amp;G2422</f>
        <v>554. In the last 7 days, have children (&lt;14) gone a whole day without meals?</v>
      </c>
      <c r="K2422" s="180" t="str">
        <f t="shared" si="554"/>
        <v>554. Au cours des 7 derniers jours, des enfants (&lt;14) ont-ils passé une journée entière sans manger de repas ?</v>
      </c>
      <c r="L2422" s="180" t="str">
        <f t="shared" si="554"/>
        <v>554. A cikin kwanaki 7 na ƙarshe, ko yara ƴan ƙasa da shekara goma sha huɗu sun zauna tsawon wuni guda ba su ci da abinci ba?</v>
      </c>
    </row>
    <row r="2423">
      <c r="A2423" s="291" t="s">
        <v>268</v>
      </c>
      <c r="B2423" s="292" t="s">
        <v>6718</v>
      </c>
      <c r="C2423" s="45" t="s">
        <v>6719</v>
      </c>
      <c r="D2423" s="45" t="s">
        <v>6720</v>
      </c>
      <c r="E2423" s="45" t="s">
        <v>6721</v>
      </c>
      <c r="F2423" s="187">
        <v>555.0</v>
      </c>
      <c r="G2423" s="180" t="str">
        <f>IFERROR(__xludf.DUMMYFUNCTION("TRIM(REGEXREPLACE(C2423, ""[0-9]+[a-f]?\."", """"))"),"How many days?")</f>
        <v>How many days?</v>
      </c>
      <c r="H2423" s="180" t="str">
        <f>IFERROR(__xludf.DUMMYFUNCTION("TRIM(REGEXREPLACE(D2423, ""[0-9]+[a-f]?\."", """"))"),"Pendant combien de jours?")</f>
        <v>Pendant combien de jours?</v>
      </c>
      <c r="I2423" s="180" t="str">
        <f>IFERROR(__xludf.DUMMYFUNCTION("TRIM(REGEXREPLACE(E2423, ""[0-9]+[a-f]?\."", """"))"),"154a Tsawon kwanaki nawa?")</f>
        <v>154a Tsawon kwanaki nawa?</v>
      </c>
      <c r="J2423" s="180" t="str">
        <f t="shared" ref="J2423:L2423" si="555">$F2423 &amp; ". "&amp;G2423</f>
        <v>555. How many days?</v>
      </c>
      <c r="K2423" s="180" t="str">
        <f t="shared" si="555"/>
        <v>555. Pendant combien de jours?</v>
      </c>
      <c r="L2423" s="180" t="str">
        <f t="shared" si="555"/>
        <v>555. 154a Tsawon kwanaki nawa?</v>
      </c>
    </row>
    <row r="2424">
      <c r="A2424" s="280" t="s">
        <v>2509</v>
      </c>
      <c r="B2424" s="281" t="s">
        <v>6722</v>
      </c>
      <c r="C2424" s="45" t="s">
        <v>6723</v>
      </c>
      <c r="D2424" s="45" t="s">
        <v>6724</v>
      </c>
      <c r="E2424" s="45" t="s">
        <v>6725</v>
      </c>
      <c r="F2424" s="187">
        <v>556.0</v>
      </c>
      <c r="G2424" s="180" t="str">
        <f>IFERROR(__xludf.DUMMYFUNCTION("TRIM(REGEXREPLACE(C2424, ""[0-9]+[a-f]?\."", """"))"),"In the last 7 days, have children (&lt;14) cut the size of meals or skipped meals?")</f>
        <v>In the last 7 days, have children (&lt;14) cut the size of meals or skipped meals?</v>
      </c>
      <c r="H2424" s="180" t="str">
        <f>IFERROR(__xludf.DUMMYFUNCTION("TRIM(REGEXREPLACE(D2424, ""[0-9]+[a-f]?\."", """"))"),"Au cours des 7 derniers jours, des enfants (&lt;14) ont-ils réduit la taille de leurs repas ou les ont-ils sauté?")</f>
        <v>Au cours des 7 derniers jours, des enfants (&lt;14) ont-ils réduit la taille de leurs repas ou les ont-ils sauté?</v>
      </c>
      <c r="I2424" s="180" t="str">
        <f>IFERROR(__xludf.DUMMYFUNCTION("TRIM(REGEXREPLACE(E2424, ""[0-9]+[a-f]?\."", """"))"),"A cikin kwanaki 7 na ƙarshe, suna da yara (&lt;14) sun rage yawan abinci ko sun rasa gaba ɗaya?")</f>
        <v>A cikin kwanaki 7 na ƙarshe, suna da yara (&lt;14) sun rage yawan abinci ko sun rasa gaba ɗaya?</v>
      </c>
      <c r="J2424" s="180" t="str">
        <f t="shared" ref="J2424:L2424" si="556">$F2424 &amp; ". "&amp;G2424</f>
        <v>556. In the last 7 days, have children (&lt;14) cut the size of meals or skipped meals?</v>
      </c>
      <c r="K2424" s="180" t="str">
        <f t="shared" si="556"/>
        <v>556. Au cours des 7 derniers jours, des enfants (&lt;14) ont-ils réduit la taille de leurs repas ou les ont-ils sauté?</v>
      </c>
      <c r="L2424" s="180" t="str">
        <f t="shared" si="556"/>
        <v>556. A cikin kwanaki 7 na ƙarshe, suna da yara (&lt;14) sun rage yawan abinci ko sun rasa gaba ɗaya?</v>
      </c>
    </row>
    <row r="2425">
      <c r="A2425" s="291" t="s">
        <v>268</v>
      </c>
      <c r="B2425" s="292" t="s">
        <v>6726</v>
      </c>
      <c r="C2425" s="45" t="s">
        <v>6727</v>
      </c>
      <c r="D2425" s="45" t="s">
        <v>6728</v>
      </c>
      <c r="E2425" s="45" t="s">
        <v>6729</v>
      </c>
      <c r="F2425" s="187">
        <v>557.0</v>
      </c>
      <c r="G2425" s="180" t="str">
        <f>IFERROR(__xludf.DUMMYFUNCTION("TRIM(REGEXREPLACE(C2425, ""[0-9]+[a-f]?\."", """"))"),"How many days?")</f>
        <v>How many days?</v>
      </c>
      <c r="H2425" s="180" t="str">
        <f>IFERROR(__xludf.DUMMYFUNCTION("TRIM(REGEXREPLACE(D2425, ""[0-9]+[a-f]?\."", """"))"),"Pendant combien de jours?")</f>
        <v>Pendant combien de jours?</v>
      </c>
      <c r="I2425" s="180" t="str">
        <f>IFERROR(__xludf.DUMMYFUNCTION("TRIM(REGEXREPLACE(E2425, ""[0-9]+[a-f]?\."", """"))"),"155a Tsawon kwanaki nawa?")</f>
        <v>155a Tsawon kwanaki nawa?</v>
      </c>
      <c r="J2425" s="180" t="str">
        <f t="shared" ref="J2425:L2425" si="557">$F2425 &amp; ". "&amp;G2425</f>
        <v>557. How many days?</v>
      </c>
      <c r="K2425" s="180" t="str">
        <f t="shared" si="557"/>
        <v>557. Pendant combien de jours?</v>
      </c>
      <c r="L2425" s="180" t="str">
        <f t="shared" si="557"/>
        <v>557. 155a Tsawon kwanaki nawa?</v>
      </c>
    </row>
    <row r="2426">
      <c r="A2426" s="291" t="s">
        <v>268</v>
      </c>
      <c r="B2426" s="292" t="s">
        <v>6730</v>
      </c>
      <c r="C2426" s="45" t="s">
        <v>6731</v>
      </c>
      <c r="D2426" s="45" t="s">
        <v>6732</v>
      </c>
      <c r="E2426" s="45" t="s">
        <v>6733</v>
      </c>
      <c r="F2426" s="187">
        <v>558.0</v>
      </c>
      <c r="G2426" s="180" t="str">
        <f>IFERROR(__xludf.DUMMYFUNCTION("TRIM(REGEXREPLACE(C2426, ""[0-9]+[a-f]?\."", """"))"),"In the past week how many days have children in your household consumed animal protein (inlcuding fish, meat, poultry)?")</f>
        <v>In the past week how many days have children in your household consumed animal protein (inlcuding fish, meat, poultry)?</v>
      </c>
      <c r="H2426" s="180" t="str">
        <f>IFERROR(__xludf.DUMMYFUNCTION("TRIM(REGEXREPLACE(D2426,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2426" s="180" t="str">
        <f>IFERROR(__xludf.DUMMYFUNCTION("TRIM(REGEXREPLACE(E2426, ""[0-9]+[a-f]?\."", """"))"),"A cikin kwanaki 7 da suka gabata sau nawa yara a cikin gidanku suka ci abinci masu gina jiki kamar su kifi, nama, kaji ?")</f>
        <v>A cikin kwanaki 7 da suka gabata sau nawa yara a cikin gidanku suka ci abinci masu gina jiki kamar su kifi, nama, kaji ?</v>
      </c>
      <c r="J2426" s="180" t="str">
        <f t="shared" ref="J2426:L2426" si="558">$F2426 &amp; ". "&amp;G2426</f>
        <v>558. In the past week how many days have children in your household consumed animal protein (inlcuding fish, meat, poultry)?</v>
      </c>
      <c r="K2426" s="180" t="str">
        <f t="shared" si="558"/>
        <v>558. Au cours des 7 derniers jours, combien de fois les enfants de votre ménage ont-ils consommé des protéines animales (y compris poisson, viande, volaille) ?</v>
      </c>
      <c r="L2426" s="180" t="str">
        <f t="shared" si="558"/>
        <v>558. A cikin kwanaki 7 da suka gabata sau nawa yara a cikin gidanku suka ci abinci masu gina jiki kamar su kifi, nama, kaji ?</v>
      </c>
    </row>
    <row r="2427" hidden="1">
      <c r="A2427" s="168" t="s">
        <v>127</v>
      </c>
      <c r="B2427" s="71" t="s">
        <v>6735</v>
      </c>
      <c r="C2427" s="200"/>
      <c r="D2427" s="200"/>
      <c r="E2427" s="200"/>
    </row>
    <row r="2428" hidden="1">
      <c r="A2428" s="168" t="s">
        <v>68</v>
      </c>
      <c r="B2428" s="71" t="s">
        <v>6736</v>
      </c>
      <c r="C2428" s="200"/>
      <c r="D2428" s="200"/>
      <c r="E2428" s="200"/>
    </row>
    <row r="2429" hidden="1">
      <c r="A2429" s="320"/>
      <c r="B2429" s="321"/>
      <c r="C2429" s="321" t="s">
        <v>50</v>
      </c>
      <c r="D2429" s="321" t="s">
        <v>50</v>
      </c>
      <c r="E2429" s="321" t="s">
        <v>50</v>
      </c>
    </row>
    <row r="2430" hidden="1">
      <c r="A2430" s="298" t="s">
        <v>133</v>
      </c>
      <c r="B2430" s="299" t="s">
        <v>6737</v>
      </c>
      <c r="C2430" s="300"/>
      <c r="D2430" s="300"/>
      <c r="E2430" s="300"/>
    </row>
    <row r="2431" hidden="1">
      <c r="A2431" s="168" t="s">
        <v>127</v>
      </c>
      <c r="B2431" s="71" t="s">
        <v>6738</v>
      </c>
      <c r="C2431" s="200"/>
      <c r="D2431" s="200"/>
      <c r="E2431" s="200"/>
    </row>
    <row r="2432">
      <c r="A2432" s="280" t="s">
        <v>4334</v>
      </c>
      <c r="B2432" s="281" t="s">
        <v>6739</v>
      </c>
      <c r="C2432" s="45" t="s">
        <v>6741</v>
      </c>
      <c r="D2432" s="45" t="s">
        <v>6742</v>
      </c>
      <c r="E2432" s="45" t="s">
        <v>6743</v>
      </c>
      <c r="F2432" s="187">
        <v>559.0</v>
      </c>
      <c r="G2432" s="180" t="str">
        <f>IFERROR(__xludf.DUMMYFUNCTION("TRIM(REGEXREPLACE(C2432, ""[0-9]+[a-f]?\."", """"))"),"Has your household spent money on the following types of expenses in the past month?")</f>
        <v>Has your household spent money on the following types of expenses in the past month?</v>
      </c>
      <c r="H2432" s="180" t="str">
        <f>IFERROR(__xludf.DUMMYFUNCTION("TRIM(REGEXREPLACE(D2432, ""[0-9]+[a-f]?\."", """"))"),"Votre ménage a-t-il dépensé de l'argent pour les types de dépenses suivants au cours du dernier mois ?")</f>
        <v>Votre ménage a-t-il dépensé de l'argent pour les types de dépenses suivants au cours du dernier mois ?</v>
      </c>
      <c r="I2432" s="180" t="str">
        <f>IFERROR(__xludf.DUMMYFUNCTION("TRIM(REGEXREPLACE(E2432, ""[0-9]+[a-f]?\."", """"))"),"Shin gidanku ya kashe kuɗi akan irin waɗannan abubuwan a cikin watan da ya gabata?")</f>
        <v>Shin gidanku ya kashe kuɗi akan irin waɗannan abubuwan a cikin watan da ya gabata?</v>
      </c>
      <c r="J2432" s="180" t="str">
        <f t="shared" ref="J2432:L2432" si="559">$F2432 &amp; ". "&amp;G2432</f>
        <v>559. Has your household spent money on the following types of expenses in the past month?</v>
      </c>
      <c r="K2432" s="180" t="str">
        <f t="shared" si="559"/>
        <v>559. Votre ménage a-t-il dépensé de l'argent pour les types de dépenses suivants au cours du dernier mois ?</v>
      </c>
      <c r="L2432" s="180" t="str">
        <f t="shared" si="559"/>
        <v>559. Shin gidanku ya kashe kuɗi akan irin waɗannan abubuwan a cikin watan da ya gabata?</v>
      </c>
    </row>
    <row r="2433" hidden="1">
      <c r="A2433" s="285" t="s">
        <v>426</v>
      </c>
      <c r="B2433" s="171" t="s">
        <v>6744</v>
      </c>
      <c r="C2433" s="171" t="s">
        <v>4347</v>
      </c>
      <c r="D2433" s="171" t="s">
        <v>4348</v>
      </c>
      <c r="E2433" s="171" t="s">
        <v>4349</v>
      </c>
    </row>
    <row r="2434" hidden="1">
      <c r="A2434" s="168" t="s">
        <v>68</v>
      </c>
      <c r="B2434" s="71" t="s">
        <v>6745</v>
      </c>
      <c r="C2434" s="289" t="s">
        <v>4354</v>
      </c>
      <c r="D2434" s="289" t="s">
        <v>4355</v>
      </c>
      <c r="E2434" s="289" t="s">
        <v>4356</v>
      </c>
    </row>
    <row r="2435">
      <c r="A2435" s="291" t="s">
        <v>268</v>
      </c>
      <c r="B2435" s="292" t="s">
        <v>6746</v>
      </c>
      <c r="C2435" s="45" t="s">
        <v>6747</v>
      </c>
      <c r="D2435" s="45" t="s">
        <v>6748</v>
      </c>
      <c r="E2435" s="45" t="s">
        <v>6749</v>
      </c>
      <c r="F2435" s="187">
        <v>560.0</v>
      </c>
      <c r="G2435" s="180" t="str">
        <f>IFERROR(__xludf.DUMMYFUNCTION("TRIM(REGEXREPLACE(C2435, ""[0-9]+[a-f]?\."", """"))"),"How much did your household spend on ${hoh_item} in the past month (in CFA)?")</f>
        <v>How much did your household spend on ${hoh_item} in the past month (in CFA)?</v>
      </c>
      <c r="H2435" s="180" t="str">
        <f>IFERROR(__xludf.DUMMYFUNCTION("TRIM(REGEXREPLACE(D2435, ""[0-9]+[a-f]?\."", """"))"),"Combien votre ménage a-t-il dépensé pour ${hoh_item} au cours du dernier mois (en CFA) ?")</f>
        <v>Combien votre ménage a-t-il dépensé pour ${hoh_item} au cours du dernier mois (en CFA) ?</v>
      </c>
      <c r="I2435" s="180" t="str">
        <f>IFERROR(__xludf.DUMMYFUNCTION("TRIM(REGEXREPLACE(E2435, ""[0-9]+[a-f]?\."", """"))"),"Nawa ne (a CFA) gidanku ya kashe akan ${hoh_item} cikin watan da ya gabata ?")</f>
        <v>Nawa ne (a CFA) gidanku ya kashe akan ${hoh_item} cikin watan da ya gabata ?</v>
      </c>
      <c r="J2435" s="180" t="str">
        <f t="shared" ref="J2435:L2435" si="560">$F2435 &amp; ". "&amp;G2435</f>
        <v>560. How much did your household spend on ${hoh_item} in the past month (in CFA)?</v>
      </c>
      <c r="K2435" s="180" t="str">
        <f t="shared" si="560"/>
        <v>560. Combien votre ménage a-t-il dépensé pour ${hoh_item} au cours du dernier mois (en CFA) ?</v>
      </c>
      <c r="L2435" s="180" t="str">
        <f t="shared" si="560"/>
        <v>560. Nawa ne (a CFA) gidanku ya kashe akan ${hoh_item} cikin watan da ya gabata ?</v>
      </c>
    </row>
    <row r="2436" hidden="1">
      <c r="A2436" s="285" t="s">
        <v>468</v>
      </c>
      <c r="B2436" s="185" t="s">
        <v>6744</v>
      </c>
      <c r="C2436" s="185" t="s">
        <v>4347</v>
      </c>
      <c r="D2436" s="185" t="s">
        <v>4348</v>
      </c>
      <c r="E2436" s="185" t="s">
        <v>4349</v>
      </c>
    </row>
    <row r="2437">
      <c r="A2437" s="280" t="s">
        <v>4376</v>
      </c>
      <c r="B2437" s="281" t="s">
        <v>6750</v>
      </c>
      <c r="C2437" s="45" t="s">
        <v>6751</v>
      </c>
      <c r="D2437" s="45" t="s">
        <v>6752</v>
      </c>
      <c r="E2437" s="45" t="s">
        <v>6753</v>
      </c>
      <c r="F2437" s="187">
        <v>561.0</v>
      </c>
      <c r="G2437" s="180" t="str">
        <f>IFERROR(__xludf.DUMMYFUNCTION("TRIM(REGEXREPLACE(C2437, ""[0-9]+[a-f]?\."", """"))"),"Has your household spent money on the following types of expenses in the past week?")</f>
        <v>Has your household spent money on the following types of expenses in the past week?</v>
      </c>
      <c r="H2437" s="180" t="str">
        <f>IFERROR(__xludf.DUMMYFUNCTION("TRIM(REGEXREPLACE(D2437, ""[0-9]+[a-f]?\."", """"))"),"Votre ménage a-t-il dépensé de l'argent pour les types de dépenses suivants au cours de la semaine dernière ?")</f>
        <v>Votre ménage a-t-il dépensé de l'argent pour les types de dépenses suivants au cours de la semaine dernière ?</v>
      </c>
      <c r="I2437" s="180" t="str">
        <f>IFERROR(__xludf.DUMMYFUNCTION("TRIM(REGEXREPLACE(E2437, ""[0-9]+[a-f]?\."", """"))"),"Ko gidanku sun kashe kuɗi akan ire iren waɗannan abubuwan a cikin satin da ya gabata?")</f>
        <v>Ko gidanku sun kashe kuɗi akan ire iren waɗannan abubuwan a cikin satin da ya gabata?</v>
      </c>
      <c r="J2437" s="180" t="str">
        <f t="shared" ref="J2437:L2437" si="561">$F2437 &amp; ". "&amp;G2437</f>
        <v>561. Has your household spent money on the following types of expenses in the past week?</v>
      </c>
      <c r="K2437" s="180" t="str">
        <f t="shared" si="561"/>
        <v>561. Votre ménage a-t-il dépensé de l'argent pour les types de dépenses suivants au cours de la semaine dernière ?</v>
      </c>
      <c r="L2437" s="180" t="str">
        <f t="shared" si="561"/>
        <v>561. Ko gidanku sun kashe kuɗi akan ire iren waɗannan abubuwan a cikin satin da ya gabata?</v>
      </c>
    </row>
    <row r="2438" hidden="1">
      <c r="A2438" s="285" t="s">
        <v>426</v>
      </c>
      <c r="B2438" s="171" t="s">
        <v>6759</v>
      </c>
      <c r="C2438" s="171" t="s">
        <v>4382</v>
      </c>
      <c r="D2438" s="171" t="s">
        <v>4383</v>
      </c>
      <c r="E2438" s="171" t="s">
        <v>4384</v>
      </c>
    </row>
    <row r="2439" hidden="1">
      <c r="A2439" s="168" t="s">
        <v>68</v>
      </c>
      <c r="B2439" s="71" t="s">
        <v>6760</v>
      </c>
      <c r="C2439" s="289" t="s">
        <v>4395</v>
      </c>
      <c r="D2439" s="289" t="s">
        <v>4396</v>
      </c>
      <c r="E2439" s="289" t="s">
        <v>4397</v>
      </c>
    </row>
    <row r="2440">
      <c r="A2440" s="291" t="s">
        <v>268</v>
      </c>
      <c r="B2440" s="292" t="s">
        <v>6761</v>
      </c>
      <c r="C2440" s="45" t="s">
        <v>6762</v>
      </c>
      <c r="D2440" s="45" t="s">
        <v>6763</v>
      </c>
      <c r="E2440" s="45" t="s">
        <v>6764</v>
      </c>
      <c r="F2440" s="187">
        <v>562.0</v>
      </c>
      <c r="G2440" s="180" t="str">
        <f>IFERROR(__xludf.DUMMYFUNCTION("TRIM(REGEXREPLACE(C2440, ""[0-9]+[a-f]?\."", """"))"),"How much did your household spend on ${hoh_item_week} in the past week (in CFA)?")</f>
        <v>How much did your household spend on ${hoh_item_week} in the past week (in CFA)?</v>
      </c>
      <c r="H2440" s="180" t="str">
        <f>IFERROR(__xludf.DUMMYFUNCTION("TRIM(REGEXREPLACE(D2440, ""[0-9]+[a-f]?\."", """"))"),"Combien votre ménage a-t-il dépensé en ${hoh_item_week} la semaine dernière (en CFA) ?")</f>
        <v>Combien votre ménage a-t-il dépensé en ${hoh_item_week} la semaine dernière (en CFA) ?</v>
      </c>
      <c r="I2440" s="180" t="str">
        <f>IFERROR(__xludf.DUMMYFUNCTION("TRIM(REGEXREPLACE(E2440, ""[0-9]+[a-f]?\."", """"))"),"Nawa ne gidan ku ya kashe (a CFA) a ${hoh_item_week} satin da ya gabata ?")</f>
        <v>Nawa ne gidan ku ya kashe (a CFA) a ${hoh_item_week} satin da ya gabata ?</v>
      </c>
      <c r="J2440" s="180" t="str">
        <f t="shared" ref="J2440:L2440" si="562">$F2440 &amp; ". "&amp;G2440</f>
        <v>562. How much did your household spend on ${hoh_item_week} in the past week (in CFA)?</v>
      </c>
      <c r="K2440" s="180" t="str">
        <f t="shared" si="562"/>
        <v>562. Combien votre ménage a-t-il dépensé en ${hoh_item_week} la semaine dernière (en CFA) ?</v>
      </c>
      <c r="L2440" s="180" t="str">
        <f t="shared" si="562"/>
        <v>562. Nawa ne gidan ku ya kashe (a CFA) a ${hoh_item_week} satin da ya gabata ?</v>
      </c>
    </row>
    <row r="2441" hidden="1">
      <c r="A2441" s="285" t="s">
        <v>468</v>
      </c>
      <c r="B2441" s="185" t="s">
        <v>6759</v>
      </c>
      <c r="C2441" s="185" t="s">
        <v>4382</v>
      </c>
      <c r="D2441" s="185" t="s">
        <v>4383</v>
      </c>
      <c r="E2441" s="185" t="s">
        <v>4384</v>
      </c>
    </row>
    <row r="2442" hidden="1">
      <c r="A2442" s="298" t="s">
        <v>133</v>
      </c>
      <c r="B2442" s="299" t="s">
        <v>6769</v>
      </c>
      <c r="C2442" s="300"/>
      <c r="D2442" s="300"/>
      <c r="E2442" s="300"/>
    </row>
    <row r="2443">
      <c r="A2443" s="280" t="s">
        <v>2509</v>
      </c>
      <c r="B2443" s="281" t="s">
        <v>6770</v>
      </c>
      <c r="C2443" s="45" t="s">
        <v>6771</v>
      </c>
      <c r="D2443" s="198" t="s">
        <v>6772</v>
      </c>
      <c r="E2443" s="45" t="s">
        <v>6773</v>
      </c>
      <c r="F2443" s="187">
        <v>563.0</v>
      </c>
      <c r="G2443" s="180" t="str">
        <f>IFERROR(__xludf.DUMMYFUNCTION("TRIM(REGEXREPLACE(C2443, ""[0-9]+[a-f]?\."", """"))"),"For Ramadan, did your household purchase any of the following?")</f>
        <v>For Ramadan, did your household purchase any of the following?</v>
      </c>
      <c r="H2443" s="180" t="str">
        <f>IFERROR(__xludf.DUMMYFUNCTION("TRIM(REGEXREPLACE(D2443, ""[0-9]+[a-f]?\."", """"))"),"Pour le Ramadan, votre ménage a-t-il acheté l'un des produits suivants ?")</f>
        <v>Pour le Ramadan, votre ménage a-t-il acheté l'un des produits suivants ?</v>
      </c>
      <c r="I2443" s="180" t="str">
        <f>IFERROR(__xludf.DUMMYFUNCTION("TRIM(REGEXREPLACE(E2443, ""[0-9]+[a-f]?\."", """"))"),"Ga sallar azumi, ƴan gidanku sun sayi ɗaya daga cikin wadannan?")</f>
        <v>Ga sallar azumi, ƴan gidanku sun sayi ɗaya daga cikin wadannan?</v>
      </c>
      <c r="J2443" s="180" t="str">
        <f t="shared" ref="J2443:L2443" si="563">$F2443 &amp; ". "&amp;G2443</f>
        <v>563. For Ramadan, did your household purchase any of the following?</v>
      </c>
      <c r="K2443" s="180" t="str">
        <f t="shared" si="563"/>
        <v>563. Pour le Ramadan, votre ménage a-t-il acheté l'un des produits suivants ?</v>
      </c>
      <c r="L2443" s="180" t="str">
        <f t="shared" si="563"/>
        <v>563. Ga sallar azumi, ƴan gidanku sun sayi ɗaya daga cikin wadannan?</v>
      </c>
    </row>
    <row r="2444">
      <c r="A2444" s="280" t="s">
        <v>2509</v>
      </c>
      <c r="B2444" s="281" t="s">
        <v>6778</v>
      </c>
      <c r="C2444" s="45" t="s">
        <v>6779</v>
      </c>
      <c r="D2444" s="45" t="s">
        <v>6780</v>
      </c>
      <c r="E2444" s="45" t="s">
        <v>6781</v>
      </c>
      <c r="F2444" s="187">
        <v>564.0</v>
      </c>
      <c r="G2444" s="180" t="str">
        <f>IFERROR(__xludf.DUMMYFUNCTION("TRIM(REGEXREPLACE(C2444, ""[0-9]+[a-f]?\."", """"))"),"Clothing")</f>
        <v>Clothing</v>
      </c>
      <c r="H2444" s="180" t="str">
        <f>IFERROR(__xludf.DUMMYFUNCTION("TRIM(REGEXREPLACE(D2444, ""[0-9]+[a-f]?\."", """"))"),"Vêtements")</f>
        <v>Vêtements</v>
      </c>
      <c r="I2444" s="180" t="str">
        <f>IFERROR(__xludf.DUMMYFUNCTION("TRIM(REGEXREPLACE(E2444, ""[0-9]+[a-f]?\."", """"))"),"Tufafi")</f>
        <v>Tufafi</v>
      </c>
      <c r="J2444" s="180" t="str">
        <f t="shared" ref="J2444:L2444" si="564">$F2444 &amp; ". "&amp;G2444</f>
        <v>564. Clothing</v>
      </c>
      <c r="K2444" s="180" t="str">
        <f t="shared" si="564"/>
        <v>564. Vêtements</v>
      </c>
      <c r="L2444" s="180" t="str">
        <f t="shared" si="564"/>
        <v>564. Tufafi</v>
      </c>
    </row>
    <row r="2445">
      <c r="A2445" s="280" t="s">
        <v>2509</v>
      </c>
      <c r="B2445" s="281" t="s">
        <v>6782</v>
      </c>
      <c r="C2445" s="45" t="s">
        <v>6783</v>
      </c>
      <c r="D2445" s="45" t="s">
        <v>6784</v>
      </c>
      <c r="E2445" s="45" t="s">
        <v>6785</v>
      </c>
      <c r="F2445" s="187">
        <v>565.0</v>
      </c>
      <c r="G2445" s="180" t="str">
        <f>IFERROR(__xludf.DUMMYFUNCTION("TRIM(REGEXREPLACE(C2445, ""[0-9]+[a-f]?\."", """"))"),"Sheep")</f>
        <v>Sheep</v>
      </c>
      <c r="H2445" s="180" t="str">
        <f>IFERROR(__xludf.DUMMYFUNCTION("TRIM(REGEXREPLACE(D2445, ""[0-9]+[a-f]?\."", """"))"),"Mouton")</f>
        <v>Mouton</v>
      </c>
      <c r="I2445" s="180" t="str">
        <f>IFERROR(__xludf.DUMMYFUNCTION("TRIM(REGEXREPLACE(E2445, ""[0-9]+[a-f]?\."", """"))"),"Rago")</f>
        <v>Rago</v>
      </c>
      <c r="J2445" s="180" t="str">
        <f t="shared" ref="J2445:L2445" si="565">$F2445 &amp; ". "&amp;G2445</f>
        <v>565. Sheep</v>
      </c>
      <c r="K2445" s="180" t="str">
        <f t="shared" si="565"/>
        <v>565. Mouton</v>
      </c>
      <c r="L2445" s="180" t="str">
        <f t="shared" si="565"/>
        <v>565. Rago</v>
      </c>
    </row>
    <row r="2446">
      <c r="A2446" s="280" t="s">
        <v>2509</v>
      </c>
      <c r="B2446" s="281" t="s">
        <v>6787</v>
      </c>
      <c r="C2446" s="45" t="s">
        <v>6788</v>
      </c>
      <c r="D2446" s="45" t="s">
        <v>6789</v>
      </c>
      <c r="E2446" s="45" t="s">
        <v>6790</v>
      </c>
      <c r="F2446" s="187">
        <v>566.0</v>
      </c>
      <c r="G2446" s="180" t="str">
        <f>IFERROR(__xludf.DUMMYFUNCTION("TRIM(REGEXREPLACE(C2446, ""[0-9]+[a-f]?\."", """"))"),"Goat")</f>
        <v>Goat</v>
      </c>
      <c r="H2446" s="180" t="str">
        <f>IFERROR(__xludf.DUMMYFUNCTION("TRIM(REGEXREPLACE(D2446, ""[0-9]+[a-f]?\."", """"))"),"Chèvre")</f>
        <v>Chèvre</v>
      </c>
      <c r="I2446" s="180" t="str">
        <f>IFERROR(__xludf.DUMMYFUNCTION("TRIM(REGEXREPLACE(E2446, ""[0-9]+[a-f]?\."", """"))"),"Akuya")</f>
        <v>Akuya</v>
      </c>
      <c r="J2446" s="180" t="str">
        <f t="shared" ref="J2446:L2446" si="566">$F2446 &amp; ". "&amp;G2446</f>
        <v>566. Goat</v>
      </c>
      <c r="K2446" s="180" t="str">
        <f t="shared" si="566"/>
        <v>566. Chèvre</v>
      </c>
      <c r="L2446" s="180" t="str">
        <f t="shared" si="566"/>
        <v>566. Akuya</v>
      </c>
    </row>
    <row r="2447">
      <c r="A2447" s="280" t="s">
        <v>2509</v>
      </c>
      <c r="B2447" s="281" t="s">
        <v>6791</v>
      </c>
      <c r="C2447" s="45" t="s">
        <v>6792</v>
      </c>
      <c r="D2447" s="45" t="s">
        <v>6794</v>
      </c>
      <c r="E2447" s="45" t="s">
        <v>6796</v>
      </c>
      <c r="F2447" s="187">
        <v>567.0</v>
      </c>
      <c r="G2447" s="180" t="str">
        <f>IFERROR(__xludf.DUMMYFUNCTION("TRIM(REGEXREPLACE(C2447, ""[0-9]+[a-f]?\."", """"))"),"Poultry")</f>
        <v>Poultry</v>
      </c>
      <c r="H2447" s="180" t="str">
        <f>IFERROR(__xludf.DUMMYFUNCTION("TRIM(REGEXREPLACE(D2447, ""[0-9]+[a-f]?\."", """"))"),"Volaille")</f>
        <v>Volaille</v>
      </c>
      <c r="I2447" s="180" t="str">
        <f>IFERROR(__xludf.DUMMYFUNCTION("TRIM(REGEXREPLACE(E2447, ""[0-9]+[a-f]?\."", """"))"),"Kaji")</f>
        <v>Kaji</v>
      </c>
      <c r="J2447" s="180" t="str">
        <f t="shared" ref="J2447:L2447" si="567">$F2447 &amp; ". "&amp;G2447</f>
        <v>567. Poultry</v>
      </c>
      <c r="K2447" s="180" t="str">
        <f t="shared" si="567"/>
        <v>567. Volaille</v>
      </c>
      <c r="L2447" s="180" t="str">
        <f t="shared" si="567"/>
        <v>567. Kaji</v>
      </c>
    </row>
    <row r="2448" hidden="1">
      <c r="A2448" s="298" t="s">
        <v>237</v>
      </c>
      <c r="B2448" s="310" t="s">
        <v>6769</v>
      </c>
      <c r="C2448" s="303"/>
      <c r="D2448" s="303"/>
      <c r="E2448" s="303"/>
    </row>
    <row r="2449" hidden="1">
      <c r="A2449" s="298" t="s">
        <v>237</v>
      </c>
      <c r="B2449" s="310" t="s">
        <v>6737</v>
      </c>
      <c r="C2449" s="303"/>
      <c r="D2449" s="303"/>
      <c r="E2449" s="303"/>
    </row>
    <row r="2450" hidden="1">
      <c r="A2450" s="168" t="s">
        <v>127</v>
      </c>
      <c r="B2450" s="71" t="s">
        <v>6799</v>
      </c>
      <c r="C2450" s="200"/>
      <c r="D2450" s="200"/>
      <c r="E2450" s="200"/>
    </row>
    <row r="2451" hidden="1">
      <c r="A2451" s="168" t="s">
        <v>68</v>
      </c>
      <c r="B2451" s="71" t="s">
        <v>6800</v>
      </c>
      <c r="C2451" s="200"/>
      <c r="D2451" s="200"/>
      <c r="E2451" s="200"/>
    </row>
    <row r="2452" hidden="1">
      <c r="A2452" s="298" t="s">
        <v>237</v>
      </c>
      <c r="B2452" s="310" t="s">
        <v>5757</v>
      </c>
      <c r="C2452" s="303"/>
      <c r="D2452" s="303"/>
      <c r="E2452" s="303"/>
    </row>
    <row r="2453" hidden="1">
      <c r="A2453" s="298" t="s">
        <v>237</v>
      </c>
      <c r="B2453" s="310" t="s">
        <v>5307</v>
      </c>
      <c r="C2453" s="310" t="s">
        <v>5308</v>
      </c>
      <c r="D2453" s="303"/>
      <c r="E2453" s="303"/>
    </row>
    <row r="2454" hidden="1">
      <c r="A2454" s="168" t="s">
        <v>127</v>
      </c>
      <c r="B2454" s="71" t="s">
        <v>6801</v>
      </c>
      <c r="C2454" s="295"/>
      <c r="D2454" s="200"/>
      <c r="E2454" s="200"/>
    </row>
    <row r="2455" hidden="1">
      <c r="A2455" s="168" t="s">
        <v>68</v>
      </c>
      <c r="B2455" s="71" t="s">
        <v>6802</v>
      </c>
      <c r="C2455" s="200"/>
      <c r="D2455" s="200"/>
      <c r="E2455" s="200"/>
    </row>
    <row r="2456" hidden="1">
      <c r="A2456" s="90"/>
      <c r="B2456" s="90"/>
      <c r="C2456" s="191"/>
      <c r="D2456" s="90"/>
      <c r="E2456" s="90"/>
    </row>
    <row r="2457" hidden="1">
      <c r="A2457" s="317" t="s">
        <v>237</v>
      </c>
      <c r="B2457" s="317" t="s">
        <v>1517</v>
      </c>
      <c r="C2457" s="303"/>
      <c r="D2457" s="312"/>
      <c r="E2457" s="312"/>
    </row>
    <row r="2458" hidden="1">
      <c r="A2458" s="90"/>
      <c r="B2458" s="90"/>
      <c r="C2458" s="191"/>
      <c r="D2458" s="90"/>
      <c r="E2458" s="90"/>
    </row>
    <row r="2459" hidden="1">
      <c r="A2459" s="149" t="s">
        <v>133</v>
      </c>
      <c r="B2459" s="150" t="s">
        <v>6803</v>
      </c>
      <c r="C2459" s="147" t="s">
        <v>6804</v>
      </c>
      <c r="D2459" s="149" t="s">
        <v>6805</v>
      </c>
      <c r="E2459" s="149" t="s">
        <v>6806</v>
      </c>
    </row>
    <row r="2460">
      <c r="A2460" s="220" t="s">
        <v>38</v>
      </c>
      <c r="B2460" s="361" t="s">
        <v>6807</v>
      </c>
      <c r="C2460" s="45" t="s">
        <v>6808</v>
      </c>
      <c r="D2460" s="45" t="s">
        <v>6809</v>
      </c>
      <c r="E2460" s="45" t="s">
        <v>6810</v>
      </c>
      <c r="F2460" s="187">
        <v>568.0</v>
      </c>
      <c r="G2460" s="180" t="str">
        <f>IFERROR(__xludf.DUMMYFUNCTION("TRIM(REGEXREPLACE(C2460, ""[0-9]+[a-f]?\."", """"))"),"As I mentioned at the beginning of our interview, we would like to stay in touch with you.")</f>
        <v>As I mentioned at the beginning of our interview, we would like to stay in touch with you.</v>
      </c>
      <c r="H2460" s="180" t="str">
        <f>IFERROR(__xludf.DUMMYFUNCTION("TRIM(REGEXREPLACE(D2460, ""[0-9]+[a-f]?\."", """"))"),"Comme je l'ai mentionné au début de notre entretien, nous aimerions rester en contact avec vous.")</f>
        <v>Comme je l'ai mentionné au début de notre entretien, nous aimerions rester en contact avec vous.</v>
      </c>
      <c r="I2460" s="180" t="str">
        <f>IFERROR(__xludf.DUMMYFUNCTION("TRIM(REGEXREPLACE(E2460, ""[0-9]+[a-f]?\."", """"))"),"Kamar yadda na faɗa a farkon hirarmu, muna son mu ci gaba da tuntuɓar ku.")</f>
        <v>Kamar yadda na faɗa a farkon hirarmu, muna son mu ci gaba da tuntuɓar ku.</v>
      </c>
      <c r="J2460" s="180" t="str">
        <f t="shared" ref="J2460:L2460" si="568">$F2460 &amp; ". "&amp;G2460</f>
        <v>568. As I mentioned at the beginning of our interview, we would like to stay in touch with you.</v>
      </c>
      <c r="K2460" s="180" t="str">
        <f t="shared" si="568"/>
        <v>568. Comme je l'ai mentionné au début de notre entretien, nous aimerions rester en contact avec vous.</v>
      </c>
      <c r="L2460" s="180" t="str">
        <f t="shared" si="568"/>
        <v>568. Kamar yadda na faɗa a farkon hirarmu, muna son mu ci gaba da tuntuɓar ku.</v>
      </c>
    </row>
    <row r="2461">
      <c r="A2461" s="238" t="s">
        <v>252</v>
      </c>
      <c r="B2461" s="240" t="s">
        <v>6811</v>
      </c>
      <c r="C2461" s="45" t="s">
        <v>6812</v>
      </c>
      <c r="D2461" s="45" t="s">
        <v>6813</v>
      </c>
      <c r="E2461" s="45" t="s">
        <v>6814</v>
      </c>
      <c r="F2461" s="187">
        <v>569.0</v>
      </c>
      <c r="G2461" s="180" t="str">
        <f>IFERROR(__xludf.DUMMYFUNCTION("TRIM(REGEXREPLACE(C2461, ""[0-9]+[a-f]?\."", """"))"),"What is the phone number where we can reach you?")</f>
        <v>What is the phone number where we can reach you?</v>
      </c>
      <c r="H2461" s="180" t="str">
        <f>IFERROR(__xludf.DUMMYFUNCTION("TRIM(REGEXREPLACE(D2461, ""[0-9]+[a-f]?\."", """"))"),"Quel est le numéro de téléphone auquel nous pouvons vous joindre?")</f>
        <v>Quel est le numéro de téléphone auquel nous pouvons vous joindre?</v>
      </c>
      <c r="I2461" s="180" t="str">
        <f>IFERROR(__xludf.DUMMYFUNCTION("TRIM(REGEXREPLACE(E2461, ""[0-9]+[a-f]?\."", """"))"),"Wace lambar waya ce zamu iya samun ku da ita?")</f>
        <v>Wace lambar waya ce zamu iya samun ku da ita?</v>
      </c>
      <c r="J2461" s="180" t="str">
        <f t="shared" ref="J2461:L2461" si="569">$F2461 &amp; ". "&amp;G2461</f>
        <v>569. What is the phone number where we can reach you?</v>
      </c>
      <c r="K2461" s="180" t="str">
        <f t="shared" si="569"/>
        <v>569. Quel est le numéro de téléphone auquel nous pouvons vous joindre?</v>
      </c>
      <c r="L2461" s="180" t="str">
        <f t="shared" si="569"/>
        <v>569. Wace lambar waya ce zamu iya samun ku da ita?</v>
      </c>
    </row>
    <row r="2462">
      <c r="A2462" s="83" t="s">
        <v>1306</v>
      </c>
      <c r="B2462" s="84" t="s">
        <v>6815</v>
      </c>
      <c r="C2462" s="45" t="s">
        <v>6816</v>
      </c>
      <c r="D2462" s="45" t="s">
        <v>6817</v>
      </c>
      <c r="E2462" s="45" t="s">
        <v>6818</v>
      </c>
      <c r="F2462" s="187">
        <v>570.0</v>
      </c>
      <c r="G2462" s="180" t="str">
        <f>IFERROR(__xludf.DUMMYFUNCTION("TRIM(REGEXREPLACE(C2462, ""[0-9]+[a-f]?\."", """"))"),"I am going to read back the phone number you just shared with me. Can you confirm this is your primary phone number? ${primary_phone}")</f>
        <v>I am going to read back the phone number you just shared with me. Can you confirm this is your primary phone number? ${primary_phone}</v>
      </c>
      <c r="H2462" s="180" t="str">
        <f>IFERROR(__xludf.DUMMYFUNCTION("TRIM(REGEXREPLACE(D2462,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2462" s="180" t="str">
        <f>IFERROR(__xludf.DUMMYFUNCTION("TRIM(REGEXREPLACE(E2462, ""[0-9]+[a-f]?\."", """"))"),"Zan sake karanta lambar wayar da kuka bani. Zaku iya tabbatar mini da wannan itace lambar wayarku ta farko? ${primary_phone}")</f>
        <v>Zan sake karanta lambar wayar da kuka bani. Zaku iya tabbatar mini da wannan itace lambar wayarku ta farko? ${primary_phone}</v>
      </c>
      <c r="J2462" s="180" t="str">
        <f t="shared" ref="J2462:L2462" si="570">$F2462 &amp; ". "&amp;G2462</f>
        <v>570. I am going to read back the phone number you just shared with me. Can you confirm this is your primary phone number? ${primary_phone}</v>
      </c>
      <c r="K2462" s="180" t="str">
        <f t="shared" si="570"/>
        <v>570. Je vais relire le numéro de téléphone que vous venez de me donner. Pouvez-vous confirmer qu'il s'agit de votre numéro de téléphone principal ? ${primary_phone}</v>
      </c>
      <c r="L2462" s="180" t="str">
        <f t="shared" si="570"/>
        <v>570. Zan sake karanta lambar wayar da kuka bani. Zaku iya tabbatar mini da wannan itace lambar wayarku ta farko? ${primary_phone}</v>
      </c>
    </row>
    <row r="2463">
      <c r="A2463" s="220" t="s">
        <v>38</v>
      </c>
      <c r="B2463" s="361" t="s">
        <v>6819</v>
      </c>
      <c r="C2463" s="45" t="s">
        <v>6820</v>
      </c>
      <c r="D2463" s="45" t="s">
        <v>6821</v>
      </c>
      <c r="E2463" s="45" t="s">
        <v>6822</v>
      </c>
      <c r="F2463" s="187">
        <v>571.0</v>
      </c>
      <c r="G2463" s="180" t="str">
        <f>IFERROR(__xludf.DUMMYFUNCTION("TRIM(REGEXREPLACE(C2463, ""[0-9]+[a-f]?\."", """"))"),"Please go back and correct the number.")</f>
        <v>Please go back and correct the number.</v>
      </c>
      <c r="H2463" s="180" t="str">
        <f>IFERROR(__xludf.DUMMYFUNCTION("TRIM(REGEXREPLACE(D2463, ""[0-9]+[a-f]?\."", """"))"),"Veuillez revenir en arrière pour corriger le numéro.")</f>
        <v>Veuillez revenir en arrière pour corriger le numéro.</v>
      </c>
      <c r="I2463" s="180" t="str">
        <f>IFERROR(__xludf.DUMMYFUNCTION("TRIM(REGEXREPLACE(E2463, ""[0-9]+[a-f]?\."", """"))"),"ko za ka koma baya ka gyara lambar.")</f>
        <v>ko za ka koma baya ka gyara lambar.</v>
      </c>
      <c r="J2463" s="180" t="str">
        <f t="shared" ref="J2463:L2463" si="571">$F2463 &amp; ". "&amp;G2463</f>
        <v>571. Please go back and correct the number.</v>
      </c>
      <c r="K2463" s="180" t="str">
        <f t="shared" si="571"/>
        <v>571. Veuillez revenir en arrière pour corriger le numéro.</v>
      </c>
      <c r="L2463" s="180" t="str">
        <f t="shared" si="571"/>
        <v>571. ko za ka koma baya ka gyara lambar.</v>
      </c>
    </row>
    <row r="2464">
      <c r="A2464" s="83" t="s">
        <v>6823</v>
      </c>
      <c r="B2464" s="84" t="s">
        <v>6824</v>
      </c>
      <c r="C2464" s="45" t="s">
        <v>6825</v>
      </c>
      <c r="D2464" s="45" t="s">
        <v>6826</v>
      </c>
      <c r="E2464" s="45" t="s">
        <v>6827</v>
      </c>
      <c r="F2464" s="187">
        <v>572.0</v>
      </c>
      <c r="G2464" s="180" t="str">
        <f>IFERROR(__xludf.DUMMYFUNCTION("TRIM(REGEXREPLACE(C2464, ""[0-9]+[a-f]?\."", """"))"),"I am going to call this phone number to confirm it is correct.")</f>
        <v>I am going to call this phone number to confirm it is correct.</v>
      </c>
      <c r="H2464" s="180" t="str">
        <f>IFERROR(__xludf.DUMMYFUNCTION("TRIM(REGEXREPLACE(D2464, ""[0-9]+[a-f]?\."", """"))"),"Je vais appeler ce numéro de téléphone pour confirmer qu'il est correct.")</f>
        <v>Je vais appeler ce numéro de téléphone pour confirmer qu'il est correct.</v>
      </c>
      <c r="I2464" s="180" t="str">
        <f>IFERROR(__xludf.DUMMYFUNCTION("TRIM(REGEXREPLACE(E2464, ""[0-9]+[a-f]?\."", """"))"),"Zan kirayi wannan lambar don tabbatar da cewa daidai ce.")</f>
        <v>Zan kirayi wannan lambar don tabbatar da cewa daidai ce.</v>
      </c>
      <c r="J2464" s="180" t="str">
        <f t="shared" ref="J2464:L2464" si="572">$F2464 &amp; ". "&amp;G2464</f>
        <v>572. I am going to call this phone number to confirm it is correct.</v>
      </c>
      <c r="K2464" s="180" t="str">
        <f t="shared" si="572"/>
        <v>572. Je vais appeler ce numéro de téléphone pour confirmer qu'il est correct.</v>
      </c>
      <c r="L2464" s="180" t="str">
        <f t="shared" si="572"/>
        <v>572. Zan kirayi wannan lambar don tabbatar da cewa daidai ce.</v>
      </c>
    </row>
    <row r="2465">
      <c r="A2465" s="220" t="s">
        <v>38</v>
      </c>
      <c r="B2465" s="361" t="s">
        <v>6828</v>
      </c>
      <c r="C2465" s="45" t="s">
        <v>6829</v>
      </c>
      <c r="D2465" s="45" t="s">
        <v>6830</v>
      </c>
      <c r="E2465" s="45" t="s">
        <v>6831</v>
      </c>
      <c r="F2465" s="187">
        <v>573.0</v>
      </c>
      <c r="G2465" s="180" t="str">
        <f>IFERROR(__xludf.DUMMYFUNCTION("TRIM(REGEXREPLACE(C2465, ""[0-9]+[a-f]?\."", """"))"),"Please go back and enter a new phone number.")</f>
        <v>Please go back and enter a new phone number.</v>
      </c>
      <c r="H2465" s="180" t="str">
        <f>IFERROR(__xludf.DUMMYFUNCTION("TRIM(REGEXREPLACE(D2465, ""[0-9]+[a-f]?\."", """"))"),"Veuillez revenir en arrière pour entrer un nouveau numéro de téléphone.")</f>
        <v>Veuillez revenir en arrière pour entrer un nouveau numéro de téléphone.</v>
      </c>
      <c r="I2465" s="180" t="str">
        <f>IFERROR(__xludf.DUMMYFUNCTION("TRIM(REGEXREPLACE(E2465, ""[0-9]+[a-f]?\."", """"))"),"Ko za ka koma baya ka shigar da sabuwar lambar waya.")</f>
        <v>Ko za ka koma baya ka shigar da sabuwar lambar waya.</v>
      </c>
      <c r="J2465" s="180" t="str">
        <f t="shared" ref="J2465:L2465" si="573">$F2465 &amp; ". "&amp;G2465</f>
        <v>573. Please go back and enter a new phone number.</v>
      </c>
      <c r="K2465" s="180" t="str">
        <f t="shared" si="573"/>
        <v>573. Veuillez revenir en arrière pour entrer un nouveau numéro de téléphone.</v>
      </c>
      <c r="L2465" s="180" t="str">
        <f t="shared" si="573"/>
        <v>573. Ko za ka koma baya ka shigar da sabuwar lambar waya.</v>
      </c>
    </row>
    <row r="2466">
      <c r="A2466" s="83" t="s">
        <v>1306</v>
      </c>
      <c r="B2466" s="84" t="s">
        <v>6833</v>
      </c>
      <c r="C2466" s="45" t="s">
        <v>6834</v>
      </c>
      <c r="D2466" s="45" t="s">
        <v>6835</v>
      </c>
      <c r="E2466" s="45" t="s">
        <v>6836</v>
      </c>
      <c r="F2466" s="187">
        <v>574.0</v>
      </c>
      <c r="G2466" s="180" t="str">
        <f>IFERROR(__xludf.DUMMYFUNCTION("TRIM(REGEXREPLACE(C2466, ""[0-9]+[a-f]?\."", """"))"),"Do you have a Whatsapp account/ phone number you use for WhatsApp?")</f>
        <v>Do you have a Whatsapp account/ phone number you use for WhatsApp?</v>
      </c>
      <c r="H2466" s="180" t="str">
        <f>IFERROR(__xludf.DUMMYFUNCTION("TRIM(REGEXREPLACE(D2466, ""[0-9]+[a-f]?\."", """"))"),"Avez-vous un compte/numéro de téléphone Whatsapp que vous utilisez pour WhatsApp ?")</f>
        <v>Avez-vous un compte/numéro de téléphone Whatsapp que vous utilisez pour WhatsApp ?</v>
      </c>
      <c r="I2466" s="180" t="str">
        <f>IFERROR(__xludf.DUMMYFUNCTION("TRIM(REGEXREPLACE(E2466, ""[0-9]+[a-f]?\."", """"))"),"Kuna yin WhatsApp / lambar wayar da kuke amfani da ita ta WhatsApp ce?")</f>
        <v>Kuna yin WhatsApp / lambar wayar da kuke amfani da ita ta WhatsApp ce?</v>
      </c>
      <c r="J2466" s="180" t="str">
        <f t="shared" ref="J2466:L2466" si="574">$F2466 &amp; ". "&amp;G2466</f>
        <v>574. Do you have a Whatsapp account/ phone number you use for WhatsApp?</v>
      </c>
      <c r="K2466" s="180" t="str">
        <f t="shared" si="574"/>
        <v>574. Avez-vous un compte/numéro de téléphone Whatsapp que vous utilisez pour WhatsApp ?</v>
      </c>
      <c r="L2466" s="180" t="str">
        <f t="shared" si="574"/>
        <v>574. Kuna yin WhatsApp / lambar wayar da kuke amfani da ita ta WhatsApp ce?</v>
      </c>
    </row>
    <row r="2467">
      <c r="A2467" s="83" t="s">
        <v>1306</v>
      </c>
      <c r="B2467" s="84" t="s">
        <v>6840</v>
      </c>
      <c r="C2467" s="45" t="s">
        <v>6841</v>
      </c>
      <c r="D2467" s="45" t="s">
        <v>6842</v>
      </c>
      <c r="E2467" s="45" t="s">
        <v>6843</v>
      </c>
      <c r="F2467" s="187">
        <v>575.0</v>
      </c>
      <c r="G2467" s="180" t="str">
        <f>IFERROR(__xludf.DUMMYFUNCTION("TRIM(REGEXREPLACE(C2467, ""[0-9]+[a-f]?\."", """"))"),"Is this the phone number you use for whatsapp?")</f>
        <v>Is this the phone number you use for whatsapp?</v>
      </c>
      <c r="H2467" s="180" t="str">
        <f>IFERROR(__xludf.DUMMYFUNCTION("TRIM(REGEXREPLACE(D2467, ""[0-9]+[a-f]?\."", """"))"),"Est-ce le numéro de téléphone que vous utilisez pour WhatsApp ?")</f>
        <v>Est-ce le numéro de téléphone que vous utilisez pour WhatsApp ?</v>
      </c>
      <c r="I2467" s="180" t="str">
        <f>IFERROR(__xludf.DUMMYFUNCTION("TRIM(REGEXREPLACE(E2467, ""[0-9]+[a-f]?\."", """"))"),"Wannan ita ce lambar wayar da kuke amfani da ita don yin whatsapp?")</f>
        <v>Wannan ita ce lambar wayar da kuke amfani da ita don yin whatsapp?</v>
      </c>
      <c r="J2467" s="180" t="str">
        <f t="shared" ref="J2467:L2467" si="575">$F2467 &amp; ". "&amp;G2467</f>
        <v>575. Is this the phone number you use for whatsapp?</v>
      </c>
      <c r="K2467" s="180" t="str">
        <f t="shared" si="575"/>
        <v>575. Est-ce le numéro de téléphone que vous utilisez pour WhatsApp ?</v>
      </c>
      <c r="L2467" s="180" t="str">
        <f t="shared" si="575"/>
        <v>575. Wannan ita ce lambar wayar da kuke amfani da ita don yin whatsapp?</v>
      </c>
    </row>
    <row r="2468">
      <c r="A2468" s="238" t="s">
        <v>252</v>
      </c>
      <c r="B2468" s="240" t="s">
        <v>6844</v>
      </c>
      <c r="C2468" s="45" t="s">
        <v>5027</v>
      </c>
      <c r="D2468" s="45" t="s">
        <v>5028</v>
      </c>
      <c r="E2468" s="45" t="s">
        <v>5029</v>
      </c>
      <c r="F2468" s="187">
        <v>576.0</v>
      </c>
      <c r="G2468" s="180" t="str">
        <f>IFERROR(__xludf.DUMMYFUNCTION("TRIM(REGEXREPLACE(C2468, ""[0-9]+[a-f]?\."", """"))"),"Please tell me the phone number you use for Whatsapp")</f>
        <v>Please tell me the phone number you use for Whatsapp</v>
      </c>
      <c r="H2468" s="180" t="str">
        <f>IFERROR(__xludf.DUMMYFUNCTION("TRIM(REGEXREPLACE(D2468, ""[0-9]+[a-f]?\."", """"))"),"Veuillez me dire le numéro de téléphone que vous utilisez pour Whatsapp")</f>
        <v>Veuillez me dire le numéro de téléphone que vous utilisez pour Whatsapp</v>
      </c>
      <c r="I2468" s="180" t="str">
        <f>IFERROR(__xludf.DUMMYFUNCTION("TRIM(REGEXREPLACE(E2468, ""[0-9]+[a-f]?\."", """"))"),"Don Allah ku gaya mini lambar wayar da kuke amfani da ita don yin Whatsapp")</f>
        <v>Don Allah ku gaya mini lambar wayar da kuke amfani da ita don yin Whatsapp</v>
      </c>
      <c r="J2468" s="180" t="str">
        <f t="shared" ref="J2468:L2468" si="576">$F2468 &amp; ". "&amp;G2468</f>
        <v>576. Please tell me the phone number you use for Whatsapp</v>
      </c>
      <c r="K2468" s="180" t="str">
        <f t="shared" si="576"/>
        <v>576. Veuillez me dire le numéro de téléphone que vous utilisez pour Whatsapp</v>
      </c>
      <c r="L2468" s="180" t="str">
        <f t="shared" si="576"/>
        <v>576. Don Allah ku gaya mini lambar wayar da kuke amfani da ita don yin Whatsapp</v>
      </c>
    </row>
    <row r="2469">
      <c r="A2469" s="83" t="s">
        <v>1306</v>
      </c>
      <c r="B2469" s="84" t="s">
        <v>6849</v>
      </c>
      <c r="C2469" s="45" t="s">
        <v>6850</v>
      </c>
      <c r="D2469" s="45" t="s">
        <v>6851</v>
      </c>
      <c r="E2469" s="45" t="s">
        <v>6852</v>
      </c>
      <c r="F2469" s="187">
        <v>577.0</v>
      </c>
      <c r="G2469" s="180" t="str">
        <f>IFERROR(__xludf.DUMMYFUNCTION("TRIM(REGEXREPLACE(C2469,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2469" s="180" t="str">
        <f>IFERROR(__xludf.DUMMYFUNCTION("TRIM(REGEXREPLACE(D2469,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2469" s="180" t="str">
        <f>IFERROR(__xludf.DUMMYFUNCTION("TRIM(REGEXREPLACE(E2469,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2469" s="180" t="str">
        <f t="shared" ref="J2469:L2469" si="577">$F2469 &amp; ". "&amp;G2469</f>
        <v>577. I am going read back the phone number you just shared with me as your Whatsapp number. Is this the phone number you use for whatsapp? ${phone_whatsapp_number}</v>
      </c>
      <c r="K2469" s="180" t="str">
        <f t="shared" si="577"/>
        <v>577. Je vais relire le numéro de téléphone que vous nous avez donné comme votre numéro Whatsapp. Est-ce le numéro de téléphone que vous utilisez pour WhatsApp ? ${phone_whatsapp_number}</v>
      </c>
      <c r="L2469" s="180" t="str">
        <f t="shared" si="577"/>
        <v>577. Zan sake karanta lambar wayar da kuka bani a zaman lambar Whatsapp dinku. Wannan shine lambar wayar da kuke amfani da ita don yin whatsapp? ${phone_whatsapp_number}</v>
      </c>
    </row>
    <row r="2470">
      <c r="A2470" s="220" t="s">
        <v>38</v>
      </c>
      <c r="B2470" s="361" t="s">
        <v>6853</v>
      </c>
      <c r="C2470" s="45" t="s">
        <v>6854</v>
      </c>
      <c r="D2470" s="45" t="s">
        <v>6855</v>
      </c>
      <c r="E2470" s="45" t="s">
        <v>6856</v>
      </c>
      <c r="F2470" s="187">
        <v>578.0</v>
      </c>
      <c r="G2470" s="180" t="str">
        <f>IFERROR(__xludf.DUMMYFUNCTION("TRIM(REGEXREPLACE(C2470, ""[0-9]+[a-f]?\."", """"))"),"Please go back and correct the number.")</f>
        <v>Please go back and correct the number.</v>
      </c>
      <c r="H2470" s="180" t="str">
        <f>IFERROR(__xludf.DUMMYFUNCTION("TRIM(REGEXREPLACE(D2470, ""[0-9]+[a-f]?\."", """"))"),"Veuillez revenir en arrière pour corriger le numéro.")</f>
        <v>Veuillez revenir en arrière pour corriger le numéro.</v>
      </c>
      <c r="I2470" s="180" t="str">
        <f>IFERROR(__xludf.DUMMYFUNCTION("TRIM(REGEXREPLACE(E2470, ""[0-9]+[a-f]?\."", """"))"),"Da fatan za ka koma baya ka gyara lambar.")</f>
        <v>Da fatan za ka koma baya ka gyara lambar.</v>
      </c>
      <c r="J2470" s="180" t="str">
        <f t="shared" ref="J2470:L2470" si="578">$F2470 &amp; ". "&amp;G2470</f>
        <v>578. Please go back and correct the number.</v>
      </c>
      <c r="K2470" s="180" t="str">
        <f t="shared" si="578"/>
        <v>578. Veuillez revenir en arrière pour corriger le numéro.</v>
      </c>
      <c r="L2470" s="180" t="str">
        <f t="shared" si="578"/>
        <v>578. Da fatan za ka koma baya ka gyara lambar.</v>
      </c>
    </row>
    <row r="2471">
      <c r="A2471" s="83" t="s">
        <v>1306</v>
      </c>
      <c r="B2471" s="84" t="s">
        <v>6857</v>
      </c>
      <c r="C2471" s="45" t="s">
        <v>6858</v>
      </c>
      <c r="D2471" s="45" t="s">
        <v>6859</v>
      </c>
      <c r="E2471" s="45" t="s">
        <v>6860</v>
      </c>
      <c r="F2471" s="187">
        <v>579.0</v>
      </c>
      <c r="G2471" s="180" t="str">
        <f>IFERROR(__xludf.DUMMYFUNCTION("TRIM(REGEXREPLACE(C2471, ""[0-9]+[a-f]?\."", """"))"),"Do you have other phone numbers that you use regularly (i.e. other phone carriers)?")</f>
        <v>Do you have other phone numbers that you use regularly (i.e. other phone carriers)?</v>
      </c>
      <c r="H2471" s="180" t="str">
        <f>IFERROR(__xludf.DUMMYFUNCTION("TRIM(REGEXREPLACE(D2471, ""[0-9]+[a-f]?\."", """"))"),"Avez-vous d'autres numéros de téléphone que vous utilisez régulièrement (c'est-à-dire d'autres opérateurs téléphoniques) ?")</f>
        <v>Avez-vous d'autres numéros de téléphone que vous utilisez régulièrement (c'est-à-dire d'autres opérateurs téléphoniques) ?</v>
      </c>
      <c r="I2471" s="180" t="str">
        <f>IFERROR(__xludf.DUMMYFUNCTION("TRIM(REGEXREPLACE(E2471, ""[0-9]+[a-f]?\."", """"))"),"Ko kuna da wasu lambobin waya waɗanda kuke amfani da su kai-akai (layin wasu gidan wayar salula)?")</f>
        <v>Ko kuna da wasu lambobin waya waɗanda kuke amfani da su kai-akai (layin wasu gidan wayar salula)?</v>
      </c>
      <c r="J2471" s="180" t="str">
        <f t="shared" ref="J2471:L2471" si="579">$F2471 &amp; ". "&amp;G2471</f>
        <v>579. Do you have other phone numbers that you use regularly (i.e. other phone carriers)?</v>
      </c>
      <c r="K2471" s="180" t="str">
        <f t="shared" si="579"/>
        <v>579. Avez-vous d'autres numéros de téléphone que vous utilisez régulièrement (c'est-à-dire d'autres opérateurs téléphoniques) ?</v>
      </c>
      <c r="L2471" s="180" t="str">
        <f t="shared" si="579"/>
        <v>579. Ko kuna da wasu lambobin waya waɗanda kuke amfani da su kai-akai (layin wasu gidan wayar salula)?</v>
      </c>
    </row>
    <row r="2472">
      <c r="A2472" s="250" t="s">
        <v>268</v>
      </c>
      <c r="B2472" s="251" t="s">
        <v>6861</v>
      </c>
      <c r="C2472" s="45" t="s">
        <v>6862</v>
      </c>
      <c r="D2472" s="45" t="s">
        <v>6863</v>
      </c>
      <c r="E2472" s="45" t="s">
        <v>6864</v>
      </c>
      <c r="F2472" s="187">
        <v>580.0</v>
      </c>
      <c r="G2472" s="180" t="str">
        <f>IFERROR(__xludf.DUMMYFUNCTION("TRIM(REGEXREPLACE(C2472, ""[0-9]+[a-f]?\."", """"))"),"How many other additional phone numbers?")</f>
        <v>How many other additional phone numbers?</v>
      </c>
      <c r="H2472" s="180" t="str">
        <f>IFERROR(__xludf.DUMMYFUNCTION("TRIM(REGEXREPLACE(D2472, ""[0-9]+[a-f]?\."", """"))"),"Y-a t-il d'autres numéros de téléphone supplémentaires ?")</f>
        <v>Y-a t-il d'autres numéros de téléphone supplémentaires ?</v>
      </c>
      <c r="I2472" s="180" t="str">
        <f>IFERROR(__xludf.DUMMYFUNCTION("TRIM(REGEXREPLACE(E2472, ""[0-9]+[a-f]?\."", """"))"),"220 a. Ko akwai ƙarin wasu lambobin waya?")</f>
        <v>220 a. Ko akwai ƙarin wasu lambobin waya?</v>
      </c>
      <c r="J2472" s="180" t="str">
        <f t="shared" ref="J2472:L2472" si="580">$F2472 &amp; ". "&amp;G2472</f>
        <v>580. How many other additional phone numbers?</v>
      </c>
      <c r="K2472" s="180" t="str">
        <f t="shared" si="580"/>
        <v>580. Y-a t-il d'autres numéros de téléphone supplémentaires ?</v>
      </c>
      <c r="L2472" s="180" t="str">
        <f t="shared" si="580"/>
        <v>580. 220 a. Ko akwai ƙarin wasu lambobin waya?</v>
      </c>
    </row>
    <row r="2473" hidden="1">
      <c r="A2473" s="362" t="s">
        <v>426</v>
      </c>
      <c r="B2473" s="363" t="s">
        <v>6865</v>
      </c>
      <c r="C2473" s="172" t="s">
        <v>6866</v>
      </c>
      <c r="D2473" s="362"/>
      <c r="E2473" s="362"/>
    </row>
    <row r="2474">
      <c r="A2474" s="238" t="s">
        <v>252</v>
      </c>
      <c r="B2474" s="240" t="s">
        <v>6867</v>
      </c>
      <c r="C2474" s="45" t="s">
        <v>6868</v>
      </c>
      <c r="D2474" s="45" t="s">
        <v>6869</v>
      </c>
      <c r="E2474" s="45" t="s">
        <v>6870</v>
      </c>
      <c r="F2474" s="187">
        <v>581.0</v>
      </c>
      <c r="G2474" s="180" t="str">
        <f>IFERROR(__xludf.DUMMYFUNCTION("TRIM(REGEXREPLACE(C2474, ""[0-9]+[a-f]?\."", """"))"),"What are these additional phone numbers?")</f>
        <v>What are these additional phone numbers?</v>
      </c>
      <c r="H2474" s="180" t="str">
        <f>IFERROR(__xludf.DUMMYFUNCTION("TRIM(REGEXREPLACE(D2474, ""[0-9]+[a-f]?\."", """"))"),"Quels sont les numéros de téléphone supplémentaires ?")</f>
        <v>Quels sont les numéros de téléphone supplémentaires ?</v>
      </c>
      <c r="I2474" s="180" t="str">
        <f>IFERROR(__xludf.DUMMYFUNCTION("TRIM(REGEXREPLACE(E2474, ""[0-9]+[a-f]?\."", """"))"),"Waɗannene ƙarin lambobin wayan?")</f>
        <v>Waɗannene ƙarin lambobin wayan?</v>
      </c>
      <c r="J2474" s="180" t="str">
        <f t="shared" ref="J2474:L2474" si="581">$F2474 &amp; ". "&amp;G2474</f>
        <v>581. What are these additional phone numbers?</v>
      </c>
      <c r="K2474" s="180" t="str">
        <f t="shared" si="581"/>
        <v>581. Quels sont les numéros de téléphone supplémentaires ?</v>
      </c>
      <c r="L2474" s="180" t="str">
        <f t="shared" si="581"/>
        <v>581. Waɗannene ƙarin lambobin wayan?</v>
      </c>
    </row>
    <row r="2475" hidden="1">
      <c r="A2475" s="362" t="s">
        <v>468</v>
      </c>
      <c r="B2475" s="362" t="s">
        <v>6865</v>
      </c>
      <c r="C2475" s="186" t="s">
        <v>6866</v>
      </c>
      <c r="D2475" s="362"/>
      <c r="E2475" s="362"/>
    </row>
    <row r="2476">
      <c r="A2476" s="83" t="s">
        <v>1306</v>
      </c>
      <c r="B2476" s="84" t="s">
        <v>6871</v>
      </c>
      <c r="C2476" s="45" t="s">
        <v>6872</v>
      </c>
      <c r="D2476" s="45" t="s">
        <v>6873</v>
      </c>
      <c r="E2476" s="45" t="s">
        <v>6874</v>
      </c>
      <c r="F2476" s="187">
        <v>582.0</v>
      </c>
      <c r="G2476" s="180" t="str">
        <f>IFERROR(__xludf.DUMMYFUNCTION("TRIM(REGEXREPLACE(C2476,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2476" s="180" t="str">
        <f>IFERROR(__xludf.DUMMYFUNCTION("TRIM(REGEXREPLACE(D2476,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2476" s="180" t="str">
        <f>IFERROR(__xludf.DUMMYFUNCTION("TRIM(REGEXREPLACE(E2476,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2476" s="180" t="str">
        <f t="shared" ref="J2476:L2476" si="582">$F2476 &amp; ". "&amp;G2476</f>
        <v>582.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K2476" s="180" t="str">
        <f t="shared" si="582"/>
        <v>582.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L2476" s="180" t="str">
        <f t="shared" si="582"/>
        <v>582. Idan ba za mu iya samun ku ba, ko za ku iya ba mu suna da lambar wayar wani wanda ba na gidanku ba da za mu iya kira don neman lambar ku?
 Za mu kirayi mutumen ne kawai idan bamu sameku ba bayan kira biyu zuwa uku, hakan zai taimaka mana ci gaba da tuntuɓar ku.</v>
      </c>
    </row>
    <row r="2477" hidden="1">
      <c r="A2477" s="149" t="s">
        <v>133</v>
      </c>
      <c r="B2477" s="150" t="s">
        <v>6875</v>
      </c>
      <c r="C2477" s="147" t="s">
        <v>6876</v>
      </c>
      <c r="D2477" s="149"/>
      <c r="E2477" s="149"/>
    </row>
    <row r="2478">
      <c r="A2478" s="238" t="s">
        <v>252</v>
      </c>
      <c r="B2478" s="240" t="s">
        <v>6877</v>
      </c>
      <c r="C2478" s="45" t="s">
        <v>6878</v>
      </c>
      <c r="D2478" s="45" t="s">
        <v>6879</v>
      </c>
      <c r="E2478" s="45" t="s">
        <v>6880</v>
      </c>
      <c r="F2478" s="187">
        <v>583.0</v>
      </c>
      <c r="G2478" s="180" t="str">
        <f>IFERROR(__xludf.DUMMYFUNCTION("TRIM(REGEXREPLACE(C2478, ""[0-9]+[a-f]?\."", """"))"),"What is the last name of this person")</f>
        <v>What is the last name of this person</v>
      </c>
      <c r="H2478" s="180" t="str">
        <f>IFERROR(__xludf.DUMMYFUNCTION("TRIM(REGEXREPLACE(D2478, ""[0-9]+[a-f]?\."", """"))"),"Quel est le nom de cette personne")</f>
        <v>Quel est le nom de cette personne</v>
      </c>
      <c r="I2478" s="180" t="str">
        <f>IFERROR(__xludf.DUMMYFUNCTION("TRIM(REGEXREPLACE(E2478, ""[0-9]+[a-f]?\."", """"))"),"Menene sunan uban wannan mutumen?")</f>
        <v>Menene sunan uban wannan mutumen?</v>
      </c>
      <c r="J2478" s="180" t="str">
        <f t="shared" ref="J2478:L2478" si="583">$F2478 &amp; ". "&amp;G2478</f>
        <v>583. What is the last name of this person</v>
      </c>
      <c r="K2478" s="180" t="str">
        <f t="shared" si="583"/>
        <v>583. Quel est le nom de cette personne</v>
      </c>
      <c r="L2478" s="180" t="str">
        <f t="shared" si="583"/>
        <v>583. Menene sunan uban wannan mutumen?</v>
      </c>
    </row>
    <row r="2479">
      <c r="A2479" s="238" t="s">
        <v>252</v>
      </c>
      <c r="B2479" s="240" t="s">
        <v>6882</v>
      </c>
      <c r="C2479" s="45" t="s">
        <v>6883</v>
      </c>
      <c r="D2479" s="45" t="s">
        <v>6884</v>
      </c>
      <c r="E2479" s="45" t="s">
        <v>6885</v>
      </c>
      <c r="F2479" s="187">
        <v>584.0</v>
      </c>
      <c r="G2479" s="180" t="str">
        <f>IFERROR(__xludf.DUMMYFUNCTION("TRIM(REGEXREPLACE(C2479, ""[0-9]+[a-f]?\."", """"))"),"What is the first name of this person")</f>
        <v>What is the first name of this person</v>
      </c>
      <c r="H2479" s="180" t="str">
        <f>IFERROR(__xludf.DUMMYFUNCTION("TRIM(REGEXREPLACE(D2479, ""[0-9]+[a-f]?\."", """"))"),"Quel est le prénom de cette personne")</f>
        <v>Quel est le prénom de cette personne</v>
      </c>
      <c r="I2479" s="180" t="str">
        <f>IFERROR(__xludf.DUMMYFUNCTION("TRIM(REGEXREPLACE(E2479, ""[0-9]+[a-f]?\."", """"))"),"Menene sunan wannan mutumen?")</f>
        <v>Menene sunan wannan mutumen?</v>
      </c>
      <c r="J2479" s="180" t="str">
        <f t="shared" ref="J2479:L2479" si="584">$F2479 &amp; ". "&amp;G2479</f>
        <v>584. What is the first name of this person</v>
      </c>
      <c r="K2479" s="180" t="str">
        <f t="shared" si="584"/>
        <v>584. Quel est le prénom de cette personne</v>
      </c>
      <c r="L2479" s="180" t="str">
        <f t="shared" si="584"/>
        <v>584. Menene sunan wannan mutumen?</v>
      </c>
    </row>
    <row r="2480" hidden="1">
      <c r="A2480" s="149" t="s">
        <v>237</v>
      </c>
      <c r="B2480" s="149" t="s">
        <v>6875</v>
      </c>
      <c r="C2480" s="226" t="s">
        <v>6876</v>
      </c>
      <c r="D2480" s="149"/>
      <c r="E2480" s="149"/>
    </row>
    <row r="2481" hidden="1">
      <c r="A2481" s="104" t="s">
        <v>68</v>
      </c>
      <c r="B2481" s="139" t="s">
        <v>6886</v>
      </c>
      <c r="C2481" s="72"/>
      <c r="D2481" s="104"/>
      <c r="E2481" s="104"/>
    </row>
    <row r="2482">
      <c r="A2482" s="238" t="s">
        <v>252</v>
      </c>
      <c r="B2482" s="240" t="s">
        <v>6887</v>
      </c>
      <c r="C2482" s="45" t="s">
        <v>5079</v>
      </c>
      <c r="D2482" s="45" t="s">
        <v>5080</v>
      </c>
      <c r="E2482" s="45" t="s">
        <v>5081</v>
      </c>
      <c r="F2482" s="187">
        <v>585.0</v>
      </c>
      <c r="G2482" s="180" t="str">
        <f>IFERROR(__xludf.DUMMYFUNCTION("TRIM(REGEXREPLACE(C2482, ""[0-9]+[a-f]?\."", """"))"),"What is their phone number?")</f>
        <v>What is their phone number?</v>
      </c>
      <c r="H2482" s="180" t="str">
        <f>IFERROR(__xludf.DUMMYFUNCTION("TRIM(REGEXREPLACE(D2482, ""[0-9]+[a-f]?\."", """"))"),"Quel est leur numéro de téléphone?")</f>
        <v>Quel est leur numéro de téléphone?</v>
      </c>
      <c r="I2482" s="180" t="str">
        <f>IFERROR(__xludf.DUMMYFUNCTION("TRIM(REGEXREPLACE(E2482, ""[0-9]+[a-f]?\."", """"))"),"Menene lambar wayarsu?")</f>
        <v>Menene lambar wayarsu?</v>
      </c>
      <c r="J2482" s="180" t="str">
        <f t="shared" ref="J2482:L2482" si="585">$F2482 &amp; ". "&amp;G2482</f>
        <v>585. What is their phone number?</v>
      </c>
      <c r="K2482" s="180" t="str">
        <f t="shared" si="585"/>
        <v>585. Quel est leur numéro de téléphone?</v>
      </c>
      <c r="L2482" s="180" t="str">
        <f t="shared" si="585"/>
        <v>585. Menene lambar wayarsu?</v>
      </c>
    </row>
    <row r="2483">
      <c r="A2483" s="83" t="s">
        <v>4846</v>
      </c>
      <c r="B2483" s="84" t="s">
        <v>6889</v>
      </c>
      <c r="C2483" s="45" t="s">
        <v>5083</v>
      </c>
      <c r="D2483" s="45" t="s">
        <v>5084</v>
      </c>
      <c r="E2483" s="45" t="s">
        <v>5085</v>
      </c>
      <c r="F2483" s="187">
        <v>586.0</v>
      </c>
      <c r="G2483" s="180" t="str">
        <f>IFERROR(__xludf.DUMMYFUNCTION("TRIM(REGEXREPLACE(C2483, ""[0-9]+[a-f]?\."", """"))"),"What is ${secondary_name1}'s relationship to you?")</f>
        <v>What is ${secondary_name1}'s relationship to you?</v>
      </c>
      <c r="H2483" s="180" t="str">
        <f>IFERROR(__xludf.DUMMYFUNCTION("TRIM(REGEXREPLACE(D2483, ""[0-9]+[a-f]?\."", """"))"),"Quelle est la relation entre ${secondary_name1} et vous ?")</f>
        <v>Quelle est la relation entre ${secondary_name1} et vous ?</v>
      </c>
      <c r="I2483" s="180" t="str">
        <f>IFERROR(__xludf.DUMMYFUNCTION("TRIM(REGEXREPLACE(E2483, ""[0-9]+[a-f]?\."", """"))"),"Menene alaƙar ku da ${secondary_name1} ?")</f>
        <v>Menene alaƙar ku da ${secondary_name1} ?</v>
      </c>
      <c r="J2483" s="180" t="str">
        <f t="shared" ref="J2483:L2483" si="586">$F2483 &amp; ". "&amp;G2483</f>
        <v>586. What is ${secondary_name1}'s relationship to you?</v>
      </c>
      <c r="K2483" s="180" t="str">
        <f t="shared" si="586"/>
        <v>586. Quelle est la relation entre ${secondary_name1} et vous ?</v>
      </c>
      <c r="L2483" s="180" t="str">
        <f t="shared" si="586"/>
        <v>586. Menene alaƙar ku da ${secondary_name1} ?</v>
      </c>
    </row>
    <row r="2484">
      <c r="A2484" s="83" t="s">
        <v>1306</v>
      </c>
      <c r="B2484" s="84" t="s">
        <v>6890</v>
      </c>
      <c r="C2484" s="45" t="s">
        <v>6891</v>
      </c>
      <c r="D2484" s="45" t="s">
        <v>6892</v>
      </c>
      <c r="E2484" s="45" t="s">
        <v>6893</v>
      </c>
      <c r="F2484" s="187">
        <v>587.0</v>
      </c>
      <c r="G2484" s="180" t="str">
        <f>IFERROR(__xludf.DUMMYFUNCTION("TRIM(REGEXREPLACE(C2484, ""[0-9]+[a-f]?\."", """"))"),"Just to confirm, is this the number? 
 ${secondary_name1}
 ${secondary_phone1}")</f>
        <v>Just to confirm, is this the number? 
 ${secondary_name1}
 ${secondary_phone1}</v>
      </c>
      <c r="H2484" s="180" t="str">
        <f>IFERROR(__xludf.DUMMYFUNCTION("TRIM(REGEXREPLACE(D2484, ""[0-9]+[a-f]?\."", """"))"),"Juste pour confirmer, est-ce bien le numéro ?
 ${secondary_name1}
 ${secondary_phone1}")</f>
        <v>Juste pour confirmer, est-ce bien le numéro ?
 ${secondary_name1}
 ${secondary_phone1}</v>
      </c>
      <c r="I2484" s="180" t="str">
        <f>IFERROR(__xludf.DUMMYFUNCTION("TRIM(REGEXREPLACE(E2484, ""[0-9]+[a-f]?\."", """"))"),"Don tabbatarwa kawai, da wannan itace lambar?
 ${secondary_name1}
 ${secondary_phone1}")</f>
        <v>Don tabbatarwa kawai, da wannan itace lambar?
 ${secondary_name1}
 ${secondary_phone1}</v>
      </c>
      <c r="J2484" s="180" t="str">
        <f t="shared" ref="J2484:L2484" si="587">$F2484 &amp; ". "&amp;G2484</f>
        <v>587. Just to confirm, is this the number? 
 ${secondary_name1}
 ${secondary_phone1}</v>
      </c>
      <c r="K2484" s="180" t="str">
        <f t="shared" si="587"/>
        <v>587. Juste pour confirmer, est-ce bien le numéro ?
 ${secondary_name1}
 ${secondary_phone1}</v>
      </c>
      <c r="L2484" s="180" t="str">
        <f t="shared" si="587"/>
        <v>587. Don tabbatarwa kawai, da wannan itace lambar?
 ${secondary_name1}
 ${secondary_phone1}</v>
      </c>
    </row>
    <row r="2485">
      <c r="A2485" s="220" t="s">
        <v>38</v>
      </c>
      <c r="B2485" s="361" t="s">
        <v>6895</v>
      </c>
      <c r="C2485" s="45" t="s">
        <v>5096</v>
      </c>
      <c r="D2485" s="45" t="s">
        <v>5097</v>
      </c>
      <c r="E2485" s="45" t="s">
        <v>5098</v>
      </c>
      <c r="F2485" s="187">
        <v>588.0</v>
      </c>
      <c r="G2485" s="180" t="str">
        <f>IFERROR(__xludf.DUMMYFUNCTION("TRIM(REGEXREPLACE(C2485, ""[0-9]+[a-f]?\."", """"))"),"Please go back and correct the name and phone number.")</f>
        <v>Please go back and correct the name and phone number.</v>
      </c>
      <c r="H2485" s="180" t="str">
        <f>IFERROR(__xludf.DUMMYFUNCTION("TRIM(REGEXREPLACE(D2485, ""[0-9]+[a-f]?\."", """"))"),"Veuillez revenir en arrière et corriger le nom et le numéro de téléphone.")</f>
        <v>Veuillez revenir en arrière et corriger le nom et le numéro de téléphone.</v>
      </c>
      <c r="I2485" s="180" t="str">
        <f>IFERROR(__xludf.DUMMYFUNCTION("TRIM(REGEXREPLACE(E2485, ""[0-9]+[a-f]?\."", """"))"),"Da fatan za ka koma baya don ka gyara suna da lambar waya.")</f>
        <v>Da fatan za ka koma baya don ka gyara suna da lambar waya.</v>
      </c>
      <c r="J2485" s="180" t="str">
        <f t="shared" ref="J2485:L2485" si="588">$F2485 &amp; ". "&amp;G2485</f>
        <v>588. Please go back and correct the name and phone number.</v>
      </c>
      <c r="K2485" s="180" t="str">
        <f t="shared" si="588"/>
        <v>588. Veuillez revenir en arrière et corriger le nom et le numéro de téléphone.</v>
      </c>
      <c r="L2485" s="180" t="str">
        <f t="shared" si="588"/>
        <v>588. Da fatan za ka koma baya don ka gyara suna da lambar waya.</v>
      </c>
    </row>
    <row r="2486">
      <c r="A2486" s="83" t="s">
        <v>6823</v>
      </c>
      <c r="B2486" s="84" t="s">
        <v>6896</v>
      </c>
      <c r="C2486" s="45" t="s">
        <v>6897</v>
      </c>
      <c r="D2486" s="45" t="s">
        <v>6898</v>
      </c>
      <c r="E2486" s="45" t="s">
        <v>6899</v>
      </c>
      <c r="F2486" s="187">
        <v>589.0</v>
      </c>
      <c r="G2486" s="180" t="str">
        <f>IFERROR(__xludf.DUMMYFUNCTION("TRIM(REGEXREPLACE(C2486, ""[0-9]+[a-f]?\."", """"))"),"I am going to call this phone number to confirm it is correct. [Enumerator: Did the phone ring?]")</f>
        <v>I am going to call this phone number to confirm it is correct. [Enumerator: Did the phone ring?]</v>
      </c>
      <c r="H2486" s="180" t="str">
        <f>IFERROR(__xludf.DUMMYFUNCTION("TRIM(REGEXREPLACE(D2486, ""[0-9]+[a-f]?\."", """"))"),"Je vais appeler ce numéro de téléphone pour confirmer qu'il est correct. [Enquêteur : Le téléphone a-t-il sonné ?]")</f>
        <v>Je vais appeler ce numéro de téléphone pour confirmer qu'il est correct. [Enquêteur : Le téléphone a-t-il sonné ?]</v>
      </c>
      <c r="I2486" s="180" t="str">
        <f>IFERROR(__xludf.DUMMYFUNCTION("TRIM(REGEXREPLACE(E2486, ""[0-9]+[a-f]?\."", """"))"),"Zan kirayi wannan lambar wayar don tabbatar da daidai ce. [Ɗan bincike: Wayar ta yi ƙara?]")</f>
        <v>Zan kirayi wannan lambar wayar don tabbatar da daidai ce. [Ɗan bincike: Wayar ta yi ƙara?]</v>
      </c>
      <c r="J2486" s="180" t="str">
        <f t="shared" ref="J2486:L2486" si="589">$F2486 &amp; ". "&amp;G2486</f>
        <v>589. I am going to call this phone number to confirm it is correct. [Enumerator: Did the phone ring?]</v>
      </c>
      <c r="K2486" s="180" t="str">
        <f t="shared" si="589"/>
        <v>589. Je vais appeler ce numéro de téléphone pour confirmer qu'il est correct. [Enquêteur : Le téléphone a-t-il sonné ?]</v>
      </c>
      <c r="L2486" s="180" t="str">
        <f t="shared" si="589"/>
        <v>589. Zan kirayi wannan lambar wayar don tabbatar da daidai ce. [Ɗan bincike: Wayar ta yi ƙara?]</v>
      </c>
    </row>
    <row r="2487">
      <c r="A2487" s="220" t="s">
        <v>38</v>
      </c>
      <c r="B2487" s="361" t="s">
        <v>6900</v>
      </c>
      <c r="C2487" s="45" t="s">
        <v>6901</v>
      </c>
      <c r="D2487" s="45" t="s">
        <v>6902</v>
      </c>
      <c r="E2487" s="45" t="s">
        <v>6903</v>
      </c>
      <c r="F2487" s="187">
        <v>590.0</v>
      </c>
      <c r="G2487" s="180" t="str">
        <f>IFERROR(__xludf.DUMMYFUNCTION("TRIM(REGEXREPLACE(C2487, ""[0-9]+[a-f]?\."", """"))"),"Please go back and enter a new phone number.")</f>
        <v>Please go back and enter a new phone number.</v>
      </c>
      <c r="H2487" s="180" t="str">
        <f>IFERROR(__xludf.DUMMYFUNCTION("TRIM(REGEXREPLACE(D2487, ""[0-9]+[a-f]?\."", """"))"),"Veuillez ressaisir le numéro")</f>
        <v>Veuillez ressaisir le numéro</v>
      </c>
      <c r="I2487" s="180" t="str">
        <f>IFERROR(__xludf.DUMMYFUNCTION("TRIM(REGEXREPLACE(E2487, ""[0-9]+[a-f]?\."", """"))"),"Da fatan zaku rubuta lambar")</f>
        <v>Da fatan zaku rubuta lambar</v>
      </c>
      <c r="J2487" s="180" t="str">
        <f t="shared" ref="J2487:L2487" si="590">$F2487 &amp; ". "&amp;G2487</f>
        <v>590. Please go back and enter a new phone number.</v>
      </c>
      <c r="K2487" s="180" t="str">
        <f t="shared" si="590"/>
        <v>590. Veuillez ressaisir le numéro</v>
      </c>
      <c r="L2487" s="180" t="str">
        <f t="shared" si="590"/>
        <v>590. Da fatan zaku rubuta lambar</v>
      </c>
    </row>
    <row r="2488">
      <c r="A2488" s="83" t="s">
        <v>1306</v>
      </c>
      <c r="B2488" s="84" t="s">
        <v>6904</v>
      </c>
      <c r="C2488" s="45" t="s">
        <v>6905</v>
      </c>
      <c r="D2488" s="45" t="s">
        <v>6906</v>
      </c>
      <c r="E2488" s="45" t="s">
        <v>6907</v>
      </c>
      <c r="F2488" s="187">
        <v>591.0</v>
      </c>
      <c r="G2488" s="180" t="str">
        <f>IFERROR(__xludf.DUMMYFUNCTION("TRIM(REGEXREPLACE(C2488,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2488" s="180" t="str">
        <f>IFERROR(__xludf.DUMMYFUNCTION("TRIM(REGEXREPLACE(D2488,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2488" s="180" t="str">
        <f>IFERROR(__xludf.DUMMYFUNCTION("TRIM(REGEXREPLACE(E2488,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2488" s="180" t="str">
        <f t="shared" ref="J2488:L2488" si="591">$F2488 &amp; ". "&amp;G2488</f>
        <v>591.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K2488" s="180" t="str">
        <f t="shared" si="591"/>
        <v>591.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L2488" s="180" t="str">
        <f t="shared" si="591"/>
        <v>591.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row>
    <row r="2489" hidden="1">
      <c r="A2489" s="149" t="s">
        <v>133</v>
      </c>
      <c r="B2489" s="150" t="s">
        <v>6909</v>
      </c>
      <c r="C2489" s="147" t="s">
        <v>6910</v>
      </c>
      <c r="D2489" s="149"/>
      <c r="E2489" s="149"/>
    </row>
    <row r="2490">
      <c r="A2490" s="238" t="s">
        <v>252</v>
      </c>
      <c r="B2490" s="240" t="s">
        <v>6911</v>
      </c>
      <c r="C2490" s="45" t="s">
        <v>5116</v>
      </c>
      <c r="D2490" s="45" t="s">
        <v>5117</v>
      </c>
      <c r="E2490" s="45" t="s">
        <v>5118</v>
      </c>
      <c r="F2490" s="187">
        <v>592.0</v>
      </c>
      <c r="G2490" s="180" t="str">
        <f>IFERROR(__xludf.DUMMYFUNCTION("TRIM(REGEXREPLACE(C2490, ""[0-9]+[a-f]?\."", """"))"),"What is the last name of this person")</f>
        <v>What is the last name of this person</v>
      </c>
      <c r="H2490" s="180" t="str">
        <f>IFERROR(__xludf.DUMMYFUNCTION("TRIM(REGEXREPLACE(D2490, ""[0-9]+[a-f]?\."", """"))"),"Quel est le nom de cette personne?")</f>
        <v>Quel est le nom de cette personne?</v>
      </c>
      <c r="I2490" s="180" t="str">
        <f>IFERROR(__xludf.DUMMYFUNCTION("TRIM(REGEXREPLACE(E2490, ""[0-9]+[a-f]?\."", """"))"),"Menene sunan uban wannan mutumen?")</f>
        <v>Menene sunan uban wannan mutumen?</v>
      </c>
      <c r="J2490" s="180" t="str">
        <f t="shared" ref="J2490:L2490" si="592">$F2490 &amp; ". "&amp;G2490</f>
        <v>592. What is the last name of this person</v>
      </c>
      <c r="K2490" s="180" t="str">
        <f t="shared" si="592"/>
        <v>592. Quel est le nom de cette personne?</v>
      </c>
      <c r="L2490" s="180" t="str">
        <f t="shared" si="592"/>
        <v>592. Menene sunan uban wannan mutumen?</v>
      </c>
    </row>
    <row r="2491">
      <c r="A2491" s="238" t="s">
        <v>252</v>
      </c>
      <c r="B2491" s="240" t="s">
        <v>6916</v>
      </c>
      <c r="C2491" s="45" t="s">
        <v>5120</v>
      </c>
      <c r="D2491" s="45" t="s">
        <v>5122</v>
      </c>
      <c r="E2491" s="45" t="s">
        <v>5124</v>
      </c>
      <c r="F2491" s="187">
        <v>593.0</v>
      </c>
      <c r="G2491" s="180" t="str">
        <f>IFERROR(__xludf.DUMMYFUNCTION("TRIM(REGEXREPLACE(C2491, ""[0-9]+[a-f]?\."", """"))"),"What is the first name of this person")</f>
        <v>What is the first name of this person</v>
      </c>
      <c r="H2491" s="180" t="str">
        <f>IFERROR(__xludf.DUMMYFUNCTION("TRIM(REGEXREPLACE(D2491, ""[0-9]+[a-f]?\."", """"))"),"Quel est le prénom de cette personne?")</f>
        <v>Quel est le prénom de cette personne?</v>
      </c>
      <c r="I2491" s="180" t="str">
        <f>IFERROR(__xludf.DUMMYFUNCTION("TRIM(REGEXREPLACE(E2491, ""[0-9]+[a-f]?\."", """"))"),"Menene sunan wannan mutumen?")</f>
        <v>Menene sunan wannan mutumen?</v>
      </c>
      <c r="J2491" s="180" t="str">
        <f t="shared" ref="J2491:L2491" si="593">$F2491 &amp; ". "&amp;G2491</f>
        <v>593. What is the first name of this person</v>
      </c>
      <c r="K2491" s="180" t="str">
        <f t="shared" si="593"/>
        <v>593. Quel est le prénom de cette personne?</v>
      </c>
      <c r="L2491" s="180" t="str">
        <f t="shared" si="593"/>
        <v>593. Menene sunan wannan mutumen?</v>
      </c>
    </row>
    <row r="2492" hidden="1">
      <c r="A2492" s="149" t="s">
        <v>237</v>
      </c>
      <c r="B2492" s="149" t="s">
        <v>6909</v>
      </c>
      <c r="C2492" s="226" t="s">
        <v>6910</v>
      </c>
      <c r="D2492" s="149"/>
      <c r="E2492" s="149"/>
    </row>
    <row r="2493" hidden="1">
      <c r="A2493" s="104" t="s">
        <v>68</v>
      </c>
      <c r="B2493" s="139" t="s">
        <v>6918</v>
      </c>
      <c r="C2493" s="72"/>
      <c r="D2493" s="104"/>
      <c r="E2493" s="104"/>
    </row>
    <row r="2494">
      <c r="A2494" s="238" t="s">
        <v>252</v>
      </c>
      <c r="B2494" s="240" t="s">
        <v>6919</v>
      </c>
      <c r="C2494" s="45" t="s">
        <v>5125</v>
      </c>
      <c r="D2494" s="45" t="s">
        <v>5126</v>
      </c>
      <c r="E2494" s="45" t="s">
        <v>5127</v>
      </c>
      <c r="F2494" s="187">
        <v>594.0</v>
      </c>
      <c r="G2494" s="180" t="str">
        <f>IFERROR(__xludf.DUMMYFUNCTION("TRIM(REGEXREPLACE(C2494, ""[0-9]+[a-f]?\."", """"))"),"What is their phone number?")</f>
        <v>What is their phone number?</v>
      </c>
      <c r="H2494" s="180" t="str">
        <f>IFERROR(__xludf.DUMMYFUNCTION("TRIM(REGEXREPLACE(D2494, ""[0-9]+[a-f]?\."", """"))"),"Quel est leur numéro de téléphone?")</f>
        <v>Quel est leur numéro de téléphone?</v>
      </c>
      <c r="I2494" s="180" t="str">
        <f>IFERROR(__xludf.DUMMYFUNCTION("TRIM(REGEXREPLACE(E2494, ""[0-9]+[a-f]?\."", """"))"),"Menene lambar wayarsu?")</f>
        <v>Menene lambar wayarsu?</v>
      </c>
      <c r="J2494" s="180" t="str">
        <f t="shared" ref="J2494:L2494" si="594">$F2494 &amp; ". "&amp;G2494</f>
        <v>594. What is their phone number?</v>
      </c>
      <c r="K2494" s="180" t="str">
        <f t="shared" si="594"/>
        <v>594. Quel est leur numéro de téléphone?</v>
      </c>
      <c r="L2494" s="180" t="str">
        <f t="shared" si="594"/>
        <v>594. Menene lambar wayarsu?</v>
      </c>
    </row>
    <row r="2495">
      <c r="A2495" s="83" t="s">
        <v>4846</v>
      </c>
      <c r="B2495" s="84" t="s">
        <v>6924</v>
      </c>
      <c r="C2495" s="45" t="s">
        <v>5129</v>
      </c>
      <c r="D2495" s="45" t="s">
        <v>5130</v>
      </c>
      <c r="E2495" s="45" t="s">
        <v>5132</v>
      </c>
      <c r="F2495" s="187">
        <v>595.0</v>
      </c>
      <c r="G2495" s="180" t="str">
        <f>IFERROR(__xludf.DUMMYFUNCTION("TRIM(REGEXREPLACE(C2495, ""[0-9]+[a-f]?\."", """"))"),"What is ${secondary_name2}'s relationship to you?")</f>
        <v>What is ${secondary_name2}'s relationship to you?</v>
      </c>
      <c r="H2495" s="180" t="str">
        <f>IFERROR(__xludf.DUMMYFUNCTION("TRIM(REGEXREPLACE(D2495, ""[0-9]+[a-f]?\."", """"))"),"Quelle est la relation entre ${secondary_name2} et vous ?")</f>
        <v>Quelle est la relation entre ${secondary_name2} et vous ?</v>
      </c>
      <c r="I2495" s="180" t="str">
        <f>IFERROR(__xludf.DUMMYFUNCTION("TRIM(REGEXREPLACE(E2495, ""[0-9]+[a-f]?\."", """"))"),"Menene alaƙar ku da ${secondary_name2} ?")</f>
        <v>Menene alaƙar ku da ${secondary_name2} ?</v>
      </c>
      <c r="J2495" s="180" t="str">
        <f t="shared" ref="J2495:L2495" si="595">$F2495 &amp; ". "&amp;G2495</f>
        <v>595. What is ${secondary_name2}'s relationship to you?</v>
      </c>
      <c r="K2495" s="180" t="str">
        <f t="shared" si="595"/>
        <v>595. Quelle est la relation entre ${secondary_name2} et vous ?</v>
      </c>
      <c r="L2495" s="180" t="str">
        <f t="shared" si="595"/>
        <v>595. Menene alaƙar ku da ${secondary_name2} ?</v>
      </c>
    </row>
    <row r="2496">
      <c r="A2496" s="83" t="s">
        <v>1306</v>
      </c>
      <c r="B2496" s="84" t="s">
        <v>6928</v>
      </c>
      <c r="C2496" s="45" t="s">
        <v>6929</v>
      </c>
      <c r="D2496" s="45" t="s">
        <v>6930</v>
      </c>
      <c r="E2496" s="45" t="s">
        <v>6931</v>
      </c>
      <c r="F2496" s="187">
        <v>596.0</v>
      </c>
      <c r="G2496" s="180" t="str">
        <f>IFERROR(__xludf.DUMMYFUNCTION("TRIM(REGEXREPLACE(C2496, ""[0-9]+[a-f]?\."", """"))"),"Just to confirm, is this the number? 
 ${secondary_name2}
 ${secondary_phone2}")</f>
        <v>Just to confirm, is this the number? 
 ${secondary_name2}
 ${secondary_phone2}</v>
      </c>
      <c r="H2496" s="180" t="str">
        <f>IFERROR(__xludf.DUMMYFUNCTION("TRIM(REGEXREPLACE(D2496, ""[0-9]+[a-f]?\."", """"))"),"Juste pour confirmer, est-ce bien le numéro ?
 ${secondary_name2}
 ${secondary_phone2}")</f>
        <v>Juste pour confirmer, est-ce bien le numéro ?
 ${secondary_name2}
 ${secondary_phone2}</v>
      </c>
      <c r="I2496" s="180" t="str">
        <f>IFERROR(__xludf.DUMMYFUNCTION("TRIM(REGEXREPLACE(E2496, ""[0-9]+[a-f]?\."", """"))"),"Don tabbatar kawai, da wannan itace lambar?
 ${secondary_name2}
 ${secondary_phone2}")</f>
        <v>Don tabbatar kawai, da wannan itace lambar?
 ${secondary_name2}
 ${secondary_phone2}</v>
      </c>
      <c r="J2496" s="180" t="str">
        <f t="shared" ref="J2496:L2496" si="596">$F2496 &amp; ". "&amp;G2496</f>
        <v>596. Just to confirm, is this the number? 
 ${secondary_name2}
 ${secondary_phone2}</v>
      </c>
      <c r="K2496" s="180" t="str">
        <f t="shared" si="596"/>
        <v>596. Juste pour confirmer, est-ce bien le numéro ?
 ${secondary_name2}
 ${secondary_phone2}</v>
      </c>
      <c r="L2496" s="180" t="str">
        <f t="shared" si="596"/>
        <v>596. Don tabbatar kawai, da wannan itace lambar?
 ${secondary_name2}
 ${secondary_phone2}</v>
      </c>
    </row>
    <row r="2497">
      <c r="A2497" s="220" t="s">
        <v>38</v>
      </c>
      <c r="B2497" s="361" t="s">
        <v>6933</v>
      </c>
      <c r="C2497" s="45" t="s">
        <v>6934</v>
      </c>
      <c r="D2497" s="45" t="s">
        <v>6935</v>
      </c>
      <c r="E2497" s="45" t="s">
        <v>6936</v>
      </c>
      <c r="F2497" s="187">
        <v>597.0</v>
      </c>
      <c r="G2497" s="180" t="str">
        <f>IFERROR(__xludf.DUMMYFUNCTION("TRIM(REGEXREPLACE(C2497, ""[0-9]+[a-f]?\."", """"))"),"Please go back and correct the name and phone number.")</f>
        <v>Please go back and correct the name and phone number.</v>
      </c>
      <c r="H2497" s="180" t="str">
        <f>IFERROR(__xludf.DUMMYFUNCTION("TRIM(REGEXREPLACE(D2497, ""[0-9]+[a-f]?\."", """"))"),"Veuillez revenir en arrière et corriger le nom et le numéro de téléphone.")</f>
        <v>Veuillez revenir en arrière et corriger le nom et le numéro de téléphone.</v>
      </c>
      <c r="I2497" s="180" t="str">
        <f>IFERROR(__xludf.DUMMYFUNCTION("TRIM(REGEXREPLACE(E2497, ""[0-9]+[a-f]?\."", """"))"),"Da fatan za ka koma baya ka gyara suna da lambar waya.")</f>
        <v>Da fatan za ka koma baya ka gyara suna da lambar waya.</v>
      </c>
      <c r="J2497" s="180" t="str">
        <f t="shared" ref="J2497:L2497" si="597">$F2497 &amp; ". "&amp;G2497</f>
        <v>597. Please go back and correct the name and phone number.</v>
      </c>
      <c r="K2497" s="180" t="str">
        <f t="shared" si="597"/>
        <v>597. Veuillez revenir en arrière et corriger le nom et le numéro de téléphone.</v>
      </c>
      <c r="L2497" s="180" t="str">
        <f t="shared" si="597"/>
        <v>597. Da fatan za ka koma baya ka gyara suna da lambar waya.</v>
      </c>
    </row>
    <row r="2498">
      <c r="A2498" s="83" t="s">
        <v>6823</v>
      </c>
      <c r="B2498" s="84" t="s">
        <v>6937</v>
      </c>
      <c r="C2498" s="45" t="s">
        <v>6938</v>
      </c>
      <c r="D2498" s="45" t="s">
        <v>6939</v>
      </c>
      <c r="E2498" s="45" t="s">
        <v>6940</v>
      </c>
      <c r="F2498" s="187">
        <v>598.0</v>
      </c>
      <c r="G2498" s="180" t="str">
        <f>IFERROR(__xludf.DUMMYFUNCTION("TRIM(REGEXREPLACE(C2498, ""[0-9]+[a-f]?\."", """"))"),"I am going to call this phone number to confirm it is correct. [Enumerator: Did the phone ring?]")</f>
        <v>I am going to call this phone number to confirm it is correct. [Enumerator: Did the phone ring?]</v>
      </c>
      <c r="H2498" s="180" t="str">
        <f>IFERROR(__xludf.DUMMYFUNCTION("TRIM(REGEXREPLACE(D2498, ""[0-9]+[a-f]?\."", """"))"),"Je vais appeler ce numéro de téléphone pour confirmer qu'il est correct. [Enquêteur : Le téléphone a-t-il sonné ?]")</f>
        <v>Je vais appeler ce numéro de téléphone pour confirmer qu'il est correct. [Enquêteur : Le téléphone a-t-il sonné ?]</v>
      </c>
      <c r="I2498" s="180" t="str">
        <f>IFERROR(__xludf.DUMMYFUNCTION("TRIM(REGEXREPLACE(E2498, ""[0-9]+[a-f]?\."", """"))"),"Zan kirayi wannan lambar wayar don tabbatar da daidai ce. [Ɗan bincike: Wayar ta yi ƙara?]")</f>
        <v>Zan kirayi wannan lambar wayar don tabbatar da daidai ce. [Ɗan bincike: Wayar ta yi ƙara?]</v>
      </c>
      <c r="J2498" s="180" t="str">
        <f t="shared" ref="J2498:L2498" si="598">$F2498 &amp; ". "&amp;G2498</f>
        <v>598. I am going to call this phone number to confirm it is correct. [Enumerator: Did the phone ring?]</v>
      </c>
      <c r="K2498" s="180" t="str">
        <f t="shared" si="598"/>
        <v>598. Je vais appeler ce numéro de téléphone pour confirmer qu'il est correct. [Enquêteur : Le téléphone a-t-il sonné ?]</v>
      </c>
      <c r="L2498" s="180" t="str">
        <f t="shared" si="598"/>
        <v>598. Zan kirayi wannan lambar wayar don tabbatar da daidai ce. [Ɗan bincike: Wayar ta yi ƙara?]</v>
      </c>
    </row>
    <row r="2499">
      <c r="A2499" s="220" t="s">
        <v>38</v>
      </c>
      <c r="B2499" s="361" t="s">
        <v>6941</v>
      </c>
      <c r="C2499" s="45" t="s">
        <v>6942</v>
      </c>
      <c r="D2499" s="45" t="s">
        <v>6943</v>
      </c>
      <c r="E2499" s="45" t="s">
        <v>6944</v>
      </c>
      <c r="F2499" s="187">
        <v>599.0</v>
      </c>
      <c r="G2499" s="180" t="str">
        <f>IFERROR(__xludf.DUMMYFUNCTION("TRIM(REGEXREPLACE(C2499, ""[0-9]+[a-f]?\."", """"))"),"Please go back and enter a new phone number.")</f>
        <v>Please go back and enter a new phone number.</v>
      </c>
      <c r="H2499" s="180" t="str">
        <f>IFERROR(__xludf.DUMMYFUNCTION("TRIM(REGEXREPLACE(D2499, ""[0-9]+[a-f]?\."", """"))"),"Veuillez ressaisir le numéro")</f>
        <v>Veuillez ressaisir le numéro</v>
      </c>
      <c r="I2499" s="180" t="str">
        <f>IFERROR(__xludf.DUMMYFUNCTION("TRIM(REGEXREPLACE(E2499, ""[0-9]+[a-f]?\."", """"))"),"Da fatan zaku rubuta lambar")</f>
        <v>Da fatan zaku rubuta lambar</v>
      </c>
      <c r="J2499" s="180" t="str">
        <f t="shared" ref="J2499:L2499" si="599">$F2499 &amp; ". "&amp;G2499</f>
        <v>599. Please go back and enter a new phone number.</v>
      </c>
      <c r="K2499" s="180" t="str">
        <f t="shared" si="599"/>
        <v>599. Veuillez ressaisir le numéro</v>
      </c>
      <c r="L2499" s="180" t="str">
        <f t="shared" si="599"/>
        <v>599. Da fatan zaku rubuta lambar</v>
      </c>
    </row>
    <row r="2500" hidden="1">
      <c r="A2500" s="149" t="s">
        <v>237</v>
      </c>
      <c r="B2500" s="149" t="s">
        <v>6803</v>
      </c>
      <c r="C2500" s="226" t="s">
        <v>6804</v>
      </c>
      <c r="D2500" s="149" t="s">
        <v>6805</v>
      </c>
      <c r="E2500" s="149" t="s">
        <v>6806</v>
      </c>
    </row>
    <row r="2501" hidden="1">
      <c r="A2501" s="90"/>
      <c r="B2501" s="90"/>
      <c r="C2501" s="191"/>
      <c r="D2501" s="90"/>
      <c r="E2501" s="90"/>
    </row>
    <row r="2502" hidden="1">
      <c r="A2502" s="149" t="s">
        <v>133</v>
      </c>
      <c r="B2502" s="150" t="s">
        <v>6949</v>
      </c>
      <c r="C2502" s="147" t="s">
        <v>6950</v>
      </c>
      <c r="D2502" s="149" t="s">
        <v>6951</v>
      </c>
      <c r="E2502" s="149" t="s">
        <v>6952</v>
      </c>
    </row>
    <row r="2503">
      <c r="A2503" s="83" t="s">
        <v>6955</v>
      </c>
      <c r="B2503" s="84" t="s">
        <v>6957</v>
      </c>
      <c r="C2503" s="45" t="s">
        <v>6958</v>
      </c>
      <c r="D2503" s="45" t="s">
        <v>6959</v>
      </c>
      <c r="E2503" s="45" t="s">
        <v>6961</v>
      </c>
      <c r="F2503" s="187">
        <v>600.0</v>
      </c>
      <c r="G2503" s="180" t="str">
        <f>IFERROR(__xludf.DUMMYFUNCTION("TRIM(REGEXREPLACE(C2503, ""[0-9]+[a-f]?\."", """"))"),"How interested was the resppondent")</f>
        <v>How interested was the resppondent</v>
      </c>
      <c r="H2503" s="180" t="str">
        <f>IFERROR(__xludf.DUMMYFUNCTION("TRIM(REGEXREPLACE(D2503, ""[0-9]+[a-f]?\."", """"))"),"Dans quelle mesure le répondant était-il intéressé")</f>
        <v>Dans quelle mesure le répondant était-il intéressé</v>
      </c>
      <c r="I2503" s="180" t="str">
        <f>IFERROR(__xludf.DUMMYFUNCTION("TRIM(REGEXREPLACE(E2503, ""[0-9]+[a-f]?\."", """"))"),"Yaya kake ganin maida hankalin mai bada amsa yake")</f>
        <v>Yaya kake ganin maida hankalin mai bada amsa yake</v>
      </c>
      <c r="J2503" s="180" t="str">
        <f t="shared" ref="J2503:L2503" si="600">$F2503 &amp; ". "&amp;G2503</f>
        <v>600. How interested was the resppondent</v>
      </c>
      <c r="K2503" s="180" t="str">
        <f t="shared" si="600"/>
        <v>600. Dans quelle mesure le répondant était-il intéressé</v>
      </c>
      <c r="L2503" s="180" t="str">
        <f t="shared" si="600"/>
        <v>600. Yaya kake ganin maida hankalin mai bada amsa yake</v>
      </c>
    </row>
    <row r="2504">
      <c r="A2504" s="83" t="s">
        <v>6965</v>
      </c>
      <c r="B2504" s="84" t="s">
        <v>6966</v>
      </c>
      <c r="C2504" s="45" t="s">
        <v>5158</v>
      </c>
      <c r="D2504" s="45" t="s">
        <v>5159</v>
      </c>
      <c r="E2504" s="45" t="s">
        <v>5160</v>
      </c>
      <c r="F2504" s="187">
        <v>601.0</v>
      </c>
      <c r="G2504" s="180" t="str">
        <f>IFERROR(__xludf.DUMMYFUNCTION("TRIM(REGEXREPLACE(C2504, ""[0-9]+[a-f]?\."", """"))"),"How impatient was the respondent?")</f>
        <v>How impatient was the respondent?</v>
      </c>
      <c r="H2504" s="180" t="str">
        <f>IFERROR(__xludf.DUMMYFUNCTION("TRIM(REGEXREPLACE(D2504, ""[0-9]+[a-f]?\."", """"))"),"À quel point le répondant était-il impatient ?")</f>
        <v>À quel point le répondant était-il impatient ?</v>
      </c>
      <c r="I2504" s="180" t="str">
        <f>IFERROR(__xludf.DUMMYFUNCTION("TRIM(REGEXREPLACE(E2504, ""[0-9]+[a-f]?\."", """"))"),"Yaya kake ganin rashin haƙurin mai bada amsa?")</f>
        <v>Yaya kake ganin rashin haƙurin mai bada amsa?</v>
      </c>
      <c r="J2504" s="180" t="str">
        <f t="shared" ref="J2504:L2504" si="601">$F2504 &amp; ". "&amp;G2504</f>
        <v>601. How impatient was the respondent?</v>
      </c>
      <c r="K2504" s="180" t="str">
        <f t="shared" si="601"/>
        <v>601. À quel point le répondant était-il impatient ?</v>
      </c>
      <c r="L2504" s="180" t="str">
        <f t="shared" si="601"/>
        <v>601. Yaya kake ganin rashin haƙurin mai bada amsa?</v>
      </c>
    </row>
    <row r="2505">
      <c r="A2505" s="83" t="s">
        <v>6970</v>
      </c>
      <c r="B2505" s="84" t="s">
        <v>6972</v>
      </c>
      <c r="C2505" s="45" t="s">
        <v>5162</v>
      </c>
      <c r="D2505" s="45" t="s">
        <v>5163</v>
      </c>
      <c r="E2505" s="45" t="s">
        <v>5164</v>
      </c>
      <c r="F2505" s="187">
        <v>602.0</v>
      </c>
      <c r="G2505" s="180" t="str">
        <f>IFERROR(__xludf.DUMMYFUNCTION("TRIM(REGEXREPLACE(C2505, ""[0-9]+[a-f]?\."", """"))"),"How well did the respondent understand the questions?")</f>
        <v>How well did the respondent understand the questions?</v>
      </c>
      <c r="H2505" s="180" t="str">
        <f>IFERROR(__xludf.DUMMYFUNCTION("TRIM(REGEXREPLACE(D2505, ""[0-9]+[a-f]?\."", """"))"),"Dans quelle mesure le répondant a-t-il compris les questions ?")</f>
        <v>Dans quelle mesure le répondant a-t-il compris les questions ?</v>
      </c>
      <c r="I2505" s="180" t="str">
        <f>IFERROR(__xludf.DUMMYFUNCTION("TRIM(REGEXREPLACE(E2505, ""[0-9]+[a-f]?\."", """"))"),"Yaya kake ganin mai bada amsa ya fahimci tambayoyin?")</f>
        <v>Yaya kake ganin mai bada amsa ya fahimci tambayoyin?</v>
      </c>
      <c r="J2505" s="180" t="str">
        <f t="shared" ref="J2505:L2505" si="602">$F2505 &amp; ". "&amp;G2505</f>
        <v>602. How well did the respondent understand the questions?</v>
      </c>
      <c r="K2505" s="180" t="str">
        <f t="shared" si="602"/>
        <v>602. Dans quelle mesure le répondant a-t-il compris les questions ?</v>
      </c>
      <c r="L2505" s="180" t="str">
        <f t="shared" si="602"/>
        <v>602. Yaya kake ganin mai bada amsa ya fahimci tambayoyin?</v>
      </c>
    </row>
    <row r="2506">
      <c r="A2506" s="83" t="s">
        <v>6973</v>
      </c>
      <c r="B2506" s="84" t="s">
        <v>6974</v>
      </c>
      <c r="C2506" s="45" t="s">
        <v>6975</v>
      </c>
      <c r="D2506" s="45" t="s">
        <v>6976</v>
      </c>
      <c r="E2506" s="45" t="s">
        <v>6977</v>
      </c>
      <c r="F2506" s="187">
        <v>603.0</v>
      </c>
      <c r="G2506" s="180" t="str">
        <f>IFERROR(__xludf.DUMMYFUNCTION("TRIM(REGEXREPLACE(C2506, ""[0-9]+[a-f]?\."", """"))"),"Was the interview conducted in the presence of other people?")</f>
        <v>Was the interview conducted in the presence of other people?</v>
      </c>
      <c r="H2506" s="180" t="str">
        <f>IFERROR(__xludf.DUMMYFUNCTION("TRIM(REGEXREPLACE(D2506, ""[0-9]+[a-f]?\."", """"))"),"L'entretien a-t-il été réalisé en présence d'autres personnes ?")</f>
        <v>L'entretien a-t-il été réalisé en présence d'autres personnes ?</v>
      </c>
      <c r="I2506" s="180" t="str">
        <f>IFERROR(__xludf.DUMMYFUNCTION("TRIM(REGEXREPLACE(E2506, ""[0-9]+[a-f]?\."", """"))"),"Ko an yi hirar ne a gaban wasu mutane?")</f>
        <v>Ko an yi hirar ne a gaban wasu mutane?</v>
      </c>
      <c r="J2506" s="180" t="str">
        <f t="shared" ref="J2506:L2506" si="603">$F2506 &amp; ". "&amp;G2506</f>
        <v>603. Was the interview conducted in the presence of other people?</v>
      </c>
      <c r="K2506" s="180" t="str">
        <f t="shared" si="603"/>
        <v>603. L'entretien a-t-il été réalisé en présence d'autres personnes ?</v>
      </c>
      <c r="L2506" s="180" t="str">
        <f t="shared" si="603"/>
        <v>603. Ko an yi hirar ne a gaban wasu mutane?</v>
      </c>
    </row>
    <row r="2507">
      <c r="A2507" s="238" t="s">
        <v>252</v>
      </c>
      <c r="B2507" s="240" t="s">
        <v>6978</v>
      </c>
      <c r="C2507" s="45" t="s">
        <v>6979</v>
      </c>
      <c r="D2507" s="45" t="s">
        <v>6980</v>
      </c>
      <c r="E2507" s="45" t="s">
        <v>6981</v>
      </c>
      <c r="F2507" s="187">
        <v>604.0</v>
      </c>
      <c r="G2507" s="180" t="str">
        <f>IFERROR(__xludf.DUMMYFUNCTION("TRIM(REGEXREPLACE(C2507, ""[0-9]+[a-f]?\."", """"))"),"Enumerator: Record any comments on the survey")</f>
        <v>Enumerator: Record any comments on the survey</v>
      </c>
      <c r="H2507" s="180" t="str">
        <f>IFERROR(__xludf.DUMMYFUNCTION("TRIM(REGEXREPLACE(D2507, ""[0-9]+[a-f]?\."", """"))"),"Enquêteur : Veuillez noter vos commentaires si vous en avez")</f>
        <v>Enquêteur : Veuillez noter vos commentaires si vous en avez</v>
      </c>
      <c r="I2507" s="180" t="str">
        <f>IFERROR(__xludf.DUMMYFUNCTION("TRIM(REGEXREPLACE(E2507, ""[0-9]+[a-f]?\."", """"))"),"Ɗan bincike: Yi rikodin duk wani sharhi akan binciken")</f>
        <v>Ɗan bincike: Yi rikodin duk wani sharhi akan binciken</v>
      </c>
      <c r="J2507" s="180" t="str">
        <f t="shared" ref="J2507:L2507" si="604">$F2507 &amp; ". "&amp;G2507</f>
        <v>604. Enumerator: Record any comments on the survey</v>
      </c>
      <c r="K2507" s="180" t="str">
        <f t="shared" si="604"/>
        <v>604. Enquêteur : Veuillez noter vos commentaires si vous en avez</v>
      </c>
      <c r="L2507" s="180" t="str">
        <f t="shared" si="604"/>
        <v>604. Ɗan bincike: Yi rikodin duk wani sharhi akan binciken</v>
      </c>
    </row>
    <row r="2508" hidden="1">
      <c r="A2508" s="365" t="s">
        <v>583</v>
      </c>
      <c r="B2508" s="366" t="s">
        <v>6982</v>
      </c>
      <c r="C2508" s="45" t="s">
        <v>6983</v>
      </c>
      <c r="D2508" s="45" t="s">
        <v>6984</v>
      </c>
      <c r="E2508" s="45" t="s">
        <v>6985</v>
      </c>
    </row>
    <row r="2509" hidden="1">
      <c r="A2509" s="149" t="s">
        <v>237</v>
      </c>
      <c r="B2509" s="149" t="s">
        <v>6949</v>
      </c>
      <c r="C2509" s="226" t="s">
        <v>6950</v>
      </c>
      <c r="D2509" s="149" t="s">
        <v>6951</v>
      </c>
      <c r="E2509" s="149" t="s">
        <v>6986</v>
      </c>
    </row>
    <row r="2510" hidden="1">
      <c r="A2510" s="90"/>
      <c r="B2510" s="90"/>
      <c r="C2510" s="191"/>
      <c r="D2510" s="90"/>
      <c r="E2510" s="90"/>
    </row>
    <row r="2511" hidden="1">
      <c r="A2511" s="149" t="s">
        <v>237</v>
      </c>
      <c r="B2511" s="149" t="s">
        <v>1508</v>
      </c>
      <c r="C2511" s="226" t="s">
        <v>6987</v>
      </c>
      <c r="D2511" s="149"/>
      <c r="E2511" s="149"/>
    </row>
    <row r="2512">
      <c r="A2512" s="220" t="s">
        <v>38</v>
      </c>
      <c r="B2512" s="361" t="s">
        <v>6988</v>
      </c>
      <c r="C2512" s="198" t="s">
        <v>6989</v>
      </c>
      <c r="D2512" s="198" t="s">
        <v>6990</v>
      </c>
      <c r="E2512" s="198" t="s">
        <v>6991</v>
      </c>
      <c r="F2512" s="187">
        <v>605.0</v>
      </c>
      <c r="G2512" s="180" t="str">
        <f>IFERROR(__xludf.DUMMYFUNCTION("TRIM(REGEXREPLACE(C2512, ""[0-9]+[a-f]?\."", """"))"),"That is the end of the survey. Thank you for your time.")</f>
        <v>That is the end of the survey. Thank you for your time.</v>
      </c>
      <c r="H2512" s="180" t="str">
        <f>IFERROR(__xludf.DUMMYFUNCTION("TRIM(REGEXREPLACE(D2512, ""[0-9]+[a-f]?\."", """"))"),"C'est la fin de l'enquête. Merci pour votre temps.")</f>
        <v>C'est la fin de l'enquête. Merci pour votre temps.</v>
      </c>
      <c r="I2512" s="180" t="str">
        <f>IFERROR(__xludf.DUMMYFUNCTION("TRIM(REGEXREPLACE(E2512, ""[0-9]+[a-f]?\."", """"))"),"Karshen tambayoyin kenan. Na gode da lokacin da kuka bani.")</f>
        <v>Karshen tambayoyin kenan. Na gode da lokacin da kuka bani.</v>
      </c>
      <c r="J2512" s="180" t="str">
        <f t="shared" ref="J2512:L2512" si="605">$F2512 &amp; ". "&amp;G2512</f>
        <v>605. That is the end of the survey. Thank you for your time.</v>
      </c>
      <c r="K2512" s="180" t="str">
        <f t="shared" si="605"/>
        <v>605. C'est la fin de l'enquête. Merci pour votre temps.</v>
      </c>
      <c r="L2512" s="180" t="str">
        <f t="shared" si="605"/>
        <v>605. Karshen tambayoyin kenan. Na gode da lokacin da kuka bani.</v>
      </c>
    </row>
    <row r="2513" hidden="1">
      <c r="A2513" s="90"/>
      <c r="B2513" s="90"/>
      <c r="C2513" s="191"/>
      <c r="D2513" s="90"/>
      <c r="E2513" s="90"/>
    </row>
    <row r="2514" hidden="1">
      <c r="A2514" s="142"/>
      <c r="B2514" s="142"/>
      <c r="C2514" s="142"/>
      <c r="D2514" s="142"/>
      <c r="E2514" s="142"/>
    </row>
    <row r="2515" hidden="1">
      <c r="A2515" s="142"/>
      <c r="B2515" s="142"/>
      <c r="C2515" s="142"/>
      <c r="D2515" s="142"/>
      <c r="E2515" s="142"/>
    </row>
    <row r="2516" hidden="1">
      <c r="A2516" s="142"/>
      <c r="B2516" s="142"/>
      <c r="C2516" s="142"/>
      <c r="D2516" s="142"/>
      <c r="E2516" s="142"/>
    </row>
    <row r="2517" hidden="1">
      <c r="A2517" s="142"/>
      <c r="B2517" s="142"/>
      <c r="C2517" s="142"/>
      <c r="D2517" s="142"/>
      <c r="E2517" s="142"/>
    </row>
    <row r="2518" hidden="1">
      <c r="A2518" s="142"/>
      <c r="B2518" s="142"/>
      <c r="C2518" s="142"/>
      <c r="D2518" s="142"/>
      <c r="E2518" s="142"/>
    </row>
    <row r="2519" hidden="1">
      <c r="A2519" s="142"/>
      <c r="B2519" s="142"/>
      <c r="C2519" s="142"/>
      <c r="D2519" s="142"/>
      <c r="E2519" s="142"/>
    </row>
    <row r="2520" hidden="1">
      <c r="A2520" s="142"/>
      <c r="B2520" s="142"/>
      <c r="C2520" s="142"/>
      <c r="D2520" s="142"/>
      <c r="E2520" s="142"/>
    </row>
    <row r="2521" hidden="1">
      <c r="A2521" s="142"/>
      <c r="B2521" s="142"/>
      <c r="C2521" s="142"/>
      <c r="D2521" s="142"/>
      <c r="E2521" s="142"/>
    </row>
    <row r="2522" hidden="1">
      <c r="A2522" s="25"/>
      <c r="B2522" s="25"/>
      <c r="C2522" s="45"/>
      <c r="D2522" s="25"/>
      <c r="E2522" s="25"/>
    </row>
    <row r="2523" hidden="1">
      <c r="A2523" s="25"/>
      <c r="B2523" s="25"/>
      <c r="C2523" s="45"/>
      <c r="D2523" s="25"/>
      <c r="E2523" s="25"/>
    </row>
    <row r="2524" hidden="1">
      <c r="A2524" s="25"/>
      <c r="B2524" s="25"/>
      <c r="C2524" s="45"/>
      <c r="D2524" s="25"/>
      <c r="E2524" s="25"/>
    </row>
    <row r="2525" hidden="1">
      <c r="A2525" s="25"/>
      <c r="B2525" s="25"/>
      <c r="C2525" s="45"/>
      <c r="D2525" s="25"/>
      <c r="E2525" s="25"/>
    </row>
    <row r="2526" hidden="1">
      <c r="A2526" s="25"/>
      <c r="B2526" s="25"/>
      <c r="C2526" s="45"/>
      <c r="D2526" s="25"/>
      <c r="E2526" s="25"/>
    </row>
    <row r="2527" hidden="1">
      <c r="A2527" s="25"/>
      <c r="B2527" s="25"/>
      <c r="C2527" s="45"/>
      <c r="D2527" s="25"/>
      <c r="E2527" s="25"/>
    </row>
    <row r="2528" hidden="1">
      <c r="A2528" s="25"/>
      <c r="B2528" s="25"/>
      <c r="C2528" s="45"/>
      <c r="D2528" s="25"/>
      <c r="E2528" s="25"/>
    </row>
    <row r="2529" hidden="1">
      <c r="A2529" s="25"/>
      <c r="B2529" s="25"/>
      <c r="C2529" s="45"/>
      <c r="D2529" s="25"/>
      <c r="E2529" s="25"/>
    </row>
    <row r="2530" hidden="1">
      <c r="A2530" s="25"/>
      <c r="B2530" s="25"/>
      <c r="C2530" s="45"/>
      <c r="D2530" s="25"/>
      <c r="E2530" s="25"/>
    </row>
    <row r="2531" hidden="1">
      <c r="A2531" s="25"/>
      <c r="B2531" s="25"/>
      <c r="C2531" s="45"/>
      <c r="D2531" s="25"/>
      <c r="E2531" s="25"/>
    </row>
    <row r="2532" hidden="1">
      <c r="A2532" s="25"/>
      <c r="B2532" s="25"/>
      <c r="C2532" s="45"/>
      <c r="D2532" s="25"/>
      <c r="E2532" s="25"/>
    </row>
    <row r="2533" hidden="1">
      <c r="A2533" s="25"/>
      <c r="B2533" s="25"/>
      <c r="C2533" s="45"/>
      <c r="D2533" s="25"/>
      <c r="E2533" s="25"/>
    </row>
    <row r="2534" hidden="1">
      <c r="A2534" s="25"/>
      <c r="B2534" s="25"/>
      <c r="C2534" s="45"/>
      <c r="D2534" s="25"/>
      <c r="E2534" s="25"/>
    </row>
    <row r="2535" hidden="1">
      <c r="A2535" s="25"/>
      <c r="B2535" s="25"/>
      <c r="C2535" s="45"/>
      <c r="D2535" s="25"/>
      <c r="E2535" s="25"/>
    </row>
    <row r="2536" hidden="1">
      <c r="A2536" s="25"/>
      <c r="B2536" s="25"/>
      <c r="C2536" s="45"/>
      <c r="D2536" s="25"/>
      <c r="E2536" s="25"/>
    </row>
    <row r="2537" hidden="1">
      <c r="A2537" s="25"/>
      <c r="B2537" s="25"/>
      <c r="C2537" s="45"/>
      <c r="D2537" s="25"/>
      <c r="E2537" s="25"/>
    </row>
    <row r="2538" hidden="1">
      <c r="A2538" s="25"/>
      <c r="B2538" s="25"/>
      <c r="C2538" s="45"/>
      <c r="D2538" s="25"/>
      <c r="E2538" s="25"/>
    </row>
    <row r="2539" hidden="1">
      <c r="A2539" s="25"/>
      <c r="B2539" s="25"/>
      <c r="C2539" s="45"/>
      <c r="D2539" s="25"/>
      <c r="E2539" s="25"/>
    </row>
    <row r="2540" hidden="1">
      <c r="A2540" s="25"/>
      <c r="B2540" s="25"/>
      <c r="C2540" s="45"/>
      <c r="D2540" s="25"/>
      <c r="E2540" s="25"/>
    </row>
    <row r="2541" hidden="1">
      <c r="A2541" s="25"/>
      <c r="B2541" s="25"/>
      <c r="C2541" s="45"/>
      <c r="D2541" s="25"/>
      <c r="E2541" s="25"/>
    </row>
    <row r="2542" hidden="1">
      <c r="A2542" s="25"/>
      <c r="B2542" s="25"/>
      <c r="C2542" s="45"/>
      <c r="D2542" s="25"/>
      <c r="E2542" s="25"/>
    </row>
    <row r="2543" hidden="1">
      <c r="A2543" s="25"/>
      <c r="B2543" s="25"/>
      <c r="C2543" s="45"/>
      <c r="D2543" s="25"/>
      <c r="E2543" s="25"/>
    </row>
    <row r="2544" hidden="1">
      <c r="A2544" s="25"/>
      <c r="B2544" s="25"/>
      <c r="C2544" s="45"/>
      <c r="D2544" s="25"/>
      <c r="E2544" s="25"/>
    </row>
    <row r="2545" hidden="1">
      <c r="A2545" s="25"/>
      <c r="B2545" s="25"/>
      <c r="C2545" s="45"/>
      <c r="D2545" s="25"/>
      <c r="E2545" s="25"/>
    </row>
    <row r="2546" hidden="1">
      <c r="A2546" s="25"/>
      <c r="B2546" s="25"/>
      <c r="C2546" s="45"/>
      <c r="D2546" s="25"/>
      <c r="E2546" s="25"/>
    </row>
    <row r="2547" hidden="1">
      <c r="A2547" s="25"/>
      <c r="B2547" s="25"/>
      <c r="C2547" s="45"/>
      <c r="D2547" s="25"/>
      <c r="E2547" s="25"/>
    </row>
    <row r="2548" hidden="1">
      <c r="A2548" s="25"/>
      <c r="B2548" s="25"/>
      <c r="C2548" s="45"/>
      <c r="D2548" s="25"/>
      <c r="E2548" s="25"/>
    </row>
    <row r="2549" hidden="1">
      <c r="A2549" s="25"/>
      <c r="B2549" s="25"/>
      <c r="C2549" s="45"/>
      <c r="D2549" s="25"/>
      <c r="E2549" s="25"/>
    </row>
    <row r="2550" hidden="1">
      <c r="A2550" s="25"/>
      <c r="B2550" s="25"/>
      <c r="C2550" s="45"/>
      <c r="D2550" s="25"/>
      <c r="E2550" s="25"/>
    </row>
    <row r="2551" hidden="1">
      <c r="A2551" s="25"/>
      <c r="B2551" s="25"/>
      <c r="C2551" s="45"/>
      <c r="D2551" s="25"/>
      <c r="E2551" s="25"/>
    </row>
    <row r="2552" hidden="1">
      <c r="A2552" s="25"/>
      <c r="B2552" s="25"/>
      <c r="C2552" s="45"/>
      <c r="D2552" s="25"/>
      <c r="E2552" s="25"/>
    </row>
    <row r="2553" hidden="1">
      <c r="A2553" s="25"/>
      <c r="B2553" s="25"/>
      <c r="C2553" s="45"/>
      <c r="D2553" s="25"/>
      <c r="E2553" s="25"/>
    </row>
    <row r="2554" hidden="1">
      <c r="A2554" s="25"/>
      <c r="B2554" s="25"/>
      <c r="C2554" s="45"/>
      <c r="D2554" s="25"/>
      <c r="E2554" s="25"/>
    </row>
    <row r="2555" hidden="1">
      <c r="A2555" s="25"/>
      <c r="B2555" s="25"/>
      <c r="C2555" s="45"/>
      <c r="D2555" s="25"/>
      <c r="E2555" s="25"/>
    </row>
    <row r="2556" hidden="1">
      <c r="A2556" s="25"/>
      <c r="B2556" s="25"/>
      <c r="C2556" s="45"/>
      <c r="D2556" s="25"/>
      <c r="E2556" s="25"/>
    </row>
    <row r="2557" hidden="1">
      <c r="A2557" s="25"/>
      <c r="B2557" s="25"/>
      <c r="C2557" s="45"/>
      <c r="D2557" s="25"/>
      <c r="E2557" s="25"/>
    </row>
    <row r="2558" hidden="1">
      <c r="A2558" s="25"/>
      <c r="B2558" s="25"/>
      <c r="C2558" s="45"/>
      <c r="D2558" s="25"/>
      <c r="E2558" s="25"/>
    </row>
    <row r="2559" hidden="1">
      <c r="A2559" s="25"/>
      <c r="B2559" s="25"/>
      <c r="C2559" s="45"/>
      <c r="D2559" s="25"/>
      <c r="E2559" s="25"/>
    </row>
    <row r="2560" hidden="1">
      <c r="A2560" s="25"/>
      <c r="B2560" s="25"/>
      <c r="C2560" s="45"/>
      <c r="D2560" s="25"/>
      <c r="E2560" s="25"/>
    </row>
    <row r="2561" hidden="1">
      <c r="A2561" s="25"/>
      <c r="B2561" s="25"/>
      <c r="C2561" s="45"/>
      <c r="D2561" s="25"/>
      <c r="E2561" s="25"/>
    </row>
    <row r="2562" hidden="1">
      <c r="A2562" s="25"/>
      <c r="B2562" s="25"/>
      <c r="C2562" s="45"/>
      <c r="D2562" s="25"/>
      <c r="E2562" s="25"/>
    </row>
    <row r="2563" hidden="1">
      <c r="A2563" s="25"/>
      <c r="B2563" s="25"/>
      <c r="C2563" s="45"/>
      <c r="D2563" s="25"/>
      <c r="E2563" s="25"/>
    </row>
    <row r="2564" hidden="1">
      <c r="A2564" s="25"/>
      <c r="B2564" s="25"/>
      <c r="C2564" s="45"/>
      <c r="D2564" s="25"/>
      <c r="E2564" s="25"/>
    </row>
    <row r="2565" hidden="1">
      <c r="A2565" s="25"/>
      <c r="B2565" s="25"/>
      <c r="C2565" s="45"/>
      <c r="D2565" s="25"/>
      <c r="E2565" s="25"/>
    </row>
    <row r="2566" hidden="1">
      <c r="A2566" s="25"/>
      <c r="B2566" s="25"/>
      <c r="C2566" s="45"/>
      <c r="D2566" s="25"/>
      <c r="E2566" s="25"/>
    </row>
    <row r="2567" hidden="1">
      <c r="A2567" s="25"/>
      <c r="B2567" s="25"/>
      <c r="C2567" s="45"/>
      <c r="D2567" s="25"/>
      <c r="E2567" s="25"/>
    </row>
    <row r="2568" hidden="1">
      <c r="A2568" s="25"/>
      <c r="B2568" s="25"/>
      <c r="C2568" s="45"/>
      <c r="D2568" s="25"/>
      <c r="E2568" s="25"/>
    </row>
    <row r="2569" hidden="1">
      <c r="A2569" s="25"/>
      <c r="B2569" s="25"/>
      <c r="C2569" s="45"/>
      <c r="D2569" s="25"/>
      <c r="E2569" s="25"/>
    </row>
    <row r="2570" hidden="1">
      <c r="A2570" s="25"/>
      <c r="B2570" s="25"/>
      <c r="C2570" s="45"/>
      <c r="D2570" s="25"/>
      <c r="E2570" s="25"/>
    </row>
    <row r="2571" hidden="1">
      <c r="A2571" s="25"/>
      <c r="B2571" s="25"/>
      <c r="C2571" s="45"/>
      <c r="D2571" s="25"/>
      <c r="E2571" s="25"/>
    </row>
    <row r="2572" hidden="1">
      <c r="A2572" s="25"/>
      <c r="B2572" s="25"/>
      <c r="C2572" s="45"/>
      <c r="D2572" s="25"/>
      <c r="E2572" s="25"/>
    </row>
    <row r="2573" hidden="1">
      <c r="A2573" s="25"/>
      <c r="B2573" s="25"/>
      <c r="C2573" s="45"/>
      <c r="D2573" s="25"/>
      <c r="E2573" s="25"/>
    </row>
    <row r="2574" hidden="1">
      <c r="A2574" s="25"/>
      <c r="B2574" s="25"/>
      <c r="C2574" s="45"/>
      <c r="D2574" s="25"/>
      <c r="E2574" s="25"/>
    </row>
    <row r="2575" hidden="1">
      <c r="A2575" s="25"/>
      <c r="B2575" s="25"/>
      <c r="C2575" s="45"/>
      <c r="D2575" s="25"/>
      <c r="E2575" s="25"/>
    </row>
    <row r="2576" hidden="1">
      <c r="A2576" s="25"/>
      <c r="B2576" s="25"/>
      <c r="C2576" s="45"/>
      <c r="D2576" s="25"/>
      <c r="E2576" s="25"/>
    </row>
    <row r="2577" hidden="1">
      <c r="A2577" s="25"/>
      <c r="B2577" s="25"/>
      <c r="C2577" s="45"/>
      <c r="D2577" s="25"/>
      <c r="E2577" s="25"/>
    </row>
    <row r="2578" hidden="1">
      <c r="A2578" s="25"/>
      <c r="B2578" s="25"/>
      <c r="C2578" s="45"/>
      <c r="D2578" s="25"/>
      <c r="E2578" s="25"/>
    </row>
    <row r="2579" hidden="1">
      <c r="A2579" s="25"/>
      <c r="B2579" s="25"/>
      <c r="C2579" s="45"/>
      <c r="D2579" s="25"/>
      <c r="E2579" s="25"/>
    </row>
    <row r="2580" hidden="1">
      <c r="A2580" s="25"/>
      <c r="B2580" s="25"/>
      <c r="C2580" s="45"/>
      <c r="D2580" s="25"/>
      <c r="E2580" s="25"/>
    </row>
    <row r="2581" hidden="1">
      <c r="A2581" s="25"/>
      <c r="B2581" s="25"/>
      <c r="C2581" s="45"/>
      <c r="D2581" s="25"/>
      <c r="E2581" s="25"/>
    </row>
    <row r="2582" hidden="1">
      <c r="A2582" s="25"/>
      <c r="B2582" s="25"/>
      <c r="C2582" s="45"/>
      <c r="D2582" s="25"/>
      <c r="E2582" s="25"/>
    </row>
    <row r="2583" hidden="1">
      <c r="A2583" s="25"/>
      <c r="B2583" s="25"/>
      <c r="C2583" s="45"/>
      <c r="D2583" s="25"/>
      <c r="E2583" s="25"/>
    </row>
    <row r="2584" hidden="1">
      <c r="A2584" s="25"/>
      <c r="B2584" s="25"/>
      <c r="C2584" s="45"/>
      <c r="D2584" s="25"/>
      <c r="E2584" s="25"/>
    </row>
    <row r="2585" hidden="1">
      <c r="A2585" s="25"/>
      <c r="B2585" s="25"/>
      <c r="C2585" s="45"/>
      <c r="D2585" s="25"/>
      <c r="E2585" s="25"/>
    </row>
    <row r="2586" hidden="1">
      <c r="A2586" s="25"/>
      <c r="B2586" s="25"/>
      <c r="C2586" s="45"/>
      <c r="D2586" s="25"/>
      <c r="E2586" s="25"/>
    </row>
    <row r="2587" hidden="1">
      <c r="A2587" s="25"/>
      <c r="B2587" s="25"/>
      <c r="C2587" s="45"/>
      <c r="D2587" s="25"/>
      <c r="E2587" s="25"/>
    </row>
    <row r="2588" hidden="1">
      <c r="A2588" s="25"/>
      <c r="B2588" s="25"/>
      <c r="C2588" s="45"/>
      <c r="D2588" s="25"/>
      <c r="E2588" s="25"/>
    </row>
    <row r="2589" hidden="1">
      <c r="A2589" s="25"/>
      <c r="B2589" s="25"/>
      <c r="C2589" s="45"/>
      <c r="D2589" s="25"/>
      <c r="E2589" s="25"/>
    </row>
    <row r="2590" hidden="1">
      <c r="A2590" s="25"/>
      <c r="B2590" s="25"/>
      <c r="C2590" s="45"/>
      <c r="D2590" s="25"/>
      <c r="E2590" s="25"/>
    </row>
    <row r="2591" hidden="1">
      <c r="A2591" s="25"/>
      <c r="B2591" s="25"/>
      <c r="C2591" s="45"/>
      <c r="D2591" s="25"/>
      <c r="E2591" s="25"/>
    </row>
    <row r="2592" hidden="1">
      <c r="A2592" s="25"/>
      <c r="B2592" s="25"/>
      <c r="C2592" s="45"/>
      <c r="D2592" s="25"/>
      <c r="E2592" s="25"/>
    </row>
    <row r="2593" hidden="1">
      <c r="A2593" s="25"/>
      <c r="B2593" s="25"/>
      <c r="C2593" s="45"/>
      <c r="D2593" s="25"/>
      <c r="E2593" s="25"/>
    </row>
    <row r="2594" hidden="1">
      <c r="A2594" s="25"/>
      <c r="B2594" s="25"/>
      <c r="C2594" s="45"/>
      <c r="D2594" s="25"/>
      <c r="E2594" s="25"/>
    </row>
    <row r="2595" hidden="1">
      <c r="A2595" s="25"/>
      <c r="B2595" s="25"/>
      <c r="C2595" s="45"/>
      <c r="D2595" s="25"/>
      <c r="E2595" s="25"/>
    </row>
    <row r="2596" hidden="1">
      <c r="A2596" s="25"/>
      <c r="B2596" s="25"/>
      <c r="C2596" s="45"/>
      <c r="D2596" s="25"/>
      <c r="E2596" s="25"/>
    </row>
    <row r="2597" hidden="1">
      <c r="A2597" s="25"/>
      <c r="B2597" s="25"/>
      <c r="C2597" s="45"/>
      <c r="D2597" s="25"/>
      <c r="E2597" s="25"/>
    </row>
    <row r="2598" hidden="1">
      <c r="A2598" s="25"/>
      <c r="B2598" s="25"/>
      <c r="C2598" s="45"/>
      <c r="D2598" s="25"/>
      <c r="E2598" s="25"/>
    </row>
    <row r="2599" hidden="1">
      <c r="A2599" s="25"/>
      <c r="B2599" s="25"/>
      <c r="C2599" s="45"/>
      <c r="D2599" s="25"/>
      <c r="E2599" s="25"/>
    </row>
    <row r="2600" hidden="1">
      <c r="A2600" s="25"/>
      <c r="B2600" s="25"/>
      <c r="C2600" s="45"/>
      <c r="D2600" s="25"/>
      <c r="E2600" s="25"/>
    </row>
    <row r="2601" hidden="1">
      <c r="A2601" s="25"/>
      <c r="B2601" s="25"/>
      <c r="C2601" s="45"/>
      <c r="D2601" s="25"/>
      <c r="E2601" s="25"/>
    </row>
    <row r="2602" hidden="1">
      <c r="A2602" s="25"/>
      <c r="B2602" s="25"/>
      <c r="C2602" s="45"/>
      <c r="D2602" s="25"/>
      <c r="E2602" s="25"/>
    </row>
    <row r="2603" hidden="1">
      <c r="A2603" s="25"/>
      <c r="B2603" s="25"/>
      <c r="C2603" s="45"/>
      <c r="D2603" s="25"/>
      <c r="E2603" s="25"/>
    </row>
    <row r="2604" hidden="1">
      <c r="A2604" s="25"/>
      <c r="B2604" s="25"/>
      <c r="C2604" s="45"/>
      <c r="D2604" s="25"/>
      <c r="E2604" s="25"/>
    </row>
    <row r="2605" hidden="1">
      <c r="A2605" s="25"/>
      <c r="B2605" s="25"/>
      <c r="C2605" s="45"/>
      <c r="D2605" s="25"/>
      <c r="E2605" s="25"/>
    </row>
    <row r="2606" hidden="1">
      <c r="A2606" s="25"/>
      <c r="B2606" s="25"/>
      <c r="C2606" s="45"/>
      <c r="D2606" s="25"/>
      <c r="E2606" s="25"/>
    </row>
    <row r="2607" hidden="1">
      <c r="A2607" s="25"/>
      <c r="B2607" s="25"/>
      <c r="C2607" s="45"/>
      <c r="D2607" s="25"/>
      <c r="E2607" s="25"/>
    </row>
    <row r="2608" hidden="1">
      <c r="A2608" s="25"/>
      <c r="B2608" s="25"/>
      <c r="C2608" s="45"/>
      <c r="D2608" s="25"/>
      <c r="E2608" s="25"/>
    </row>
    <row r="2609" hidden="1">
      <c r="A2609" s="25"/>
      <c r="B2609" s="25"/>
      <c r="C2609" s="45"/>
      <c r="D2609" s="25"/>
      <c r="E2609" s="25"/>
    </row>
    <row r="2610" hidden="1">
      <c r="A2610" s="25"/>
      <c r="B2610" s="25"/>
      <c r="C2610" s="45"/>
      <c r="D2610" s="25"/>
      <c r="E2610" s="25"/>
    </row>
    <row r="2611" hidden="1">
      <c r="A2611" s="25"/>
      <c r="B2611" s="25"/>
      <c r="C2611" s="45"/>
      <c r="D2611" s="25"/>
      <c r="E2611" s="25"/>
    </row>
    <row r="2612" hidden="1">
      <c r="A2612" s="25"/>
      <c r="B2612" s="25"/>
      <c r="C2612" s="45"/>
      <c r="D2612" s="25"/>
      <c r="E2612" s="25"/>
    </row>
    <row r="2613" hidden="1">
      <c r="A2613" s="25"/>
      <c r="B2613" s="25"/>
      <c r="C2613" s="45"/>
      <c r="D2613" s="25"/>
      <c r="E2613" s="25"/>
    </row>
    <row r="2614" hidden="1">
      <c r="A2614" s="25"/>
      <c r="B2614" s="25"/>
      <c r="C2614" s="45"/>
      <c r="D2614" s="25"/>
      <c r="E2614" s="25"/>
    </row>
    <row r="2615" hidden="1">
      <c r="A2615" s="25"/>
      <c r="B2615" s="25"/>
      <c r="C2615" s="45"/>
      <c r="D2615" s="25"/>
      <c r="E2615" s="25"/>
    </row>
    <row r="2616" hidden="1">
      <c r="A2616" s="25"/>
      <c r="B2616" s="25"/>
      <c r="C2616" s="45"/>
      <c r="D2616" s="25"/>
      <c r="E2616" s="25"/>
    </row>
    <row r="2617" hidden="1">
      <c r="A2617" s="25"/>
      <c r="B2617" s="25"/>
      <c r="C2617" s="45"/>
      <c r="D2617" s="25"/>
      <c r="E2617" s="25"/>
    </row>
    <row r="2618" hidden="1">
      <c r="A2618" s="25"/>
      <c r="B2618" s="25"/>
      <c r="C2618" s="45"/>
      <c r="D2618" s="25"/>
      <c r="E2618" s="25"/>
    </row>
    <row r="2619" hidden="1">
      <c r="A2619" s="25"/>
      <c r="B2619" s="25"/>
      <c r="C2619" s="45"/>
      <c r="D2619" s="25"/>
      <c r="E2619" s="25"/>
    </row>
    <row r="2620" hidden="1">
      <c r="A2620" s="25"/>
      <c r="B2620" s="25"/>
      <c r="C2620" s="45"/>
      <c r="D2620" s="25"/>
      <c r="E2620" s="25"/>
    </row>
    <row r="2621" hidden="1">
      <c r="A2621" s="25"/>
      <c r="B2621" s="25"/>
      <c r="C2621" s="45"/>
      <c r="D2621" s="25"/>
      <c r="E2621" s="25"/>
    </row>
    <row r="2622" hidden="1">
      <c r="A2622" s="25"/>
      <c r="B2622" s="25"/>
      <c r="C2622" s="45"/>
      <c r="D2622" s="25"/>
      <c r="E2622" s="25"/>
    </row>
    <row r="2623" hidden="1">
      <c r="A2623" s="25"/>
      <c r="B2623" s="25"/>
      <c r="C2623" s="45"/>
      <c r="D2623" s="25"/>
      <c r="E2623" s="25"/>
    </row>
    <row r="2624" hidden="1">
      <c r="A2624" s="25"/>
      <c r="B2624" s="25"/>
      <c r="C2624" s="45"/>
      <c r="D2624" s="25"/>
      <c r="E2624" s="25"/>
    </row>
    <row r="2625" hidden="1">
      <c r="A2625" s="25"/>
      <c r="B2625" s="25"/>
      <c r="C2625" s="45"/>
      <c r="D2625" s="25"/>
      <c r="E2625" s="25"/>
    </row>
    <row r="2626" hidden="1">
      <c r="A2626" s="25"/>
      <c r="B2626" s="25"/>
      <c r="C2626" s="45"/>
      <c r="D2626" s="25"/>
      <c r="E2626" s="25"/>
    </row>
    <row r="2627" hidden="1">
      <c r="A2627" s="25"/>
      <c r="B2627" s="25"/>
      <c r="C2627" s="45"/>
      <c r="D2627" s="25"/>
      <c r="E2627" s="25"/>
    </row>
    <row r="2628" hidden="1">
      <c r="A2628" s="25"/>
      <c r="B2628" s="25"/>
      <c r="C2628" s="45"/>
      <c r="D2628" s="25"/>
      <c r="E2628" s="25"/>
    </row>
    <row r="2629" hidden="1">
      <c r="A2629" s="25"/>
      <c r="B2629" s="25"/>
      <c r="C2629" s="45"/>
      <c r="D2629" s="25"/>
      <c r="E2629" s="25"/>
    </row>
    <row r="2630" hidden="1">
      <c r="A2630" s="25"/>
      <c r="B2630" s="25"/>
      <c r="C2630" s="45"/>
      <c r="D2630" s="25"/>
      <c r="E2630" s="25"/>
    </row>
    <row r="2631" hidden="1">
      <c r="A2631" s="25"/>
      <c r="B2631" s="25"/>
      <c r="C2631" s="45"/>
      <c r="D2631" s="25"/>
      <c r="E2631" s="25"/>
    </row>
    <row r="2632" hidden="1">
      <c r="A2632" s="25"/>
      <c r="B2632" s="25"/>
      <c r="C2632" s="45"/>
      <c r="D2632" s="25"/>
      <c r="E2632" s="25"/>
    </row>
    <row r="2633" hidden="1">
      <c r="A2633" s="25"/>
      <c r="B2633" s="25"/>
      <c r="C2633" s="45"/>
      <c r="D2633" s="25"/>
      <c r="E2633" s="25"/>
    </row>
    <row r="2634" hidden="1">
      <c r="A2634" s="25"/>
      <c r="B2634" s="25"/>
      <c r="C2634" s="45"/>
      <c r="D2634" s="25"/>
      <c r="E2634" s="25"/>
    </row>
    <row r="2635" hidden="1">
      <c r="A2635" s="25"/>
      <c r="B2635" s="25"/>
      <c r="C2635" s="45"/>
      <c r="D2635" s="25"/>
      <c r="E2635" s="25"/>
    </row>
    <row r="2636" hidden="1">
      <c r="A2636" s="25"/>
      <c r="B2636" s="25"/>
      <c r="C2636" s="45"/>
      <c r="D2636" s="25"/>
      <c r="E2636" s="25"/>
    </row>
    <row r="2637" hidden="1">
      <c r="A2637" s="25"/>
      <c r="B2637" s="25"/>
      <c r="C2637" s="45"/>
      <c r="D2637" s="25"/>
      <c r="E2637" s="25"/>
    </row>
    <row r="2638" hidden="1">
      <c r="A2638" s="25"/>
      <c r="B2638" s="25"/>
      <c r="C2638" s="45"/>
      <c r="D2638" s="25"/>
      <c r="E2638" s="25"/>
    </row>
    <row r="2639" hidden="1">
      <c r="A2639" s="25"/>
      <c r="B2639" s="25"/>
      <c r="C2639" s="45"/>
      <c r="D2639" s="25"/>
      <c r="E2639" s="25"/>
    </row>
    <row r="2640" hidden="1">
      <c r="A2640" s="25"/>
      <c r="B2640" s="25"/>
      <c r="C2640" s="45"/>
      <c r="D2640" s="25"/>
      <c r="E2640" s="25"/>
    </row>
    <row r="2641" hidden="1">
      <c r="A2641" s="25"/>
      <c r="B2641" s="25"/>
      <c r="C2641" s="45"/>
      <c r="D2641" s="25"/>
      <c r="E2641" s="25"/>
    </row>
    <row r="2642" hidden="1">
      <c r="A2642" s="25"/>
      <c r="B2642" s="25"/>
      <c r="C2642" s="45"/>
      <c r="D2642" s="25"/>
      <c r="E2642" s="25"/>
    </row>
    <row r="2643" hidden="1">
      <c r="A2643" s="25"/>
      <c r="B2643" s="25"/>
      <c r="C2643" s="45"/>
      <c r="D2643" s="25"/>
      <c r="E2643" s="25"/>
    </row>
    <row r="2644" hidden="1">
      <c r="A2644" s="25"/>
      <c r="B2644" s="25"/>
      <c r="C2644" s="45"/>
      <c r="D2644" s="25"/>
      <c r="E2644" s="25"/>
    </row>
    <row r="2645" hidden="1">
      <c r="A2645" s="25"/>
      <c r="B2645" s="25"/>
      <c r="C2645" s="45"/>
      <c r="D2645" s="25"/>
      <c r="E2645" s="25"/>
    </row>
    <row r="2646" hidden="1">
      <c r="A2646" s="25"/>
      <c r="B2646" s="25"/>
      <c r="C2646" s="45"/>
      <c r="D2646" s="25"/>
      <c r="E2646" s="25"/>
    </row>
    <row r="2647" hidden="1">
      <c r="A2647" s="25"/>
      <c r="B2647" s="25"/>
      <c r="C2647" s="45"/>
      <c r="D2647" s="25"/>
      <c r="E2647" s="25"/>
    </row>
    <row r="2648" hidden="1">
      <c r="A2648" s="25"/>
      <c r="B2648" s="25"/>
      <c r="C2648" s="45"/>
      <c r="D2648" s="25"/>
      <c r="E2648" s="25"/>
    </row>
    <row r="2649" hidden="1">
      <c r="A2649" s="25"/>
      <c r="B2649" s="25"/>
      <c r="C2649" s="45"/>
      <c r="D2649" s="25"/>
      <c r="E2649" s="25"/>
    </row>
    <row r="2650" hidden="1">
      <c r="A2650" s="25"/>
      <c r="B2650" s="25"/>
      <c r="C2650" s="45"/>
      <c r="D2650" s="25"/>
      <c r="E2650" s="25"/>
    </row>
    <row r="2651" hidden="1">
      <c r="A2651" s="25"/>
      <c r="B2651" s="25"/>
      <c r="C2651" s="45"/>
      <c r="D2651" s="25"/>
      <c r="E2651" s="25"/>
    </row>
    <row r="2652" hidden="1">
      <c r="A2652" s="25"/>
      <c r="B2652" s="25"/>
      <c r="C2652" s="45"/>
      <c r="D2652" s="25"/>
      <c r="E2652" s="25"/>
    </row>
    <row r="2653" hidden="1">
      <c r="A2653" s="25"/>
      <c r="B2653" s="25"/>
      <c r="C2653" s="45"/>
      <c r="D2653" s="25"/>
      <c r="E2653" s="25"/>
    </row>
    <row r="2654" hidden="1">
      <c r="A2654" s="25"/>
      <c r="B2654" s="25"/>
      <c r="C2654" s="45"/>
      <c r="D2654" s="25"/>
      <c r="E2654" s="25"/>
    </row>
    <row r="2655" hidden="1">
      <c r="A2655" s="25"/>
      <c r="B2655" s="25"/>
      <c r="C2655" s="45"/>
      <c r="D2655" s="25"/>
      <c r="E2655" s="25"/>
    </row>
    <row r="2656" hidden="1">
      <c r="A2656" s="25"/>
      <c r="B2656" s="25"/>
      <c r="C2656" s="45"/>
      <c r="D2656" s="25"/>
      <c r="E2656" s="25"/>
    </row>
    <row r="2657" hidden="1">
      <c r="A2657" s="25"/>
      <c r="B2657" s="25"/>
      <c r="C2657" s="45"/>
      <c r="D2657" s="25"/>
      <c r="E2657" s="25"/>
    </row>
    <row r="2658" hidden="1">
      <c r="A2658" s="25"/>
      <c r="B2658" s="25"/>
      <c r="C2658" s="45"/>
      <c r="D2658" s="25"/>
      <c r="E2658" s="25"/>
    </row>
    <row r="2659" hidden="1">
      <c r="A2659" s="25"/>
      <c r="B2659" s="25"/>
      <c r="C2659" s="45"/>
      <c r="D2659" s="25"/>
      <c r="E2659" s="25"/>
    </row>
    <row r="2660" hidden="1">
      <c r="A2660" s="25"/>
      <c r="B2660" s="25"/>
      <c r="C2660" s="45"/>
      <c r="D2660" s="25"/>
      <c r="E2660" s="25"/>
    </row>
    <row r="2661" hidden="1">
      <c r="A2661" s="25"/>
      <c r="B2661" s="25"/>
      <c r="C2661" s="45"/>
      <c r="D2661" s="25"/>
      <c r="E2661" s="25"/>
    </row>
    <row r="2662" hidden="1">
      <c r="A2662" s="25"/>
      <c r="B2662" s="25"/>
      <c r="C2662" s="45"/>
      <c r="D2662" s="25"/>
      <c r="E2662" s="25"/>
    </row>
    <row r="2663" hidden="1">
      <c r="A2663" s="25"/>
      <c r="B2663" s="25"/>
      <c r="C2663" s="45"/>
      <c r="D2663" s="25"/>
      <c r="E2663" s="25"/>
    </row>
    <row r="2664" hidden="1">
      <c r="A2664" s="25"/>
      <c r="B2664" s="25"/>
      <c r="C2664" s="45"/>
      <c r="D2664" s="25"/>
      <c r="E2664" s="25"/>
    </row>
    <row r="2665" hidden="1">
      <c r="A2665" s="25"/>
      <c r="B2665" s="25"/>
      <c r="C2665" s="45"/>
      <c r="D2665" s="25"/>
      <c r="E2665" s="25"/>
    </row>
    <row r="2666" hidden="1">
      <c r="A2666" s="25"/>
      <c r="B2666" s="25"/>
      <c r="C2666" s="45"/>
      <c r="D2666" s="25"/>
      <c r="E2666" s="25"/>
    </row>
    <row r="2667" hidden="1">
      <c r="A2667" s="25"/>
      <c r="B2667" s="25"/>
      <c r="C2667" s="45"/>
      <c r="D2667" s="25"/>
      <c r="E2667" s="25"/>
    </row>
    <row r="2668" hidden="1">
      <c r="A2668" s="25"/>
      <c r="B2668" s="25"/>
      <c r="C2668" s="45"/>
      <c r="D2668" s="25"/>
      <c r="E2668" s="25"/>
    </row>
    <row r="2669" hidden="1">
      <c r="A2669" s="25"/>
      <c r="B2669" s="25"/>
      <c r="C2669" s="45"/>
      <c r="D2669" s="25"/>
      <c r="E2669" s="25"/>
    </row>
    <row r="2670" hidden="1">
      <c r="A2670" s="25"/>
      <c r="B2670" s="25"/>
      <c r="C2670" s="45"/>
      <c r="D2670" s="25"/>
      <c r="E2670" s="25"/>
    </row>
    <row r="2671" hidden="1">
      <c r="A2671" s="25"/>
      <c r="B2671" s="25"/>
      <c r="C2671" s="45"/>
      <c r="D2671" s="25"/>
      <c r="E2671" s="25"/>
    </row>
    <row r="2672" hidden="1">
      <c r="A2672" s="25"/>
      <c r="B2672" s="25"/>
      <c r="C2672" s="45"/>
      <c r="D2672" s="25"/>
      <c r="E2672" s="25"/>
    </row>
    <row r="2673" hidden="1">
      <c r="A2673" s="25"/>
      <c r="B2673" s="25"/>
      <c r="C2673" s="45"/>
      <c r="D2673" s="25"/>
      <c r="E2673" s="25"/>
    </row>
    <row r="2674" hidden="1">
      <c r="A2674" s="25"/>
      <c r="B2674" s="25"/>
      <c r="C2674" s="45"/>
      <c r="D2674" s="25"/>
      <c r="E2674" s="25"/>
    </row>
    <row r="2675" hidden="1">
      <c r="A2675" s="25"/>
      <c r="B2675" s="25"/>
      <c r="C2675" s="45"/>
      <c r="D2675" s="25"/>
      <c r="E2675" s="25"/>
    </row>
    <row r="2676" hidden="1">
      <c r="A2676" s="25"/>
      <c r="B2676" s="25"/>
      <c r="C2676" s="45"/>
      <c r="D2676" s="25"/>
      <c r="E2676" s="25"/>
    </row>
    <row r="2677" hidden="1">
      <c r="A2677" s="25"/>
      <c r="B2677" s="25"/>
      <c r="C2677" s="45"/>
      <c r="D2677" s="25"/>
      <c r="E2677" s="25"/>
    </row>
    <row r="2678" hidden="1">
      <c r="A2678" s="25"/>
      <c r="B2678" s="25"/>
      <c r="C2678" s="45"/>
      <c r="D2678" s="25"/>
      <c r="E2678" s="25"/>
    </row>
    <row r="2679" hidden="1">
      <c r="A2679" s="25"/>
      <c r="B2679" s="25"/>
      <c r="C2679" s="45"/>
      <c r="D2679" s="25"/>
      <c r="E2679" s="25"/>
    </row>
    <row r="2680" hidden="1">
      <c r="A2680" s="25"/>
      <c r="B2680" s="25"/>
      <c r="C2680" s="45"/>
      <c r="D2680" s="25"/>
      <c r="E2680" s="25"/>
    </row>
    <row r="2681" hidden="1">
      <c r="A2681" s="25"/>
      <c r="B2681" s="25"/>
      <c r="C2681" s="45"/>
      <c r="D2681" s="25"/>
      <c r="E2681" s="25"/>
    </row>
    <row r="2682" hidden="1">
      <c r="A2682" s="25"/>
      <c r="B2682" s="25"/>
      <c r="C2682" s="45"/>
      <c r="D2682" s="25"/>
      <c r="E2682" s="25"/>
    </row>
    <row r="2683" hidden="1">
      <c r="A2683" s="25"/>
      <c r="B2683" s="25"/>
      <c r="C2683" s="45"/>
      <c r="D2683" s="25"/>
      <c r="E2683" s="25"/>
    </row>
    <row r="2684" hidden="1">
      <c r="A2684" s="25"/>
      <c r="B2684" s="25"/>
      <c r="C2684" s="45"/>
      <c r="D2684" s="25"/>
      <c r="E2684" s="25"/>
    </row>
    <row r="2685" hidden="1">
      <c r="A2685" s="25"/>
      <c r="B2685" s="25"/>
      <c r="C2685" s="45"/>
      <c r="D2685" s="25"/>
      <c r="E2685" s="25"/>
    </row>
    <row r="2686" hidden="1">
      <c r="A2686" s="25"/>
      <c r="B2686" s="25"/>
      <c r="C2686" s="45"/>
      <c r="D2686" s="25"/>
      <c r="E2686" s="25"/>
    </row>
    <row r="2687" hidden="1">
      <c r="A2687" s="25"/>
      <c r="B2687" s="25"/>
      <c r="C2687" s="45"/>
      <c r="D2687" s="25"/>
      <c r="E2687" s="25"/>
    </row>
    <row r="2688" hidden="1">
      <c r="A2688" s="25"/>
      <c r="B2688" s="25"/>
      <c r="C2688" s="45"/>
      <c r="D2688" s="25"/>
      <c r="E2688" s="25"/>
    </row>
    <row r="2689" hidden="1">
      <c r="A2689" s="25"/>
      <c r="B2689" s="25"/>
      <c r="C2689" s="45"/>
      <c r="D2689" s="25"/>
      <c r="E2689" s="25"/>
    </row>
    <row r="2690" hidden="1">
      <c r="A2690" s="25"/>
      <c r="B2690" s="25"/>
      <c r="C2690" s="45"/>
      <c r="D2690" s="25"/>
      <c r="E2690" s="25"/>
    </row>
    <row r="2691" hidden="1">
      <c r="A2691" s="25"/>
      <c r="B2691" s="25"/>
      <c r="C2691" s="45"/>
      <c r="D2691" s="25"/>
      <c r="E2691" s="25"/>
    </row>
    <row r="2692" hidden="1">
      <c r="A2692" s="25"/>
      <c r="B2692" s="25"/>
      <c r="C2692" s="45"/>
      <c r="D2692" s="25"/>
      <c r="E2692" s="25"/>
    </row>
    <row r="2693" hidden="1">
      <c r="A2693" s="25"/>
      <c r="B2693" s="25"/>
      <c r="C2693" s="45"/>
      <c r="D2693" s="25"/>
      <c r="E2693" s="25"/>
    </row>
    <row r="2694" hidden="1">
      <c r="A2694" s="25"/>
      <c r="B2694" s="25"/>
      <c r="C2694" s="45"/>
      <c r="D2694" s="25"/>
      <c r="E2694" s="25"/>
    </row>
    <row r="2695" hidden="1">
      <c r="A2695" s="25"/>
      <c r="B2695" s="25"/>
      <c r="C2695" s="45"/>
      <c r="D2695" s="25"/>
      <c r="E2695" s="25"/>
    </row>
    <row r="2696" hidden="1">
      <c r="A2696" s="25"/>
      <c r="B2696" s="25"/>
      <c r="C2696" s="45"/>
      <c r="D2696" s="25"/>
      <c r="E2696" s="25"/>
    </row>
    <row r="2697" hidden="1">
      <c r="A2697" s="25"/>
      <c r="B2697" s="25"/>
      <c r="C2697" s="45"/>
      <c r="D2697" s="25"/>
      <c r="E2697" s="25"/>
    </row>
    <row r="2698" hidden="1">
      <c r="A2698" s="25"/>
      <c r="B2698" s="25"/>
      <c r="C2698" s="45"/>
      <c r="D2698" s="25"/>
      <c r="E2698" s="25"/>
    </row>
    <row r="2699" hidden="1">
      <c r="A2699" s="25"/>
      <c r="B2699" s="25"/>
      <c r="C2699" s="45"/>
      <c r="D2699" s="25"/>
      <c r="E2699" s="25"/>
    </row>
    <row r="2700" hidden="1">
      <c r="A2700" s="25"/>
      <c r="B2700" s="25"/>
      <c r="C2700" s="45"/>
      <c r="D2700" s="25"/>
      <c r="E2700" s="25"/>
    </row>
    <row r="2701" hidden="1">
      <c r="A2701" s="25"/>
      <c r="B2701" s="25"/>
      <c r="C2701" s="45"/>
      <c r="D2701" s="25"/>
      <c r="E2701" s="25"/>
    </row>
    <row r="2702" hidden="1">
      <c r="A2702" s="25"/>
      <c r="B2702" s="25"/>
      <c r="C2702" s="45"/>
      <c r="D2702" s="25"/>
      <c r="E2702" s="25"/>
    </row>
    <row r="2703" hidden="1">
      <c r="A2703" s="25"/>
      <c r="B2703" s="25"/>
      <c r="C2703" s="45"/>
      <c r="D2703" s="25"/>
      <c r="E2703" s="25"/>
    </row>
    <row r="2704" hidden="1">
      <c r="A2704" s="25"/>
      <c r="B2704" s="25"/>
      <c r="C2704" s="45"/>
      <c r="D2704" s="25"/>
      <c r="E2704" s="25"/>
    </row>
    <row r="2705" hidden="1">
      <c r="A2705" s="25"/>
      <c r="B2705" s="25"/>
      <c r="C2705" s="45"/>
      <c r="D2705" s="25"/>
      <c r="E2705" s="25"/>
    </row>
    <row r="2706" hidden="1">
      <c r="A2706" s="25"/>
      <c r="B2706" s="25"/>
      <c r="C2706" s="45"/>
      <c r="D2706" s="25"/>
      <c r="E2706" s="25"/>
    </row>
    <row r="2707" hidden="1">
      <c r="A2707" s="25"/>
      <c r="B2707" s="25"/>
      <c r="C2707" s="45"/>
      <c r="D2707" s="25"/>
      <c r="E2707" s="25"/>
    </row>
    <row r="2708" hidden="1">
      <c r="A2708" s="25"/>
      <c r="B2708" s="25"/>
      <c r="C2708" s="45"/>
      <c r="D2708" s="25"/>
      <c r="E2708" s="25"/>
    </row>
    <row r="2709" hidden="1">
      <c r="A2709" s="25"/>
      <c r="B2709" s="25"/>
      <c r="C2709" s="45"/>
      <c r="D2709" s="25"/>
      <c r="E2709" s="25"/>
    </row>
    <row r="2710" hidden="1">
      <c r="A2710" s="25"/>
      <c r="B2710" s="25"/>
      <c r="C2710" s="45"/>
      <c r="D2710" s="25"/>
      <c r="E2710" s="25"/>
    </row>
    <row r="2711" hidden="1">
      <c r="A2711" s="25"/>
      <c r="B2711" s="25"/>
      <c r="C2711" s="45"/>
      <c r="D2711" s="25"/>
      <c r="E2711" s="25"/>
    </row>
    <row r="2712" hidden="1">
      <c r="A2712" s="25"/>
      <c r="B2712" s="25"/>
      <c r="C2712" s="45"/>
      <c r="D2712" s="25"/>
      <c r="E2712" s="25"/>
    </row>
    <row r="2713" hidden="1">
      <c r="A2713" s="25"/>
      <c r="B2713" s="25"/>
      <c r="C2713" s="45"/>
      <c r="D2713" s="25"/>
      <c r="E2713" s="25"/>
    </row>
    <row r="2714" hidden="1">
      <c r="A2714" s="25"/>
      <c r="B2714" s="25"/>
      <c r="C2714" s="45"/>
      <c r="D2714" s="25"/>
      <c r="E2714" s="25"/>
    </row>
    <row r="2715" hidden="1">
      <c r="A2715" s="25"/>
      <c r="B2715" s="25"/>
      <c r="C2715" s="45"/>
      <c r="D2715" s="25"/>
      <c r="E2715" s="25"/>
    </row>
    <row r="2716" hidden="1">
      <c r="A2716" s="25"/>
      <c r="B2716" s="25"/>
      <c r="C2716" s="45"/>
      <c r="D2716" s="25"/>
      <c r="E2716" s="25"/>
    </row>
    <row r="2717" hidden="1">
      <c r="A2717" s="25"/>
      <c r="B2717" s="25"/>
      <c r="C2717" s="45"/>
      <c r="D2717" s="25"/>
      <c r="E2717" s="25"/>
    </row>
    <row r="2718" hidden="1">
      <c r="A2718" s="25"/>
      <c r="B2718" s="25"/>
      <c r="C2718" s="45"/>
      <c r="D2718" s="25"/>
      <c r="E2718" s="25"/>
    </row>
    <row r="2719" hidden="1">
      <c r="A2719" s="25"/>
      <c r="B2719" s="25"/>
      <c r="C2719" s="45"/>
      <c r="D2719" s="25"/>
      <c r="E2719" s="25"/>
    </row>
    <row r="2720" hidden="1">
      <c r="A2720" s="25"/>
      <c r="B2720" s="25"/>
      <c r="C2720" s="45"/>
      <c r="D2720" s="25"/>
      <c r="E2720" s="25"/>
    </row>
    <row r="2721" hidden="1">
      <c r="A2721" s="25"/>
      <c r="B2721" s="25"/>
      <c r="C2721" s="45"/>
      <c r="D2721" s="25"/>
      <c r="E2721" s="25"/>
    </row>
    <row r="2722" hidden="1">
      <c r="A2722" s="25"/>
      <c r="B2722" s="25"/>
      <c r="C2722" s="45"/>
      <c r="D2722" s="25"/>
      <c r="E2722" s="25"/>
    </row>
    <row r="2723" hidden="1">
      <c r="A2723" s="25"/>
      <c r="B2723" s="25"/>
      <c r="C2723" s="45"/>
      <c r="D2723" s="25"/>
      <c r="E2723" s="25"/>
    </row>
    <row r="2724" hidden="1">
      <c r="A2724" s="25"/>
      <c r="B2724" s="25"/>
      <c r="C2724" s="45"/>
      <c r="D2724" s="25"/>
      <c r="E2724" s="25"/>
    </row>
    <row r="2725" hidden="1">
      <c r="A2725" s="25"/>
      <c r="B2725" s="25"/>
      <c r="C2725" s="45"/>
      <c r="D2725" s="25"/>
      <c r="E2725" s="25"/>
    </row>
    <row r="2726" hidden="1">
      <c r="A2726" s="25"/>
      <c r="B2726" s="25"/>
      <c r="C2726" s="45"/>
      <c r="D2726" s="25"/>
      <c r="E2726" s="25"/>
    </row>
    <row r="2727" hidden="1">
      <c r="A2727" s="25"/>
      <c r="B2727" s="25"/>
      <c r="C2727" s="45"/>
      <c r="D2727" s="25"/>
      <c r="E2727" s="25"/>
    </row>
    <row r="2728" hidden="1">
      <c r="A2728" s="25"/>
      <c r="B2728" s="25"/>
      <c r="C2728" s="45"/>
      <c r="D2728" s="25"/>
      <c r="E2728" s="25"/>
    </row>
    <row r="2729" hidden="1">
      <c r="A2729" s="25"/>
      <c r="B2729" s="25"/>
      <c r="C2729" s="45"/>
      <c r="D2729" s="25"/>
      <c r="E2729" s="25"/>
    </row>
    <row r="2730" hidden="1">
      <c r="A2730" s="25"/>
      <c r="B2730" s="25"/>
      <c r="C2730" s="45"/>
      <c r="D2730" s="25"/>
      <c r="E2730" s="25"/>
    </row>
    <row r="2731" hidden="1">
      <c r="A2731" s="25"/>
      <c r="B2731" s="25"/>
      <c r="C2731" s="45"/>
      <c r="D2731" s="25"/>
      <c r="E2731" s="25"/>
    </row>
    <row r="2732" hidden="1">
      <c r="A2732" s="25"/>
      <c r="B2732" s="25"/>
      <c r="C2732" s="45"/>
      <c r="D2732" s="25"/>
      <c r="E2732" s="25"/>
    </row>
    <row r="2733" hidden="1">
      <c r="A2733" s="25"/>
      <c r="B2733" s="25"/>
      <c r="C2733" s="45"/>
      <c r="D2733" s="25"/>
      <c r="E2733" s="25"/>
    </row>
    <row r="2734" hidden="1">
      <c r="A2734" s="25"/>
      <c r="B2734" s="25"/>
      <c r="C2734" s="45"/>
      <c r="D2734" s="25"/>
      <c r="E2734" s="25"/>
    </row>
    <row r="2735" hidden="1">
      <c r="A2735" s="25"/>
      <c r="B2735" s="25"/>
      <c r="C2735" s="45"/>
      <c r="D2735" s="25"/>
      <c r="E2735" s="25"/>
    </row>
    <row r="2736" hidden="1">
      <c r="A2736" s="25"/>
      <c r="B2736" s="25"/>
      <c r="C2736" s="45"/>
      <c r="D2736" s="25"/>
      <c r="E2736" s="25"/>
    </row>
    <row r="2737" hidden="1">
      <c r="A2737" s="25"/>
      <c r="B2737" s="25"/>
      <c r="C2737" s="45"/>
      <c r="D2737" s="25"/>
      <c r="E2737" s="25"/>
    </row>
    <row r="2738" hidden="1">
      <c r="A2738" s="25"/>
      <c r="B2738" s="25"/>
      <c r="C2738" s="45"/>
      <c r="D2738" s="25"/>
      <c r="E2738" s="25"/>
    </row>
    <row r="2739" hidden="1">
      <c r="A2739" s="25"/>
      <c r="B2739" s="25"/>
      <c r="C2739" s="45"/>
      <c r="D2739" s="25"/>
      <c r="E2739" s="25"/>
    </row>
    <row r="2740" hidden="1">
      <c r="A2740" s="25"/>
      <c r="B2740" s="25"/>
      <c r="C2740" s="45"/>
      <c r="D2740" s="25"/>
      <c r="E2740" s="25"/>
    </row>
    <row r="2741" hidden="1">
      <c r="A2741" s="25"/>
      <c r="B2741" s="25"/>
      <c r="C2741" s="45"/>
      <c r="D2741" s="25"/>
      <c r="E2741" s="25"/>
    </row>
    <row r="2742" hidden="1">
      <c r="A2742" s="25"/>
      <c r="B2742" s="25"/>
      <c r="C2742" s="45"/>
      <c r="D2742" s="25"/>
      <c r="E2742" s="25"/>
    </row>
    <row r="2743" hidden="1">
      <c r="A2743" s="25"/>
      <c r="B2743" s="25"/>
      <c r="C2743" s="45"/>
      <c r="D2743" s="25"/>
      <c r="E2743" s="25"/>
    </row>
    <row r="2744" hidden="1">
      <c r="A2744" s="25"/>
      <c r="B2744" s="25"/>
      <c r="C2744" s="45"/>
      <c r="D2744" s="25"/>
      <c r="E2744" s="25"/>
    </row>
    <row r="2745" hidden="1">
      <c r="A2745" s="25"/>
      <c r="B2745" s="25"/>
      <c r="C2745" s="45"/>
      <c r="D2745" s="25"/>
      <c r="E2745" s="25"/>
    </row>
    <row r="2746" hidden="1">
      <c r="A2746" s="25"/>
      <c r="B2746" s="25"/>
      <c r="C2746" s="45"/>
      <c r="D2746" s="25"/>
      <c r="E2746" s="25"/>
    </row>
    <row r="2747" hidden="1">
      <c r="A2747" s="25"/>
      <c r="B2747" s="25"/>
      <c r="C2747" s="45"/>
      <c r="D2747" s="25"/>
      <c r="E2747" s="25"/>
    </row>
    <row r="2748" hidden="1">
      <c r="A2748" s="25"/>
      <c r="B2748" s="25"/>
      <c r="C2748" s="45"/>
      <c r="D2748" s="25"/>
      <c r="E2748" s="25"/>
    </row>
    <row r="2749" hidden="1">
      <c r="A2749" s="25"/>
      <c r="B2749" s="25"/>
      <c r="C2749" s="45"/>
      <c r="D2749" s="25"/>
      <c r="E2749" s="25"/>
    </row>
    <row r="2750" hidden="1">
      <c r="A2750" s="25"/>
      <c r="B2750" s="25"/>
      <c r="C2750" s="45"/>
      <c r="D2750" s="25"/>
      <c r="E2750" s="25"/>
    </row>
    <row r="2751" hidden="1">
      <c r="A2751" s="25"/>
      <c r="B2751" s="25"/>
      <c r="C2751" s="45"/>
      <c r="D2751" s="25"/>
      <c r="E2751" s="25"/>
    </row>
    <row r="2752" hidden="1">
      <c r="A2752" s="25"/>
      <c r="B2752" s="25"/>
      <c r="C2752" s="45"/>
      <c r="D2752" s="25"/>
      <c r="E2752" s="25"/>
    </row>
    <row r="2753" hidden="1">
      <c r="A2753" s="25"/>
      <c r="B2753" s="25"/>
      <c r="C2753" s="45"/>
      <c r="D2753" s="25"/>
      <c r="E2753" s="25"/>
    </row>
    <row r="2754" hidden="1">
      <c r="A2754" s="25"/>
      <c r="B2754" s="25"/>
      <c r="C2754" s="45"/>
      <c r="D2754" s="25"/>
      <c r="E2754" s="25"/>
    </row>
    <row r="2755" hidden="1">
      <c r="A2755" s="25"/>
      <c r="B2755" s="25"/>
      <c r="C2755" s="45"/>
      <c r="D2755" s="25"/>
      <c r="E2755" s="25"/>
    </row>
    <row r="2756" hidden="1">
      <c r="A2756" s="25"/>
      <c r="B2756" s="25"/>
      <c r="C2756" s="45"/>
      <c r="D2756" s="25"/>
      <c r="E2756" s="25"/>
    </row>
    <row r="2757" hidden="1">
      <c r="A2757" s="25"/>
      <c r="B2757" s="25"/>
      <c r="C2757" s="45"/>
      <c r="D2757" s="25"/>
      <c r="E2757" s="25"/>
    </row>
    <row r="2758" hidden="1">
      <c r="A2758" s="25"/>
      <c r="B2758" s="25"/>
      <c r="C2758" s="45"/>
      <c r="D2758" s="25"/>
      <c r="E2758" s="25"/>
    </row>
    <row r="2759" hidden="1">
      <c r="A2759" s="25"/>
      <c r="B2759" s="25"/>
      <c r="C2759" s="45"/>
      <c r="D2759" s="25"/>
      <c r="E2759" s="25"/>
    </row>
    <row r="2760" hidden="1">
      <c r="A2760" s="25"/>
      <c r="B2760" s="25"/>
      <c r="C2760" s="45"/>
      <c r="D2760" s="25"/>
      <c r="E2760" s="25"/>
    </row>
    <row r="2761" hidden="1">
      <c r="A2761" s="25"/>
      <c r="B2761" s="25"/>
      <c r="C2761" s="45"/>
      <c r="D2761" s="25"/>
      <c r="E2761" s="25"/>
    </row>
    <row r="2762" hidden="1">
      <c r="A2762" s="25"/>
      <c r="B2762" s="25"/>
      <c r="C2762" s="45"/>
      <c r="D2762" s="25"/>
      <c r="E2762" s="25"/>
    </row>
    <row r="2763" hidden="1">
      <c r="A2763" s="25"/>
      <c r="B2763" s="25"/>
      <c r="C2763" s="45"/>
      <c r="D2763" s="25"/>
      <c r="E2763" s="25"/>
    </row>
    <row r="2764" hidden="1">
      <c r="A2764" s="25"/>
      <c r="B2764" s="25"/>
      <c r="C2764" s="45"/>
      <c r="D2764" s="25"/>
      <c r="E2764" s="25"/>
    </row>
    <row r="2765" hidden="1">
      <c r="A2765" s="25"/>
      <c r="B2765" s="25"/>
      <c r="C2765" s="45"/>
      <c r="D2765" s="25"/>
      <c r="E2765" s="25"/>
    </row>
    <row r="2766" hidden="1">
      <c r="A2766" s="25"/>
      <c r="B2766" s="25"/>
      <c r="C2766" s="45"/>
      <c r="D2766" s="25"/>
      <c r="E2766" s="25"/>
    </row>
    <row r="2767" hidden="1">
      <c r="A2767" s="25"/>
      <c r="B2767" s="25"/>
      <c r="C2767" s="45"/>
      <c r="D2767" s="25"/>
      <c r="E2767" s="25"/>
    </row>
    <row r="2768" hidden="1">
      <c r="A2768" s="25"/>
      <c r="B2768" s="25"/>
      <c r="C2768" s="45"/>
      <c r="D2768" s="25"/>
      <c r="E2768" s="25"/>
    </row>
    <row r="2769" hidden="1">
      <c r="A2769" s="25"/>
      <c r="B2769" s="25"/>
      <c r="C2769" s="45"/>
      <c r="D2769" s="25"/>
      <c r="E2769" s="25"/>
    </row>
    <row r="2770" hidden="1">
      <c r="A2770" s="25"/>
      <c r="B2770" s="25"/>
      <c r="C2770" s="45"/>
      <c r="D2770" s="25"/>
      <c r="E2770" s="25"/>
    </row>
    <row r="2771" hidden="1">
      <c r="A2771" s="25"/>
      <c r="B2771" s="25"/>
      <c r="C2771" s="45"/>
      <c r="D2771" s="25"/>
      <c r="E2771" s="25"/>
    </row>
    <row r="2772" hidden="1">
      <c r="A2772" s="25"/>
      <c r="B2772" s="25"/>
      <c r="C2772" s="45"/>
      <c r="D2772" s="25"/>
      <c r="E2772" s="25"/>
    </row>
    <row r="2773" hidden="1">
      <c r="A2773" s="25"/>
      <c r="B2773" s="25"/>
      <c r="C2773" s="45"/>
      <c r="D2773" s="25"/>
      <c r="E2773" s="25"/>
    </row>
    <row r="2774" hidden="1">
      <c r="A2774" s="25"/>
      <c r="B2774" s="25"/>
      <c r="C2774" s="45"/>
      <c r="D2774" s="25"/>
      <c r="E2774" s="25"/>
    </row>
    <row r="2775" hidden="1">
      <c r="A2775" s="25"/>
      <c r="B2775" s="25"/>
      <c r="C2775" s="45"/>
      <c r="D2775" s="25"/>
      <c r="E2775" s="25"/>
    </row>
    <row r="2776" hidden="1">
      <c r="A2776" s="25"/>
      <c r="B2776" s="25"/>
      <c r="C2776" s="45"/>
      <c r="D2776" s="25"/>
      <c r="E2776" s="25"/>
    </row>
    <row r="2777" hidden="1">
      <c r="A2777" s="25"/>
      <c r="B2777" s="25"/>
      <c r="C2777" s="45"/>
      <c r="D2777" s="25"/>
      <c r="E2777" s="25"/>
    </row>
    <row r="2778" hidden="1">
      <c r="A2778" s="25"/>
      <c r="B2778" s="25"/>
      <c r="C2778" s="45"/>
      <c r="D2778" s="25"/>
      <c r="E2778" s="25"/>
    </row>
    <row r="2779" hidden="1">
      <c r="A2779" s="25"/>
      <c r="B2779" s="25"/>
      <c r="C2779" s="45"/>
      <c r="D2779" s="25"/>
      <c r="E2779" s="25"/>
    </row>
    <row r="2780" hidden="1">
      <c r="A2780" s="25"/>
      <c r="B2780" s="25"/>
      <c r="C2780" s="45"/>
      <c r="D2780" s="25"/>
      <c r="E2780" s="25"/>
    </row>
    <row r="2781" hidden="1">
      <c r="A2781" s="25"/>
      <c r="B2781" s="25"/>
      <c r="C2781" s="45"/>
      <c r="D2781" s="25"/>
      <c r="E2781" s="25"/>
    </row>
    <row r="2782" hidden="1">
      <c r="A2782" s="25"/>
      <c r="B2782" s="25"/>
      <c r="C2782" s="45"/>
      <c r="D2782" s="25"/>
      <c r="E2782" s="25"/>
    </row>
    <row r="2783" hidden="1">
      <c r="A2783" s="25"/>
      <c r="B2783" s="25"/>
      <c r="C2783" s="45"/>
      <c r="D2783" s="25"/>
      <c r="E2783" s="25"/>
    </row>
    <row r="2784" hidden="1">
      <c r="A2784" s="25"/>
      <c r="B2784" s="25"/>
      <c r="C2784" s="45"/>
      <c r="D2784" s="25"/>
      <c r="E2784" s="25"/>
    </row>
    <row r="2785" hidden="1">
      <c r="A2785" s="25"/>
      <c r="B2785" s="25"/>
      <c r="C2785" s="45"/>
      <c r="D2785" s="25"/>
      <c r="E2785" s="25"/>
    </row>
    <row r="2786" hidden="1">
      <c r="A2786" s="25"/>
      <c r="B2786" s="25"/>
      <c r="C2786" s="45"/>
      <c r="D2786" s="25"/>
      <c r="E2786" s="25"/>
    </row>
    <row r="2787" hidden="1">
      <c r="A2787" s="25"/>
      <c r="B2787" s="25"/>
      <c r="C2787" s="45"/>
      <c r="D2787" s="25"/>
      <c r="E2787" s="25"/>
    </row>
    <row r="2788" hidden="1">
      <c r="A2788" s="25"/>
      <c r="B2788" s="25"/>
      <c r="C2788" s="45"/>
      <c r="D2788" s="25"/>
      <c r="E2788" s="25"/>
    </row>
    <row r="2789" hidden="1">
      <c r="A2789" s="25"/>
      <c r="B2789" s="25"/>
      <c r="C2789" s="45"/>
      <c r="D2789" s="25"/>
      <c r="E2789" s="25"/>
    </row>
    <row r="2790" hidden="1">
      <c r="A2790" s="25"/>
      <c r="B2790" s="25"/>
      <c r="C2790" s="45"/>
      <c r="D2790" s="25"/>
      <c r="E2790" s="25"/>
    </row>
    <row r="2791" hidden="1">
      <c r="A2791" s="25"/>
      <c r="B2791" s="25"/>
      <c r="C2791" s="45"/>
      <c r="D2791" s="25"/>
      <c r="E2791" s="25"/>
    </row>
    <row r="2792" hidden="1">
      <c r="A2792" s="25"/>
      <c r="B2792" s="25"/>
      <c r="C2792" s="45"/>
      <c r="D2792" s="25"/>
      <c r="E2792" s="25"/>
    </row>
    <row r="2793" hidden="1">
      <c r="A2793" s="25"/>
      <c r="B2793" s="25"/>
      <c r="C2793" s="45"/>
      <c r="D2793" s="25"/>
      <c r="E2793" s="25"/>
    </row>
    <row r="2794" hidden="1">
      <c r="A2794" s="25"/>
      <c r="B2794" s="25"/>
      <c r="C2794" s="45"/>
      <c r="D2794" s="25"/>
      <c r="E2794" s="25"/>
    </row>
    <row r="2795" hidden="1">
      <c r="A2795" s="25"/>
      <c r="B2795" s="25"/>
      <c r="C2795" s="45"/>
      <c r="D2795" s="25"/>
      <c r="E2795" s="25"/>
    </row>
    <row r="2796" hidden="1">
      <c r="A2796" s="25"/>
      <c r="B2796" s="25"/>
      <c r="C2796" s="45"/>
      <c r="D2796" s="25"/>
      <c r="E2796" s="25"/>
    </row>
    <row r="2797" hidden="1">
      <c r="A2797" s="25"/>
      <c r="B2797" s="25"/>
      <c r="C2797" s="45"/>
      <c r="D2797" s="25"/>
      <c r="E2797" s="25"/>
    </row>
    <row r="2798" hidden="1">
      <c r="A2798" s="25"/>
      <c r="B2798" s="25"/>
      <c r="C2798" s="45"/>
      <c r="D2798" s="25"/>
      <c r="E2798" s="25"/>
    </row>
    <row r="2799" hidden="1">
      <c r="A2799" s="25"/>
      <c r="B2799" s="25"/>
      <c r="C2799" s="45"/>
      <c r="D2799" s="25"/>
      <c r="E2799" s="25"/>
    </row>
    <row r="2800" hidden="1">
      <c r="A2800" s="25"/>
      <c r="B2800" s="25"/>
      <c r="C2800" s="45"/>
      <c r="D2800" s="25"/>
      <c r="E2800" s="25"/>
    </row>
    <row r="2801" hidden="1">
      <c r="A2801" s="25"/>
      <c r="B2801" s="25"/>
      <c r="C2801" s="45"/>
      <c r="D2801" s="25"/>
      <c r="E2801" s="25"/>
    </row>
    <row r="2802" hidden="1">
      <c r="A2802" s="25"/>
      <c r="B2802" s="25"/>
      <c r="C2802" s="45"/>
      <c r="D2802" s="25"/>
      <c r="E2802" s="25"/>
    </row>
    <row r="2803" hidden="1">
      <c r="A2803" s="25"/>
      <c r="B2803" s="25"/>
      <c r="C2803" s="45"/>
      <c r="D2803" s="25"/>
      <c r="E2803" s="25"/>
    </row>
    <row r="2804" hidden="1">
      <c r="A2804" s="25"/>
      <c r="B2804" s="25"/>
      <c r="C2804" s="45"/>
      <c r="D2804" s="25"/>
      <c r="E2804" s="25"/>
    </row>
    <row r="2805" hidden="1">
      <c r="A2805" s="25"/>
      <c r="B2805" s="25"/>
      <c r="C2805" s="45"/>
      <c r="D2805" s="25"/>
      <c r="E2805" s="25"/>
    </row>
    <row r="2806" hidden="1">
      <c r="A2806" s="25"/>
      <c r="B2806" s="25"/>
      <c r="C2806" s="45"/>
      <c r="D2806" s="25"/>
      <c r="E2806" s="25"/>
    </row>
    <row r="2807" hidden="1">
      <c r="A2807" s="25"/>
      <c r="B2807" s="25"/>
      <c r="C2807" s="45"/>
      <c r="D2807" s="25"/>
      <c r="E2807" s="25"/>
    </row>
    <row r="2808" hidden="1">
      <c r="A2808" s="25"/>
      <c r="B2808" s="25"/>
      <c r="C2808" s="45"/>
      <c r="D2808" s="25"/>
      <c r="E2808" s="25"/>
    </row>
    <row r="2809" hidden="1">
      <c r="A2809" s="25"/>
      <c r="B2809" s="25"/>
      <c r="C2809" s="45"/>
      <c r="D2809" s="25"/>
      <c r="E2809" s="25"/>
    </row>
    <row r="2810" hidden="1">
      <c r="A2810" s="25"/>
      <c r="B2810" s="25"/>
      <c r="C2810" s="45"/>
      <c r="D2810" s="25"/>
      <c r="E2810" s="25"/>
    </row>
    <row r="2811" hidden="1">
      <c r="A2811" s="25"/>
      <c r="B2811" s="25"/>
      <c r="C2811" s="45"/>
      <c r="D2811" s="25"/>
      <c r="E2811" s="25"/>
    </row>
    <row r="2812" hidden="1">
      <c r="A2812" s="25"/>
      <c r="B2812" s="25"/>
      <c r="C2812" s="45"/>
      <c r="D2812" s="25"/>
      <c r="E2812" s="25"/>
    </row>
    <row r="2813" hidden="1">
      <c r="A2813" s="25"/>
      <c r="B2813" s="25"/>
      <c r="C2813" s="45"/>
      <c r="D2813" s="25"/>
      <c r="E2813" s="25"/>
    </row>
    <row r="2814" hidden="1">
      <c r="A2814" s="25"/>
      <c r="B2814" s="25"/>
      <c r="C2814" s="45"/>
      <c r="D2814" s="25"/>
      <c r="E2814" s="25"/>
    </row>
    <row r="2815" hidden="1">
      <c r="A2815" s="25"/>
      <c r="B2815" s="25"/>
      <c r="C2815" s="45"/>
      <c r="D2815" s="25"/>
      <c r="E2815" s="25"/>
    </row>
    <row r="2816" hidden="1">
      <c r="A2816" s="25"/>
      <c r="B2816" s="25"/>
      <c r="C2816" s="45"/>
      <c r="D2816" s="25"/>
      <c r="E2816" s="25"/>
    </row>
    <row r="2817" hidden="1">
      <c r="A2817" s="25"/>
      <c r="B2817" s="25"/>
      <c r="C2817" s="45"/>
      <c r="D2817" s="25"/>
      <c r="E2817" s="25"/>
    </row>
    <row r="2818" hidden="1">
      <c r="A2818" s="25"/>
      <c r="B2818" s="25"/>
      <c r="C2818" s="45"/>
      <c r="D2818" s="25"/>
      <c r="E2818" s="25"/>
    </row>
    <row r="2819" hidden="1">
      <c r="A2819" s="25"/>
      <c r="B2819" s="25"/>
      <c r="C2819" s="45"/>
      <c r="D2819" s="25"/>
      <c r="E2819" s="25"/>
    </row>
    <row r="2820" hidden="1">
      <c r="A2820" s="25"/>
      <c r="B2820" s="25"/>
      <c r="C2820" s="45"/>
      <c r="D2820" s="25"/>
      <c r="E2820" s="25"/>
    </row>
    <row r="2821" hidden="1">
      <c r="A2821" s="25"/>
      <c r="B2821" s="25"/>
      <c r="C2821" s="45"/>
      <c r="D2821" s="25"/>
      <c r="E2821" s="25"/>
    </row>
    <row r="2822" hidden="1">
      <c r="A2822" s="25"/>
      <c r="B2822" s="25"/>
      <c r="C2822" s="45"/>
      <c r="D2822" s="25"/>
      <c r="E2822" s="25"/>
    </row>
    <row r="2823" hidden="1">
      <c r="A2823" s="25"/>
      <c r="B2823" s="25"/>
      <c r="C2823" s="45"/>
      <c r="D2823" s="25"/>
      <c r="E2823" s="25"/>
    </row>
    <row r="2824" hidden="1">
      <c r="A2824" s="25"/>
      <c r="B2824" s="25"/>
      <c r="C2824" s="45"/>
      <c r="D2824" s="25"/>
      <c r="E2824" s="25"/>
    </row>
    <row r="2825" hidden="1">
      <c r="A2825" s="25"/>
      <c r="B2825" s="25"/>
      <c r="C2825" s="45"/>
      <c r="D2825" s="25"/>
      <c r="E2825" s="25"/>
    </row>
    <row r="2826" hidden="1">
      <c r="A2826" s="25"/>
      <c r="B2826" s="25"/>
      <c r="C2826" s="45"/>
      <c r="D2826" s="25"/>
      <c r="E2826" s="25"/>
    </row>
    <row r="2827" hidden="1">
      <c r="A2827" s="25"/>
      <c r="B2827" s="25"/>
      <c r="C2827" s="45"/>
      <c r="D2827" s="25"/>
      <c r="E2827" s="25"/>
    </row>
    <row r="2828" hidden="1">
      <c r="A2828" s="25"/>
      <c r="B2828" s="25"/>
      <c r="C2828" s="45"/>
      <c r="D2828" s="25"/>
      <c r="E2828" s="25"/>
    </row>
    <row r="2829" hidden="1">
      <c r="A2829" s="25"/>
      <c r="B2829" s="25"/>
      <c r="C2829" s="45"/>
      <c r="D2829" s="25"/>
      <c r="E2829" s="25"/>
    </row>
    <row r="2830" hidden="1">
      <c r="A2830" s="25"/>
      <c r="B2830" s="25"/>
      <c r="C2830" s="45"/>
      <c r="D2830" s="25"/>
      <c r="E2830" s="25"/>
    </row>
    <row r="2831" hidden="1">
      <c r="A2831" s="25"/>
      <c r="B2831" s="25"/>
      <c r="C2831" s="45"/>
      <c r="D2831" s="25"/>
      <c r="E2831" s="25"/>
    </row>
    <row r="2832" hidden="1">
      <c r="A2832" s="25"/>
      <c r="B2832" s="25"/>
      <c r="C2832" s="45"/>
      <c r="D2832" s="25"/>
      <c r="E2832" s="25"/>
    </row>
    <row r="2833" hidden="1">
      <c r="A2833" s="25"/>
      <c r="B2833" s="25"/>
      <c r="C2833" s="45"/>
      <c r="D2833" s="25"/>
      <c r="E2833" s="25"/>
    </row>
    <row r="2834" hidden="1">
      <c r="A2834" s="25"/>
      <c r="B2834" s="25"/>
      <c r="C2834" s="45"/>
      <c r="D2834" s="25"/>
      <c r="E2834" s="25"/>
    </row>
    <row r="2835" hidden="1">
      <c r="A2835" s="25"/>
      <c r="B2835" s="25"/>
      <c r="C2835" s="45"/>
      <c r="D2835" s="25"/>
      <c r="E2835" s="25"/>
    </row>
    <row r="2836" hidden="1">
      <c r="A2836" s="25"/>
      <c r="B2836" s="25"/>
      <c r="C2836" s="45"/>
      <c r="D2836" s="25"/>
      <c r="E2836" s="25"/>
    </row>
    <row r="2837" hidden="1">
      <c r="A2837" s="25"/>
      <c r="B2837" s="25"/>
      <c r="C2837" s="45"/>
      <c r="D2837" s="25"/>
      <c r="E2837" s="25"/>
    </row>
    <row r="2838" hidden="1">
      <c r="A2838" s="25"/>
      <c r="B2838" s="25"/>
      <c r="C2838" s="45"/>
      <c r="D2838" s="25"/>
      <c r="E2838" s="25"/>
    </row>
    <row r="2839" hidden="1">
      <c r="A2839" s="25"/>
      <c r="B2839" s="25"/>
      <c r="C2839" s="45"/>
      <c r="D2839" s="25"/>
      <c r="E2839" s="25"/>
    </row>
    <row r="2840" hidden="1">
      <c r="A2840" s="25"/>
      <c r="B2840" s="25"/>
      <c r="C2840" s="45"/>
      <c r="D2840" s="25"/>
      <c r="E2840" s="25"/>
    </row>
    <row r="2841" hidden="1">
      <c r="A2841" s="25"/>
      <c r="B2841" s="25"/>
      <c r="C2841" s="45"/>
      <c r="D2841" s="25"/>
      <c r="E2841" s="25"/>
    </row>
    <row r="2842" hidden="1">
      <c r="A2842" s="25"/>
      <c r="B2842" s="25"/>
      <c r="C2842" s="45"/>
      <c r="D2842" s="25"/>
      <c r="E2842" s="25"/>
    </row>
    <row r="2843" hidden="1">
      <c r="A2843" s="25"/>
      <c r="B2843" s="25"/>
      <c r="C2843" s="45"/>
      <c r="D2843" s="25"/>
      <c r="E2843" s="25"/>
    </row>
    <row r="2844" hidden="1">
      <c r="A2844" s="25"/>
      <c r="B2844" s="25"/>
      <c r="C2844" s="45"/>
      <c r="D2844" s="25"/>
      <c r="E2844" s="25"/>
    </row>
    <row r="2845" hidden="1">
      <c r="A2845" s="25"/>
      <c r="B2845" s="25"/>
      <c r="C2845" s="45"/>
      <c r="D2845" s="25"/>
      <c r="E2845" s="25"/>
    </row>
    <row r="2846" hidden="1">
      <c r="A2846" s="25"/>
      <c r="B2846" s="25"/>
      <c r="C2846" s="45"/>
      <c r="D2846" s="25"/>
      <c r="E2846" s="25"/>
    </row>
    <row r="2847" hidden="1">
      <c r="A2847" s="25"/>
      <c r="B2847" s="25"/>
      <c r="C2847" s="45"/>
      <c r="D2847" s="25"/>
      <c r="E2847" s="25"/>
    </row>
    <row r="2848" hidden="1">
      <c r="A2848" s="25"/>
      <c r="B2848" s="25"/>
      <c r="C2848" s="45"/>
      <c r="D2848" s="25"/>
      <c r="E2848" s="25"/>
    </row>
    <row r="2849" hidden="1">
      <c r="A2849" s="25"/>
      <c r="B2849" s="25"/>
      <c r="C2849" s="45"/>
      <c r="D2849" s="25"/>
      <c r="E2849" s="25"/>
    </row>
    <row r="2850" hidden="1">
      <c r="A2850" s="25"/>
      <c r="B2850" s="25"/>
      <c r="C2850" s="45"/>
      <c r="D2850" s="25"/>
      <c r="E2850" s="25"/>
    </row>
    <row r="2851" hidden="1">
      <c r="A2851" s="25"/>
      <c r="B2851" s="25"/>
      <c r="C2851" s="45"/>
      <c r="D2851" s="25"/>
      <c r="E2851" s="25"/>
    </row>
    <row r="2852" hidden="1">
      <c r="A2852" s="25"/>
      <c r="B2852" s="25"/>
      <c r="C2852" s="45"/>
      <c r="D2852" s="25"/>
      <c r="E2852" s="25"/>
    </row>
    <row r="2853" hidden="1">
      <c r="A2853" s="25"/>
      <c r="B2853" s="25"/>
      <c r="C2853" s="45"/>
      <c r="D2853" s="25"/>
      <c r="E2853" s="25"/>
    </row>
    <row r="2854" hidden="1">
      <c r="A2854" s="25"/>
      <c r="B2854" s="25"/>
      <c r="C2854" s="45"/>
      <c r="D2854" s="25"/>
      <c r="E2854" s="25"/>
    </row>
    <row r="2855" hidden="1">
      <c r="A2855" s="25"/>
      <c r="B2855" s="25"/>
      <c r="C2855" s="45"/>
      <c r="D2855" s="25"/>
      <c r="E2855" s="25"/>
    </row>
    <row r="2856" hidden="1">
      <c r="A2856" s="25"/>
      <c r="B2856" s="25"/>
      <c r="C2856" s="45"/>
      <c r="D2856" s="25"/>
      <c r="E2856" s="25"/>
    </row>
    <row r="2857" hidden="1">
      <c r="A2857" s="25"/>
      <c r="B2857" s="25"/>
      <c r="C2857" s="45"/>
      <c r="D2857" s="25"/>
      <c r="E2857" s="25"/>
    </row>
    <row r="2858" hidden="1">
      <c r="A2858" s="25"/>
      <c r="B2858" s="25"/>
      <c r="C2858" s="45"/>
      <c r="D2858" s="25"/>
      <c r="E2858" s="25"/>
    </row>
    <row r="2859" hidden="1">
      <c r="A2859" s="25"/>
      <c r="B2859" s="25"/>
      <c r="C2859" s="45"/>
      <c r="D2859" s="25"/>
      <c r="E2859" s="25"/>
    </row>
    <row r="2860" hidden="1">
      <c r="A2860" s="25"/>
      <c r="B2860" s="25"/>
      <c r="C2860" s="45"/>
      <c r="D2860" s="25"/>
      <c r="E2860" s="25"/>
    </row>
    <row r="2861" hidden="1">
      <c r="A2861" s="25"/>
      <c r="B2861" s="25"/>
      <c r="C2861" s="45"/>
      <c r="D2861" s="25"/>
      <c r="E2861" s="25"/>
    </row>
    <row r="2862" hidden="1">
      <c r="A2862" s="25"/>
      <c r="B2862" s="25"/>
      <c r="C2862" s="45"/>
      <c r="D2862" s="25"/>
      <c r="E2862" s="25"/>
    </row>
    <row r="2863" hidden="1">
      <c r="A2863" s="25"/>
      <c r="B2863" s="25"/>
      <c r="C2863" s="45"/>
      <c r="D2863" s="25"/>
      <c r="E2863" s="25"/>
    </row>
    <row r="2864" hidden="1">
      <c r="A2864" s="25"/>
      <c r="B2864" s="25"/>
      <c r="C2864" s="45"/>
      <c r="D2864" s="25"/>
      <c r="E2864" s="25"/>
    </row>
    <row r="2865" hidden="1">
      <c r="A2865" s="25"/>
      <c r="B2865" s="25"/>
      <c r="C2865" s="45"/>
      <c r="D2865" s="25"/>
      <c r="E2865" s="25"/>
    </row>
    <row r="2866" hidden="1">
      <c r="A2866" s="25"/>
      <c r="B2866" s="25"/>
      <c r="C2866" s="45"/>
      <c r="D2866" s="25"/>
      <c r="E2866" s="25"/>
    </row>
    <row r="2867" hidden="1">
      <c r="A2867" s="25"/>
      <c r="B2867" s="25"/>
      <c r="C2867" s="45"/>
      <c r="D2867" s="25"/>
      <c r="E2867" s="25"/>
    </row>
    <row r="2868" hidden="1">
      <c r="A2868" s="25"/>
      <c r="B2868" s="25"/>
      <c r="C2868" s="45"/>
      <c r="D2868" s="25"/>
      <c r="E2868" s="25"/>
    </row>
    <row r="2869" hidden="1">
      <c r="A2869" s="25"/>
      <c r="B2869" s="25"/>
      <c r="C2869" s="45"/>
      <c r="D2869" s="25"/>
      <c r="E2869" s="25"/>
    </row>
    <row r="2870" hidden="1">
      <c r="A2870" s="25"/>
      <c r="B2870" s="25"/>
      <c r="C2870" s="45"/>
      <c r="D2870" s="25"/>
      <c r="E2870" s="25"/>
    </row>
    <row r="2871" hidden="1">
      <c r="A2871" s="25"/>
      <c r="B2871" s="25"/>
      <c r="C2871" s="45"/>
      <c r="D2871" s="25"/>
      <c r="E2871" s="25"/>
    </row>
    <row r="2872" hidden="1">
      <c r="A2872" s="25"/>
      <c r="B2872" s="25"/>
      <c r="C2872" s="45"/>
      <c r="D2872" s="25"/>
      <c r="E2872" s="25"/>
    </row>
    <row r="2873" hidden="1">
      <c r="A2873" s="25"/>
      <c r="B2873" s="25"/>
      <c r="C2873" s="45"/>
      <c r="D2873" s="25"/>
      <c r="E2873" s="25"/>
    </row>
    <row r="2874" hidden="1">
      <c r="A2874" s="25"/>
      <c r="B2874" s="25"/>
      <c r="C2874" s="45"/>
      <c r="D2874" s="25"/>
      <c r="E2874" s="25"/>
    </row>
    <row r="2875" hidden="1">
      <c r="A2875" s="25"/>
      <c r="B2875" s="25"/>
      <c r="C2875" s="45"/>
      <c r="D2875" s="25"/>
      <c r="E2875" s="25"/>
    </row>
    <row r="2876" hidden="1">
      <c r="A2876" s="25"/>
      <c r="B2876" s="25"/>
      <c r="C2876" s="45"/>
      <c r="D2876" s="25"/>
      <c r="E2876" s="25"/>
    </row>
    <row r="2877" hidden="1">
      <c r="A2877" s="25"/>
      <c r="B2877" s="25"/>
      <c r="C2877" s="45"/>
      <c r="D2877" s="25"/>
      <c r="E2877" s="25"/>
    </row>
    <row r="2878" hidden="1">
      <c r="A2878" s="25"/>
      <c r="B2878" s="25"/>
      <c r="C2878" s="45"/>
      <c r="D2878" s="25"/>
      <c r="E2878" s="25"/>
    </row>
    <row r="2879" hidden="1">
      <c r="A2879" s="25"/>
      <c r="B2879" s="25"/>
      <c r="C2879" s="45"/>
      <c r="D2879" s="25"/>
      <c r="E2879" s="25"/>
    </row>
    <row r="2880" hidden="1">
      <c r="A2880" s="25"/>
      <c r="B2880" s="25"/>
      <c r="C2880" s="45"/>
      <c r="D2880" s="25"/>
      <c r="E2880" s="25"/>
    </row>
    <row r="2881" hidden="1">
      <c r="A2881" s="25"/>
      <c r="B2881" s="25"/>
      <c r="C2881" s="45"/>
      <c r="D2881" s="25"/>
      <c r="E2881" s="25"/>
    </row>
    <row r="2882" hidden="1">
      <c r="A2882" s="25"/>
      <c r="B2882" s="25"/>
      <c r="C2882" s="45"/>
      <c r="D2882" s="25"/>
      <c r="E2882" s="25"/>
    </row>
    <row r="2883" hidden="1">
      <c r="A2883" s="25"/>
      <c r="B2883" s="25"/>
      <c r="C2883" s="45"/>
      <c r="D2883" s="25"/>
      <c r="E2883" s="25"/>
    </row>
    <row r="2884" hidden="1">
      <c r="A2884" s="25"/>
      <c r="B2884" s="25"/>
      <c r="C2884" s="45"/>
      <c r="D2884" s="25"/>
      <c r="E2884" s="25"/>
    </row>
    <row r="2885" hidden="1">
      <c r="A2885" s="25"/>
      <c r="B2885" s="25"/>
      <c r="C2885" s="45"/>
      <c r="D2885" s="25"/>
      <c r="E2885" s="25"/>
    </row>
    <row r="2886" hidden="1">
      <c r="A2886" s="25"/>
      <c r="B2886" s="25"/>
      <c r="C2886" s="45"/>
      <c r="D2886" s="25"/>
      <c r="E2886" s="25"/>
    </row>
    <row r="2887" hidden="1">
      <c r="A2887" s="25"/>
      <c r="B2887" s="25"/>
      <c r="C2887" s="45"/>
      <c r="D2887" s="25"/>
      <c r="E2887" s="25"/>
    </row>
    <row r="2888" hidden="1">
      <c r="A2888" s="25"/>
      <c r="B2888" s="25"/>
      <c r="C2888" s="45"/>
      <c r="D2888" s="25"/>
      <c r="E2888" s="25"/>
    </row>
    <row r="2889" hidden="1">
      <c r="A2889" s="25"/>
      <c r="B2889" s="25"/>
      <c r="C2889" s="45"/>
      <c r="D2889" s="25"/>
      <c r="E2889" s="25"/>
    </row>
    <row r="2890" hidden="1">
      <c r="A2890" s="25"/>
      <c r="B2890" s="25"/>
      <c r="C2890" s="45"/>
      <c r="D2890" s="25"/>
      <c r="E2890" s="25"/>
    </row>
    <row r="2891" hidden="1">
      <c r="A2891" s="25"/>
      <c r="B2891" s="25"/>
      <c r="C2891" s="45"/>
      <c r="D2891" s="25"/>
      <c r="E2891" s="25"/>
    </row>
    <row r="2892" hidden="1">
      <c r="A2892" s="25"/>
      <c r="B2892" s="25"/>
      <c r="C2892" s="45"/>
      <c r="D2892" s="25"/>
      <c r="E2892" s="25"/>
    </row>
    <row r="2893" hidden="1">
      <c r="A2893" s="25"/>
      <c r="B2893" s="25"/>
      <c r="C2893" s="45"/>
      <c r="D2893" s="25"/>
      <c r="E2893" s="25"/>
    </row>
    <row r="2894" hidden="1">
      <c r="A2894" s="25"/>
      <c r="B2894" s="25"/>
      <c r="C2894" s="45"/>
      <c r="D2894" s="25"/>
      <c r="E2894" s="25"/>
    </row>
    <row r="2895" hidden="1">
      <c r="A2895" s="25"/>
      <c r="B2895" s="25"/>
      <c r="C2895" s="45"/>
      <c r="D2895" s="25"/>
      <c r="E2895" s="25"/>
    </row>
    <row r="2896" hidden="1">
      <c r="A2896" s="25"/>
      <c r="B2896" s="25"/>
      <c r="C2896" s="45"/>
      <c r="D2896" s="25"/>
      <c r="E2896" s="25"/>
    </row>
    <row r="2897" hidden="1">
      <c r="A2897" s="25"/>
      <c r="B2897" s="25"/>
      <c r="C2897" s="45"/>
      <c r="D2897" s="25"/>
      <c r="E2897" s="25"/>
    </row>
    <row r="2898" hidden="1">
      <c r="A2898" s="25"/>
      <c r="B2898" s="25"/>
      <c r="C2898" s="45"/>
      <c r="D2898" s="25"/>
      <c r="E2898" s="25"/>
    </row>
    <row r="2899" hidden="1">
      <c r="A2899" s="25"/>
      <c r="B2899" s="25"/>
      <c r="C2899" s="45"/>
      <c r="D2899" s="25"/>
      <c r="E2899" s="25"/>
    </row>
    <row r="2900" hidden="1">
      <c r="A2900" s="25"/>
      <c r="B2900" s="25"/>
      <c r="C2900" s="45"/>
      <c r="D2900" s="25"/>
      <c r="E2900" s="25"/>
    </row>
    <row r="2901" hidden="1">
      <c r="A2901" s="25"/>
      <c r="B2901" s="25"/>
      <c r="C2901" s="45"/>
      <c r="D2901" s="25"/>
      <c r="E2901" s="25"/>
    </row>
    <row r="2902" hidden="1">
      <c r="A2902" s="25"/>
      <c r="B2902" s="25"/>
      <c r="C2902" s="45"/>
      <c r="D2902" s="25"/>
      <c r="E2902" s="25"/>
    </row>
    <row r="2903" hidden="1">
      <c r="A2903" s="25"/>
      <c r="B2903" s="25"/>
      <c r="C2903" s="45"/>
      <c r="D2903" s="25"/>
      <c r="E2903" s="25"/>
    </row>
    <row r="2904" hidden="1">
      <c r="A2904" s="25"/>
      <c r="B2904" s="25"/>
      <c r="C2904" s="45"/>
      <c r="D2904" s="25"/>
      <c r="E2904" s="25"/>
    </row>
    <row r="2905" hidden="1">
      <c r="A2905" s="25"/>
      <c r="B2905" s="25"/>
      <c r="C2905" s="45"/>
      <c r="D2905" s="25"/>
      <c r="E2905" s="25"/>
    </row>
    <row r="2906" hidden="1">
      <c r="A2906" s="25"/>
      <c r="B2906" s="25"/>
      <c r="C2906" s="45"/>
      <c r="D2906" s="25"/>
      <c r="E2906" s="25"/>
    </row>
    <row r="2907" hidden="1">
      <c r="A2907" s="25"/>
      <c r="B2907" s="25"/>
      <c r="C2907" s="45"/>
      <c r="D2907" s="25"/>
      <c r="E2907" s="25"/>
    </row>
    <row r="2908" hidden="1">
      <c r="A2908" s="25"/>
      <c r="B2908" s="25"/>
      <c r="C2908" s="45"/>
      <c r="D2908" s="25"/>
      <c r="E2908" s="25"/>
    </row>
    <row r="2909" hidden="1">
      <c r="A2909" s="25"/>
      <c r="B2909" s="25"/>
      <c r="C2909" s="45"/>
      <c r="D2909" s="25"/>
      <c r="E2909" s="25"/>
    </row>
    <row r="2910" hidden="1">
      <c r="A2910" s="25"/>
      <c r="B2910" s="25"/>
      <c r="C2910" s="45"/>
      <c r="D2910" s="25"/>
      <c r="E2910" s="25"/>
    </row>
    <row r="2911" hidden="1">
      <c r="A2911" s="25"/>
      <c r="B2911" s="25"/>
      <c r="C2911" s="45"/>
      <c r="D2911" s="25"/>
      <c r="E2911" s="25"/>
    </row>
    <row r="2912" hidden="1">
      <c r="A2912" s="25"/>
      <c r="B2912" s="25"/>
      <c r="C2912" s="45"/>
      <c r="D2912" s="25"/>
      <c r="E2912" s="25"/>
    </row>
    <row r="2913" hidden="1">
      <c r="A2913" s="25"/>
      <c r="B2913" s="25"/>
      <c r="C2913" s="45"/>
      <c r="D2913" s="25"/>
      <c r="E2913" s="25"/>
    </row>
    <row r="2914" hidden="1">
      <c r="A2914" s="25"/>
      <c r="B2914" s="25"/>
      <c r="C2914" s="45"/>
      <c r="D2914" s="25"/>
      <c r="E2914" s="25"/>
    </row>
    <row r="2915" hidden="1">
      <c r="A2915" s="25"/>
      <c r="B2915" s="25"/>
      <c r="C2915" s="45"/>
      <c r="D2915" s="25"/>
      <c r="E2915" s="25"/>
    </row>
    <row r="2916" hidden="1">
      <c r="A2916" s="25"/>
      <c r="B2916" s="25"/>
      <c r="C2916" s="45"/>
      <c r="D2916" s="25"/>
      <c r="E2916" s="25"/>
    </row>
    <row r="2917" hidden="1">
      <c r="A2917" s="25"/>
      <c r="B2917" s="25"/>
      <c r="C2917" s="45"/>
      <c r="D2917" s="25"/>
      <c r="E2917" s="25"/>
    </row>
    <row r="2918" hidden="1">
      <c r="A2918" s="25"/>
      <c r="B2918" s="25"/>
      <c r="C2918" s="45"/>
      <c r="D2918" s="25"/>
      <c r="E2918" s="25"/>
    </row>
    <row r="2919" hidden="1">
      <c r="A2919" s="25"/>
      <c r="B2919" s="25"/>
      <c r="C2919" s="45"/>
      <c r="D2919" s="25"/>
      <c r="E2919" s="25"/>
    </row>
    <row r="2920" hidden="1">
      <c r="A2920" s="25"/>
      <c r="B2920" s="25"/>
      <c r="C2920" s="45"/>
      <c r="D2920" s="25"/>
      <c r="E2920" s="25"/>
    </row>
    <row r="2921" hidden="1">
      <c r="A2921" s="25"/>
      <c r="B2921" s="25"/>
      <c r="C2921" s="45"/>
      <c r="D2921" s="25"/>
      <c r="E2921" s="25"/>
    </row>
    <row r="2922" hidden="1">
      <c r="A2922" s="25"/>
      <c r="B2922" s="25"/>
      <c r="C2922" s="45"/>
      <c r="D2922" s="25"/>
      <c r="E2922" s="25"/>
    </row>
    <row r="2923" hidden="1">
      <c r="A2923" s="25"/>
      <c r="B2923" s="25"/>
      <c r="C2923" s="45"/>
      <c r="D2923" s="25"/>
      <c r="E2923" s="25"/>
    </row>
    <row r="2924" hidden="1">
      <c r="A2924" s="25"/>
      <c r="B2924" s="25"/>
      <c r="C2924" s="45"/>
      <c r="D2924" s="25"/>
      <c r="E2924" s="25"/>
    </row>
    <row r="2925" hidden="1">
      <c r="A2925" s="25"/>
      <c r="B2925" s="25"/>
      <c r="C2925" s="45"/>
      <c r="D2925" s="25"/>
      <c r="E2925" s="25"/>
    </row>
    <row r="2926" hidden="1">
      <c r="A2926" s="25"/>
      <c r="B2926" s="25"/>
      <c r="C2926" s="45"/>
      <c r="D2926" s="25"/>
      <c r="E2926" s="25"/>
    </row>
    <row r="2927" hidden="1">
      <c r="A2927" s="25"/>
      <c r="B2927" s="25"/>
      <c r="C2927" s="45"/>
      <c r="D2927" s="25"/>
      <c r="E2927" s="25"/>
    </row>
    <row r="2928" hidden="1">
      <c r="A2928" s="25"/>
      <c r="B2928" s="25"/>
      <c r="C2928" s="45"/>
      <c r="D2928" s="25"/>
      <c r="E2928" s="25"/>
    </row>
    <row r="2929" hidden="1">
      <c r="A2929" s="25"/>
      <c r="B2929" s="25"/>
      <c r="C2929" s="45"/>
      <c r="D2929" s="25"/>
      <c r="E2929" s="25"/>
    </row>
    <row r="2930" hidden="1">
      <c r="A2930" s="25"/>
      <c r="B2930" s="25"/>
      <c r="C2930" s="45"/>
      <c r="D2930" s="25"/>
      <c r="E2930" s="25"/>
    </row>
    <row r="2931" hidden="1">
      <c r="A2931" s="25"/>
      <c r="B2931" s="25"/>
      <c r="C2931" s="45"/>
      <c r="D2931" s="25"/>
      <c r="E2931" s="25"/>
    </row>
    <row r="2932" hidden="1">
      <c r="A2932" s="25"/>
      <c r="B2932" s="25"/>
      <c r="C2932" s="45"/>
      <c r="D2932" s="25"/>
      <c r="E2932" s="25"/>
    </row>
    <row r="2933" hidden="1">
      <c r="A2933" s="25"/>
      <c r="B2933" s="25"/>
      <c r="C2933" s="45"/>
      <c r="D2933" s="25"/>
      <c r="E2933" s="25"/>
    </row>
    <row r="2934" hidden="1">
      <c r="A2934" s="25"/>
      <c r="B2934" s="25"/>
      <c r="C2934" s="45"/>
      <c r="D2934" s="25"/>
      <c r="E2934" s="25"/>
    </row>
    <row r="2935" hidden="1">
      <c r="A2935" s="25"/>
      <c r="B2935" s="25"/>
      <c r="C2935" s="45"/>
      <c r="D2935" s="25"/>
      <c r="E2935" s="25"/>
    </row>
    <row r="2936" hidden="1">
      <c r="A2936" s="25"/>
      <c r="B2936" s="25"/>
      <c r="C2936" s="45"/>
      <c r="D2936" s="25"/>
      <c r="E2936" s="25"/>
    </row>
    <row r="2937" hidden="1">
      <c r="A2937" s="25"/>
      <c r="B2937" s="25"/>
      <c r="C2937" s="45"/>
      <c r="D2937" s="25"/>
      <c r="E2937" s="25"/>
    </row>
    <row r="2938" hidden="1">
      <c r="A2938" s="25"/>
      <c r="B2938" s="25"/>
      <c r="C2938" s="45"/>
      <c r="D2938" s="25"/>
      <c r="E2938" s="25"/>
    </row>
    <row r="2939" hidden="1">
      <c r="A2939" s="25"/>
      <c r="B2939" s="25"/>
      <c r="C2939" s="45"/>
      <c r="D2939" s="25"/>
      <c r="E2939" s="25"/>
    </row>
    <row r="2940" hidden="1">
      <c r="A2940" s="25"/>
      <c r="B2940" s="25"/>
      <c r="C2940" s="45"/>
      <c r="D2940" s="25"/>
      <c r="E2940" s="25"/>
    </row>
    <row r="2941" hidden="1">
      <c r="A2941" s="25"/>
      <c r="B2941" s="25"/>
      <c r="C2941" s="45"/>
      <c r="D2941" s="25"/>
      <c r="E2941" s="25"/>
    </row>
    <row r="2942" hidden="1">
      <c r="A2942" s="25"/>
      <c r="B2942" s="25"/>
      <c r="C2942" s="45"/>
      <c r="D2942" s="25"/>
      <c r="E2942" s="25"/>
    </row>
    <row r="2943" hidden="1">
      <c r="A2943" s="25"/>
      <c r="B2943" s="25"/>
      <c r="C2943" s="45"/>
      <c r="D2943" s="25"/>
      <c r="E2943" s="25"/>
    </row>
    <row r="2944" hidden="1">
      <c r="A2944" s="25"/>
      <c r="B2944" s="25"/>
      <c r="C2944" s="45"/>
      <c r="D2944" s="25"/>
      <c r="E2944" s="25"/>
    </row>
    <row r="2945" hidden="1">
      <c r="A2945" s="25"/>
      <c r="B2945" s="25"/>
      <c r="C2945" s="45"/>
      <c r="D2945" s="25"/>
      <c r="E2945" s="25"/>
    </row>
    <row r="2946" hidden="1">
      <c r="A2946" s="25"/>
      <c r="B2946" s="25"/>
      <c r="C2946" s="45"/>
      <c r="D2946" s="25"/>
      <c r="E2946" s="25"/>
    </row>
    <row r="2947" hidden="1">
      <c r="A2947" s="25"/>
      <c r="B2947" s="25"/>
      <c r="C2947" s="45"/>
      <c r="D2947" s="25"/>
      <c r="E2947" s="25"/>
    </row>
    <row r="2948" hidden="1">
      <c r="A2948" s="25"/>
      <c r="B2948" s="25"/>
      <c r="C2948" s="45"/>
      <c r="D2948" s="25"/>
      <c r="E2948" s="25"/>
    </row>
    <row r="2949" hidden="1">
      <c r="A2949" s="25"/>
      <c r="B2949" s="25"/>
      <c r="C2949" s="45"/>
      <c r="D2949" s="25"/>
      <c r="E2949" s="25"/>
    </row>
    <row r="2950" hidden="1">
      <c r="A2950" s="25"/>
      <c r="B2950" s="25"/>
      <c r="C2950" s="45"/>
      <c r="D2950" s="25"/>
      <c r="E2950" s="25"/>
    </row>
    <row r="2951" hidden="1">
      <c r="A2951" s="25"/>
      <c r="B2951" s="25"/>
      <c r="C2951" s="45"/>
      <c r="D2951" s="25"/>
      <c r="E2951" s="25"/>
    </row>
    <row r="2952" hidden="1">
      <c r="A2952" s="25"/>
      <c r="B2952" s="25"/>
      <c r="C2952" s="45"/>
      <c r="D2952" s="25"/>
      <c r="E2952" s="25"/>
    </row>
    <row r="2953" hidden="1">
      <c r="A2953" s="25"/>
      <c r="B2953" s="25"/>
      <c r="C2953" s="45"/>
      <c r="D2953" s="25"/>
      <c r="E2953" s="25"/>
    </row>
    <row r="2954" hidden="1">
      <c r="A2954" s="25"/>
      <c r="B2954" s="25"/>
      <c r="C2954" s="45"/>
      <c r="D2954" s="25"/>
      <c r="E2954" s="25"/>
    </row>
    <row r="2955" hidden="1">
      <c r="A2955" s="25"/>
      <c r="B2955" s="25"/>
      <c r="C2955" s="45"/>
      <c r="D2955" s="25"/>
      <c r="E2955" s="25"/>
    </row>
    <row r="2956" hidden="1">
      <c r="A2956" s="25"/>
      <c r="B2956" s="25"/>
      <c r="C2956" s="45"/>
      <c r="D2956" s="25"/>
      <c r="E2956" s="25"/>
    </row>
    <row r="2957" hidden="1">
      <c r="A2957" s="25"/>
      <c r="B2957" s="25"/>
      <c r="C2957" s="45"/>
      <c r="D2957" s="25"/>
      <c r="E2957" s="25"/>
    </row>
    <row r="2958" hidden="1">
      <c r="A2958" s="25"/>
      <c r="B2958" s="25"/>
      <c r="C2958" s="45"/>
      <c r="D2958" s="25"/>
      <c r="E2958" s="25"/>
    </row>
    <row r="2959" hidden="1">
      <c r="A2959" s="25"/>
      <c r="B2959" s="25"/>
      <c r="C2959" s="45"/>
      <c r="D2959" s="25"/>
      <c r="E2959" s="25"/>
    </row>
    <row r="2960" hidden="1">
      <c r="A2960" s="25"/>
      <c r="B2960" s="25"/>
      <c r="C2960" s="45"/>
      <c r="D2960" s="25"/>
      <c r="E2960" s="25"/>
    </row>
    <row r="2961" hidden="1">
      <c r="A2961" s="25"/>
      <c r="B2961" s="25"/>
      <c r="C2961" s="45"/>
      <c r="D2961" s="25"/>
      <c r="E2961" s="25"/>
    </row>
    <row r="2962" hidden="1">
      <c r="A2962" s="25"/>
      <c r="B2962" s="25"/>
      <c r="C2962" s="45"/>
      <c r="D2962" s="25"/>
      <c r="E2962" s="25"/>
    </row>
    <row r="2963" hidden="1">
      <c r="A2963" s="25"/>
      <c r="B2963" s="25"/>
      <c r="C2963" s="45"/>
      <c r="D2963" s="25"/>
      <c r="E2963" s="25"/>
    </row>
    <row r="2964" hidden="1">
      <c r="A2964" s="25"/>
      <c r="B2964" s="25"/>
      <c r="C2964" s="45"/>
      <c r="D2964" s="25"/>
      <c r="E2964" s="25"/>
    </row>
    <row r="2965" hidden="1">
      <c r="A2965" s="25"/>
      <c r="B2965" s="25"/>
      <c r="C2965" s="45"/>
      <c r="D2965" s="25"/>
      <c r="E2965" s="25"/>
    </row>
    <row r="2966" hidden="1">
      <c r="A2966" s="25"/>
      <c r="B2966" s="25"/>
      <c r="C2966" s="45"/>
      <c r="D2966" s="25"/>
      <c r="E2966" s="25"/>
    </row>
    <row r="2967" hidden="1">
      <c r="A2967" s="25"/>
      <c r="B2967" s="25"/>
      <c r="C2967" s="45"/>
      <c r="D2967" s="25"/>
      <c r="E2967" s="25"/>
    </row>
    <row r="2968" hidden="1">
      <c r="A2968" s="25"/>
      <c r="B2968" s="25"/>
      <c r="C2968" s="45"/>
      <c r="D2968" s="25"/>
      <c r="E2968" s="25"/>
    </row>
    <row r="2969" hidden="1">
      <c r="A2969" s="25"/>
      <c r="B2969" s="25"/>
      <c r="C2969" s="45"/>
      <c r="D2969" s="25"/>
      <c r="E2969" s="25"/>
    </row>
    <row r="2970" hidden="1">
      <c r="A2970" s="25"/>
      <c r="B2970" s="25"/>
      <c r="C2970" s="45"/>
      <c r="D2970" s="25"/>
      <c r="E2970" s="25"/>
    </row>
    <row r="2971" hidden="1">
      <c r="A2971" s="25"/>
      <c r="B2971" s="25"/>
      <c r="C2971" s="45"/>
      <c r="D2971" s="25"/>
      <c r="E2971" s="25"/>
    </row>
    <row r="2972" hidden="1">
      <c r="A2972" s="25"/>
      <c r="B2972" s="25"/>
      <c r="C2972" s="45"/>
      <c r="D2972" s="25"/>
      <c r="E2972" s="25"/>
    </row>
    <row r="2973" hidden="1">
      <c r="A2973" s="25"/>
      <c r="B2973" s="25"/>
      <c r="C2973" s="45"/>
      <c r="D2973" s="25"/>
      <c r="E2973" s="25"/>
    </row>
    <row r="2974" hidden="1">
      <c r="A2974" s="25"/>
      <c r="B2974" s="25"/>
      <c r="C2974" s="45"/>
      <c r="D2974" s="25"/>
      <c r="E2974" s="25"/>
    </row>
    <row r="2975" hidden="1">
      <c r="A2975" s="25"/>
      <c r="B2975" s="25"/>
      <c r="C2975" s="45"/>
      <c r="D2975" s="25"/>
      <c r="E2975" s="25"/>
    </row>
    <row r="2976" hidden="1">
      <c r="A2976" s="25"/>
      <c r="B2976" s="25"/>
      <c r="C2976" s="45"/>
      <c r="D2976" s="25"/>
      <c r="E2976" s="25"/>
    </row>
    <row r="2977" hidden="1">
      <c r="A2977" s="25"/>
      <c r="B2977" s="25"/>
      <c r="C2977" s="45"/>
      <c r="D2977" s="25"/>
      <c r="E2977" s="25"/>
    </row>
    <row r="2978" hidden="1">
      <c r="A2978" s="25"/>
      <c r="B2978" s="25"/>
      <c r="C2978" s="45"/>
      <c r="D2978" s="25"/>
      <c r="E2978" s="25"/>
    </row>
    <row r="2979" hidden="1">
      <c r="A2979" s="25"/>
      <c r="B2979" s="25"/>
      <c r="C2979" s="45"/>
      <c r="D2979" s="25"/>
      <c r="E2979" s="25"/>
    </row>
    <row r="2980" hidden="1">
      <c r="A2980" s="25"/>
      <c r="B2980" s="25"/>
      <c r="C2980" s="45"/>
      <c r="D2980" s="25"/>
      <c r="E2980" s="25"/>
    </row>
    <row r="2981" hidden="1">
      <c r="A2981" s="25"/>
      <c r="B2981" s="25"/>
      <c r="C2981" s="45"/>
      <c r="D2981" s="25"/>
      <c r="E2981" s="25"/>
    </row>
    <row r="2982" hidden="1">
      <c r="A2982" s="25"/>
      <c r="B2982" s="25"/>
      <c r="C2982" s="45"/>
      <c r="D2982" s="25"/>
      <c r="E2982" s="25"/>
    </row>
    <row r="2983" hidden="1">
      <c r="A2983" s="25"/>
      <c r="B2983" s="25"/>
      <c r="C2983" s="45"/>
      <c r="D2983" s="25"/>
      <c r="E2983" s="25"/>
    </row>
    <row r="2984" hidden="1">
      <c r="A2984" s="25"/>
      <c r="B2984" s="25"/>
      <c r="C2984" s="45"/>
      <c r="D2984" s="25"/>
      <c r="E2984" s="25"/>
    </row>
    <row r="2985" hidden="1">
      <c r="A2985" s="25"/>
      <c r="B2985" s="25"/>
      <c r="C2985" s="45"/>
      <c r="D2985" s="25"/>
      <c r="E2985" s="25"/>
    </row>
    <row r="2986" hidden="1">
      <c r="A2986" s="25"/>
      <c r="B2986" s="25"/>
      <c r="C2986" s="45"/>
      <c r="D2986" s="25"/>
      <c r="E2986" s="25"/>
    </row>
    <row r="2987" hidden="1">
      <c r="A2987" s="25"/>
      <c r="B2987" s="25"/>
      <c r="C2987" s="45"/>
      <c r="D2987" s="25"/>
      <c r="E2987" s="25"/>
    </row>
    <row r="2988" hidden="1">
      <c r="A2988" s="25"/>
      <c r="B2988" s="25"/>
      <c r="C2988" s="45"/>
      <c r="D2988" s="25"/>
      <c r="E2988" s="25"/>
    </row>
    <row r="2989" hidden="1">
      <c r="A2989" s="25"/>
      <c r="B2989" s="25"/>
      <c r="C2989" s="45"/>
      <c r="D2989" s="25"/>
      <c r="E2989" s="25"/>
    </row>
    <row r="2990" hidden="1">
      <c r="A2990" s="25"/>
      <c r="B2990" s="25"/>
      <c r="C2990" s="45"/>
      <c r="D2990" s="25"/>
      <c r="E2990" s="25"/>
    </row>
    <row r="2991" hidden="1">
      <c r="A2991" s="25"/>
      <c r="B2991" s="25"/>
      <c r="C2991" s="45"/>
      <c r="D2991" s="25"/>
      <c r="E2991" s="25"/>
    </row>
  </sheetData>
  <autoFilter ref="$A$1:$A$2991">
    <filterColumn colId="0">
      <filters>
        <filter val="select_one agree_likert"/>
        <filter val="select_one towns"/>
        <filter val="select_one region"/>
        <filter val="integer"/>
        <filter val="select_multiple emergency"/>
        <filter val="select_one yesno"/>
        <filter val="select_one unit"/>
        <filter val="select_multiple cons_week"/>
        <filter val="select_multiple docs"/>
        <filter val="select_one round"/>
        <filter val="select_one husbandwife"/>
        <filter val="select_one unavail_why"/>
        <filter val="select_multiple risks"/>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one members"/>
        <filter val="select_one enum"/>
        <filter val="select_one yesnodk"/>
        <filter val="select_one countries"/>
        <filter val="select_multiple cons_month"/>
        <filter val="select_one education"/>
        <filter val="decimal"/>
        <filter val="select_one freq"/>
        <filter val="select_one resp"/>
        <filter val="note"/>
        <filter val="select_one worries"/>
        <filter val="select_one id"/>
        <filter val="select_one sex"/>
        <filter val="select_multiple changes"/>
        <filter val="select_one state_likert"/>
        <filter val="select_one purpose"/>
        <filter val="select_one statement"/>
        <filter val="select_one team"/>
        <filter val="select_one relation"/>
        <filter val="select_one commune"/>
        <filter val="select_multiple goods_transfer"/>
        <filter val="select_multiple mitigate"/>
        <filter val="select_one schools"/>
        <filter val="select_one call"/>
        <filter val="select_one live_home"/>
        <filter val="select_one patient"/>
        <filter val="select_multiple illness"/>
        <filter val="select_one live_away"/>
        <filter val="select_multiple support"/>
        <filter val="select_multiple transmit"/>
        <filter val="select_multiple countries"/>
        <filter val="select_one contact_relation"/>
        <filter val="select_multiple vax"/>
        <filter val="select_one health"/>
        <filter val="select_one whyno_in"/>
        <filter val="select_multiple region"/>
        <filter val="select_multiple livestock"/>
        <filter val="select_one illness"/>
        <filter val="select_multiple savings"/>
        <filter val="select_one comprehension"/>
        <filter val="select_one activities"/>
      </filters>
    </filterColumn>
  </autoFilter>
  <conditionalFormatting sqref="B2001:C2991 D2001:E2512">
    <cfRule type="expression" dxfId="0" priority="1" stopIfTrue="1">
      <formula>$A2001="begin group"</formula>
    </cfRule>
  </conditionalFormatting>
  <conditionalFormatting sqref="B2001:C2991 D2001:E2512">
    <cfRule type="expression" dxfId="1" priority="2" stopIfTrue="1">
      <formula>$A2001="begin repeat"</formula>
    </cfRule>
  </conditionalFormatting>
  <conditionalFormatting sqref="B2001:E2991">
    <cfRule type="expression" dxfId="31" priority="3" stopIfTrue="1">
      <formula>$A2001="enumerator"</formula>
    </cfRule>
  </conditionalFormatting>
  <conditionalFormatting sqref="B2001:E2991">
    <cfRule type="expression" dxfId="2" priority="4" stopIfTrue="1">
      <formula>$A2001="text"</formula>
    </cfRule>
  </conditionalFormatting>
  <conditionalFormatting sqref="B2001:E2991">
    <cfRule type="expression" dxfId="3" priority="5" stopIfTrue="1">
      <formula>$A2001="integer"</formula>
    </cfRule>
  </conditionalFormatting>
  <conditionalFormatting sqref="B2001:E2991">
    <cfRule type="expression" dxfId="4" priority="6" stopIfTrue="1">
      <formula>$A2001="decimal"</formula>
    </cfRule>
  </conditionalFormatting>
  <conditionalFormatting sqref="B2001:C2991 D2001:E2512">
    <cfRule type="expression" dxfId="5" priority="7" stopIfTrue="1">
      <formula>OR(AND(LEFT($A2001, 16)="select_multiple ", LEN($A2001)&gt;16, NOT(ISNUMBER(SEARCH(" ", $A2001, 17)))), AND(LEFT($A2001, 11)="select_one ", LEN($A2001)&gt;11, NOT(ISNUMBER(SEARCH(" ", $A2001, 12)))))</formula>
    </cfRule>
  </conditionalFormatting>
  <conditionalFormatting sqref="B2001:B2991 C2125:E2125">
    <cfRule type="expression" dxfId="6" priority="8" stopIfTrue="1">
      <formula>OR($A2001="audio audit", $A2001="text audit", $A2001="speed violations count", $A2001="speed violations list", $A2001="speed violations audit")</formula>
    </cfRule>
  </conditionalFormatting>
  <conditionalFormatting sqref="B2001:C2991 D2001:E2512">
    <cfRule type="expression" dxfId="32" priority="9" stopIfTrue="1">
      <formula>$A2001="file"</formula>
    </cfRule>
  </conditionalFormatting>
  <conditionalFormatting sqref="B2001:C2991 D2001:E2512">
    <cfRule type="expression" dxfId="7" priority="10" stopIfTrue="1">
      <formula>$A2001="note"</formula>
    </cfRule>
  </conditionalFormatting>
  <conditionalFormatting sqref="B2001:C2991 D2001:E2512">
    <cfRule type="expression" dxfId="8" priority="11" stopIfTrue="1">
      <formula>$A2001="barcode"</formula>
    </cfRule>
  </conditionalFormatting>
  <conditionalFormatting sqref="B2001:C2991 D2001:E2512">
    <cfRule type="expression" dxfId="9" priority="12" stopIfTrue="1">
      <formula>OR($A2001="geopoint", $A2001="geoshape", $A2001="geotrace")</formula>
    </cfRule>
  </conditionalFormatting>
  <conditionalFormatting sqref="B2001:B2991 C2125:E2125">
    <cfRule type="expression" dxfId="10" priority="13" stopIfTrue="1">
      <formula>OR($A2001="calculate", $A2001="calculate_here")</formula>
    </cfRule>
  </conditionalFormatting>
  <conditionalFormatting sqref="B2001:C2991 D2001:E2512">
    <cfRule type="expression" dxfId="11" priority="14" stopIfTrue="1">
      <formula>OR($A2001="date", $A2001="datetime", $A2001="time")</formula>
    </cfRule>
  </conditionalFormatting>
  <conditionalFormatting sqref="B2001:C2991 D2001:E2512">
    <cfRule type="expression" dxfId="12" priority="15" stopIfTrue="1">
      <formula>$A2001="image"</formula>
    </cfRule>
  </conditionalFormatting>
  <conditionalFormatting sqref="B2001:C2991 D2001:E2512">
    <cfRule type="expression" dxfId="13" priority="16" stopIfTrue="1">
      <formula>OR($A2001="audio", $A2001="video")</formula>
    </cfRule>
  </conditionalFormatting>
  <conditionalFormatting sqref="B2001:E2991">
    <cfRule type="expression" dxfId="33" priority="17" stopIfTrue="1">
      <formula>$A2001="file"</formula>
    </cfRule>
  </conditionalFormatting>
  <conditionalFormatting sqref="B2001:E2991">
    <cfRule type="expression" dxfId="34" priority="18" stopIfTrue="1">
      <formula>$A2001="enumerator"</formula>
    </cfRule>
  </conditionalFormatting>
  <conditionalFormatting sqref="B2001:E2991">
    <cfRule type="expression" dxfId="35" priority="19" stopIfTrue="1">
      <formula>OR(AND(LEFT($A2001, 14)="sensor_stream ", LEN($A2001)&gt;14, NOT(ISNUMBER(SEARCH(" ", $A2001, 15)))), AND(LEFT($A2001, 17)="sensor_statistic ", LEN($A2001)&gt;17, NOT(ISNUMBER(SEARCH(" ", $A2001, 18)))))</formula>
    </cfRule>
  </conditionalFormatting>
  <conditionalFormatting sqref="B2001:E2991">
    <cfRule type="expression" dxfId="14" priority="20" stopIfTrue="1">
      <formula>$A2001="comments"</formula>
    </cfRule>
  </conditionalFormatting>
  <conditionalFormatting sqref="B2001:E2991">
    <cfRule type="expression" dxfId="15" priority="21" stopIfTrue="1">
      <formula>OR($A2001="audio", $A2001="video")</formula>
    </cfRule>
  </conditionalFormatting>
  <conditionalFormatting sqref="B2001:E2991">
    <cfRule type="expression" dxfId="16" priority="22" stopIfTrue="1">
      <formula>$A2001="image"</formula>
    </cfRule>
  </conditionalFormatting>
  <conditionalFormatting sqref="B2001:E2991">
    <cfRule type="expression" dxfId="17" priority="23" stopIfTrue="1">
      <formula>OR($A2001="date", $A2001="datetime", $A2001="time")</formula>
    </cfRule>
  </conditionalFormatting>
  <conditionalFormatting sqref="B2001:E2991">
    <cfRule type="expression" dxfId="18" priority="24" stopIfTrue="1">
      <formula>OR($A2001="calculate", $A2001="calculate_here")</formula>
    </cfRule>
  </conditionalFormatting>
  <conditionalFormatting sqref="B2001:E2991">
    <cfRule type="expression" dxfId="19" priority="25" stopIfTrue="1">
      <formula>$A2001="note"</formula>
    </cfRule>
  </conditionalFormatting>
  <conditionalFormatting sqref="B2001:E2991">
    <cfRule type="expression" dxfId="20" priority="26" stopIfTrue="1">
      <formula>$A2001="barcode"</formula>
    </cfRule>
  </conditionalFormatting>
  <conditionalFormatting sqref="B2001:E2991">
    <cfRule type="expression" dxfId="21" priority="27" stopIfTrue="1">
      <formula>OR($A2001="geopoint", $A2001="geoshape", $A2001="geotrace")</formula>
    </cfRule>
  </conditionalFormatting>
  <conditionalFormatting sqref="B2001:E2991">
    <cfRule type="expression" dxfId="22" priority="28" stopIfTrue="1">
      <formula>OR($A2001="audio audit", $A2001="text audit", $A2001="speed violations count", $A2001="speed violations list", $A2001="speed violations audit")</formula>
    </cfRule>
  </conditionalFormatting>
  <conditionalFormatting sqref="B2001:E2991">
    <cfRule type="expression" dxfId="23" priority="29" stopIfTrue="1">
      <formula>OR($A2001="username", $A2001="phonenumber", $A2001="start", $A2001="end", $A2001="deviceid", $A2001="subscriberid", $A2001="simserial", $A2001="caseid")</formula>
    </cfRule>
  </conditionalFormatting>
  <conditionalFormatting sqref="B2001:E2991">
    <cfRule type="expression" dxfId="24" priority="30" stopIfTrue="1">
      <formula>OR(AND(LEFT($A2001, 16)="select_multiple ", LEN($A2001)&gt;16, NOT(ISNUMBER(SEARCH(" ", $A2001, 17)))), AND(LEFT($A2001, 11)="select_one ", LEN($A2001)&gt;11, NOT(ISNUMBER(SEARCH(" ", $A2001, 12)))))</formula>
    </cfRule>
  </conditionalFormatting>
  <conditionalFormatting sqref="B2001:E2991">
    <cfRule type="expression" dxfId="25" priority="31" stopIfTrue="1">
      <formula>$A2001="decimal"</formula>
    </cfRule>
  </conditionalFormatting>
  <conditionalFormatting sqref="B2001:E2991">
    <cfRule type="expression" dxfId="26" priority="32" stopIfTrue="1">
      <formula>$A2001="integer"</formula>
    </cfRule>
  </conditionalFormatting>
  <conditionalFormatting sqref="B2001:E2991">
    <cfRule type="expression" dxfId="27" priority="33" stopIfTrue="1">
      <formula>$A2001="text"</formula>
    </cfRule>
  </conditionalFormatting>
  <conditionalFormatting sqref="B2001:E2991">
    <cfRule type="expression" dxfId="28" priority="34" stopIfTrue="1">
      <formula>$A2001="end repeat"</formula>
    </cfRule>
  </conditionalFormatting>
  <conditionalFormatting sqref="B2001:E2991">
    <cfRule type="expression" dxfId="28" priority="35" stopIfTrue="1">
      <formula>$A2001="begin repeat"</formula>
    </cfRule>
  </conditionalFormatting>
  <conditionalFormatting sqref="B2001:E2991">
    <cfRule type="expression" dxfId="29" priority="36" stopIfTrue="1">
      <formula>$A2001="end group"</formula>
    </cfRule>
  </conditionalFormatting>
  <conditionalFormatting sqref="B2001:E2991">
    <cfRule type="expression" dxfId="29" priority="37" stopIfTrue="1">
      <formula>$A2001="begin group"</formula>
    </cfRule>
  </conditionalFormatting>
  <conditionalFormatting sqref="B2001:B2991 C2125:E2125">
    <cfRule type="expression" dxfId="30" priority="38" stopIfTrue="1">
      <formula>$A2001="comments"</formula>
    </cfRule>
  </conditionalFormatting>
  <conditionalFormatting sqref="B2001:B2991 C2125:E2125">
    <cfRule type="expression" dxfId="36" priority="39" stopIfTrue="1">
      <formula>OR(AND(LEFT($A2001, 14)="sensor_stream ", LEN($A2001)&gt;14, NOT(ISNUMBER(SEARCH(" ", $A2001, 15)))), AND(LEFT($A2001, 17)="sensor_statistic ", LEN($A2001)&gt;17, NOT(ISNUMBER(SEARCH(" ", $A2001, 18)))))</formula>
    </cfRule>
  </conditionalFormatting>
  <conditionalFormatting sqref="B1001:C1001 D1001:E1001">
    <cfRule type="expression" dxfId="0" priority="40" stopIfTrue="1">
      <formula>$A1001="begin group"</formula>
    </cfRule>
  </conditionalFormatting>
  <conditionalFormatting sqref="B1001:C1001 D1001:E1001">
    <cfRule type="expression" dxfId="1" priority="41" stopIfTrue="1">
      <formula>$A1001="begin repeat"</formula>
    </cfRule>
  </conditionalFormatting>
  <conditionalFormatting sqref="B1001:E1001">
    <cfRule type="expression" dxfId="31" priority="42" stopIfTrue="1">
      <formula>$A1001="enumerator"</formula>
    </cfRule>
  </conditionalFormatting>
  <conditionalFormatting sqref="B1001:E1001">
    <cfRule type="expression" dxfId="2" priority="43" stopIfTrue="1">
      <formula>$A1001="text"</formula>
    </cfRule>
  </conditionalFormatting>
  <conditionalFormatting sqref="B1001:E1001">
    <cfRule type="expression" dxfId="3" priority="44" stopIfTrue="1">
      <formula>$A1001="integer"</formula>
    </cfRule>
  </conditionalFormatting>
  <conditionalFormatting sqref="B1001:E1001">
    <cfRule type="expression" dxfId="4" priority="45" stopIfTrue="1">
      <formula>$A1001="decimal"</formula>
    </cfRule>
  </conditionalFormatting>
  <conditionalFormatting sqref="B1001:C1001 D1001:E1001">
    <cfRule type="expression" dxfId="5" priority="46" stopIfTrue="1">
      <formula>OR(AND(LEFT($A1001, 16)="select_multiple ", LEN($A1001)&gt;16, NOT(ISNUMBER(SEARCH(" ", $A1001, 17)))), AND(LEFT($A1001, 11)="select_one ", LEN($A1001)&gt;11, NOT(ISNUMBER(SEARCH(" ", $A1001, 12)))))</formula>
    </cfRule>
  </conditionalFormatting>
  <conditionalFormatting sqref="B1001">
    <cfRule type="expression" dxfId="6" priority="47" stopIfTrue="1">
      <formula>OR($A1001="audio audit", $A1001="text audit", $A1001="speed violations count", $A1001="speed violations list", $A1001="speed violations audit")</formula>
    </cfRule>
  </conditionalFormatting>
  <conditionalFormatting sqref="B1001:C1001 D1001:E1001">
    <cfRule type="expression" dxfId="32" priority="48" stopIfTrue="1">
      <formula>$A1001="file"</formula>
    </cfRule>
  </conditionalFormatting>
  <conditionalFormatting sqref="B1001:C1001 D1001:E1001">
    <cfRule type="expression" dxfId="7" priority="49" stopIfTrue="1">
      <formula>$A1001="note"</formula>
    </cfRule>
  </conditionalFormatting>
  <conditionalFormatting sqref="B1001:C1001 D1001:E1001">
    <cfRule type="expression" dxfId="8" priority="50" stopIfTrue="1">
      <formula>$A1001="barcode"</formula>
    </cfRule>
  </conditionalFormatting>
  <conditionalFormatting sqref="B1001:C1001 D1001:E1001">
    <cfRule type="expression" dxfId="9" priority="51" stopIfTrue="1">
      <formula>OR($A1001="geopoint", $A1001="geoshape", $A1001="geotrace")</formula>
    </cfRule>
  </conditionalFormatting>
  <conditionalFormatting sqref="B1001">
    <cfRule type="expression" dxfId="10" priority="52" stopIfTrue="1">
      <formula>OR($A1001="calculate", $A1001="calculate_here")</formula>
    </cfRule>
  </conditionalFormatting>
  <conditionalFormatting sqref="B1001:C1001 D1001:E1001">
    <cfRule type="expression" dxfId="11" priority="53" stopIfTrue="1">
      <formula>OR($A1001="date", $A1001="datetime", $A1001="time")</formula>
    </cfRule>
  </conditionalFormatting>
  <conditionalFormatting sqref="B1001:C1001 D1001:E1001">
    <cfRule type="expression" dxfId="12" priority="54" stopIfTrue="1">
      <formula>$A1001="image"</formula>
    </cfRule>
  </conditionalFormatting>
  <conditionalFormatting sqref="B1001:C1001 D1001:E1001">
    <cfRule type="expression" dxfId="13" priority="55" stopIfTrue="1">
      <formula>OR($A1001="audio", $A1001="video")</formula>
    </cfRule>
  </conditionalFormatting>
  <conditionalFormatting sqref="B1001:E1001">
    <cfRule type="expression" dxfId="33" priority="56" stopIfTrue="1">
      <formula>$A1001="file"</formula>
    </cfRule>
  </conditionalFormatting>
  <conditionalFormatting sqref="B1001:E1001">
    <cfRule type="expression" dxfId="34" priority="57" stopIfTrue="1">
      <formula>$A1001="enumerator"</formula>
    </cfRule>
  </conditionalFormatting>
  <conditionalFormatting sqref="B1001:E1001">
    <cfRule type="expression" dxfId="35" priority="58" stopIfTrue="1">
      <formula>OR(AND(LEFT($A1001, 14)="sensor_stream ", LEN($A1001)&gt;14, NOT(ISNUMBER(SEARCH(" ", $A1001, 15)))), AND(LEFT($A1001, 17)="sensor_statistic ", LEN($A1001)&gt;17, NOT(ISNUMBER(SEARCH(" ", $A1001, 18)))))</formula>
    </cfRule>
  </conditionalFormatting>
  <conditionalFormatting sqref="B1001:E1001">
    <cfRule type="expression" dxfId="14" priority="59" stopIfTrue="1">
      <formula>$A1001="comments"</formula>
    </cfRule>
  </conditionalFormatting>
  <conditionalFormatting sqref="B1001:E1001">
    <cfRule type="expression" dxfId="15" priority="60" stopIfTrue="1">
      <formula>OR($A1001="audio", $A1001="video")</formula>
    </cfRule>
  </conditionalFormatting>
  <conditionalFormatting sqref="B1001:E1001">
    <cfRule type="expression" dxfId="16" priority="61" stopIfTrue="1">
      <formula>$A1001="image"</formula>
    </cfRule>
  </conditionalFormatting>
  <conditionalFormatting sqref="B1001:E1001">
    <cfRule type="expression" dxfId="17" priority="62" stopIfTrue="1">
      <formula>OR($A1001="date", $A1001="datetime", $A1001="time")</formula>
    </cfRule>
  </conditionalFormatting>
  <conditionalFormatting sqref="B1001:E1001">
    <cfRule type="expression" dxfId="18" priority="63" stopIfTrue="1">
      <formula>OR($A1001="calculate", $A1001="calculate_here")</formula>
    </cfRule>
  </conditionalFormatting>
  <conditionalFormatting sqref="B1001:E1001">
    <cfRule type="expression" dxfId="19" priority="64" stopIfTrue="1">
      <formula>$A1001="note"</formula>
    </cfRule>
  </conditionalFormatting>
  <conditionalFormatting sqref="B1001:E1001">
    <cfRule type="expression" dxfId="20" priority="65" stopIfTrue="1">
      <formula>$A1001="barcode"</formula>
    </cfRule>
  </conditionalFormatting>
  <conditionalFormatting sqref="B1001:E1001">
    <cfRule type="expression" dxfId="21" priority="66" stopIfTrue="1">
      <formula>OR($A1001="geopoint", $A1001="geoshape", $A1001="geotrace")</formula>
    </cfRule>
  </conditionalFormatting>
  <conditionalFormatting sqref="B1001:E1001">
    <cfRule type="expression" dxfId="22" priority="67" stopIfTrue="1">
      <formula>OR($A1001="audio audit", $A1001="text audit", $A1001="speed violations count", $A1001="speed violations list", $A1001="speed violations audit")</formula>
    </cfRule>
  </conditionalFormatting>
  <conditionalFormatting sqref="B1001:E1001">
    <cfRule type="expression" dxfId="23" priority="68" stopIfTrue="1">
      <formula>OR($A1001="username", $A1001="phonenumber", $A1001="start", $A1001="end", $A1001="deviceid", $A1001="subscriberid", $A1001="simserial", $A1001="caseid")</formula>
    </cfRule>
  </conditionalFormatting>
  <conditionalFormatting sqref="B1001:E1001">
    <cfRule type="expression" dxfId="24" priority="69" stopIfTrue="1">
      <formula>OR(AND(LEFT($A1001, 16)="select_multiple ", LEN($A1001)&gt;16, NOT(ISNUMBER(SEARCH(" ", $A1001, 17)))), AND(LEFT($A1001, 11)="select_one ", LEN($A1001)&gt;11, NOT(ISNUMBER(SEARCH(" ", $A1001, 12)))))</formula>
    </cfRule>
  </conditionalFormatting>
  <conditionalFormatting sqref="B1001:E1001">
    <cfRule type="expression" dxfId="25" priority="70" stopIfTrue="1">
      <formula>$A1001="decimal"</formula>
    </cfRule>
  </conditionalFormatting>
  <conditionalFormatting sqref="B1001:E1001">
    <cfRule type="expression" dxfId="26" priority="71" stopIfTrue="1">
      <formula>$A1001="integer"</formula>
    </cfRule>
  </conditionalFormatting>
  <conditionalFormatting sqref="B1001:E1001">
    <cfRule type="expression" dxfId="27" priority="72" stopIfTrue="1">
      <formula>$A1001="text"</formula>
    </cfRule>
  </conditionalFormatting>
  <conditionalFormatting sqref="B1001:E1001">
    <cfRule type="expression" dxfId="28" priority="73" stopIfTrue="1">
      <formula>$A1001="end repeat"</formula>
    </cfRule>
  </conditionalFormatting>
  <conditionalFormatting sqref="B1001:E1001">
    <cfRule type="expression" dxfId="28" priority="74" stopIfTrue="1">
      <formula>$A1001="begin repeat"</formula>
    </cfRule>
  </conditionalFormatting>
  <conditionalFormatting sqref="B1001:E1001">
    <cfRule type="expression" dxfId="29" priority="75" stopIfTrue="1">
      <formula>$A1001="end group"</formula>
    </cfRule>
  </conditionalFormatting>
  <conditionalFormatting sqref="B1001:E1001">
    <cfRule type="expression" dxfId="29" priority="76" stopIfTrue="1">
      <formula>$A1001="begin group"</formula>
    </cfRule>
  </conditionalFormatting>
  <conditionalFormatting sqref="B1001">
    <cfRule type="expression" dxfId="30" priority="77" stopIfTrue="1">
      <formula>$A1001="comments"</formula>
    </cfRule>
  </conditionalFormatting>
  <conditionalFormatting sqref="B1001">
    <cfRule type="expression" dxfId="36" priority="78" stopIfTrue="1">
      <formula>OR(AND(LEFT($A1001, 14)="sensor_stream ", LEN($A1001)&gt;14, NOT(ISNUMBER(SEARCH(" ", $A1001, 15)))), AND(LEFT($A1001, 17)="sensor_statistic ", LEN($A1001)&gt;17, NOT(ISNUMBER(SEARCH(" ", $A1001, 18)))))</formula>
    </cfRule>
  </conditionalFormatting>
  <conditionalFormatting sqref="B992:C996 D992:E996">
    <cfRule type="expression" dxfId="0" priority="79" stopIfTrue="1">
      <formula>$A992="begin group"</formula>
    </cfRule>
  </conditionalFormatting>
  <conditionalFormatting sqref="B992:C996 D992:E996">
    <cfRule type="expression" dxfId="1" priority="80" stopIfTrue="1">
      <formula>$A992="begin repeat"</formula>
    </cfRule>
  </conditionalFormatting>
  <conditionalFormatting sqref="B992:E996">
    <cfRule type="expression" dxfId="31" priority="81" stopIfTrue="1">
      <formula>$A992="enumerator"</formula>
    </cfRule>
  </conditionalFormatting>
  <conditionalFormatting sqref="B992:E996">
    <cfRule type="expression" dxfId="2" priority="82" stopIfTrue="1">
      <formula>$A992="text"</formula>
    </cfRule>
  </conditionalFormatting>
  <conditionalFormatting sqref="B992:E996">
    <cfRule type="expression" dxfId="3" priority="83" stopIfTrue="1">
      <formula>$A992="integer"</formula>
    </cfRule>
  </conditionalFormatting>
  <conditionalFormatting sqref="B992:E996">
    <cfRule type="expression" dxfId="4" priority="84" stopIfTrue="1">
      <formula>$A992="decimal"</formula>
    </cfRule>
  </conditionalFormatting>
  <conditionalFormatting sqref="B992:C996 D992:E996">
    <cfRule type="expression" dxfId="5" priority="85" stopIfTrue="1">
      <formula>OR(AND(LEFT($A992, 16)="select_multiple ", LEN($A992)&gt;16, NOT(ISNUMBER(SEARCH(" ", $A992, 17)))), AND(LEFT($A992, 11)="select_one ", LEN($A992)&gt;11, NOT(ISNUMBER(SEARCH(" ", $A992, 12)))))</formula>
    </cfRule>
  </conditionalFormatting>
  <conditionalFormatting sqref="B992:B996">
    <cfRule type="expression" dxfId="6" priority="86" stopIfTrue="1">
      <formula>OR($A992="audio audit", $A992="text audit", $A992="speed violations count", $A992="speed violations list", $A992="speed violations audit")</formula>
    </cfRule>
  </conditionalFormatting>
  <conditionalFormatting sqref="B992:C996 D992:E996">
    <cfRule type="expression" dxfId="32" priority="87" stopIfTrue="1">
      <formula>$A992="file"</formula>
    </cfRule>
  </conditionalFormatting>
  <conditionalFormatting sqref="B992:C996 D992:E996">
    <cfRule type="expression" dxfId="7" priority="88" stopIfTrue="1">
      <formula>$A992="note"</formula>
    </cfRule>
  </conditionalFormatting>
  <conditionalFormatting sqref="B992:C996 D992:E996">
    <cfRule type="expression" dxfId="8" priority="89" stopIfTrue="1">
      <formula>$A992="barcode"</formula>
    </cfRule>
  </conditionalFormatting>
  <conditionalFormatting sqref="B992:C996 D992:E996">
    <cfRule type="expression" dxfId="9" priority="90" stopIfTrue="1">
      <formula>OR($A992="geopoint", $A992="geoshape", $A992="geotrace")</formula>
    </cfRule>
  </conditionalFormatting>
  <conditionalFormatting sqref="B992:B996">
    <cfRule type="expression" dxfId="10" priority="91" stopIfTrue="1">
      <formula>OR($A992="calculate", $A992="calculate_here")</formula>
    </cfRule>
  </conditionalFormatting>
  <conditionalFormatting sqref="B992:C996 D992:E996">
    <cfRule type="expression" dxfId="11" priority="92" stopIfTrue="1">
      <formula>OR($A992="date", $A992="datetime", $A992="time")</formula>
    </cfRule>
  </conditionalFormatting>
  <conditionalFormatting sqref="B992:C996 D992:E996">
    <cfRule type="expression" dxfId="12" priority="93" stopIfTrue="1">
      <formula>$A992="image"</formula>
    </cfRule>
  </conditionalFormatting>
  <conditionalFormatting sqref="B992:C996 D992:E996">
    <cfRule type="expression" dxfId="13" priority="94" stopIfTrue="1">
      <formula>OR($A992="audio", $A992="video")</formula>
    </cfRule>
  </conditionalFormatting>
  <conditionalFormatting sqref="B992:E996">
    <cfRule type="expression" dxfId="33" priority="95" stopIfTrue="1">
      <formula>$A992="file"</formula>
    </cfRule>
  </conditionalFormatting>
  <conditionalFormatting sqref="B992:E996">
    <cfRule type="expression" dxfId="34" priority="96" stopIfTrue="1">
      <formula>$A992="enumerator"</formula>
    </cfRule>
  </conditionalFormatting>
  <conditionalFormatting sqref="B992:E996">
    <cfRule type="expression" dxfId="35" priority="97" stopIfTrue="1">
      <formula>OR(AND(LEFT($A992, 14)="sensor_stream ", LEN($A992)&gt;14, NOT(ISNUMBER(SEARCH(" ", $A992, 15)))), AND(LEFT($A992, 17)="sensor_statistic ", LEN($A992)&gt;17, NOT(ISNUMBER(SEARCH(" ", $A992, 18)))))</formula>
    </cfRule>
  </conditionalFormatting>
  <conditionalFormatting sqref="B992:E996">
    <cfRule type="expression" dxfId="14" priority="98" stopIfTrue="1">
      <formula>$A992="comments"</formula>
    </cfRule>
  </conditionalFormatting>
  <conditionalFormatting sqref="B992:E996">
    <cfRule type="expression" dxfId="15" priority="99" stopIfTrue="1">
      <formula>OR($A992="audio", $A992="video")</formula>
    </cfRule>
  </conditionalFormatting>
  <conditionalFormatting sqref="B992:E996">
    <cfRule type="expression" dxfId="16" priority="100" stopIfTrue="1">
      <formula>$A992="image"</formula>
    </cfRule>
  </conditionalFormatting>
  <conditionalFormatting sqref="B992:E996">
    <cfRule type="expression" dxfId="17" priority="101" stopIfTrue="1">
      <formula>OR($A992="date", $A992="datetime", $A992="time")</formula>
    </cfRule>
  </conditionalFormatting>
  <conditionalFormatting sqref="B992:E996">
    <cfRule type="expression" dxfId="18" priority="102" stopIfTrue="1">
      <formula>OR($A992="calculate", $A992="calculate_here")</formula>
    </cfRule>
  </conditionalFormatting>
  <conditionalFormatting sqref="B992:E996">
    <cfRule type="expression" dxfId="19" priority="103" stopIfTrue="1">
      <formula>$A992="note"</formula>
    </cfRule>
  </conditionalFormatting>
  <conditionalFormatting sqref="B992:E996">
    <cfRule type="expression" dxfId="20" priority="104" stopIfTrue="1">
      <formula>$A992="barcode"</formula>
    </cfRule>
  </conditionalFormatting>
  <conditionalFormatting sqref="B992:E996">
    <cfRule type="expression" dxfId="21" priority="105" stopIfTrue="1">
      <formula>OR($A992="geopoint", $A992="geoshape", $A992="geotrace")</formula>
    </cfRule>
  </conditionalFormatting>
  <conditionalFormatting sqref="B992:E996">
    <cfRule type="expression" dxfId="22" priority="106" stopIfTrue="1">
      <formula>OR($A992="audio audit", $A992="text audit", $A992="speed violations count", $A992="speed violations list", $A992="speed violations audit")</formula>
    </cfRule>
  </conditionalFormatting>
  <conditionalFormatting sqref="B992:E996">
    <cfRule type="expression" dxfId="23" priority="107" stopIfTrue="1">
      <formula>OR($A992="username", $A992="phonenumber", $A992="start", $A992="end", $A992="deviceid", $A992="subscriberid", $A992="simserial", $A992="caseid")</formula>
    </cfRule>
  </conditionalFormatting>
  <conditionalFormatting sqref="B992:E996">
    <cfRule type="expression" dxfId="24" priority="108" stopIfTrue="1">
      <formula>OR(AND(LEFT($A992, 16)="select_multiple ", LEN($A992)&gt;16, NOT(ISNUMBER(SEARCH(" ", $A992, 17)))), AND(LEFT($A992, 11)="select_one ", LEN($A992)&gt;11, NOT(ISNUMBER(SEARCH(" ", $A992, 12)))))</formula>
    </cfRule>
  </conditionalFormatting>
  <conditionalFormatting sqref="B992:E996">
    <cfRule type="expression" dxfId="25" priority="109" stopIfTrue="1">
      <formula>$A992="decimal"</formula>
    </cfRule>
  </conditionalFormatting>
  <conditionalFormatting sqref="B992:E996">
    <cfRule type="expression" dxfId="26" priority="110" stopIfTrue="1">
      <formula>$A992="integer"</formula>
    </cfRule>
  </conditionalFormatting>
  <conditionalFormatting sqref="B992:E996">
    <cfRule type="expression" dxfId="27" priority="111" stopIfTrue="1">
      <formula>$A992="text"</formula>
    </cfRule>
  </conditionalFormatting>
  <conditionalFormatting sqref="B992:E996">
    <cfRule type="expression" dxfId="28" priority="112" stopIfTrue="1">
      <formula>$A992="end repeat"</formula>
    </cfRule>
  </conditionalFormatting>
  <conditionalFormatting sqref="B992:E996">
    <cfRule type="expression" dxfId="28" priority="113" stopIfTrue="1">
      <formula>$A992="begin repeat"</formula>
    </cfRule>
  </conditionalFormatting>
  <conditionalFormatting sqref="B992:E996">
    <cfRule type="expression" dxfId="29" priority="114" stopIfTrue="1">
      <formula>$A992="end group"</formula>
    </cfRule>
  </conditionalFormatting>
  <conditionalFormatting sqref="B992:E996">
    <cfRule type="expression" dxfId="29" priority="115" stopIfTrue="1">
      <formula>$A992="begin group"</formula>
    </cfRule>
  </conditionalFormatting>
  <conditionalFormatting sqref="B992:B996">
    <cfRule type="expression" dxfId="30" priority="116" stopIfTrue="1">
      <formula>$A992="comments"</formula>
    </cfRule>
  </conditionalFormatting>
  <conditionalFormatting sqref="B992:B996">
    <cfRule type="expression" dxfId="36" priority="117" stopIfTrue="1">
      <formula>OR(AND(LEFT($A992, 14)="sensor_stream ", LEN($A992)&gt;14, NOT(ISNUMBER(SEARCH(" ", $A992, 15)))), AND(LEFT($A992, 17)="sensor_statistic ", LEN($A992)&gt;17, NOT(ISNUMBER(SEARCH(" ", $A992, 18)))))</formula>
    </cfRule>
  </conditionalFormatting>
  <conditionalFormatting sqref="B983:C988 D983:E988">
    <cfRule type="expression" dxfId="0" priority="118" stopIfTrue="1">
      <formula>$A983="begin group"</formula>
    </cfRule>
  </conditionalFormatting>
  <conditionalFormatting sqref="B983:C988 D983:E988">
    <cfRule type="expression" dxfId="1" priority="119" stopIfTrue="1">
      <formula>$A983="begin repeat"</formula>
    </cfRule>
  </conditionalFormatting>
  <conditionalFormatting sqref="B983:E988">
    <cfRule type="expression" dxfId="31" priority="120" stopIfTrue="1">
      <formula>$A983="enumerator"</formula>
    </cfRule>
  </conditionalFormatting>
  <conditionalFormatting sqref="B983:E988">
    <cfRule type="expression" dxfId="2" priority="121" stopIfTrue="1">
      <formula>$A983="text"</formula>
    </cfRule>
  </conditionalFormatting>
  <conditionalFormatting sqref="B983:E988">
    <cfRule type="expression" dxfId="3" priority="122" stopIfTrue="1">
      <formula>$A983="integer"</formula>
    </cfRule>
  </conditionalFormatting>
  <conditionalFormatting sqref="B983:E988">
    <cfRule type="expression" dxfId="4" priority="123" stopIfTrue="1">
      <formula>$A983="decimal"</formula>
    </cfRule>
  </conditionalFormatting>
  <conditionalFormatting sqref="B983:C988 D983:E988">
    <cfRule type="expression" dxfId="5" priority="124" stopIfTrue="1">
      <formula>OR(AND(LEFT($A983, 16)="select_multiple ", LEN($A983)&gt;16, NOT(ISNUMBER(SEARCH(" ", $A983, 17)))), AND(LEFT($A983, 11)="select_one ", LEN($A983)&gt;11, NOT(ISNUMBER(SEARCH(" ", $A983, 12)))))</formula>
    </cfRule>
  </conditionalFormatting>
  <conditionalFormatting sqref="B983:B988">
    <cfRule type="expression" dxfId="6" priority="125" stopIfTrue="1">
      <formula>OR($A983="audio audit", $A983="text audit", $A983="speed violations count", $A983="speed violations list", $A983="speed violations audit")</formula>
    </cfRule>
  </conditionalFormatting>
  <conditionalFormatting sqref="B983:C988 D983:E988">
    <cfRule type="expression" dxfId="32" priority="126" stopIfTrue="1">
      <formula>$A983="file"</formula>
    </cfRule>
  </conditionalFormatting>
  <conditionalFormatting sqref="B983:C988 D983:E988">
    <cfRule type="expression" dxfId="7" priority="127" stopIfTrue="1">
      <formula>$A983="note"</formula>
    </cfRule>
  </conditionalFormatting>
  <conditionalFormatting sqref="B983:C988 D983:E988">
    <cfRule type="expression" dxfId="8" priority="128" stopIfTrue="1">
      <formula>$A983="barcode"</formula>
    </cfRule>
  </conditionalFormatting>
  <conditionalFormatting sqref="B983:C988 D983:E988">
    <cfRule type="expression" dxfId="9" priority="129" stopIfTrue="1">
      <formula>OR($A983="geopoint", $A983="geoshape", $A983="geotrace")</formula>
    </cfRule>
  </conditionalFormatting>
  <conditionalFormatting sqref="B983:B988">
    <cfRule type="expression" dxfId="10" priority="130" stopIfTrue="1">
      <formula>OR($A983="calculate", $A983="calculate_here")</formula>
    </cfRule>
  </conditionalFormatting>
  <conditionalFormatting sqref="B983:C988 D983:E988">
    <cfRule type="expression" dxfId="11" priority="131" stopIfTrue="1">
      <formula>OR($A983="date", $A983="datetime", $A983="time")</formula>
    </cfRule>
  </conditionalFormatting>
  <conditionalFormatting sqref="B983:C988 D983:E988">
    <cfRule type="expression" dxfId="12" priority="132" stopIfTrue="1">
      <formula>$A983="image"</formula>
    </cfRule>
  </conditionalFormatting>
  <conditionalFormatting sqref="B983:C988 D983:E988">
    <cfRule type="expression" dxfId="13" priority="133" stopIfTrue="1">
      <formula>OR($A983="audio", $A983="video")</formula>
    </cfRule>
  </conditionalFormatting>
  <conditionalFormatting sqref="B983:E988">
    <cfRule type="expression" dxfId="33" priority="134" stopIfTrue="1">
      <formula>$A983="file"</formula>
    </cfRule>
  </conditionalFormatting>
  <conditionalFormatting sqref="B983:E988">
    <cfRule type="expression" dxfId="34" priority="135" stopIfTrue="1">
      <formula>$A983="enumerator"</formula>
    </cfRule>
  </conditionalFormatting>
  <conditionalFormatting sqref="B983:E988">
    <cfRule type="expression" dxfId="35" priority="136" stopIfTrue="1">
      <formula>OR(AND(LEFT($A983, 14)="sensor_stream ", LEN($A983)&gt;14, NOT(ISNUMBER(SEARCH(" ", $A983, 15)))), AND(LEFT($A983, 17)="sensor_statistic ", LEN($A983)&gt;17, NOT(ISNUMBER(SEARCH(" ", $A983, 18)))))</formula>
    </cfRule>
  </conditionalFormatting>
  <conditionalFormatting sqref="B983:E988">
    <cfRule type="expression" dxfId="14" priority="137" stopIfTrue="1">
      <formula>$A983="comments"</formula>
    </cfRule>
  </conditionalFormatting>
  <conditionalFormatting sqref="B983:E988">
    <cfRule type="expression" dxfId="15" priority="138" stopIfTrue="1">
      <formula>OR($A983="audio", $A983="video")</formula>
    </cfRule>
  </conditionalFormatting>
  <conditionalFormatting sqref="B983:E988">
    <cfRule type="expression" dxfId="16" priority="139" stopIfTrue="1">
      <formula>$A983="image"</formula>
    </cfRule>
  </conditionalFormatting>
  <conditionalFormatting sqref="B983:E988">
    <cfRule type="expression" dxfId="17" priority="140" stopIfTrue="1">
      <formula>OR($A983="date", $A983="datetime", $A983="time")</formula>
    </cfRule>
  </conditionalFormatting>
  <conditionalFormatting sqref="B983:E988">
    <cfRule type="expression" dxfId="18" priority="141" stopIfTrue="1">
      <formula>OR($A983="calculate", $A983="calculate_here")</formula>
    </cfRule>
  </conditionalFormatting>
  <conditionalFormatting sqref="B983:E988">
    <cfRule type="expression" dxfId="19" priority="142" stopIfTrue="1">
      <formula>$A983="note"</formula>
    </cfRule>
  </conditionalFormatting>
  <conditionalFormatting sqref="B983:E988">
    <cfRule type="expression" dxfId="20" priority="143" stopIfTrue="1">
      <formula>$A983="barcode"</formula>
    </cfRule>
  </conditionalFormatting>
  <conditionalFormatting sqref="B983:E988">
    <cfRule type="expression" dxfId="21" priority="144" stopIfTrue="1">
      <formula>OR($A983="geopoint", $A983="geoshape", $A983="geotrace")</formula>
    </cfRule>
  </conditionalFormatting>
  <conditionalFormatting sqref="B983:E988">
    <cfRule type="expression" dxfId="22" priority="145" stopIfTrue="1">
      <formula>OR($A983="audio audit", $A983="text audit", $A983="speed violations count", $A983="speed violations list", $A983="speed violations audit")</formula>
    </cfRule>
  </conditionalFormatting>
  <conditionalFormatting sqref="B983:E988">
    <cfRule type="expression" dxfId="23" priority="146" stopIfTrue="1">
      <formula>OR($A983="username", $A983="phonenumber", $A983="start", $A983="end", $A983="deviceid", $A983="subscriberid", $A983="simserial", $A983="caseid")</formula>
    </cfRule>
  </conditionalFormatting>
  <conditionalFormatting sqref="B983:E988">
    <cfRule type="expression" dxfId="24" priority="147" stopIfTrue="1">
      <formula>OR(AND(LEFT($A983, 16)="select_multiple ", LEN($A983)&gt;16, NOT(ISNUMBER(SEARCH(" ", $A983, 17)))), AND(LEFT($A983, 11)="select_one ", LEN($A983)&gt;11, NOT(ISNUMBER(SEARCH(" ", $A983, 12)))))</formula>
    </cfRule>
  </conditionalFormatting>
  <conditionalFormatting sqref="B983:E988">
    <cfRule type="expression" dxfId="25" priority="148" stopIfTrue="1">
      <formula>$A983="decimal"</formula>
    </cfRule>
  </conditionalFormatting>
  <conditionalFormatting sqref="B983:E988">
    <cfRule type="expression" dxfId="26" priority="149" stopIfTrue="1">
      <formula>$A983="integer"</formula>
    </cfRule>
  </conditionalFormatting>
  <conditionalFormatting sqref="B983:E988">
    <cfRule type="expression" dxfId="27" priority="150" stopIfTrue="1">
      <formula>$A983="text"</formula>
    </cfRule>
  </conditionalFormatting>
  <conditionalFormatting sqref="B983:E988">
    <cfRule type="expression" dxfId="28" priority="151" stopIfTrue="1">
      <formula>$A983="end repeat"</formula>
    </cfRule>
  </conditionalFormatting>
  <conditionalFormatting sqref="B983:E988">
    <cfRule type="expression" dxfId="28" priority="152" stopIfTrue="1">
      <formula>$A983="begin repeat"</formula>
    </cfRule>
  </conditionalFormatting>
  <conditionalFormatting sqref="B983:E988">
    <cfRule type="expression" dxfId="29" priority="153" stopIfTrue="1">
      <formula>$A983="end group"</formula>
    </cfRule>
  </conditionalFormatting>
  <conditionalFormatting sqref="B983:E988">
    <cfRule type="expression" dxfId="29" priority="154" stopIfTrue="1">
      <formula>$A983="begin group"</formula>
    </cfRule>
  </conditionalFormatting>
  <conditionalFormatting sqref="B983:B988">
    <cfRule type="expression" dxfId="30" priority="155" stopIfTrue="1">
      <formula>$A983="comments"</formula>
    </cfRule>
  </conditionalFormatting>
  <conditionalFormatting sqref="B983:B988">
    <cfRule type="expression" dxfId="36" priority="156" stopIfTrue="1">
      <formula>OR(AND(LEFT($A983, 14)="sensor_stream ", LEN($A983)&gt;14, NOT(ISNUMBER(SEARCH(" ", $A983, 15)))), AND(LEFT($A983, 17)="sensor_statistic ", LEN($A983)&gt;17, NOT(ISNUMBER(SEARCH(" ", $A983, 18)))))</formula>
    </cfRule>
  </conditionalFormatting>
  <conditionalFormatting sqref="B979:C980 D979:E980">
    <cfRule type="expression" dxfId="0" priority="157" stopIfTrue="1">
      <formula>$A979="begin group"</formula>
    </cfRule>
  </conditionalFormatting>
  <conditionalFormatting sqref="B979:C980 D979:E980">
    <cfRule type="expression" dxfId="1" priority="158" stopIfTrue="1">
      <formula>$A979="begin repeat"</formula>
    </cfRule>
  </conditionalFormatting>
  <conditionalFormatting sqref="B979:E980">
    <cfRule type="expression" dxfId="31" priority="159" stopIfTrue="1">
      <formula>$A979="enumerator"</formula>
    </cfRule>
  </conditionalFormatting>
  <conditionalFormatting sqref="B979:E980">
    <cfRule type="expression" dxfId="2" priority="160" stopIfTrue="1">
      <formula>$A979="text"</formula>
    </cfRule>
  </conditionalFormatting>
  <conditionalFormatting sqref="B979:E980">
    <cfRule type="expression" dxfId="3" priority="161" stopIfTrue="1">
      <formula>$A979="integer"</formula>
    </cfRule>
  </conditionalFormatting>
  <conditionalFormatting sqref="B979:E980">
    <cfRule type="expression" dxfId="4" priority="162" stopIfTrue="1">
      <formula>$A979="decimal"</formula>
    </cfRule>
  </conditionalFormatting>
  <conditionalFormatting sqref="B979:C980 D979:E980">
    <cfRule type="expression" dxfId="5" priority="163" stopIfTrue="1">
      <formula>OR(AND(LEFT($A979, 16)="select_multiple ", LEN($A979)&gt;16, NOT(ISNUMBER(SEARCH(" ", $A979, 17)))), AND(LEFT($A979, 11)="select_one ", LEN($A979)&gt;11, NOT(ISNUMBER(SEARCH(" ", $A979, 12)))))</formula>
    </cfRule>
  </conditionalFormatting>
  <conditionalFormatting sqref="B979:B980">
    <cfRule type="expression" dxfId="6" priority="164" stopIfTrue="1">
      <formula>OR($A979="audio audit", $A979="text audit", $A979="speed violations count", $A979="speed violations list", $A979="speed violations audit")</formula>
    </cfRule>
  </conditionalFormatting>
  <conditionalFormatting sqref="B979:C980 D979:E980">
    <cfRule type="expression" dxfId="32" priority="165" stopIfTrue="1">
      <formula>$A979="file"</formula>
    </cfRule>
  </conditionalFormatting>
  <conditionalFormatting sqref="B979:C980 D979:E980">
    <cfRule type="expression" dxfId="7" priority="166" stopIfTrue="1">
      <formula>$A979="note"</formula>
    </cfRule>
  </conditionalFormatting>
  <conditionalFormatting sqref="B979:C980 D979:E980">
    <cfRule type="expression" dxfId="8" priority="167" stopIfTrue="1">
      <formula>$A979="barcode"</formula>
    </cfRule>
  </conditionalFormatting>
  <conditionalFormatting sqref="B979:C980 D979:E980">
    <cfRule type="expression" dxfId="9" priority="168" stopIfTrue="1">
      <formula>OR($A979="geopoint", $A979="geoshape", $A979="geotrace")</formula>
    </cfRule>
  </conditionalFormatting>
  <conditionalFormatting sqref="B979:B980">
    <cfRule type="expression" dxfId="10" priority="169" stopIfTrue="1">
      <formula>OR($A979="calculate", $A979="calculate_here")</formula>
    </cfRule>
  </conditionalFormatting>
  <conditionalFormatting sqref="B979:C980 D979:E980">
    <cfRule type="expression" dxfId="11" priority="170" stopIfTrue="1">
      <formula>OR($A979="date", $A979="datetime", $A979="time")</formula>
    </cfRule>
  </conditionalFormatting>
  <conditionalFormatting sqref="B979:C980 D979:E980">
    <cfRule type="expression" dxfId="12" priority="171" stopIfTrue="1">
      <formula>$A979="image"</formula>
    </cfRule>
  </conditionalFormatting>
  <conditionalFormatting sqref="B979:C980 D979:E980">
    <cfRule type="expression" dxfId="13" priority="172" stopIfTrue="1">
      <formula>OR($A979="audio", $A979="video")</formula>
    </cfRule>
  </conditionalFormatting>
  <conditionalFormatting sqref="B979:E980">
    <cfRule type="expression" dxfId="33" priority="173" stopIfTrue="1">
      <formula>$A979="file"</formula>
    </cfRule>
  </conditionalFormatting>
  <conditionalFormatting sqref="B979:E980">
    <cfRule type="expression" dxfId="34" priority="174" stopIfTrue="1">
      <formula>$A979="enumerator"</formula>
    </cfRule>
  </conditionalFormatting>
  <conditionalFormatting sqref="B979:E980">
    <cfRule type="expression" dxfId="35" priority="175" stopIfTrue="1">
      <formula>OR(AND(LEFT($A979, 14)="sensor_stream ", LEN($A979)&gt;14, NOT(ISNUMBER(SEARCH(" ", $A979, 15)))), AND(LEFT($A979, 17)="sensor_statistic ", LEN($A979)&gt;17, NOT(ISNUMBER(SEARCH(" ", $A979, 18)))))</formula>
    </cfRule>
  </conditionalFormatting>
  <conditionalFormatting sqref="B979:E980">
    <cfRule type="expression" dxfId="14" priority="176" stopIfTrue="1">
      <formula>$A979="comments"</formula>
    </cfRule>
  </conditionalFormatting>
  <conditionalFormatting sqref="B979:E980">
    <cfRule type="expression" dxfId="15" priority="177" stopIfTrue="1">
      <formula>OR($A979="audio", $A979="video")</formula>
    </cfRule>
  </conditionalFormatting>
  <conditionalFormatting sqref="B979:E980">
    <cfRule type="expression" dxfId="16" priority="178" stopIfTrue="1">
      <formula>$A979="image"</formula>
    </cfRule>
  </conditionalFormatting>
  <conditionalFormatting sqref="B979:E980">
    <cfRule type="expression" dxfId="17" priority="179" stopIfTrue="1">
      <formula>OR($A979="date", $A979="datetime", $A979="time")</formula>
    </cfRule>
  </conditionalFormatting>
  <conditionalFormatting sqref="B979:E980">
    <cfRule type="expression" dxfId="18" priority="180" stopIfTrue="1">
      <formula>OR($A979="calculate", $A979="calculate_here")</formula>
    </cfRule>
  </conditionalFormatting>
  <conditionalFormatting sqref="B979:E980">
    <cfRule type="expression" dxfId="19" priority="181" stopIfTrue="1">
      <formula>$A979="note"</formula>
    </cfRule>
  </conditionalFormatting>
  <conditionalFormatting sqref="B979:E980">
    <cfRule type="expression" dxfId="20" priority="182" stopIfTrue="1">
      <formula>$A979="barcode"</formula>
    </cfRule>
  </conditionalFormatting>
  <conditionalFormatting sqref="B979:E980">
    <cfRule type="expression" dxfId="21" priority="183" stopIfTrue="1">
      <formula>OR($A979="geopoint", $A979="geoshape", $A979="geotrace")</formula>
    </cfRule>
  </conditionalFormatting>
  <conditionalFormatting sqref="B979:E980">
    <cfRule type="expression" dxfId="22" priority="184" stopIfTrue="1">
      <formula>OR($A979="audio audit", $A979="text audit", $A979="speed violations count", $A979="speed violations list", $A979="speed violations audit")</formula>
    </cfRule>
  </conditionalFormatting>
  <conditionalFormatting sqref="B979:E980">
    <cfRule type="expression" dxfId="23" priority="185" stopIfTrue="1">
      <formula>OR($A979="username", $A979="phonenumber", $A979="start", $A979="end", $A979="deviceid", $A979="subscriberid", $A979="simserial", $A979="caseid")</formula>
    </cfRule>
  </conditionalFormatting>
  <conditionalFormatting sqref="B979:E980">
    <cfRule type="expression" dxfId="24" priority="186" stopIfTrue="1">
      <formula>OR(AND(LEFT($A979, 16)="select_multiple ", LEN($A979)&gt;16, NOT(ISNUMBER(SEARCH(" ", $A979, 17)))), AND(LEFT($A979, 11)="select_one ", LEN($A979)&gt;11, NOT(ISNUMBER(SEARCH(" ", $A979, 12)))))</formula>
    </cfRule>
  </conditionalFormatting>
  <conditionalFormatting sqref="B979:E980">
    <cfRule type="expression" dxfId="25" priority="187" stopIfTrue="1">
      <formula>$A979="decimal"</formula>
    </cfRule>
  </conditionalFormatting>
  <conditionalFormatting sqref="B979:E980">
    <cfRule type="expression" dxfId="26" priority="188" stopIfTrue="1">
      <formula>$A979="integer"</formula>
    </cfRule>
  </conditionalFormatting>
  <conditionalFormatting sqref="B979:E980">
    <cfRule type="expression" dxfId="27" priority="189" stopIfTrue="1">
      <formula>$A979="text"</formula>
    </cfRule>
  </conditionalFormatting>
  <conditionalFormatting sqref="B979:E980">
    <cfRule type="expression" dxfId="28" priority="190" stopIfTrue="1">
      <formula>$A979="end repeat"</formula>
    </cfRule>
  </conditionalFormatting>
  <conditionalFormatting sqref="B979:E980">
    <cfRule type="expression" dxfId="28" priority="191" stopIfTrue="1">
      <formula>$A979="begin repeat"</formula>
    </cfRule>
  </conditionalFormatting>
  <conditionalFormatting sqref="B979:E980">
    <cfRule type="expression" dxfId="29" priority="192" stopIfTrue="1">
      <formula>$A979="end group"</formula>
    </cfRule>
  </conditionalFormatting>
  <conditionalFormatting sqref="B979:E980">
    <cfRule type="expression" dxfId="29" priority="193" stopIfTrue="1">
      <formula>$A979="begin group"</formula>
    </cfRule>
  </conditionalFormatting>
  <conditionalFormatting sqref="B979:B980">
    <cfRule type="expression" dxfId="30" priority="194" stopIfTrue="1">
      <formula>$A979="comments"</formula>
    </cfRule>
  </conditionalFormatting>
  <conditionalFormatting sqref="B979:B980">
    <cfRule type="expression" dxfId="36" priority="195" stopIfTrue="1">
      <formula>OR(AND(LEFT($A979, 14)="sensor_stream ", LEN($A979)&gt;14, NOT(ISNUMBER(SEARCH(" ", $A979, 15)))), AND(LEFT($A979, 17)="sensor_statistic ", LEN($A979)&gt;17, NOT(ISNUMBER(SEARCH(" ", $A979, 18)))))</formula>
    </cfRule>
  </conditionalFormatting>
  <conditionalFormatting sqref="B971:C977 D971:E977">
    <cfRule type="expression" dxfId="0" priority="196" stopIfTrue="1">
      <formula>$A971="begin group"</formula>
    </cfRule>
  </conditionalFormatting>
  <conditionalFormatting sqref="B971:C977 D971:E977">
    <cfRule type="expression" dxfId="1" priority="197" stopIfTrue="1">
      <formula>$A971="begin repeat"</formula>
    </cfRule>
  </conditionalFormatting>
  <conditionalFormatting sqref="B971:E977">
    <cfRule type="expression" dxfId="31" priority="198" stopIfTrue="1">
      <formula>$A971="enumerator"</formula>
    </cfRule>
  </conditionalFormatting>
  <conditionalFormatting sqref="B971:E977">
    <cfRule type="expression" dxfId="2" priority="199" stopIfTrue="1">
      <formula>$A971="text"</formula>
    </cfRule>
  </conditionalFormatting>
  <conditionalFormatting sqref="B971:E977">
    <cfRule type="expression" dxfId="3" priority="200" stopIfTrue="1">
      <formula>$A971="integer"</formula>
    </cfRule>
  </conditionalFormatting>
  <conditionalFormatting sqref="B971:E977">
    <cfRule type="expression" dxfId="4" priority="201" stopIfTrue="1">
      <formula>$A971="decimal"</formula>
    </cfRule>
  </conditionalFormatting>
  <conditionalFormatting sqref="B971:C977 D971:E977">
    <cfRule type="expression" dxfId="5" priority="202" stopIfTrue="1">
      <formula>OR(AND(LEFT($A971, 16)="select_multiple ", LEN($A971)&gt;16, NOT(ISNUMBER(SEARCH(" ", $A971, 17)))), AND(LEFT($A971, 11)="select_one ", LEN($A971)&gt;11, NOT(ISNUMBER(SEARCH(" ", $A971, 12)))))</formula>
    </cfRule>
  </conditionalFormatting>
  <conditionalFormatting sqref="B971:B977">
    <cfRule type="expression" dxfId="6" priority="203" stopIfTrue="1">
      <formula>OR($A971="audio audit", $A971="text audit", $A971="speed violations count", $A971="speed violations list", $A971="speed violations audit")</formula>
    </cfRule>
  </conditionalFormatting>
  <conditionalFormatting sqref="B971:C977 D971:E977">
    <cfRule type="expression" dxfId="32" priority="204" stopIfTrue="1">
      <formula>$A971="file"</formula>
    </cfRule>
  </conditionalFormatting>
  <conditionalFormatting sqref="B971:C977 D971:E977">
    <cfRule type="expression" dxfId="7" priority="205" stopIfTrue="1">
      <formula>$A971="note"</formula>
    </cfRule>
  </conditionalFormatting>
  <conditionalFormatting sqref="B971:C977 D971:E977">
    <cfRule type="expression" dxfId="8" priority="206" stopIfTrue="1">
      <formula>$A971="barcode"</formula>
    </cfRule>
  </conditionalFormatting>
  <conditionalFormatting sqref="B971:C977 D971:E977">
    <cfRule type="expression" dxfId="9" priority="207" stopIfTrue="1">
      <formula>OR($A971="geopoint", $A971="geoshape", $A971="geotrace")</formula>
    </cfRule>
  </conditionalFormatting>
  <conditionalFormatting sqref="B971:B977">
    <cfRule type="expression" dxfId="10" priority="208" stopIfTrue="1">
      <formula>OR($A971="calculate", $A971="calculate_here")</formula>
    </cfRule>
  </conditionalFormatting>
  <conditionalFormatting sqref="B971:C977 D971:E977">
    <cfRule type="expression" dxfId="11" priority="209" stopIfTrue="1">
      <formula>OR($A971="date", $A971="datetime", $A971="time")</formula>
    </cfRule>
  </conditionalFormatting>
  <conditionalFormatting sqref="B971:C977 D971:E977">
    <cfRule type="expression" dxfId="12" priority="210" stopIfTrue="1">
      <formula>$A971="image"</formula>
    </cfRule>
  </conditionalFormatting>
  <conditionalFormatting sqref="B971:C977 D971:E977">
    <cfRule type="expression" dxfId="13" priority="211" stopIfTrue="1">
      <formula>OR($A971="audio", $A971="video")</formula>
    </cfRule>
  </conditionalFormatting>
  <conditionalFormatting sqref="B971:E977">
    <cfRule type="expression" dxfId="33" priority="212" stopIfTrue="1">
      <formula>$A971="file"</formula>
    </cfRule>
  </conditionalFormatting>
  <conditionalFormatting sqref="B971:E977">
    <cfRule type="expression" dxfId="34" priority="213" stopIfTrue="1">
      <formula>$A971="enumerator"</formula>
    </cfRule>
  </conditionalFormatting>
  <conditionalFormatting sqref="B971:E977">
    <cfRule type="expression" dxfId="35" priority="214" stopIfTrue="1">
      <formula>OR(AND(LEFT($A971, 14)="sensor_stream ", LEN($A971)&gt;14, NOT(ISNUMBER(SEARCH(" ", $A971, 15)))), AND(LEFT($A971, 17)="sensor_statistic ", LEN($A971)&gt;17, NOT(ISNUMBER(SEARCH(" ", $A971, 18)))))</formula>
    </cfRule>
  </conditionalFormatting>
  <conditionalFormatting sqref="B971:E977">
    <cfRule type="expression" dxfId="14" priority="215" stopIfTrue="1">
      <formula>$A971="comments"</formula>
    </cfRule>
  </conditionalFormatting>
  <conditionalFormatting sqref="B971:E977">
    <cfRule type="expression" dxfId="15" priority="216" stopIfTrue="1">
      <formula>OR($A971="audio", $A971="video")</formula>
    </cfRule>
  </conditionalFormatting>
  <conditionalFormatting sqref="B971:E977">
    <cfRule type="expression" dxfId="16" priority="217" stopIfTrue="1">
      <formula>$A971="image"</formula>
    </cfRule>
  </conditionalFormatting>
  <conditionalFormatting sqref="B971:E977">
    <cfRule type="expression" dxfId="17" priority="218" stopIfTrue="1">
      <formula>OR($A971="date", $A971="datetime", $A971="time")</formula>
    </cfRule>
  </conditionalFormatting>
  <conditionalFormatting sqref="B971:E977">
    <cfRule type="expression" dxfId="18" priority="219" stopIfTrue="1">
      <formula>OR($A971="calculate", $A971="calculate_here")</formula>
    </cfRule>
  </conditionalFormatting>
  <conditionalFormatting sqref="B971:E977">
    <cfRule type="expression" dxfId="19" priority="220" stopIfTrue="1">
      <formula>$A971="note"</formula>
    </cfRule>
  </conditionalFormatting>
  <conditionalFormatting sqref="B971:E977">
    <cfRule type="expression" dxfId="20" priority="221" stopIfTrue="1">
      <formula>$A971="barcode"</formula>
    </cfRule>
  </conditionalFormatting>
  <conditionalFormatting sqref="B971:E977">
    <cfRule type="expression" dxfId="21" priority="222" stopIfTrue="1">
      <formula>OR($A971="geopoint", $A971="geoshape", $A971="geotrace")</formula>
    </cfRule>
  </conditionalFormatting>
  <conditionalFormatting sqref="B971:E977">
    <cfRule type="expression" dxfId="22" priority="223" stopIfTrue="1">
      <formula>OR($A971="audio audit", $A971="text audit", $A971="speed violations count", $A971="speed violations list", $A971="speed violations audit")</formula>
    </cfRule>
  </conditionalFormatting>
  <conditionalFormatting sqref="B971:E977">
    <cfRule type="expression" dxfId="23" priority="224" stopIfTrue="1">
      <formula>OR($A971="username", $A971="phonenumber", $A971="start", $A971="end", $A971="deviceid", $A971="subscriberid", $A971="simserial", $A971="caseid")</formula>
    </cfRule>
  </conditionalFormatting>
  <conditionalFormatting sqref="B971:E977">
    <cfRule type="expression" dxfId="24" priority="225" stopIfTrue="1">
      <formula>OR(AND(LEFT($A971, 16)="select_multiple ", LEN($A971)&gt;16, NOT(ISNUMBER(SEARCH(" ", $A971, 17)))), AND(LEFT($A971, 11)="select_one ", LEN($A971)&gt;11, NOT(ISNUMBER(SEARCH(" ", $A971, 12)))))</formula>
    </cfRule>
  </conditionalFormatting>
  <conditionalFormatting sqref="B971:E977">
    <cfRule type="expression" dxfId="25" priority="226" stopIfTrue="1">
      <formula>$A971="decimal"</formula>
    </cfRule>
  </conditionalFormatting>
  <conditionalFormatting sqref="B971:E977">
    <cfRule type="expression" dxfId="26" priority="227" stopIfTrue="1">
      <formula>$A971="integer"</formula>
    </cfRule>
  </conditionalFormatting>
  <conditionalFormatting sqref="B971:E977">
    <cfRule type="expression" dxfId="27" priority="228" stopIfTrue="1">
      <formula>$A971="text"</formula>
    </cfRule>
  </conditionalFormatting>
  <conditionalFormatting sqref="B971:E977">
    <cfRule type="expression" dxfId="28" priority="229" stopIfTrue="1">
      <formula>$A971="end repeat"</formula>
    </cfRule>
  </conditionalFormatting>
  <conditionalFormatting sqref="B971:E977">
    <cfRule type="expression" dxfId="28" priority="230" stopIfTrue="1">
      <formula>$A971="begin repeat"</formula>
    </cfRule>
  </conditionalFormatting>
  <conditionalFormatting sqref="B971:E977">
    <cfRule type="expression" dxfId="29" priority="231" stopIfTrue="1">
      <formula>$A971="end group"</formula>
    </cfRule>
  </conditionalFormatting>
  <conditionalFormatting sqref="B971:E977">
    <cfRule type="expression" dxfId="29" priority="232" stopIfTrue="1">
      <formula>$A971="begin group"</formula>
    </cfRule>
  </conditionalFormatting>
  <conditionalFormatting sqref="B971:B977">
    <cfRule type="expression" dxfId="30" priority="233" stopIfTrue="1">
      <formula>$A971="comments"</formula>
    </cfRule>
  </conditionalFormatting>
  <conditionalFormatting sqref="B971:B977">
    <cfRule type="expression" dxfId="36" priority="234" stopIfTrue="1">
      <formula>OR(AND(LEFT($A971, 14)="sensor_stream ", LEN($A971)&gt;14, NOT(ISNUMBER(SEARCH(" ", $A971, 15)))), AND(LEFT($A971, 17)="sensor_statistic ", LEN($A971)&gt;17, NOT(ISNUMBER(SEARCH(" ", $A971, 18)))))</formula>
    </cfRule>
  </conditionalFormatting>
  <conditionalFormatting sqref="B967:C968 D967:E968">
    <cfRule type="expression" dxfId="0" priority="235" stopIfTrue="1">
      <formula>$A967="begin group"</formula>
    </cfRule>
  </conditionalFormatting>
  <conditionalFormatting sqref="B967:C968 D967:E968">
    <cfRule type="expression" dxfId="1" priority="236" stopIfTrue="1">
      <formula>$A967="begin repeat"</formula>
    </cfRule>
  </conditionalFormatting>
  <conditionalFormatting sqref="B967:E968">
    <cfRule type="expression" dxfId="31" priority="237" stopIfTrue="1">
      <formula>$A967="enumerator"</formula>
    </cfRule>
  </conditionalFormatting>
  <conditionalFormatting sqref="B967:E968">
    <cfRule type="expression" dxfId="2" priority="238" stopIfTrue="1">
      <formula>$A967="text"</formula>
    </cfRule>
  </conditionalFormatting>
  <conditionalFormatting sqref="B967:E968">
    <cfRule type="expression" dxfId="3" priority="239" stopIfTrue="1">
      <formula>$A967="integer"</formula>
    </cfRule>
  </conditionalFormatting>
  <conditionalFormatting sqref="B967:E968">
    <cfRule type="expression" dxfId="4" priority="240" stopIfTrue="1">
      <formula>$A967="decimal"</formula>
    </cfRule>
  </conditionalFormatting>
  <conditionalFormatting sqref="B967:C968 D967:E968">
    <cfRule type="expression" dxfId="5" priority="241" stopIfTrue="1">
      <formula>OR(AND(LEFT($A967, 16)="select_multiple ", LEN($A967)&gt;16, NOT(ISNUMBER(SEARCH(" ", $A967, 17)))), AND(LEFT($A967, 11)="select_one ", LEN($A967)&gt;11, NOT(ISNUMBER(SEARCH(" ", $A967, 12)))))</formula>
    </cfRule>
  </conditionalFormatting>
  <conditionalFormatting sqref="B967:B968">
    <cfRule type="expression" dxfId="6" priority="242" stopIfTrue="1">
      <formula>OR($A967="audio audit", $A967="text audit", $A967="speed violations count", $A967="speed violations list", $A967="speed violations audit")</formula>
    </cfRule>
  </conditionalFormatting>
  <conditionalFormatting sqref="B967:C968 D967:E968">
    <cfRule type="expression" dxfId="32" priority="243" stopIfTrue="1">
      <formula>$A967="file"</formula>
    </cfRule>
  </conditionalFormatting>
  <conditionalFormatting sqref="B967:C968 D967:E968">
    <cfRule type="expression" dxfId="7" priority="244" stopIfTrue="1">
      <formula>$A967="note"</formula>
    </cfRule>
  </conditionalFormatting>
  <conditionalFormatting sqref="B967:C968 D967:E968">
    <cfRule type="expression" dxfId="8" priority="245" stopIfTrue="1">
      <formula>$A967="barcode"</formula>
    </cfRule>
  </conditionalFormatting>
  <conditionalFormatting sqref="B967:C968 D967:E968">
    <cfRule type="expression" dxfId="9" priority="246" stopIfTrue="1">
      <formula>OR($A967="geopoint", $A967="geoshape", $A967="geotrace")</formula>
    </cfRule>
  </conditionalFormatting>
  <conditionalFormatting sqref="B967:B968">
    <cfRule type="expression" dxfId="10" priority="247" stopIfTrue="1">
      <formula>OR($A967="calculate", $A967="calculate_here")</formula>
    </cfRule>
  </conditionalFormatting>
  <conditionalFormatting sqref="B967:C968 D967:E968">
    <cfRule type="expression" dxfId="11" priority="248" stopIfTrue="1">
      <formula>OR($A967="date", $A967="datetime", $A967="time")</formula>
    </cfRule>
  </conditionalFormatting>
  <conditionalFormatting sqref="B967:C968 D967:E968">
    <cfRule type="expression" dxfId="12" priority="249" stopIfTrue="1">
      <formula>$A967="image"</formula>
    </cfRule>
  </conditionalFormatting>
  <conditionalFormatting sqref="B967:C968 D967:E968">
    <cfRule type="expression" dxfId="13" priority="250" stopIfTrue="1">
      <formula>OR($A967="audio", $A967="video")</formula>
    </cfRule>
  </conditionalFormatting>
  <conditionalFormatting sqref="B967:E968">
    <cfRule type="expression" dxfId="33" priority="251" stopIfTrue="1">
      <formula>$A967="file"</formula>
    </cfRule>
  </conditionalFormatting>
  <conditionalFormatting sqref="B967:E968">
    <cfRule type="expression" dxfId="34" priority="252" stopIfTrue="1">
      <formula>$A967="enumerator"</formula>
    </cfRule>
  </conditionalFormatting>
  <conditionalFormatting sqref="B967:E968">
    <cfRule type="expression" dxfId="35" priority="253" stopIfTrue="1">
      <formula>OR(AND(LEFT($A967, 14)="sensor_stream ", LEN($A967)&gt;14, NOT(ISNUMBER(SEARCH(" ", $A967, 15)))), AND(LEFT($A967, 17)="sensor_statistic ", LEN($A967)&gt;17, NOT(ISNUMBER(SEARCH(" ", $A967, 18)))))</formula>
    </cfRule>
  </conditionalFormatting>
  <conditionalFormatting sqref="B967:E968">
    <cfRule type="expression" dxfId="14" priority="254" stopIfTrue="1">
      <formula>$A967="comments"</formula>
    </cfRule>
  </conditionalFormatting>
  <conditionalFormatting sqref="B967:E968">
    <cfRule type="expression" dxfId="15" priority="255" stopIfTrue="1">
      <formula>OR($A967="audio", $A967="video")</formula>
    </cfRule>
  </conditionalFormatting>
  <conditionalFormatting sqref="B967:E968">
    <cfRule type="expression" dxfId="16" priority="256" stopIfTrue="1">
      <formula>$A967="image"</formula>
    </cfRule>
  </conditionalFormatting>
  <conditionalFormatting sqref="B967:E968">
    <cfRule type="expression" dxfId="17" priority="257" stopIfTrue="1">
      <formula>OR($A967="date", $A967="datetime", $A967="time")</formula>
    </cfRule>
  </conditionalFormatting>
  <conditionalFormatting sqref="B967:E968">
    <cfRule type="expression" dxfId="18" priority="258" stopIfTrue="1">
      <formula>OR($A967="calculate", $A967="calculate_here")</formula>
    </cfRule>
  </conditionalFormatting>
  <conditionalFormatting sqref="B967:E968">
    <cfRule type="expression" dxfId="19" priority="259" stopIfTrue="1">
      <formula>$A967="note"</formula>
    </cfRule>
  </conditionalFormatting>
  <conditionalFormatting sqref="B967:E968">
    <cfRule type="expression" dxfId="20" priority="260" stopIfTrue="1">
      <formula>$A967="barcode"</formula>
    </cfRule>
  </conditionalFormatting>
  <conditionalFormatting sqref="B967:E968">
    <cfRule type="expression" dxfId="21" priority="261" stopIfTrue="1">
      <formula>OR($A967="geopoint", $A967="geoshape", $A967="geotrace")</formula>
    </cfRule>
  </conditionalFormatting>
  <conditionalFormatting sqref="B967:E968">
    <cfRule type="expression" dxfId="22" priority="262" stopIfTrue="1">
      <formula>OR($A967="audio audit", $A967="text audit", $A967="speed violations count", $A967="speed violations list", $A967="speed violations audit")</formula>
    </cfRule>
  </conditionalFormatting>
  <conditionalFormatting sqref="B967:E968">
    <cfRule type="expression" dxfId="23" priority="263" stopIfTrue="1">
      <formula>OR($A967="username", $A967="phonenumber", $A967="start", $A967="end", $A967="deviceid", $A967="subscriberid", $A967="simserial", $A967="caseid")</formula>
    </cfRule>
  </conditionalFormatting>
  <conditionalFormatting sqref="B967:E968">
    <cfRule type="expression" dxfId="24" priority="264" stopIfTrue="1">
      <formula>OR(AND(LEFT($A967, 16)="select_multiple ", LEN($A967)&gt;16, NOT(ISNUMBER(SEARCH(" ", $A967, 17)))), AND(LEFT($A967, 11)="select_one ", LEN($A967)&gt;11, NOT(ISNUMBER(SEARCH(" ", $A967, 12)))))</formula>
    </cfRule>
  </conditionalFormatting>
  <conditionalFormatting sqref="B967:E968">
    <cfRule type="expression" dxfId="25" priority="265" stopIfTrue="1">
      <formula>$A967="decimal"</formula>
    </cfRule>
  </conditionalFormatting>
  <conditionalFormatting sqref="B967:E968">
    <cfRule type="expression" dxfId="26" priority="266" stopIfTrue="1">
      <formula>$A967="integer"</formula>
    </cfRule>
  </conditionalFormatting>
  <conditionalFormatting sqref="B967:E968">
    <cfRule type="expression" dxfId="27" priority="267" stopIfTrue="1">
      <formula>$A967="text"</formula>
    </cfRule>
  </conditionalFormatting>
  <conditionalFormatting sqref="B967:E968">
    <cfRule type="expression" dxfId="28" priority="268" stopIfTrue="1">
      <formula>$A967="end repeat"</formula>
    </cfRule>
  </conditionalFormatting>
  <conditionalFormatting sqref="B967:E968">
    <cfRule type="expression" dxfId="28" priority="269" stopIfTrue="1">
      <formula>$A967="begin repeat"</formula>
    </cfRule>
  </conditionalFormatting>
  <conditionalFormatting sqref="B967:E968">
    <cfRule type="expression" dxfId="29" priority="270" stopIfTrue="1">
      <formula>$A967="end group"</formula>
    </cfRule>
  </conditionalFormatting>
  <conditionalFormatting sqref="B967:E968">
    <cfRule type="expression" dxfId="29" priority="271" stopIfTrue="1">
      <formula>$A967="begin group"</formula>
    </cfRule>
  </conditionalFormatting>
  <conditionalFormatting sqref="B967:B968">
    <cfRule type="expression" dxfId="30" priority="272" stopIfTrue="1">
      <formula>$A967="comments"</formula>
    </cfRule>
  </conditionalFormatting>
  <conditionalFormatting sqref="B967:B968">
    <cfRule type="expression" dxfId="36" priority="273" stopIfTrue="1">
      <formula>OR(AND(LEFT($A967, 14)="sensor_stream ", LEN($A967)&gt;14, NOT(ISNUMBER(SEARCH(" ", $A967, 15)))), AND(LEFT($A967, 17)="sensor_statistic ", LEN($A967)&gt;17, NOT(ISNUMBER(SEARCH(" ", $A967, 18)))))</formula>
    </cfRule>
  </conditionalFormatting>
  <conditionalFormatting sqref="B965:C965 D965:E965">
    <cfRule type="expression" dxfId="0" priority="274" stopIfTrue="1">
      <formula>$A965="begin group"</formula>
    </cfRule>
  </conditionalFormatting>
  <conditionalFormatting sqref="B965:C965 D965:E965">
    <cfRule type="expression" dxfId="1" priority="275" stopIfTrue="1">
      <formula>$A965="begin repeat"</formula>
    </cfRule>
  </conditionalFormatting>
  <conditionalFormatting sqref="B965:E965">
    <cfRule type="expression" dxfId="31" priority="276" stopIfTrue="1">
      <formula>$A965="enumerator"</formula>
    </cfRule>
  </conditionalFormatting>
  <conditionalFormatting sqref="B965:E965">
    <cfRule type="expression" dxfId="2" priority="277" stopIfTrue="1">
      <formula>$A965="text"</formula>
    </cfRule>
  </conditionalFormatting>
  <conditionalFormatting sqref="B965:E965">
    <cfRule type="expression" dxfId="3" priority="278" stopIfTrue="1">
      <formula>$A965="integer"</formula>
    </cfRule>
  </conditionalFormatting>
  <conditionalFormatting sqref="B965:E965">
    <cfRule type="expression" dxfId="4" priority="279" stopIfTrue="1">
      <formula>$A965="decimal"</formula>
    </cfRule>
  </conditionalFormatting>
  <conditionalFormatting sqref="B965:C965 D965:E965">
    <cfRule type="expression" dxfId="5" priority="280" stopIfTrue="1">
      <formula>OR(AND(LEFT($A965, 16)="select_multiple ", LEN($A965)&gt;16, NOT(ISNUMBER(SEARCH(" ", $A965, 17)))), AND(LEFT($A965, 11)="select_one ", LEN($A965)&gt;11, NOT(ISNUMBER(SEARCH(" ", $A965, 12)))))</formula>
    </cfRule>
  </conditionalFormatting>
  <conditionalFormatting sqref="B965">
    <cfRule type="expression" dxfId="6" priority="281" stopIfTrue="1">
      <formula>OR($A965="audio audit", $A965="text audit", $A965="speed violations count", $A965="speed violations list", $A965="speed violations audit")</formula>
    </cfRule>
  </conditionalFormatting>
  <conditionalFormatting sqref="B965:C965 D965:E965">
    <cfRule type="expression" dxfId="32" priority="282" stopIfTrue="1">
      <formula>$A965="file"</formula>
    </cfRule>
  </conditionalFormatting>
  <conditionalFormatting sqref="B965:C965 D965:E965">
    <cfRule type="expression" dxfId="7" priority="283" stopIfTrue="1">
      <formula>$A965="note"</formula>
    </cfRule>
  </conditionalFormatting>
  <conditionalFormatting sqref="B965:C965 D965:E965">
    <cfRule type="expression" dxfId="8" priority="284" stopIfTrue="1">
      <formula>$A965="barcode"</formula>
    </cfRule>
  </conditionalFormatting>
  <conditionalFormatting sqref="B965:C965 D965:E965">
    <cfRule type="expression" dxfId="9" priority="285" stopIfTrue="1">
      <formula>OR($A965="geopoint", $A965="geoshape", $A965="geotrace")</formula>
    </cfRule>
  </conditionalFormatting>
  <conditionalFormatting sqref="B965">
    <cfRule type="expression" dxfId="10" priority="286" stopIfTrue="1">
      <formula>OR($A965="calculate", $A965="calculate_here")</formula>
    </cfRule>
  </conditionalFormatting>
  <conditionalFormatting sqref="B965:C965 D965:E965">
    <cfRule type="expression" dxfId="11" priority="287" stopIfTrue="1">
      <formula>OR($A965="date", $A965="datetime", $A965="time")</formula>
    </cfRule>
  </conditionalFormatting>
  <conditionalFormatting sqref="B965:C965 D965:E965">
    <cfRule type="expression" dxfId="12" priority="288" stopIfTrue="1">
      <formula>$A965="image"</formula>
    </cfRule>
  </conditionalFormatting>
  <conditionalFormatting sqref="B965:C965 D965:E965">
    <cfRule type="expression" dxfId="13" priority="289" stopIfTrue="1">
      <formula>OR($A965="audio", $A965="video")</formula>
    </cfRule>
  </conditionalFormatting>
  <conditionalFormatting sqref="B965:E965">
    <cfRule type="expression" dxfId="33" priority="290" stopIfTrue="1">
      <formula>$A965="file"</formula>
    </cfRule>
  </conditionalFormatting>
  <conditionalFormatting sqref="B965:E965">
    <cfRule type="expression" dxfId="34" priority="291" stopIfTrue="1">
      <formula>$A965="enumerator"</formula>
    </cfRule>
  </conditionalFormatting>
  <conditionalFormatting sqref="B965:E965">
    <cfRule type="expression" dxfId="35" priority="292" stopIfTrue="1">
      <formula>OR(AND(LEFT($A965, 14)="sensor_stream ", LEN($A965)&gt;14, NOT(ISNUMBER(SEARCH(" ", $A965, 15)))), AND(LEFT($A965, 17)="sensor_statistic ", LEN($A965)&gt;17, NOT(ISNUMBER(SEARCH(" ", $A965, 18)))))</formula>
    </cfRule>
  </conditionalFormatting>
  <conditionalFormatting sqref="B965:E965">
    <cfRule type="expression" dxfId="14" priority="293" stopIfTrue="1">
      <formula>$A965="comments"</formula>
    </cfRule>
  </conditionalFormatting>
  <conditionalFormatting sqref="B965:E965">
    <cfRule type="expression" dxfId="15" priority="294" stopIfTrue="1">
      <formula>OR($A965="audio", $A965="video")</formula>
    </cfRule>
  </conditionalFormatting>
  <conditionalFormatting sqref="B965:E965">
    <cfRule type="expression" dxfId="16" priority="295" stopIfTrue="1">
      <formula>$A965="image"</formula>
    </cfRule>
  </conditionalFormatting>
  <conditionalFormatting sqref="B965:E965">
    <cfRule type="expression" dxfId="17" priority="296" stopIfTrue="1">
      <formula>OR($A965="date", $A965="datetime", $A965="time")</formula>
    </cfRule>
  </conditionalFormatting>
  <conditionalFormatting sqref="B965:E965">
    <cfRule type="expression" dxfId="18" priority="297" stopIfTrue="1">
      <formula>OR($A965="calculate", $A965="calculate_here")</formula>
    </cfRule>
  </conditionalFormatting>
  <conditionalFormatting sqref="B965:E965">
    <cfRule type="expression" dxfId="19" priority="298" stopIfTrue="1">
      <formula>$A965="note"</formula>
    </cfRule>
  </conditionalFormatting>
  <conditionalFormatting sqref="B965:E965">
    <cfRule type="expression" dxfId="20" priority="299" stopIfTrue="1">
      <formula>$A965="barcode"</formula>
    </cfRule>
  </conditionalFormatting>
  <conditionalFormatting sqref="B965:E965">
    <cfRule type="expression" dxfId="21" priority="300" stopIfTrue="1">
      <formula>OR($A965="geopoint", $A965="geoshape", $A965="geotrace")</formula>
    </cfRule>
  </conditionalFormatting>
  <conditionalFormatting sqref="B965:E965">
    <cfRule type="expression" dxfId="22" priority="301" stopIfTrue="1">
      <formula>OR($A965="audio audit", $A965="text audit", $A965="speed violations count", $A965="speed violations list", $A965="speed violations audit")</formula>
    </cfRule>
  </conditionalFormatting>
  <conditionalFormatting sqref="B965:E965">
    <cfRule type="expression" dxfId="23" priority="302" stopIfTrue="1">
      <formula>OR($A965="username", $A965="phonenumber", $A965="start", $A965="end", $A965="deviceid", $A965="subscriberid", $A965="simserial", $A965="caseid")</formula>
    </cfRule>
  </conditionalFormatting>
  <conditionalFormatting sqref="B965:E965">
    <cfRule type="expression" dxfId="24" priority="303" stopIfTrue="1">
      <formula>OR(AND(LEFT($A965, 16)="select_multiple ", LEN($A965)&gt;16, NOT(ISNUMBER(SEARCH(" ", $A965, 17)))), AND(LEFT($A965, 11)="select_one ", LEN($A965)&gt;11, NOT(ISNUMBER(SEARCH(" ", $A965, 12)))))</formula>
    </cfRule>
  </conditionalFormatting>
  <conditionalFormatting sqref="B965:E965">
    <cfRule type="expression" dxfId="25" priority="304" stopIfTrue="1">
      <formula>$A965="decimal"</formula>
    </cfRule>
  </conditionalFormatting>
  <conditionalFormatting sqref="B965:E965">
    <cfRule type="expression" dxfId="26" priority="305" stopIfTrue="1">
      <formula>$A965="integer"</formula>
    </cfRule>
  </conditionalFormatting>
  <conditionalFormatting sqref="B965:E965">
    <cfRule type="expression" dxfId="27" priority="306" stopIfTrue="1">
      <formula>$A965="text"</formula>
    </cfRule>
  </conditionalFormatting>
  <conditionalFormatting sqref="B965:E965">
    <cfRule type="expression" dxfId="28" priority="307" stopIfTrue="1">
      <formula>$A965="end repeat"</formula>
    </cfRule>
  </conditionalFormatting>
  <conditionalFormatting sqref="B965:E965">
    <cfRule type="expression" dxfId="28" priority="308" stopIfTrue="1">
      <formula>$A965="begin repeat"</formula>
    </cfRule>
  </conditionalFormatting>
  <conditionalFormatting sqref="B965:E965">
    <cfRule type="expression" dxfId="29" priority="309" stopIfTrue="1">
      <formula>$A965="end group"</formula>
    </cfRule>
  </conditionalFormatting>
  <conditionalFormatting sqref="B965:E965">
    <cfRule type="expression" dxfId="29" priority="310" stopIfTrue="1">
      <formula>$A965="begin group"</formula>
    </cfRule>
  </conditionalFormatting>
  <conditionalFormatting sqref="B965">
    <cfRule type="expression" dxfId="30" priority="311" stopIfTrue="1">
      <formula>$A965="comments"</formula>
    </cfRule>
  </conditionalFormatting>
  <conditionalFormatting sqref="B965">
    <cfRule type="expression" dxfId="36" priority="312" stopIfTrue="1">
      <formula>OR(AND(LEFT($A965, 14)="sensor_stream ", LEN($A965)&gt;14, NOT(ISNUMBER(SEARCH(" ", $A965, 15)))), AND(LEFT($A965, 17)="sensor_statistic ", LEN($A965)&gt;17, NOT(ISNUMBER(SEARCH(" ", $A965, 18)))))</formula>
    </cfRule>
  </conditionalFormatting>
  <conditionalFormatting sqref="B963:C963 D963:E963">
    <cfRule type="expression" dxfId="0" priority="313" stopIfTrue="1">
      <formula>$A963="begin group"</formula>
    </cfRule>
  </conditionalFormatting>
  <conditionalFormatting sqref="B963:C963 D963:E963">
    <cfRule type="expression" dxfId="1" priority="314" stopIfTrue="1">
      <formula>$A963="begin repeat"</formula>
    </cfRule>
  </conditionalFormatting>
  <conditionalFormatting sqref="B963:E963">
    <cfRule type="expression" dxfId="31" priority="315" stopIfTrue="1">
      <formula>$A963="enumerator"</formula>
    </cfRule>
  </conditionalFormatting>
  <conditionalFormatting sqref="B963:E963">
    <cfRule type="expression" dxfId="2" priority="316" stopIfTrue="1">
      <formula>$A963="text"</formula>
    </cfRule>
  </conditionalFormatting>
  <conditionalFormatting sqref="B963:E963">
    <cfRule type="expression" dxfId="3" priority="317" stopIfTrue="1">
      <formula>$A963="integer"</formula>
    </cfRule>
  </conditionalFormatting>
  <conditionalFormatting sqref="B963:E963">
    <cfRule type="expression" dxfId="4" priority="318" stopIfTrue="1">
      <formula>$A963="decimal"</formula>
    </cfRule>
  </conditionalFormatting>
  <conditionalFormatting sqref="B963:C963 D963:E963">
    <cfRule type="expression" dxfId="5" priority="319" stopIfTrue="1">
      <formula>OR(AND(LEFT($A963, 16)="select_multiple ", LEN($A963)&gt;16, NOT(ISNUMBER(SEARCH(" ", $A963, 17)))), AND(LEFT($A963, 11)="select_one ", LEN($A963)&gt;11, NOT(ISNUMBER(SEARCH(" ", $A963, 12)))))</formula>
    </cfRule>
  </conditionalFormatting>
  <conditionalFormatting sqref="B963">
    <cfRule type="expression" dxfId="6" priority="320" stopIfTrue="1">
      <formula>OR($A963="audio audit", $A963="text audit", $A963="speed violations count", $A963="speed violations list", $A963="speed violations audit")</formula>
    </cfRule>
  </conditionalFormatting>
  <conditionalFormatting sqref="B963:C963 D963:E963">
    <cfRule type="expression" dxfId="32" priority="321" stopIfTrue="1">
      <formula>$A963="file"</formula>
    </cfRule>
  </conditionalFormatting>
  <conditionalFormatting sqref="B963:C963 D963:E963">
    <cfRule type="expression" dxfId="7" priority="322" stopIfTrue="1">
      <formula>$A963="note"</formula>
    </cfRule>
  </conditionalFormatting>
  <conditionalFormatting sqref="B963:C963 D963:E963">
    <cfRule type="expression" dxfId="8" priority="323" stopIfTrue="1">
      <formula>$A963="barcode"</formula>
    </cfRule>
  </conditionalFormatting>
  <conditionalFormatting sqref="B963:C963 D963:E963">
    <cfRule type="expression" dxfId="9" priority="324" stopIfTrue="1">
      <formula>OR($A963="geopoint", $A963="geoshape", $A963="geotrace")</formula>
    </cfRule>
  </conditionalFormatting>
  <conditionalFormatting sqref="B963">
    <cfRule type="expression" dxfId="10" priority="325" stopIfTrue="1">
      <formula>OR($A963="calculate", $A963="calculate_here")</formula>
    </cfRule>
  </conditionalFormatting>
  <conditionalFormatting sqref="B963:C963 D963:E963">
    <cfRule type="expression" dxfId="11" priority="326" stopIfTrue="1">
      <formula>OR($A963="date", $A963="datetime", $A963="time")</formula>
    </cfRule>
  </conditionalFormatting>
  <conditionalFormatting sqref="B963:C963 D963:E963">
    <cfRule type="expression" dxfId="12" priority="327" stopIfTrue="1">
      <formula>$A963="image"</formula>
    </cfRule>
  </conditionalFormatting>
  <conditionalFormatting sqref="B963:C963 D963:E963">
    <cfRule type="expression" dxfId="13" priority="328" stopIfTrue="1">
      <formula>OR($A963="audio", $A963="video")</formula>
    </cfRule>
  </conditionalFormatting>
  <conditionalFormatting sqref="B963:E963">
    <cfRule type="expression" dxfId="33" priority="329" stopIfTrue="1">
      <formula>$A963="file"</formula>
    </cfRule>
  </conditionalFormatting>
  <conditionalFormatting sqref="B963:E963">
    <cfRule type="expression" dxfId="34" priority="330" stopIfTrue="1">
      <formula>$A963="enumerator"</formula>
    </cfRule>
  </conditionalFormatting>
  <conditionalFormatting sqref="B963:E963">
    <cfRule type="expression" dxfId="35" priority="331" stopIfTrue="1">
      <formula>OR(AND(LEFT($A963, 14)="sensor_stream ", LEN($A963)&gt;14, NOT(ISNUMBER(SEARCH(" ", $A963, 15)))), AND(LEFT($A963, 17)="sensor_statistic ", LEN($A963)&gt;17, NOT(ISNUMBER(SEARCH(" ", $A963, 18)))))</formula>
    </cfRule>
  </conditionalFormatting>
  <conditionalFormatting sqref="B963:E963">
    <cfRule type="expression" dxfId="14" priority="332" stopIfTrue="1">
      <formula>$A963="comments"</formula>
    </cfRule>
  </conditionalFormatting>
  <conditionalFormatting sqref="B963:E963">
    <cfRule type="expression" dxfId="15" priority="333" stopIfTrue="1">
      <formula>OR($A963="audio", $A963="video")</formula>
    </cfRule>
  </conditionalFormatting>
  <conditionalFormatting sqref="B963:E963">
    <cfRule type="expression" dxfId="16" priority="334" stopIfTrue="1">
      <formula>$A963="image"</formula>
    </cfRule>
  </conditionalFormatting>
  <conditionalFormatting sqref="B963:E963">
    <cfRule type="expression" dxfId="17" priority="335" stopIfTrue="1">
      <formula>OR($A963="date", $A963="datetime", $A963="time")</formula>
    </cfRule>
  </conditionalFormatting>
  <conditionalFormatting sqref="B963:E963">
    <cfRule type="expression" dxfId="18" priority="336" stopIfTrue="1">
      <formula>OR($A963="calculate", $A963="calculate_here")</formula>
    </cfRule>
  </conditionalFormatting>
  <conditionalFormatting sqref="B963:E963">
    <cfRule type="expression" dxfId="19" priority="337" stopIfTrue="1">
      <formula>$A963="note"</formula>
    </cfRule>
  </conditionalFormatting>
  <conditionalFormatting sqref="B963:E963">
    <cfRule type="expression" dxfId="20" priority="338" stopIfTrue="1">
      <formula>$A963="barcode"</formula>
    </cfRule>
  </conditionalFormatting>
  <conditionalFormatting sqref="B963:E963">
    <cfRule type="expression" dxfId="21" priority="339" stopIfTrue="1">
      <formula>OR($A963="geopoint", $A963="geoshape", $A963="geotrace")</formula>
    </cfRule>
  </conditionalFormatting>
  <conditionalFormatting sqref="B963:E963">
    <cfRule type="expression" dxfId="22" priority="340" stopIfTrue="1">
      <formula>OR($A963="audio audit", $A963="text audit", $A963="speed violations count", $A963="speed violations list", $A963="speed violations audit")</formula>
    </cfRule>
  </conditionalFormatting>
  <conditionalFormatting sqref="B963:E963">
    <cfRule type="expression" dxfId="23" priority="341" stopIfTrue="1">
      <formula>OR($A963="username", $A963="phonenumber", $A963="start", $A963="end", $A963="deviceid", $A963="subscriberid", $A963="simserial", $A963="caseid")</formula>
    </cfRule>
  </conditionalFormatting>
  <conditionalFormatting sqref="B963:E963">
    <cfRule type="expression" dxfId="24" priority="342" stopIfTrue="1">
      <formula>OR(AND(LEFT($A963, 16)="select_multiple ", LEN($A963)&gt;16, NOT(ISNUMBER(SEARCH(" ", $A963, 17)))), AND(LEFT($A963, 11)="select_one ", LEN($A963)&gt;11, NOT(ISNUMBER(SEARCH(" ", $A963, 12)))))</formula>
    </cfRule>
  </conditionalFormatting>
  <conditionalFormatting sqref="B963:E963">
    <cfRule type="expression" dxfId="25" priority="343" stopIfTrue="1">
      <formula>$A963="decimal"</formula>
    </cfRule>
  </conditionalFormatting>
  <conditionalFormatting sqref="B963:E963">
    <cfRule type="expression" dxfId="26" priority="344" stopIfTrue="1">
      <formula>$A963="integer"</formula>
    </cfRule>
  </conditionalFormatting>
  <conditionalFormatting sqref="B963:E963">
    <cfRule type="expression" dxfId="27" priority="345" stopIfTrue="1">
      <formula>$A963="text"</formula>
    </cfRule>
  </conditionalFormatting>
  <conditionalFormatting sqref="B963:E963">
    <cfRule type="expression" dxfId="28" priority="346" stopIfTrue="1">
      <formula>$A963="end repeat"</formula>
    </cfRule>
  </conditionalFormatting>
  <conditionalFormatting sqref="B963:E963">
    <cfRule type="expression" dxfId="28" priority="347" stopIfTrue="1">
      <formula>$A963="begin repeat"</formula>
    </cfRule>
  </conditionalFormatting>
  <conditionalFormatting sqref="B963:E963">
    <cfRule type="expression" dxfId="29" priority="348" stopIfTrue="1">
      <formula>$A963="end group"</formula>
    </cfRule>
  </conditionalFormatting>
  <conditionalFormatting sqref="B963:E963">
    <cfRule type="expression" dxfId="29" priority="349" stopIfTrue="1">
      <formula>$A963="begin group"</formula>
    </cfRule>
  </conditionalFormatting>
  <conditionalFormatting sqref="B963">
    <cfRule type="expression" dxfId="30" priority="350" stopIfTrue="1">
      <formula>$A963="comments"</formula>
    </cfRule>
  </conditionalFormatting>
  <conditionalFormatting sqref="B963">
    <cfRule type="expression" dxfId="36" priority="351" stopIfTrue="1">
      <formula>OR(AND(LEFT($A963, 14)="sensor_stream ", LEN($A963)&gt;14, NOT(ISNUMBER(SEARCH(" ", $A963, 15)))), AND(LEFT($A963, 17)="sensor_statistic ", LEN($A963)&gt;17, NOT(ISNUMBER(SEARCH(" ", $A963, 18)))))</formula>
    </cfRule>
  </conditionalFormatting>
  <conditionalFormatting sqref="B949:C961 D949:E961">
    <cfRule type="expression" dxfId="0" priority="352" stopIfTrue="1">
      <formula>$A949="begin group"</formula>
    </cfRule>
  </conditionalFormatting>
  <conditionalFormatting sqref="B949:C961 D949:E961">
    <cfRule type="expression" dxfId="1" priority="353" stopIfTrue="1">
      <formula>$A949="begin repeat"</formula>
    </cfRule>
  </conditionalFormatting>
  <conditionalFormatting sqref="B949:E961">
    <cfRule type="expression" dxfId="31" priority="354" stopIfTrue="1">
      <formula>$A949="enumerator"</formula>
    </cfRule>
  </conditionalFormatting>
  <conditionalFormatting sqref="B949:E961">
    <cfRule type="expression" dxfId="2" priority="355" stopIfTrue="1">
      <formula>$A949="text"</formula>
    </cfRule>
  </conditionalFormatting>
  <conditionalFormatting sqref="B949:E961">
    <cfRule type="expression" dxfId="3" priority="356" stopIfTrue="1">
      <formula>$A949="integer"</formula>
    </cfRule>
  </conditionalFormatting>
  <conditionalFormatting sqref="B949:E961">
    <cfRule type="expression" dxfId="4" priority="357" stopIfTrue="1">
      <formula>$A949="decimal"</formula>
    </cfRule>
  </conditionalFormatting>
  <conditionalFormatting sqref="B949:C961 D949:E961">
    <cfRule type="expression" dxfId="5" priority="358" stopIfTrue="1">
      <formula>OR(AND(LEFT($A949, 16)="select_multiple ", LEN($A949)&gt;16, NOT(ISNUMBER(SEARCH(" ", $A949, 17)))), AND(LEFT($A949, 11)="select_one ", LEN($A949)&gt;11, NOT(ISNUMBER(SEARCH(" ", $A949, 12)))))</formula>
    </cfRule>
  </conditionalFormatting>
  <conditionalFormatting sqref="B949:B961">
    <cfRule type="expression" dxfId="6" priority="359" stopIfTrue="1">
      <formula>OR($A949="audio audit", $A949="text audit", $A949="speed violations count", $A949="speed violations list", $A949="speed violations audit")</formula>
    </cfRule>
  </conditionalFormatting>
  <conditionalFormatting sqref="B949:C961 D949:E961">
    <cfRule type="expression" dxfId="32" priority="360" stopIfTrue="1">
      <formula>$A949="file"</formula>
    </cfRule>
  </conditionalFormatting>
  <conditionalFormatting sqref="B949:C961 D949:E961">
    <cfRule type="expression" dxfId="7" priority="361" stopIfTrue="1">
      <formula>$A949="note"</formula>
    </cfRule>
  </conditionalFormatting>
  <conditionalFormatting sqref="B949:C961 D949:E961">
    <cfRule type="expression" dxfId="8" priority="362" stopIfTrue="1">
      <formula>$A949="barcode"</formula>
    </cfRule>
  </conditionalFormatting>
  <conditionalFormatting sqref="B949:C961 D949:E961">
    <cfRule type="expression" dxfId="9" priority="363" stopIfTrue="1">
      <formula>OR($A949="geopoint", $A949="geoshape", $A949="geotrace")</formula>
    </cfRule>
  </conditionalFormatting>
  <conditionalFormatting sqref="B949:B961">
    <cfRule type="expression" dxfId="10" priority="364" stopIfTrue="1">
      <formula>OR($A949="calculate", $A949="calculate_here")</formula>
    </cfRule>
  </conditionalFormatting>
  <conditionalFormatting sqref="B949:C961 D949:E961">
    <cfRule type="expression" dxfId="11" priority="365" stopIfTrue="1">
      <formula>OR($A949="date", $A949="datetime", $A949="time")</formula>
    </cfRule>
  </conditionalFormatting>
  <conditionalFormatting sqref="B949:C961 D949:E961">
    <cfRule type="expression" dxfId="12" priority="366" stopIfTrue="1">
      <formula>$A949="image"</formula>
    </cfRule>
  </conditionalFormatting>
  <conditionalFormatting sqref="B949:C961 D949:E961">
    <cfRule type="expression" dxfId="13" priority="367" stopIfTrue="1">
      <formula>OR($A949="audio", $A949="video")</formula>
    </cfRule>
  </conditionalFormatting>
  <conditionalFormatting sqref="B949:E961">
    <cfRule type="expression" dxfId="33" priority="368" stopIfTrue="1">
      <formula>$A949="file"</formula>
    </cfRule>
  </conditionalFormatting>
  <conditionalFormatting sqref="B949:E961">
    <cfRule type="expression" dxfId="34" priority="369" stopIfTrue="1">
      <formula>$A949="enumerator"</formula>
    </cfRule>
  </conditionalFormatting>
  <conditionalFormatting sqref="B949:E961">
    <cfRule type="expression" dxfId="35" priority="370" stopIfTrue="1">
      <formula>OR(AND(LEFT($A949, 14)="sensor_stream ", LEN($A949)&gt;14, NOT(ISNUMBER(SEARCH(" ", $A949, 15)))), AND(LEFT($A949, 17)="sensor_statistic ", LEN($A949)&gt;17, NOT(ISNUMBER(SEARCH(" ", $A949, 18)))))</formula>
    </cfRule>
  </conditionalFormatting>
  <conditionalFormatting sqref="B949:E961">
    <cfRule type="expression" dxfId="14" priority="371" stopIfTrue="1">
      <formula>$A949="comments"</formula>
    </cfRule>
  </conditionalFormatting>
  <conditionalFormatting sqref="B949:E961">
    <cfRule type="expression" dxfId="15" priority="372" stopIfTrue="1">
      <formula>OR($A949="audio", $A949="video")</formula>
    </cfRule>
  </conditionalFormatting>
  <conditionalFormatting sqref="B949:E961">
    <cfRule type="expression" dxfId="16" priority="373" stopIfTrue="1">
      <formula>$A949="image"</formula>
    </cfRule>
  </conditionalFormatting>
  <conditionalFormatting sqref="B949:E961">
    <cfRule type="expression" dxfId="17" priority="374" stopIfTrue="1">
      <formula>OR($A949="date", $A949="datetime", $A949="time")</formula>
    </cfRule>
  </conditionalFormatting>
  <conditionalFormatting sqref="B949:E961">
    <cfRule type="expression" dxfId="18" priority="375" stopIfTrue="1">
      <formula>OR($A949="calculate", $A949="calculate_here")</formula>
    </cfRule>
  </conditionalFormatting>
  <conditionalFormatting sqref="B949:E961">
    <cfRule type="expression" dxfId="19" priority="376" stopIfTrue="1">
      <formula>$A949="note"</formula>
    </cfRule>
  </conditionalFormatting>
  <conditionalFormatting sqref="B949:E961">
    <cfRule type="expression" dxfId="20" priority="377" stopIfTrue="1">
      <formula>$A949="barcode"</formula>
    </cfRule>
  </conditionalFormatting>
  <conditionalFormatting sqref="B949:E961">
    <cfRule type="expression" dxfId="21" priority="378" stopIfTrue="1">
      <formula>OR($A949="geopoint", $A949="geoshape", $A949="geotrace")</formula>
    </cfRule>
  </conditionalFormatting>
  <conditionalFormatting sqref="B949:E961">
    <cfRule type="expression" dxfId="22" priority="379" stopIfTrue="1">
      <formula>OR($A949="audio audit", $A949="text audit", $A949="speed violations count", $A949="speed violations list", $A949="speed violations audit")</formula>
    </cfRule>
  </conditionalFormatting>
  <conditionalFormatting sqref="B949:E961">
    <cfRule type="expression" dxfId="23" priority="380" stopIfTrue="1">
      <formula>OR($A949="username", $A949="phonenumber", $A949="start", $A949="end", $A949="deviceid", $A949="subscriberid", $A949="simserial", $A949="caseid")</formula>
    </cfRule>
  </conditionalFormatting>
  <conditionalFormatting sqref="B949:E961">
    <cfRule type="expression" dxfId="24" priority="381" stopIfTrue="1">
      <formula>OR(AND(LEFT($A949, 16)="select_multiple ", LEN($A949)&gt;16, NOT(ISNUMBER(SEARCH(" ", $A949, 17)))), AND(LEFT($A949, 11)="select_one ", LEN($A949)&gt;11, NOT(ISNUMBER(SEARCH(" ", $A949, 12)))))</formula>
    </cfRule>
  </conditionalFormatting>
  <conditionalFormatting sqref="B949:E961">
    <cfRule type="expression" dxfId="25" priority="382" stopIfTrue="1">
      <formula>$A949="decimal"</formula>
    </cfRule>
  </conditionalFormatting>
  <conditionalFormatting sqref="B949:E961">
    <cfRule type="expression" dxfId="26" priority="383" stopIfTrue="1">
      <formula>$A949="integer"</formula>
    </cfRule>
  </conditionalFormatting>
  <conditionalFormatting sqref="B949:E961">
    <cfRule type="expression" dxfId="27" priority="384" stopIfTrue="1">
      <formula>$A949="text"</formula>
    </cfRule>
  </conditionalFormatting>
  <conditionalFormatting sqref="B949:E961">
    <cfRule type="expression" dxfId="28" priority="385" stopIfTrue="1">
      <formula>$A949="end repeat"</formula>
    </cfRule>
  </conditionalFormatting>
  <conditionalFormatting sqref="B949:E961">
    <cfRule type="expression" dxfId="28" priority="386" stopIfTrue="1">
      <formula>$A949="begin repeat"</formula>
    </cfRule>
  </conditionalFormatting>
  <conditionalFormatting sqref="B949:E961">
    <cfRule type="expression" dxfId="29" priority="387" stopIfTrue="1">
      <formula>$A949="end group"</formula>
    </cfRule>
  </conditionalFormatting>
  <conditionalFormatting sqref="B949:E961">
    <cfRule type="expression" dxfId="29" priority="388" stopIfTrue="1">
      <formula>$A949="begin group"</formula>
    </cfRule>
  </conditionalFormatting>
  <conditionalFormatting sqref="B949:B961">
    <cfRule type="expression" dxfId="30" priority="389" stopIfTrue="1">
      <formula>$A949="comments"</formula>
    </cfRule>
  </conditionalFormatting>
  <conditionalFormatting sqref="B949:B961">
    <cfRule type="expression" dxfId="36" priority="390" stopIfTrue="1">
      <formula>OR(AND(LEFT($A949, 14)="sensor_stream ", LEN($A949)&gt;14, NOT(ISNUMBER(SEARCH(" ", $A949, 15)))), AND(LEFT($A949, 17)="sensor_statistic ", LEN($A949)&gt;17, NOT(ISNUMBER(SEARCH(" ", $A949, 18)))))</formula>
    </cfRule>
  </conditionalFormatting>
  <conditionalFormatting sqref="B932:C936 D932:E936">
    <cfRule type="expression" dxfId="0" priority="391" stopIfTrue="1">
      <formula>$A932="begin group"</formula>
    </cfRule>
  </conditionalFormatting>
  <conditionalFormatting sqref="B932:C936 D932:E936">
    <cfRule type="expression" dxfId="1" priority="392" stopIfTrue="1">
      <formula>$A932="begin repeat"</formula>
    </cfRule>
  </conditionalFormatting>
  <conditionalFormatting sqref="B932:E936">
    <cfRule type="expression" dxfId="31" priority="393" stopIfTrue="1">
      <formula>$A932="enumerator"</formula>
    </cfRule>
  </conditionalFormatting>
  <conditionalFormatting sqref="B932:E936">
    <cfRule type="expression" dxfId="2" priority="394" stopIfTrue="1">
      <formula>$A932="text"</formula>
    </cfRule>
  </conditionalFormatting>
  <conditionalFormatting sqref="B932:E936">
    <cfRule type="expression" dxfId="3" priority="395" stopIfTrue="1">
      <formula>$A932="integer"</formula>
    </cfRule>
  </conditionalFormatting>
  <conditionalFormatting sqref="B932:E936">
    <cfRule type="expression" dxfId="4" priority="396" stopIfTrue="1">
      <formula>$A932="decimal"</formula>
    </cfRule>
  </conditionalFormatting>
  <conditionalFormatting sqref="B932:C936 D932:E936">
    <cfRule type="expression" dxfId="5" priority="397" stopIfTrue="1">
      <formula>OR(AND(LEFT($A932, 16)="select_multiple ", LEN($A932)&gt;16, NOT(ISNUMBER(SEARCH(" ", $A932, 17)))), AND(LEFT($A932, 11)="select_one ", LEN($A932)&gt;11, NOT(ISNUMBER(SEARCH(" ", $A932, 12)))))</formula>
    </cfRule>
  </conditionalFormatting>
  <conditionalFormatting sqref="B932:B936">
    <cfRule type="expression" dxfId="6" priority="398" stopIfTrue="1">
      <formula>OR($A932="audio audit", $A932="text audit", $A932="speed violations count", $A932="speed violations list", $A932="speed violations audit")</formula>
    </cfRule>
  </conditionalFormatting>
  <conditionalFormatting sqref="B932:C936 D932:E936">
    <cfRule type="expression" dxfId="32" priority="399" stopIfTrue="1">
      <formula>$A932="file"</formula>
    </cfRule>
  </conditionalFormatting>
  <conditionalFormatting sqref="B932:C936 D932:E936">
    <cfRule type="expression" dxfId="7" priority="400" stopIfTrue="1">
      <formula>$A932="note"</formula>
    </cfRule>
  </conditionalFormatting>
  <conditionalFormatting sqref="B932:C936 D932:E936">
    <cfRule type="expression" dxfId="8" priority="401" stopIfTrue="1">
      <formula>$A932="barcode"</formula>
    </cfRule>
  </conditionalFormatting>
  <conditionalFormatting sqref="B932:C936 D932:E936">
    <cfRule type="expression" dxfId="9" priority="402" stopIfTrue="1">
      <formula>OR($A932="geopoint", $A932="geoshape", $A932="geotrace")</formula>
    </cfRule>
  </conditionalFormatting>
  <conditionalFormatting sqref="B932:B936">
    <cfRule type="expression" dxfId="10" priority="403" stopIfTrue="1">
      <formula>OR($A932="calculate", $A932="calculate_here")</formula>
    </cfRule>
  </conditionalFormatting>
  <conditionalFormatting sqref="B932:C936 D932:E936">
    <cfRule type="expression" dxfId="11" priority="404" stopIfTrue="1">
      <formula>OR($A932="date", $A932="datetime", $A932="time")</formula>
    </cfRule>
  </conditionalFormatting>
  <conditionalFormatting sqref="B932:C936 D932:E936">
    <cfRule type="expression" dxfId="12" priority="405" stopIfTrue="1">
      <formula>$A932="image"</formula>
    </cfRule>
  </conditionalFormatting>
  <conditionalFormatting sqref="B932:C936 D932:E936">
    <cfRule type="expression" dxfId="13" priority="406" stopIfTrue="1">
      <formula>OR($A932="audio", $A932="video")</formula>
    </cfRule>
  </conditionalFormatting>
  <conditionalFormatting sqref="B932:E936">
    <cfRule type="expression" dxfId="33" priority="407" stopIfTrue="1">
      <formula>$A932="file"</formula>
    </cfRule>
  </conditionalFormatting>
  <conditionalFormatting sqref="B932:E936">
    <cfRule type="expression" dxfId="34" priority="408" stopIfTrue="1">
      <formula>$A932="enumerator"</formula>
    </cfRule>
  </conditionalFormatting>
  <conditionalFormatting sqref="B932:E936">
    <cfRule type="expression" dxfId="35" priority="409" stopIfTrue="1">
      <formula>OR(AND(LEFT($A932, 14)="sensor_stream ", LEN($A932)&gt;14, NOT(ISNUMBER(SEARCH(" ", $A932, 15)))), AND(LEFT($A932, 17)="sensor_statistic ", LEN($A932)&gt;17, NOT(ISNUMBER(SEARCH(" ", $A932, 18)))))</formula>
    </cfRule>
  </conditionalFormatting>
  <conditionalFormatting sqref="B932:E936">
    <cfRule type="expression" dxfId="14" priority="410" stopIfTrue="1">
      <formula>$A932="comments"</formula>
    </cfRule>
  </conditionalFormatting>
  <conditionalFormatting sqref="B932:E936">
    <cfRule type="expression" dxfId="15" priority="411" stopIfTrue="1">
      <formula>OR($A932="audio", $A932="video")</formula>
    </cfRule>
  </conditionalFormatting>
  <conditionalFormatting sqref="B932:E936">
    <cfRule type="expression" dxfId="16" priority="412" stopIfTrue="1">
      <formula>$A932="image"</formula>
    </cfRule>
  </conditionalFormatting>
  <conditionalFormatting sqref="B932:E936">
    <cfRule type="expression" dxfId="17" priority="413" stopIfTrue="1">
      <formula>OR($A932="date", $A932="datetime", $A932="time")</formula>
    </cfRule>
  </conditionalFormatting>
  <conditionalFormatting sqref="B932:E936">
    <cfRule type="expression" dxfId="18" priority="414" stopIfTrue="1">
      <formula>OR($A932="calculate", $A932="calculate_here")</formula>
    </cfRule>
  </conditionalFormatting>
  <conditionalFormatting sqref="B932:E936">
    <cfRule type="expression" dxfId="19" priority="415" stopIfTrue="1">
      <formula>$A932="note"</formula>
    </cfRule>
  </conditionalFormatting>
  <conditionalFormatting sqref="B932:E936">
    <cfRule type="expression" dxfId="20" priority="416" stopIfTrue="1">
      <formula>$A932="barcode"</formula>
    </cfRule>
  </conditionalFormatting>
  <conditionalFormatting sqref="B932:E936">
    <cfRule type="expression" dxfId="21" priority="417" stopIfTrue="1">
      <formula>OR($A932="geopoint", $A932="geoshape", $A932="geotrace")</formula>
    </cfRule>
  </conditionalFormatting>
  <conditionalFormatting sqref="B932:E936">
    <cfRule type="expression" dxfId="22" priority="418" stopIfTrue="1">
      <formula>OR($A932="audio audit", $A932="text audit", $A932="speed violations count", $A932="speed violations list", $A932="speed violations audit")</formula>
    </cfRule>
  </conditionalFormatting>
  <conditionalFormatting sqref="B932:E936">
    <cfRule type="expression" dxfId="23" priority="419" stopIfTrue="1">
      <formula>OR($A932="username", $A932="phonenumber", $A932="start", $A932="end", $A932="deviceid", $A932="subscriberid", $A932="simserial", $A932="caseid")</formula>
    </cfRule>
  </conditionalFormatting>
  <conditionalFormatting sqref="B932:E936">
    <cfRule type="expression" dxfId="24" priority="420" stopIfTrue="1">
      <formula>OR(AND(LEFT($A932, 16)="select_multiple ", LEN($A932)&gt;16, NOT(ISNUMBER(SEARCH(" ", $A932, 17)))), AND(LEFT($A932, 11)="select_one ", LEN($A932)&gt;11, NOT(ISNUMBER(SEARCH(" ", $A932, 12)))))</formula>
    </cfRule>
  </conditionalFormatting>
  <conditionalFormatting sqref="B932:E936">
    <cfRule type="expression" dxfId="25" priority="421" stopIfTrue="1">
      <formula>$A932="decimal"</formula>
    </cfRule>
  </conditionalFormatting>
  <conditionalFormatting sqref="B932:E936">
    <cfRule type="expression" dxfId="26" priority="422" stopIfTrue="1">
      <formula>$A932="integer"</formula>
    </cfRule>
  </conditionalFormatting>
  <conditionalFormatting sqref="B932:E936">
    <cfRule type="expression" dxfId="27" priority="423" stopIfTrue="1">
      <formula>$A932="text"</formula>
    </cfRule>
  </conditionalFormatting>
  <conditionalFormatting sqref="B932:E936">
    <cfRule type="expression" dxfId="28" priority="424" stopIfTrue="1">
      <formula>$A932="end repeat"</formula>
    </cfRule>
  </conditionalFormatting>
  <conditionalFormatting sqref="B932:E936">
    <cfRule type="expression" dxfId="28" priority="425" stopIfTrue="1">
      <formula>$A932="begin repeat"</formula>
    </cfRule>
  </conditionalFormatting>
  <conditionalFormatting sqref="B932:E936">
    <cfRule type="expression" dxfId="29" priority="426" stopIfTrue="1">
      <formula>$A932="end group"</formula>
    </cfRule>
  </conditionalFormatting>
  <conditionalFormatting sqref="B932:E936">
    <cfRule type="expression" dxfId="29" priority="427" stopIfTrue="1">
      <formula>$A932="begin group"</formula>
    </cfRule>
  </conditionalFormatting>
  <conditionalFormatting sqref="B932:B936">
    <cfRule type="expression" dxfId="30" priority="428" stopIfTrue="1">
      <formula>$A932="comments"</formula>
    </cfRule>
  </conditionalFormatting>
  <conditionalFormatting sqref="B932:B936">
    <cfRule type="expression" dxfId="36" priority="429" stopIfTrue="1">
      <formula>OR(AND(LEFT($A932, 14)="sensor_stream ", LEN($A932)&gt;14, NOT(ISNUMBER(SEARCH(" ", $A932, 15)))), AND(LEFT($A932, 17)="sensor_statistic ", LEN($A932)&gt;17, NOT(ISNUMBER(SEARCH(" ", $A932, 18)))))</formula>
    </cfRule>
  </conditionalFormatting>
  <conditionalFormatting sqref="B929:C929 D929:E929">
    <cfRule type="expression" dxfId="0" priority="430" stopIfTrue="1">
      <formula>$A929="begin group"</formula>
    </cfRule>
  </conditionalFormatting>
  <conditionalFormatting sqref="B929:C929 D929:E929">
    <cfRule type="expression" dxfId="1" priority="431" stopIfTrue="1">
      <formula>$A929="begin repeat"</formula>
    </cfRule>
  </conditionalFormatting>
  <conditionalFormatting sqref="B929:E929">
    <cfRule type="expression" dxfId="31" priority="432" stopIfTrue="1">
      <formula>$A929="enumerator"</formula>
    </cfRule>
  </conditionalFormatting>
  <conditionalFormatting sqref="B929:E929">
    <cfRule type="expression" dxfId="2" priority="433" stopIfTrue="1">
      <formula>$A929="text"</formula>
    </cfRule>
  </conditionalFormatting>
  <conditionalFormatting sqref="B929:E929">
    <cfRule type="expression" dxfId="3" priority="434" stopIfTrue="1">
      <formula>$A929="integer"</formula>
    </cfRule>
  </conditionalFormatting>
  <conditionalFormatting sqref="B929:E929">
    <cfRule type="expression" dxfId="4" priority="435" stopIfTrue="1">
      <formula>$A929="decimal"</formula>
    </cfRule>
  </conditionalFormatting>
  <conditionalFormatting sqref="B929:C929 D929:E929">
    <cfRule type="expression" dxfId="5" priority="436" stopIfTrue="1">
      <formula>OR(AND(LEFT($A929, 16)="select_multiple ", LEN($A929)&gt;16, NOT(ISNUMBER(SEARCH(" ", $A929, 17)))), AND(LEFT($A929, 11)="select_one ", LEN($A929)&gt;11, NOT(ISNUMBER(SEARCH(" ", $A929, 12)))))</formula>
    </cfRule>
  </conditionalFormatting>
  <conditionalFormatting sqref="B929">
    <cfRule type="expression" dxfId="6" priority="437" stopIfTrue="1">
      <formula>OR($A929="audio audit", $A929="text audit", $A929="speed violations count", $A929="speed violations list", $A929="speed violations audit")</formula>
    </cfRule>
  </conditionalFormatting>
  <conditionalFormatting sqref="B929:C929 D929:E929">
    <cfRule type="expression" dxfId="32" priority="438" stopIfTrue="1">
      <formula>$A929="file"</formula>
    </cfRule>
  </conditionalFormatting>
  <conditionalFormatting sqref="B929:C929 D929:E929">
    <cfRule type="expression" dxfId="7" priority="439" stopIfTrue="1">
      <formula>$A929="note"</formula>
    </cfRule>
  </conditionalFormatting>
  <conditionalFormatting sqref="B929:C929 D929:E929">
    <cfRule type="expression" dxfId="8" priority="440" stopIfTrue="1">
      <formula>$A929="barcode"</formula>
    </cfRule>
  </conditionalFormatting>
  <conditionalFormatting sqref="B929:C929 D929:E929">
    <cfRule type="expression" dxfId="9" priority="441" stopIfTrue="1">
      <formula>OR($A929="geopoint", $A929="geoshape", $A929="geotrace")</formula>
    </cfRule>
  </conditionalFormatting>
  <conditionalFormatting sqref="B929">
    <cfRule type="expression" dxfId="10" priority="442" stopIfTrue="1">
      <formula>OR($A929="calculate", $A929="calculate_here")</formula>
    </cfRule>
  </conditionalFormatting>
  <conditionalFormatting sqref="B929:C929 D929:E929">
    <cfRule type="expression" dxfId="11" priority="443" stopIfTrue="1">
      <formula>OR($A929="date", $A929="datetime", $A929="time")</formula>
    </cfRule>
  </conditionalFormatting>
  <conditionalFormatting sqref="B929:C929 D929:E929">
    <cfRule type="expression" dxfId="12" priority="444" stopIfTrue="1">
      <formula>$A929="image"</formula>
    </cfRule>
  </conditionalFormatting>
  <conditionalFormatting sqref="B929:C929 D929:E929">
    <cfRule type="expression" dxfId="13" priority="445" stopIfTrue="1">
      <formula>OR($A929="audio", $A929="video")</formula>
    </cfRule>
  </conditionalFormatting>
  <conditionalFormatting sqref="B929:E929">
    <cfRule type="expression" dxfId="33" priority="446" stopIfTrue="1">
      <formula>$A929="file"</formula>
    </cfRule>
  </conditionalFormatting>
  <conditionalFormatting sqref="B929:E929">
    <cfRule type="expression" dxfId="34" priority="447" stopIfTrue="1">
      <formula>$A929="enumerator"</formula>
    </cfRule>
  </conditionalFormatting>
  <conditionalFormatting sqref="B929:E929">
    <cfRule type="expression" dxfId="35" priority="448" stopIfTrue="1">
      <formula>OR(AND(LEFT($A929, 14)="sensor_stream ", LEN($A929)&gt;14, NOT(ISNUMBER(SEARCH(" ", $A929, 15)))), AND(LEFT($A929, 17)="sensor_statistic ", LEN($A929)&gt;17, NOT(ISNUMBER(SEARCH(" ", $A929, 18)))))</formula>
    </cfRule>
  </conditionalFormatting>
  <conditionalFormatting sqref="B929:E929">
    <cfRule type="expression" dxfId="14" priority="449" stopIfTrue="1">
      <formula>$A929="comments"</formula>
    </cfRule>
  </conditionalFormatting>
  <conditionalFormatting sqref="B929:E929">
    <cfRule type="expression" dxfId="15" priority="450" stopIfTrue="1">
      <formula>OR($A929="audio", $A929="video")</formula>
    </cfRule>
  </conditionalFormatting>
  <conditionalFormatting sqref="B929:E929">
    <cfRule type="expression" dxfId="16" priority="451" stopIfTrue="1">
      <formula>$A929="image"</formula>
    </cfRule>
  </conditionalFormatting>
  <conditionalFormatting sqref="B929:E929">
    <cfRule type="expression" dxfId="17" priority="452" stopIfTrue="1">
      <formula>OR($A929="date", $A929="datetime", $A929="time")</formula>
    </cfRule>
  </conditionalFormatting>
  <conditionalFormatting sqref="B929:E929">
    <cfRule type="expression" dxfId="18" priority="453" stopIfTrue="1">
      <formula>OR($A929="calculate", $A929="calculate_here")</formula>
    </cfRule>
  </conditionalFormatting>
  <conditionalFormatting sqref="B929:E929">
    <cfRule type="expression" dxfId="19" priority="454" stopIfTrue="1">
      <formula>$A929="note"</formula>
    </cfRule>
  </conditionalFormatting>
  <conditionalFormatting sqref="B929:E929">
    <cfRule type="expression" dxfId="20" priority="455" stopIfTrue="1">
      <formula>$A929="barcode"</formula>
    </cfRule>
  </conditionalFormatting>
  <conditionalFormatting sqref="B929:E929">
    <cfRule type="expression" dxfId="21" priority="456" stopIfTrue="1">
      <formula>OR($A929="geopoint", $A929="geoshape", $A929="geotrace")</formula>
    </cfRule>
  </conditionalFormatting>
  <conditionalFormatting sqref="B929:E929">
    <cfRule type="expression" dxfId="22" priority="457" stopIfTrue="1">
      <formula>OR($A929="audio audit", $A929="text audit", $A929="speed violations count", $A929="speed violations list", $A929="speed violations audit")</formula>
    </cfRule>
  </conditionalFormatting>
  <conditionalFormatting sqref="B929:E929">
    <cfRule type="expression" dxfId="23" priority="458" stopIfTrue="1">
      <formula>OR($A929="username", $A929="phonenumber", $A929="start", $A929="end", $A929="deviceid", $A929="subscriberid", $A929="simserial", $A929="caseid")</formula>
    </cfRule>
  </conditionalFormatting>
  <conditionalFormatting sqref="B929:E929">
    <cfRule type="expression" dxfId="24" priority="459" stopIfTrue="1">
      <formula>OR(AND(LEFT($A929, 16)="select_multiple ", LEN($A929)&gt;16, NOT(ISNUMBER(SEARCH(" ", $A929, 17)))), AND(LEFT($A929, 11)="select_one ", LEN($A929)&gt;11, NOT(ISNUMBER(SEARCH(" ", $A929, 12)))))</formula>
    </cfRule>
  </conditionalFormatting>
  <conditionalFormatting sqref="B929:E929">
    <cfRule type="expression" dxfId="25" priority="460" stopIfTrue="1">
      <formula>$A929="decimal"</formula>
    </cfRule>
  </conditionalFormatting>
  <conditionalFormatting sqref="B929:E929">
    <cfRule type="expression" dxfId="26" priority="461" stopIfTrue="1">
      <formula>$A929="integer"</formula>
    </cfRule>
  </conditionalFormatting>
  <conditionalFormatting sqref="B929:E929">
    <cfRule type="expression" dxfId="27" priority="462" stopIfTrue="1">
      <formula>$A929="text"</formula>
    </cfRule>
  </conditionalFormatting>
  <conditionalFormatting sqref="B929:E929">
    <cfRule type="expression" dxfId="28" priority="463" stopIfTrue="1">
      <formula>$A929="end repeat"</formula>
    </cfRule>
  </conditionalFormatting>
  <conditionalFormatting sqref="B929:E929">
    <cfRule type="expression" dxfId="28" priority="464" stopIfTrue="1">
      <formula>$A929="begin repeat"</formula>
    </cfRule>
  </conditionalFormatting>
  <conditionalFormatting sqref="B929:E929">
    <cfRule type="expression" dxfId="29" priority="465" stopIfTrue="1">
      <formula>$A929="end group"</formula>
    </cfRule>
  </conditionalFormatting>
  <conditionalFormatting sqref="B929:E929">
    <cfRule type="expression" dxfId="29" priority="466" stopIfTrue="1">
      <formula>$A929="begin group"</formula>
    </cfRule>
  </conditionalFormatting>
  <conditionalFormatting sqref="B929">
    <cfRule type="expression" dxfId="30" priority="467" stopIfTrue="1">
      <formula>$A929="comments"</formula>
    </cfRule>
  </conditionalFormatting>
  <conditionalFormatting sqref="B929">
    <cfRule type="expression" dxfId="36" priority="468" stopIfTrue="1">
      <formula>OR(AND(LEFT($A929, 14)="sensor_stream ", LEN($A929)&gt;14, NOT(ISNUMBER(SEARCH(" ", $A929, 15)))), AND(LEFT($A929, 17)="sensor_statistic ", LEN($A929)&gt;17, NOT(ISNUMBER(SEARCH(" ", $A929, 18)))))</formula>
    </cfRule>
  </conditionalFormatting>
  <conditionalFormatting sqref="B926:C926 D926:E926">
    <cfRule type="expression" dxfId="0" priority="469" stopIfTrue="1">
      <formula>$A926="begin group"</formula>
    </cfRule>
  </conditionalFormatting>
  <conditionalFormatting sqref="B926:C926 D926:E926">
    <cfRule type="expression" dxfId="1" priority="470" stopIfTrue="1">
      <formula>$A926="begin repeat"</formula>
    </cfRule>
  </conditionalFormatting>
  <conditionalFormatting sqref="B926:E926">
    <cfRule type="expression" dxfId="31" priority="471" stopIfTrue="1">
      <formula>$A926="enumerator"</formula>
    </cfRule>
  </conditionalFormatting>
  <conditionalFormatting sqref="B926:E926">
    <cfRule type="expression" dxfId="2" priority="472" stopIfTrue="1">
      <formula>$A926="text"</formula>
    </cfRule>
  </conditionalFormatting>
  <conditionalFormatting sqref="B926:E926">
    <cfRule type="expression" dxfId="3" priority="473" stopIfTrue="1">
      <formula>$A926="integer"</formula>
    </cfRule>
  </conditionalFormatting>
  <conditionalFormatting sqref="B926:E926">
    <cfRule type="expression" dxfId="4" priority="474" stopIfTrue="1">
      <formula>$A926="decimal"</formula>
    </cfRule>
  </conditionalFormatting>
  <conditionalFormatting sqref="B926:C926 D926:E926">
    <cfRule type="expression" dxfId="5" priority="475" stopIfTrue="1">
      <formula>OR(AND(LEFT($A926, 16)="select_multiple ", LEN($A926)&gt;16, NOT(ISNUMBER(SEARCH(" ", $A926, 17)))), AND(LEFT($A926, 11)="select_one ", LEN($A926)&gt;11, NOT(ISNUMBER(SEARCH(" ", $A926, 12)))))</formula>
    </cfRule>
  </conditionalFormatting>
  <conditionalFormatting sqref="B926">
    <cfRule type="expression" dxfId="6" priority="476" stopIfTrue="1">
      <formula>OR($A926="audio audit", $A926="text audit", $A926="speed violations count", $A926="speed violations list", $A926="speed violations audit")</formula>
    </cfRule>
  </conditionalFormatting>
  <conditionalFormatting sqref="B926:C926 D926:E926">
    <cfRule type="expression" dxfId="32" priority="477" stopIfTrue="1">
      <formula>$A926="file"</formula>
    </cfRule>
  </conditionalFormatting>
  <conditionalFormatting sqref="B926:C926 D926:E926">
    <cfRule type="expression" dxfId="7" priority="478" stopIfTrue="1">
      <formula>$A926="note"</formula>
    </cfRule>
  </conditionalFormatting>
  <conditionalFormatting sqref="B926:C926 D926:E926">
    <cfRule type="expression" dxfId="8" priority="479" stopIfTrue="1">
      <formula>$A926="barcode"</formula>
    </cfRule>
  </conditionalFormatting>
  <conditionalFormatting sqref="B926:C926 D926:E926">
    <cfRule type="expression" dxfId="9" priority="480" stopIfTrue="1">
      <formula>OR($A926="geopoint", $A926="geoshape", $A926="geotrace")</formula>
    </cfRule>
  </conditionalFormatting>
  <conditionalFormatting sqref="B926">
    <cfRule type="expression" dxfId="10" priority="481" stopIfTrue="1">
      <formula>OR($A926="calculate", $A926="calculate_here")</formula>
    </cfRule>
  </conditionalFormatting>
  <conditionalFormatting sqref="B926:C926 D926:E926">
    <cfRule type="expression" dxfId="11" priority="482" stopIfTrue="1">
      <formula>OR($A926="date", $A926="datetime", $A926="time")</formula>
    </cfRule>
  </conditionalFormatting>
  <conditionalFormatting sqref="B926:C926 D926:E926">
    <cfRule type="expression" dxfId="12" priority="483" stopIfTrue="1">
      <formula>$A926="image"</formula>
    </cfRule>
  </conditionalFormatting>
  <conditionalFormatting sqref="B926:C926 D926:E926">
    <cfRule type="expression" dxfId="13" priority="484" stopIfTrue="1">
      <formula>OR($A926="audio", $A926="video")</formula>
    </cfRule>
  </conditionalFormatting>
  <conditionalFormatting sqref="B926:E926">
    <cfRule type="expression" dxfId="33" priority="485" stopIfTrue="1">
      <formula>$A926="file"</formula>
    </cfRule>
  </conditionalFormatting>
  <conditionalFormatting sqref="B926:E926">
    <cfRule type="expression" dxfId="34" priority="486" stopIfTrue="1">
      <formula>$A926="enumerator"</formula>
    </cfRule>
  </conditionalFormatting>
  <conditionalFormatting sqref="B926:E926">
    <cfRule type="expression" dxfId="35" priority="487" stopIfTrue="1">
      <formula>OR(AND(LEFT($A926, 14)="sensor_stream ", LEN($A926)&gt;14, NOT(ISNUMBER(SEARCH(" ", $A926, 15)))), AND(LEFT($A926, 17)="sensor_statistic ", LEN($A926)&gt;17, NOT(ISNUMBER(SEARCH(" ", $A926, 18)))))</formula>
    </cfRule>
  </conditionalFormatting>
  <conditionalFormatting sqref="B926:E926">
    <cfRule type="expression" dxfId="14" priority="488" stopIfTrue="1">
      <formula>$A926="comments"</formula>
    </cfRule>
  </conditionalFormatting>
  <conditionalFormatting sqref="B926:E926">
    <cfRule type="expression" dxfId="15" priority="489" stopIfTrue="1">
      <formula>OR($A926="audio", $A926="video")</formula>
    </cfRule>
  </conditionalFormatting>
  <conditionalFormatting sqref="B926:E926">
    <cfRule type="expression" dxfId="16" priority="490" stopIfTrue="1">
      <formula>$A926="image"</formula>
    </cfRule>
  </conditionalFormatting>
  <conditionalFormatting sqref="B926:E926">
    <cfRule type="expression" dxfId="17" priority="491" stopIfTrue="1">
      <formula>OR($A926="date", $A926="datetime", $A926="time")</formula>
    </cfRule>
  </conditionalFormatting>
  <conditionalFormatting sqref="B926:E926">
    <cfRule type="expression" dxfId="18" priority="492" stopIfTrue="1">
      <formula>OR($A926="calculate", $A926="calculate_here")</formula>
    </cfRule>
  </conditionalFormatting>
  <conditionalFormatting sqref="B926:E926">
    <cfRule type="expression" dxfId="19" priority="493" stopIfTrue="1">
      <formula>$A926="note"</formula>
    </cfRule>
  </conditionalFormatting>
  <conditionalFormatting sqref="B926:E926">
    <cfRule type="expression" dxfId="20" priority="494" stopIfTrue="1">
      <formula>$A926="barcode"</formula>
    </cfRule>
  </conditionalFormatting>
  <conditionalFormatting sqref="B926:E926">
    <cfRule type="expression" dxfId="21" priority="495" stopIfTrue="1">
      <formula>OR($A926="geopoint", $A926="geoshape", $A926="geotrace")</formula>
    </cfRule>
  </conditionalFormatting>
  <conditionalFormatting sqref="B926:E926">
    <cfRule type="expression" dxfId="22" priority="496" stopIfTrue="1">
      <formula>OR($A926="audio audit", $A926="text audit", $A926="speed violations count", $A926="speed violations list", $A926="speed violations audit")</formula>
    </cfRule>
  </conditionalFormatting>
  <conditionalFormatting sqref="B926:E926">
    <cfRule type="expression" dxfId="23" priority="497" stopIfTrue="1">
      <formula>OR($A926="username", $A926="phonenumber", $A926="start", $A926="end", $A926="deviceid", $A926="subscriberid", $A926="simserial", $A926="caseid")</formula>
    </cfRule>
  </conditionalFormatting>
  <conditionalFormatting sqref="B926:E926">
    <cfRule type="expression" dxfId="24" priority="498" stopIfTrue="1">
      <formula>OR(AND(LEFT($A926, 16)="select_multiple ", LEN($A926)&gt;16, NOT(ISNUMBER(SEARCH(" ", $A926, 17)))), AND(LEFT($A926, 11)="select_one ", LEN($A926)&gt;11, NOT(ISNUMBER(SEARCH(" ", $A926, 12)))))</formula>
    </cfRule>
  </conditionalFormatting>
  <conditionalFormatting sqref="B926:E926">
    <cfRule type="expression" dxfId="25" priority="499" stopIfTrue="1">
      <formula>$A926="decimal"</formula>
    </cfRule>
  </conditionalFormatting>
  <conditionalFormatting sqref="B926:E926">
    <cfRule type="expression" dxfId="26" priority="500" stopIfTrue="1">
      <formula>$A926="integer"</formula>
    </cfRule>
  </conditionalFormatting>
  <conditionalFormatting sqref="B926:E926">
    <cfRule type="expression" dxfId="27" priority="501" stopIfTrue="1">
      <formula>$A926="text"</formula>
    </cfRule>
  </conditionalFormatting>
  <conditionalFormatting sqref="B926:E926">
    <cfRule type="expression" dxfId="28" priority="502" stopIfTrue="1">
      <formula>$A926="end repeat"</formula>
    </cfRule>
  </conditionalFormatting>
  <conditionalFormatting sqref="B926:E926">
    <cfRule type="expression" dxfId="28" priority="503" stopIfTrue="1">
      <formula>$A926="begin repeat"</formula>
    </cfRule>
  </conditionalFormatting>
  <conditionalFormatting sqref="B926:E926">
    <cfRule type="expression" dxfId="29" priority="504" stopIfTrue="1">
      <formula>$A926="end group"</formula>
    </cfRule>
  </conditionalFormatting>
  <conditionalFormatting sqref="B926:E926">
    <cfRule type="expression" dxfId="29" priority="505" stopIfTrue="1">
      <formula>$A926="begin group"</formula>
    </cfRule>
  </conditionalFormatting>
  <conditionalFormatting sqref="B926">
    <cfRule type="expression" dxfId="30" priority="506" stopIfTrue="1">
      <formula>$A926="comments"</formula>
    </cfRule>
  </conditionalFormatting>
  <conditionalFormatting sqref="B926">
    <cfRule type="expression" dxfId="36" priority="507" stopIfTrue="1">
      <formula>OR(AND(LEFT($A926, 14)="sensor_stream ", LEN($A926)&gt;14, NOT(ISNUMBER(SEARCH(" ", $A926, 15)))), AND(LEFT($A926, 17)="sensor_statistic ", LEN($A926)&gt;17, NOT(ISNUMBER(SEARCH(" ", $A926, 18)))))</formula>
    </cfRule>
  </conditionalFormatting>
  <conditionalFormatting sqref="B924:C924 D924:E924">
    <cfRule type="expression" dxfId="0" priority="508" stopIfTrue="1">
      <formula>$A924="begin group"</formula>
    </cfRule>
  </conditionalFormatting>
  <conditionalFormatting sqref="B924:C924 D924:E924">
    <cfRule type="expression" dxfId="1" priority="509" stopIfTrue="1">
      <formula>$A924="begin repeat"</formula>
    </cfRule>
  </conditionalFormatting>
  <conditionalFormatting sqref="B924:E924">
    <cfRule type="expression" dxfId="31" priority="510" stopIfTrue="1">
      <formula>$A924="enumerator"</formula>
    </cfRule>
  </conditionalFormatting>
  <conditionalFormatting sqref="B924:E924">
    <cfRule type="expression" dxfId="2" priority="511" stopIfTrue="1">
      <formula>$A924="text"</formula>
    </cfRule>
  </conditionalFormatting>
  <conditionalFormatting sqref="B924:E924">
    <cfRule type="expression" dxfId="3" priority="512" stopIfTrue="1">
      <formula>$A924="integer"</formula>
    </cfRule>
  </conditionalFormatting>
  <conditionalFormatting sqref="B924:E924">
    <cfRule type="expression" dxfId="4" priority="513" stopIfTrue="1">
      <formula>$A924="decimal"</formula>
    </cfRule>
  </conditionalFormatting>
  <conditionalFormatting sqref="B924:C924 D924:E924">
    <cfRule type="expression" dxfId="5" priority="514" stopIfTrue="1">
      <formula>OR(AND(LEFT($A924, 16)="select_multiple ", LEN($A924)&gt;16, NOT(ISNUMBER(SEARCH(" ", $A924, 17)))), AND(LEFT($A924, 11)="select_one ", LEN($A924)&gt;11, NOT(ISNUMBER(SEARCH(" ", $A924, 12)))))</formula>
    </cfRule>
  </conditionalFormatting>
  <conditionalFormatting sqref="B924">
    <cfRule type="expression" dxfId="6" priority="515" stopIfTrue="1">
      <formula>OR($A924="audio audit", $A924="text audit", $A924="speed violations count", $A924="speed violations list", $A924="speed violations audit")</formula>
    </cfRule>
  </conditionalFormatting>
  <conditionalFormatting sqref="B924:C924 D924:E924">
    <cfRule type="expression" dxfId="32" priority="516" stopIfTrue="1">
      <formula>$A924="file"</formula>
    </cfRule>
  </conditionalFormatting>
  <conditionalFormatting sqref="B924:C924 D924:E924">
    <cfRule type="expression" dxfId="7" priority="517" stopIfTrue="1">
      <formula>$A924="note"</formula>
    </cfRule>
  </conditionalFormatting>
  <conditionalFormatting sqref="B924:C924 D924:E924">
    <cfRule type="expression" dxfId="8" priority="518" stopIfTrue="1">
      <formula>$A924="barcode"</formula>
    </cfRule>
  </conditionalFormatting>
  <conditionalFormatting sqref="B924:C924 D924:E924">
    <cfRule type="expression" dxfId="9" priority="519" stopIfTrue="1">
      <formula>OR($A924="geopoint", $A924="geoshape", $A924="geotrace")</formula>
    </cfRule>
  </conditionalFormatting>
  <conditionalFormatting sqref="B924">
    <cfRule type="expression" dxfId="10" priority="520" stopIfTrue="1">
      <formula>OR($A924="calculate", $A924="calculate_here")</formula>
    </cfRule>
  </conditionalFormatting>
  <conditionalFormatting sqref="B924:C924 D924:E924">
    <cfRule type="expression" dxfId="11" priority="521" stopIfTrue="1">
      <formula>OR($A924="date", $A924="datetime", $A924="time")</formula>
    </cfRule>
  </conditionalFormatting>
  <conditionalFormatting sqref="B924:C924 D924:E924">
    <cfRule type="expression" dxfId="12" priority="522" stopIfTrue="1">
      <formula>$A924="image"</formula>
    </cfRule>
  </conditionalFormatting>
  <conditionalFormatting sqref="B924:C924 D924:E924">
    <cfRule type="expression" dxfId="13" priority="523" stopIfTrue="1">
      <formula>OR($A924="audio", $A924="video")</formula>
    </cfRule>
  </conditionalFormatting>
  <conditionalFormatting sqref="B924:E924">
    <cfRule type="expression" dxfId="33" priority="524" stopIfTrue="1">
      <formula>$A924="file"</formula>
    </cfRule>
  </conditionalFormatting>
  <conditionalFormatting sqref="B924:E924">
    <cfRule type="expression" dxfId="34" priority="525" stopIfTrue="1">
      <formula>$A924="enumerator"</formula>
    </cfRule>
  </conditionalFormatting>
  <conditionalFormatting sqref="B924:E924">
    <cfRule type="expression" dxfId="35" priority="526" stopIfTrue="1">
      <formula>OR(AND(LEFT($A924, 14)="sensor_stream ", LEN($A924)&gt;14, NOT(ISNUMBER(SEARCH(" ", $A924, 15)))), AND(LEFT($A924, 17)="sensor_statistic ", LEN($A924)&gt;17, NOT(ISNUMBER(SEARCH(" ", $A924, 18)))))</formula>
    </cfRule>
  </conditionalFormatting>
  <conditionalFormatting sqref="B924:E924">
    <cfRule type="expression" dxfId="14" priority="527" stopIfTrue="1">
      <formula>$A924="comments"</formula>
    </cfRule>
  </conditionalFormatting>
  <conditionalFormatting sqref="B924:E924">
    <cfRule type="expression" dxfId="15" priority="528" stopIfTrue="1">
      <formula>OR($A924="audio", $A924="video")</formula>
    </cfRule>
  </conditionalFormatting>
  <conditionalFormatting sqref="B924:E924">
    <cfRule type="expression" dxfId="16" priority="529" stopIfTrue="1">
      <formula>$A924="image"</formula>
    </cfRule>
  </conditionalFormatting>
  <conditionalFormatting sqref="B924:E924">
    <cfRule type="expression" dxfId="17" priority="530" stopIfTrue="1">
      <formula>OR($A924="date", $A924="datetime", $A924="time")</formula>
    </cfRule>
  </conditionalFormatting>
  <conditionalFormatting sqref="B924:E924">
    <cfRule type="expression" dxfId="18" priority="531" stopIfTrue="1">
      <formula>OR($A924="calculate", $A924="calculate_here")</formula>
    </cfRule>
  </conditionalFormatting>
  <conditionalFormatting sqref="B924:E924">
    <cfRule type="expression" dxfId="19" priority="532" stopIfTrue="1">
      <formula>$A924="note"</formula>
    </cfRule>
  </conditionalFormatting>
  <conditionalFormatting sqref="B924:E924">
    <cfRule type="expression" dxfId="20" priority="533" stopIfTrue="1">
      <formula>$A924="barcode"</formula>
    </cfRule>
  </conditionalFormatting>
  <conditionalFormatting sqref="B924:E924">
    <cfRule type="expression" dxfId="21" priority="534" stopIfTrue="1">
      <formula>OR($A924="geopoint", $A924="geoshape", $A924="geotrace")</formula>
    </cfRule>
  </conditionalFormatting>
  <conditionalFormatting sqref="B924:E924">
    <cfRule type="expression" dxfId="22" priority="535" stopIfTrue="1">
      <formula>OR($A924="audio audit", $A924="text audit", $A924="speed violations count", $A924="speed violations list", $A924="speed violations audit")</formula>
    </cfRule>
  </conditionalFormatting>
  <conditionalFormatting sqref="B924:E924">
    <cfRule type="expression" dxfId="23" priority="536" stopIfTrue="1">
      <formula>OR($A924="username", $A924="phonenumber", $A924="start", $A924="end", $A924="deviceid", $A924="subscriberid", $A924="simserial", $A924="caseid")</formula>
    </cfRule>
  </conditionalFormatting>
  <conditionalFormatting sqref="B924:E924">
    <cfRule type="expression" dxfId="24" priority="537" stopIfTrue="1">
      <formula>OR(AND(LEFT($A924, 16)="select_multiple ", LEN($A924)&gt;16, NOT(ISNUMBER(SEARCH(" ", $A924, 17)))), AND(LEFT($A924, 11)="select_one ", LEN($A924)&gt;11, NOT(ISNUMBER(SEARCH(" ", $A924, 12)))))</formula>
    </cfRule>
  </conditionalFormatting>
  <conditionalFormatting sqref="B924:E924">
    <cfRule type="expression" dxfId="25" priority="538" stopIfTrue="1">
      <formula>$A924="decimal"</formula>
    </cfRule>
  </conditionalFormatting>
  <conditionalFormatting sqref="B924:E924">
    <cfRule type="expression" dxfId="26" priority="539" stopIfTrue="1">
      <formula>$A924="integer"</formula>
    </cfRule>
  </conditionalFormatting>
  <conditionalFormatting sqref="B924:E924">
    <cfRule type="expression" dxfId="27" priority="540" stopIfTrue="1">
      <formula>$A924="text"</formula>
    </cfRule>
  </conditionalFormatting>
  <conditionalFormatting sqref="B924:E924">
    <cfRule type="expression" dxfId="28" priority="541" stopIfTrue="1">
      <formula>$A924="end repeat"</formula>
    </cfRule>
  </conditionalFormatting>
  <conditionalFormatting sqref="B924:E924">
    <cfRule type="expression" dxfId="28" priority="542" stopIfTrue="1">
      <formula>$A924="begin repeat"</formula>
    </cfRule>
  </conditionalFormatting>
  <conditionalFormatting sqref="B924:E924">
    <cfRule type="expression" dxfId="29" priority="543" stopIfTrue="1">
      <formula>$A924="end group"</formula>
    </cfRule>
  </conditionalFormatting>
  <conditionalFormatting sqref="B924:E924">
    <cfRule type="expression" dxfId="29" priority="544" stopIfTrue="1">
      <formula>$A924="begin group"</formula>
    </cfRule>
  </conditionalFormatting>
  <conditionalFormatting sqref="B924">
    <cfRule type="expression" dxfId="30" priority="545" stopIfTrue="1">
      <formula>$A924="comments"</formula>
    </cfRule>
  </conditionalFormatting>
  <conditionalFormatting sqref="B924">
    <cfRule type="expression" dxfId="36" priority="546" stopIfTrue="1">
      <formula>OR(AND(LEFT($A924, 14)="sensor_stream ", LEN($A924)&gt;14, NOT(ISNUMBER(SEARCH(" ", $A924, 15)))), AND(LEFT($A924, 17)="sensor_statistic ", LEN($A924)&gt;17, NOT(ISNUMBER(SEARCH(" ", $A924, 18)))))</formula>
    </cfRule>
  </conditionalFormatting>
  <conditionalFormatting sqref="B921:C921 D921:E921">
    <cfRule type="expression" dxfId="0" priority="547" stopIfTrue="1">
      <formula>$A921="begin group"</formula>
    </cfRule>
  </conditionalFormatting>
  <conditionalFormatting sqref="B921:C921 D921:E921">
    <cfRule type="expression" dxfId="1" priority="548" stopIfTrue="1">
      <formula>$A921="begin repeat"</formula>
    </cfRule>
  </conditionalFormatting>
  <conditionalFormatting sqref="B921:E921">
    <cfRule type="expression" dxfId="31" priority="549" stopIfTrue="1">
      <formula>$A921="enumerator"</formula>
    </cfRule>
  </conditionalFormatting>
  <conditionalFormatting sqref="B921:E921">
    <cfRule type="expression" dxfId="2" priority="550" stopIfTrue="1">
      <formula>$A921="text"</formula>
    </cfRule>
  </conditionalFormatting>
  <conditionalFormatting sqref="B921:E921">
    <cfRule type="expression" dxfId="3" priority="551" stopIfTrue="1">
      <formula>$A921="integer"</formula>
    </cfRule>
  </conditionalFormatting>
  <conditionalFormatting sqref="B921:E921">
    <cfRule type="expression" dxfId="4" priority="552" stopIfTrue="1">
      <formula>$A921="decimal"</formula>
    </cfRule>
  </conditionalFormatting>
  <conditionalFormatting sqref="B921:C921 D921:E921">
    <cfRule type="expression" dxfId="5" priority="553" stopIfTrue="1">
      <formula>OR(AND(LEFT($A921, 16)="select_multiple ", LEN($A921)&gt;16, NOT(ISNUMBER(SEARCH(" ", $A921, 17)))), AND(LEFT($A921, 11)="select_one ", LEN($A921)&gt;11, NOT(ISNUMBER(SEARCH(" ", $A921, 12)))))</formula>
    </cfRule>
  </conditionalFormatting>
  <conditionalFormatting sqref="B921">
    <cfRule type="expression" dxfId="6" priority="554" stopIfTrue="1">
      <formula>OR($A921="audio audit", $A921="text audit", $A921="speed violations count", $A921="speed violations list", $A921="speed violations audit")</formula>
    </cfRule>
  </conditionalFormatting>
  <conditionalFormatting sqref="B921:C921 D921:E921">
    <cfRule type="expression" dxfId="32" priority="555" stopIfTrue="1">
      <formula>$A921="file"</formula>
    </cfRule>
  </conditionalFormatting>
  <conditionalFormatting sqref="B921:C921 D921:E921">
    <cfRule type="expression" dxfId="7" priority="556" stopIfTrue="1">
      <formula>$A921="note"</formula>
    </cfRule>
  </conditionalFormatting>
  <conditionalFormatting sqref="B921:C921 D921:E921">
    <cfRule type="expression" dxfId="8" priority="557" stopIfTrue="1">
      <formula>$A921="barcode"</formula>
    </cfRule>
  </conditionalFormatting>
  <conditionalFormatting sqref="B921:C921 D921:E921">
    <cfRule type="expression" dxfId="9" priority="558" stopIfTrue="1">
      <formula>OR($A921="geopoint", $A921="geoshape", $A921="geotrace")</formula>
    </cfRule>
  </conditionalFormatting>
  <conditionalFormatting sqref="B921">
    <cfRule type="expression" dxfId="10" priority="559" stopIfTrue="1">
      <formula>OR($A921="calculate", $A921="calculate_here")</formula>
    </cfRule>
  </conditionalFormatting>
  <conditionalFormatting sqref="B921:C921 D921:E921">
    <cfRule type="expression" dxfId="11" priority="560" stopIfTrue="1">
      <formula>OR($A921="date", $A921="datetime", $A921="time")</formula>
    </cfRule>
  </conditionalFormatting>
  <conditionalFormatting sqref="B921:C921 D921:E921">
    <cfRule type="expression" dxfId="12" priority="561" stopIfTrue="1">
      <formula>$A921="image"</formula>
    </cfRule>
  </conditionalFormatting>
  <conditionalFormatting sqref="B921:C921 D921:E921">
    <cfRule type="expression" dxfId="13" priority="562" stopIfTrue="1">
      <formula>OR($A921="audio", $A921="video")</formula>
    </cfRule>
  </conditionalFormatting>
  <conditionalFormatting sqref="B921:E921">
    <cfRule type="expression" dxfId="33" priority="563" stopIfTrue="1">
      <formula>$A921="file"</formula>
    </cfRule>
  </conditionalFormatting>
  <conditionalFormatting sqref="B921:E921">
    <cfRule type="expression" dxfId="34" priority="564" stopIfTrue="1">
      <formula>$A921="enumerator"</formula>
    </cfRule>
  </conditionalFormatting>
  <conditionalFormatting sqref="B921:E921">
    <cfRule type="expression" dxfId="35" priority="565" stopIfTrue="1">
      <formula>OR(AND(LEFT($A921, 14)="sensor_stream ", LEN($A921)&gt;14, NOT(ISNUMBER(SEARCH(" ", $A921, 15)))), AND(LEFT($A921, 17)="sensor_statistic ", LEN($A921)&gt;17, NOT(ISNUMBER(SEARCH(" ", $A921, 18)))))</formula>
    </cfRule>
  </conditionalFormatting>
  <conditionalFormatting sqref="B921:E921">
    <cfRule type="expression" dxfId="14" priority="566" stopIfTrue="1">
      <formula>$A921="comments"</formula>
    </cfRule>
  </conditionalFormatting>
  <conditionalFormatting sqref="B921:E921">
    <cfRule type="expression" dxfId="15" priority="567" stopIfTrue="1">
      <formula>OR($A921="audio", $A921="video")</formula>
    </cfRule>
  </conditionalFormatting>
  <conditionalFormatting sqref="B921:E921">
    <cfRule type="expression" dxfId="16" priority="568" stopIfTrue="1">
      <formula>$A921="image"</formula>
    </cfRule>
  </conditionalFormatting>
  <conditionalFormatting sqref="B921:E921">
    <cfRule type="expression" dxfId="17" priority="569" stopIfTrue="1">
      <formula>OR($A921="date", $A921="datetime", $A921="time")</formula>
    </cfRule>
  </conditionalFormatting>
  <conditionalFormatting sqref="B921:E921">
    <cfRule type="expression" dxfId="18" priority="570" stopIfTrue="1">
      <formula>OR($A921="calculate", $A921="calculate_here")</formula>
    </cfRule>
  </conditionalFormatting>
  <conditionalFormatting sqref="B921:E921">
    <cfRule type="expression" dxfId="19" priority="571" stopIfTrue="1">
      <formula>$A921="note"</formula>
    </cfRule>
  </conditionalFormatting>
  <conditionalFormatting sqref="B921:E921">
    <cfRule type="expression" dxfId="20" priority="572" stopIfTrue="1">
      <formula>$A921="barcode"</formula>
    </cfRule>
  </conditionalFormatting>
  <conditionalFormatting sqref="B921:E921">
    <cfRule type="expression" dxfId="21" priority="573" stopIfTrue="1">
      <formula>OR($A921="geopoint", $A921="geoshape", $A921="geotrace")</formula>
    </cfRule>
  </conditionalFormatting>
  <conditionalFormatting sqref="B921:E921">
    <cfRule type="expression" dxfId="22" priority="574" stopIfTrue="1">
      <formula>OR($A921="audio audit", $A921="text audit", $A921="speed violations count", $A921="speed violations list", $A921="speed violations audit")</formula>
    </cfRule>
  </conditionalFormatting>
  <conditionalFormatting sqref="B921:E921">
    <cfRule type="expression" dxfId="23" priority="575" stopIfTrue="1">
      <formula>OR($A921="username", $A921="phonenumber", $A921="start", $A921="end", $A921="deviceid", $A921="subscriberid", $A921="simserial", $A921="caseid")</formula>
    </cfRule>
  </conditionalFormatting>
  <conditionalFormatting sqref="B921:E921">
    <cfRule type="expression" dxfId="24" priority="576" stopIfTrue="1">
      <formula>OR(AND(LEFT($A921, 16)="select_multiple ", LEN($A921)&gt;16, NOT(ISNUMBER(SEARCH(" ", $A921, 17)))), AND(LEFT($A921, 11)="select_one ", LEN($A921)&gt;11, NOT(ISNUMBER(SEARCH(" ", $A921, 12)))))</formula>
    </cfRule>
  </conditionalFormatting>
  <conditionalFormatting sqref="B921:E921">
    <cfRule type="expression" dxfId="25" priority="577" stopIfTrue="1">
      <formula>$A921="decimal"</formula>
    </cfRule>
  </conditionalFormatting>
  <conditionalFormatting sqref="B921:E921">
    <cfRule type="expression" dxfId="26" priority="578" stopIfTrue="1">
      <formula>$A921="integer"</formula>
    </cfRule>
  </conditionalFormatting>
  <conditionalFormatting sqref="B921:E921">
    <cfRule type="expression" dxfId="27" priority="579" stopIfTrue="1">
      <formula>$A921="text"</formula>
    </cfRule>
  </conditionalFormatting>
  <conditionalFormatting sqref="B921:E921">
    <cfRule type="expression" dxfId="28" priority="580" stopIfTrue="1">
      <formula>$A921="end repeat"</formula>
    </cfRule>
  </conditionalFormatting>
  <conditionalFormatting sqref="B921:E921">
    <cfRule type="expression" dxfId="28" priority="581" stopIfTrue="1">
      <formula>$A921="begin repeat"</formula>
    </cfRule>
  </conditionalFormatting>
  <conditionalFormatting sqref="B921:E921">
    <cfRule type="expression" dxfId="29" priority="582" stopIfTrue="1">
      <formula>$A921="end group"</formula>
    </cfRule>
  </conditionalFormatting>
  <conditionalFormatting sqref="B921:E921">
    <cfRule type="expression" dxfId="29" priority="583" stopIfTrue="1">
      <formula>$A921="begin group"</formula>
    </cfRule>
  </conditionalFormatting>
  <conditionalFormatting sqref="B921">
    <cfRule type="expression" dxfId="30" priority="584" stopIfTrue="1">
      <formula>$A921="comments"</formula>
    </cfRule>
  </conditionalFormatting>
  <conditionalFormatting sqref="B921">
    <cfRule type="expression" dxfId="36" priority="585" stopIfTrue="1">
      <formula>OR(AND(LEFT($A921, 14)="sensor_stream ", LEN($A921)&gt;14, NOT(ISNUMBER(SEARCH(" ", $A921, 15)))), AND(LEFT($A921, 17)="sensor_statistic ", LEN($A921)&gt;17, NOT(ISNUMBER(SEARCH(" ", $A921, 18)))))</formula>
    </cfRule>
  </conditionalFormatting>
  <conditionalFormatting sqref="B905:C915 D905:E915">
    <cfRule type="expression" dxfId="0" priority="586" stopIfTrue="1">
      <formula>$A905="begin group"</formula>
    </cfRule>
  </conditionalFormatting>
  <conditionalFormatting sqref="B905:C915 D905:E915">
    <cfRule type="expression" dxfId="1" priority="587" stopIfTrue="1">
      <formula>$A905="begin repeat"</formula>
    </cfRule>
  </conditionalFormatting>
  <conditionalFormatting sqref="B905:E915">
    <cfRule type="expression" dxfId="31" priority="588" stopIfTrue="1">
      <formula>$A905="enumerator"</formula>
    </cfRule>
  </conditionalFormatting>
  <conditionalFormatting sqref="B905:E915">
    <cfRule type="expression" dxfId="2" priority="589" stopIfTrue="1">
      <formula>$A905="text"</formula>
    </cfRule>
  </conditionalFormatting>
  <conditionalFormatting sqref="B905:E915">
    <cfRule type="expression" dxfId="3" priority="590" stopIfTrue="1">
      <formula>$A905="integer"</formula>
    </cfRule>
  </conditionalFormatting>
  <conditionalFormatting sqref="B905:E915">
    <cfRule type="expression" dxfId="4" priority="591" stopIfTrue="1">
      <formula>$A905="decimal"</formula>
    </cfRule>
  </conditionalFormatting>
  <conditionalFormatting sqref="B905:C915 D905:E915">
    <cfRule type="expression" dxfId="5" priority="592" stopIfTrue="1">
      <formula>OR(AND(LEFT($A905, 16)="select_multiple ", LEN($A905)&gt;16, NOT(ISNUMBER(SEARCH(" ", $A905, 17)))), AND(LEFT($A905, 11)="select_one ", LEN($A905)&gt;11, NOT(ISNUMBER(SEARCH(" ", $A905, 12)))))</formula>
    </cfRule>
  </conditionalFormatting>
  <conditionalFormatting sqref="B905:B915">
    <cfRule type="expression" dxfId="6" priority="593" stopIfTrue="1">
      <formula>OR($A905="audio audit", $A905="text audit", $A905="speed violations count", $A905="speed violations list", $A905="speed violations audit")</formula>
    </cfRule>
  </conditionalFormatting>
  <conditionalFormatting sqref="B905:C915 D905:E915">
    <cfRule type="expression" dxfId="32" priority="594" stopIfTrue="1">
      <formula>$A905="file"</formula>
    </cfRule>
  </conditionalFormatting>
  <conditionalFormatting sqref="B905:C915 D905:E915">
    <cfRule type="expression" dxfId="7" priority="595" stopIfTrue="1">
      <formula>$A905="note"</formula>
    </cfRule>
  </conditionalFormatting>
  <conditionalFormatting sqref="B905:C915 D905:E915">
    <cfRule type="expression" dxfId="8" priority="596" stopIfTrue="1">
      <formula>$A905="barcode"</formula>
    </cfRule>
  </conditionalFormatting>
  <conditionalFormatting sqref="B905:C915 D905:E915">
    <cfRule type="expression" dxfId="9" priority="597" stopIfTrue="1">
      <formula>OR($A905="geopoint", $A905="geoshape", $A905="geotrace")</formula>
    </cfRule>
  </conditionalFormatting>
  <conditionalFormatting sqref="B905:B915">
    <cfRule type="expression" dxfId="10" priority="598" stopIfTrue="1">
      <formula>OR($A905="calculate", $A905="calculate_here")</formula>
    </cfRule>
  </conditionalFormatting>
  <conditionalFormatting sqref="B905:C915 D905:E915">
    <cfRule type="expression" dxfId="11" priority="599" stopIfTrue="1">
      <formula>OR($A905="date", $A905="datetime", $A905="time")</formula>
    </cfRule>
  </conditionalFormatting>
  <conditionalFormatting sqref="B905:C915 D905:E915">
    <cfRule type="expression" dxfId="12" priority="600" stopIfTrue="1">
      <formula>$A905="image"</formula>
    </cfRule>
  </conditionalFormatting>
  <conditionalFormatting sqref="B905:C915 D905:E915">
    <cfRule type="expression" dxfId="13" priority="601" stopIfTrue="1">
      <formula>OR($A905="audio", $A905="video")</formula>
    </cfRule>
  </conditionalFormatting>
  <conditionalFormatting sqref="B905:E915">
    <cfRule type="expression" dxfId="33" priority="602" stopIfTrue="1">
      <formula>$A905="file"</formula>
    </cfRule>
  </conditionalFormatting>
  <conditionalFormatting sqref="B905:E915">
    <cfRule type="expression" dxfId="34" priority="603" stopIfTrue="1">
      <formula>$A905="enumerator"</formula>
    </cfRule>
  </conditionalFormatting>
  <conditionalFormatting sqref="B905:E915">
    <cfRule type="expression" dxfId="35" priority="604" stopIfTrue="1">
      <formula>OR(AND(LEFT($A905, 14)="sensor_stream ", LEN($A905)&gt;14, NOT(ISNUMBER(SEARCH(" ", $A905, 15)))), AND(LEFT($A905, 17)="sensor_statistic ", LEN($A905)&gt;17, NOT(ISNUMBER(SEARCH(" ", $A905, 18)))))</formula>
    </cfRule>
  </conditionalFormatting>
  <conditionalFormatting sqref="B905:E915">
    <cfRule type="expression" dxfId="14" priority="605" stopIfTrue="1">
      <formula>$A905="comments"</formula>
    </cfRule>
  </conditionalFormatting>
  <conditionalFormatting sqref="B905:E915">
    <cfRule type="expression" dxfId="15" priority="606" stopIfTrue="1">
      <formula>OR($A905="audio", $A905="video")</formula>
    </cfRule>
  </conditionalFormatting>
  <conditionalFormatting sqref="B905:E915">
    <cfRule type="expression" dxfId="16" priority="607" stopIfTrue="1">
      <formula>$A905="image"</formula>
    </cfRule>
  </conditionalFormatting>
  <conditionalFormatting sqref="B905:E915">
    <cfRule type="expression" dxfId="17" priority="608" stopIfTrue="1">
      <formula>OR($A905="date", $A905="datetime", $A905="time")</formula>
    </cfRule>
  </conditionalFormatting>
  <conditionalFormatting sqref="B905:E915">
    <cfRule type="expression" dxfId="18" priority="609" stopIfTrue="1">
      <formula>OR($A905="calculate", $A905="calculate_here")</formula>
    </cfRule>
  </conditionalFormatting>
  <conditionalFormatting sqref="B905:E915">
    <cfRule type="expression" dxfId="19" priority="610" stopIfTrue="1">
      <formula>$A905="note"</formula>
    </cfRule>
  </conditionalFormatting>
  <conditionalFormatting sqref="B905:E915">
    <cfRule type="expression" dxfId="20" priority="611" stopIfTrue="1">
      <formula>$A905="barcode"</formula>
    </cfRule>
  </conditionalFormatting>
  <conditionalFormatting sqref="B905:E915">
    <cfRule type="expression" dxfId="21" priority="612" stopIfTrue="1">
      <formula>OR($A905="geopoint", $A905="geoshape", $A905="geotrace")</formula>
    </cfRule>
  </conditionalFormatting>
  <conditionalFormatting sqref="B905:E915">
    <cfRule type="expression" dxfId="22" priority="613" stopIfTrue="1">
      <formula>OR($A905="audio audit", $A905="text audit", $A905="speed violations count", $A905="speed violations list", $A905="speed violations audit")</formula>
    </cfRule>
  </conditionalFormatting>
  <conditionalFormatting sqref="B905:E915">
    <cfRule type="expression" dxfId="23" priority="614" stopIfTrue="1">
      <formula>OR($A905="username", $A905="phonenumber", $A905="start", $A905="end", $A905="deviceid", $A905="subscriberid", $A905="simserial", $A905="caseid")</formula>
    </cfRule>
  </conditionalFormatting>
  <conditionalFormatting sqref="B905:E915">
    <cfRule type="expression" dxfId="24" priority="615" stopIfTrue="1">
      <formula>OR(AND(LEFT($A905, 16)="select_multiple ", LEN($A905)&gt;16, NOT(ISNUMBER(SEARCH(" ", $A905, 17)))), AND(LEFT($A905, 11)="select_one ", LEN($A905)&gt;11, NOT(ISNUMBER(SEARCH(" ", $A905, 12)))))</formula>
    </cfRule>
  </conditionalFormatting>
  <conditionalFormatting sqref="B905:E915">
    <cfRule type="expression" dxfId="25" priority="616" stopIfTrue="1">
      <formula>$A905="decimal"</formula>
    </cfRule>
  </conditionalFormatting>
  <conditionalFormatting sqref="B905:E915">
    <cfRule type="expression" dxfId="26" priority="617" stopIfTrue="1">
      <formula>$A905="integer"</formula>
    </cfRule>
  </conditionalFormatting>
  <conditionalFormatting sqref="B905:E915">
    <cfRule type="expression" dxfId="27" priority="618" stopIfTrue="1">
      <formula>$A905="text"</formula>
    </cfRule>
  </conditionalFormatting>
  <conditionalFormatting sqref="B905:E915">
    <cfRule type="expression" dxfId="28" priority="619" stopIfTrue="1">
      <formula>$A905="end repeat"</formula>
    </cfRule>
  </conditionalFormatting>
  <conditionalFormatting sqref="B905:E915">
    <cfRule type="expression" dxfId="28" priority="620" stopIfTrue="1">
      <formula>$A905="begin repeat"</formula>
    </cfRule>
  </conditionalFormatting>
  <conditionalFormatting sqref="B905:E915">
    <cfRule type="expression" dxfId="29" priority="621" stopIfTrue="1">
      <formula>$A905="end group"</formula>
    </cfRule>
  </conditionalFormatting>
  <conditionalFormatting sqref="B905:E915">
    <cfRule type="expression" dxfId="29" priority="622" stopIfTrue="1">
      <formula>$A905="begin group"</formula>
    </cfRule>
  </conditionalFormatting>
  <conditionalFormatting sqref="B905:B915">
    <cfRule type="expression" dxfId="30" priority="623" stopIfTrue="1">
      <formula>$A905="comments"</formula>
    </cfRule>
  </conditionalFormatting>
  <conditionalFormatting sqref="B905:B915">
    <cfRule type="expression" dxfId="36" priority="624" stopIfTrue="1">
      <formula>OR(AND(LEFT($A905, 14)="sensor_stream ", LEN($A905)&gt;14, NOT(ISNUMBER(SEARCH(" ", $A905, 15)))), AND(LEFT($A905, 17)="sensor_statistic ", LEN($A905)&gt;17, NOT(ISNUMBER(SEARCH(" ", $A905, 18)))))</formula>
    </cfRule>
  </conditionalFormatting>
  <conditionalFormatting sqref="B895:C901 D895:E901">
    <cfRule type="expression" dxfId="0" priority="625" stopIfTrue="1">
      <formula>$A895="begin group"</formula>
    </cfRule>
  </conditionalFormatting>
  <conditionalFormatting sqref="B895:C901 D895:E901">
    <cfRule type="expression" dxfId="1" priority="626" stopIfTrue="1">
      <formula>$A895="begin repeat"</formula>
    </cfRule>
  </conditionalFormatting>
  <conditionalFormatting sqref="B895:E901">
    <cfRule type="expression" dxfId="31" priority="627" stopIfTrue="1">
      <formula>$A895="enumerator"</formula>
    </cfRule>
  </conditionalFormatting>
  <conditionalFormatting sqref="B895:E901">
    <cfRule type="expression" dxfId="2" priority="628" stopIfTrue="1">
      <formula>$A895="text"</formula>
    </cfRule>
  </conditionalFormatting>
  <conditionalFormatting sqref="B895:E901">
    <cfRule type="expression" dxfId="3" priority="629" stopIfTrue="1">
      <formula>$A895="integer"</formula>
    </cfRule>
  </conditionalFormatting>
  <conditionalFormatting sqref="B895:E901">
    <cfRule type="expression" dxfId="4" priority="630" stopIfTrue="1">
      <formula>$A895="decimal"</formula>
    </cfRule>
  </conditionalFormatting>
  <conditionalFormatting sqref="B895:C901 D895:E901">
    <cfRule type="expression" dxfId="5" priority="631" stopIfTrue="1">
      <formula>OR(AND(LEFT($A895, 16)="select_multiple ", LEN($A895)&gt;16, NOT(ISNUMBER(SEARCH(" ", $A895, 17)))), AND(LEFT($A895, 11)="select_one ", LEN($A895)&gt;11, NOT(ISNUMBER(SEARCH(" ", $A895, 12)))))</formula>
    </cfRule>
  </conditionalFormatting>
  <conditionalFormatting sqref="B895:B901">
    <cfRule type="expression" dxfId="6" priority="632" stopIfTrue="1">
      <formula>OR($A895="audio audit", $A895="text audit", $A895="speed violations count", $A895="speed violations list", $A895="speed violations audit")</formula>
    </cfRule>
  </conditionalFormatting>
  <conditionalFormatting sqref="B895:C901 D895:E901">
    <cfRule type="expression" dxfId="32" priority="633" stopIfTrue="1">
      <formula>$A895="file"</formula>
    </cfRule>
  </conditionalFormatting>
  <conditionalFormatting sqref="B895:C901 D895:E901">
    <cfRule type="expression" dxfId="7" priority="634" stopIfTrue="1">
      <formula>$A895="note"</formula>
    </cfRule>
  </conditionalFormatting>
  <conditionalFormatting sqref="B895:C901 D895:E901">
    <cfRule type="expression" dxfId="8" priority="635" stopIfTrue="1">
      <formula>$A895="barcode"</formula>
    </cfRule>
  </conditionalFormatting>
  <conditionalFormatting sqref="B895:C901 D895:E901">
    <cfRule type="expression" dxfId="9" priority="636" stopIfTrue="1">
      <formula>OR($A895="geopoint", $A895="geoshape", $A895="geotrace")</formula>
    </cfRule>
  </conditionalFormatting>
  <conditionalFormatting sqref="B895:B901">
    <cfRule type="expression" dxfId="10" priority="637" stopIfTrue="1">
      <formula>OR($A895="calculate", $A895="calculate_here")</formula>
    </cfRule>
  </conditionalFormatting>
  <conditionalFormatting sqref="B895:C901 D895:E901">
    <cfRule type="expression" dxfId="11" priority="638" stopIfTrue="1">
      <formula>OR($A895="date", $A895="datetime", $A895="time")</formula>
    </cfRule>
  </conditionalFormatting>
  <conditionalFormatting sqref="B895:C901 D895:E901">
    <cfRule type="expression" dxfId="12" priority="639" stopIfTrue="1">
      <formula>$A895="image"</formula>
    </cfRule>
  </conditionalFormatting>
  <conditionalFormatting sqref="B895:C901 D895:E901">
    <cfRule type="expression" dxfId="13" priority="640" stopIfTrue="1">
      <formula>OR($A895="audio", $A895="video")</formula>
    </cfRule>
  </conditionalFormatting>
  <conditionalFormatting sqref="B895:E901">
    <cfRule type="expression" dxfId="33" priority="641" stopIfTrue="1">
      <formula>$A895="file"</formula>
    </cfRule>
  </conditionalFormatting>
  <conditionalFormatting sqref="B895:E901">
    <cfRule type="expression" dxfId="34" priority="642" stopIfTrue="1">
      <formula>$A895="enumerator"</formula>
    </cfRule>
  </conditionalFormatting>
  <conditionalFormatting sqref="B895:E901">
    <cfRule type="expression" dxfId="35" priority="643" stopIfTrue="1">
      <formula>OR(AND(LEFT($A895, 14)="sensor_stream ", LEN($A895)&gt;14, NOT(ISNUMBER(SEARCH(" ", $A895, 15)))), AND(LEFT($A895, 17)="sensor_statistic ", LEN($A895)&gt;17, NOT(ISNUMBER(SEARCH(" ", $A895, 18)))))</formula>
    </cfRule>
  </conditionalFormatting>
  <conditionalFormatting sqref="B895:E901">
    <cfRule type="expression" dxfId="14" priority="644" stopIfTrue="1">
      <formula>$A895="comments"</formula>
    </cfRule>
  </conditionalFormatting>
  <conditionalFormatting sqref="B895:E901">
    <cfRule type="expression" dxfId="15" priority="645" stopIfTrue="1">
      <formula>OR($A895="audio", $A895="video")</formula>
    </cfRule>
  </conditionalFormatting>
  <conditionalFormatting sqref="B895:E901">
    <cfRule type="expression" dxfId="16" priority="646" stopIfTrue="1">
      <formula>$A895="image"</formula>
    </cfRule>
  </conditionalFormatting>
  <conditionalFormatting sqref="B895:E901">
    <cfRule type="expression" dxfId="17" priority="647" stopIfTrue="1">
      <formula>OR($A895="date", $A895="datetime", $A895="time")</formula>
    </cfRule>
  </conditionalFormatting>
  <conditionalFormatting sqref="B895:E901">
    <cfRule type="expression" dxfId="18" priority="648" stopIfTrue="1">
      <formula>OR($A895="calculate", $A895="calculate_here")</formula>
    </cfRule>
  </conditionalFormatting>
  <conditionalFormatting sqref="B895:E901">
    <cfRule type="expression" dxfId="19" priority="649" stopIfTrue="1">
      <formula>$A895="note"</formula>
    </cfRule>
  </conditionalFormatting>
  <conditionalFormatting sqref="B895:E901">
    <cfRule type="expression" dxfId="20" priority="650" stopIfTrue="1">
      <formula>$A895="barcode"</formula>
    </cfRule>
  </conditionalFormatting>
  <conditionalFormatting sqref="B895:E901">
    <cfRule type="expression" dxfId="21" priority="651" stopIfTrue="1">
      <formula>OR($A895="geopoint", $A895="geoshape", $A895="geotrace")</formula>
    </cfRule>
  </conditionalFormatting>
  <conditionalFormatting sqref="B895:E901">
    <cfRule type="expression" dxfId="22" priority="652" stopIfTrue="1">
      <formula>OR($A895="audio audit", $A895="text audit", $A895="speed violations count", $A895="speed violations list", $A895="speed violations audit")</formula>
    </cfRule>
  </conditionalFormatting>
  <conditionalFormatting sqref="B895:E901">
    <cfRule type="expression" dxfId="23" priority="653" stopIfTrue="1">
      <formula>OR($A895="username", $A895="phonenumber", $A895="start", $A895="end", $A895="deviceid", $A895="subscriberid", $A895="simserial", $A895="caseid")</formula>
    </cfRule>
  </conditionalFormatting>
  <conditionalFormatting sqref="B895:E901">
    <cfRule type="expression" dxfId="24" priority="654" stopIfTrue="1">
      <formula>OR(AND(LEFT($A895, 16)="select_multiple ", LEN($A895)&gt;16, NOT(ISNUMBER(SEARCH(" ", $A895, 17)))), AND(LEFT($A895, 11)="select_one ", LEN($A895)&gt;11, NOT(ISNUMBER(SEARCH(" ", $A895, 12)))))</formula>
    </cfRule>
  </conditionalFormatting>
  <conditionalFormatting sqref="B895:E901">
    <cfRule type="expression" dxfId="25" priority="655" stopIfTrue="1">
      <formula>$A895="decimal"</formula>
    </cfRule>
  </conditionalFormatting>
  <conditionalFormatting sqref="B895:E901">
    <cfRule type="expression" dxfId="26" priority="656" stopIfTrue="1">
      <formula>$A895="integer"</formula>
    </cfRule>
  </conditionalFormatting>
  <conditionalFormatting sqref="B895:E901">
    <cfRule type="expression" dxfId="27" priority="657" stopIfTrue="1">
      <formula>$A895="text"</formula>
    </cfRule>
  </conditionalFormatting>
  <conditionalFormatting sqref="B895:E901">
    <cfRule type="expression" dxfId="28" priority="658" stopIfTrue="1">
      <formula>$A895="end repeat"</formula>
    </cfRule>
  </conditionalFormatting>
  <conditionalFormatting sqref="B895:E901">
    <cfRule type="expression" dxfId="28" priority="659" stopIfTrue="1">
      <formula>$A895="begin repeat"</formula>
    </cfRule>
  </conditionalFormatting>
  <conditionalFormatting sqref="B895:E901">
    <cfRule type="expression" dxfId="29" priority="660" stopIfTrue="1">
      <formula>$A895="end group"</formula>
    </cfRule>
  </conditionalFormatting>
  <conditionalFormatting sqref="B895:E901">
    <cfRule type="expression" dxfId="29" priority="661" stopIfTrue="1">
      <formula>$A895="begin group"</formula>
    </cfRule>
  </conditionalFormatting>
  <conditionalFormatting sqref="B895:B901">
    <cfRule type="expression" dxfId="30" priority="662" stopIfTrue="1">
      <formula>$A895="comments"</formula>
    </cfRule>
  </conditionalFormatting>
  <conditionalFormatting sqref="B895:B901">
    <cfRule type="expression" dxfId="36" priority="663" stopIfTrue="1">
      <formula>OR(AND(LEFT($A895, 14)="sensor_stream ", LEN($A895)&gt;14, NOT(ISNUMBER(SEARCH(" ", $A895, 15)))), AND(LEFT($A895, 17)="sensor_statistic ", LEN($A895)&gt;17, NOT(ISNUMBER(SEARCH(" ", $A895, 18)))))</formula>
    </cfRule>
  </conditionalFormatting>
  <conditionalFormatting sqref="B886:C889 D886:E889">
    <cfRule type="expression" dxfId="0" priority="664" stopIfTrue="1">
      <formula>$A886="begin group"</formula>
    </cfRule>
  </conditionalFormatting>
  <conditionalFormatting sqref="B886:C889 D886:E889">
    <cfRule type="expression" dxfId="1" priority="665" stopIfTrue="1">
      <formula>$A886="begin repeat"</formula>
    </cfRule>
  </conditionalFormatting>
  <conditionalFormatting sqref="B886:E889">
    <cfRule type="expression" dxfId="31" priority="666" stopIfTrue="1">
      <formula>$A886="enumerator"</formula>
    </cfRule>
  </conditionalFormatting>
  <conditionalFormatting sqref="B886:E889">
    <cfRule type="expression" dxfId="2" priority="667" stopIfTrue="1">
      <formula>$A886="text"</formula>
    </cfRule>
  </conditionalFormatting>
  <conditionalFormatting sqref="B886:E889">
    <cfRule type="expression" dxfId="3" priority="668" stopIfTrue="1">
      <formula>$A886="integer"</formula>
    </cfRule>
  </conditionalFormatting>
  <conditionalFormatting sqref="B886:E889">
    <cfRule type="expression" dxfId="4" priority="669" stopIfTrue="1">
      <formula>$A886="decimal"</formula>
    </cfRule>
  </conditionalFormatting>
  <conditionalFormatting sqref="B886:C889 D886:E889">
    <cfRule type="expression" dxfId="5" priority="670" stopIfTrue="1">
      <formula>OR(AND(LEFT($A886, 16)="select_multiple ", LEN($A886)&gt;16, NOT(ISNUMBER(SEARCH(" ", $A886, 17)))), AND(LEFT($A886, 11)="select_one ", LEN($A886)&gt;11, NOT(ISNUMBER(SEARCH(" ", $A886, 12)))))</formula>
    </cfRule>
  </conditionalFormatting>
  <conditionalFormatting sqref="B886:B889">
    <cfRule type="expression" dxfId="6" priority="671" stopIfTrue="1">
      <formula>OR($A886="audio audit", $A886="text audit", $A886="speed violations count", $A886="speed violations list", $A886="speed violations audit")</formula>
    </cfRule>
  </conditionalFormatting>
  <conditionalFormatting sqref="B886:C889 D886:E889">
    <cfRule type="expression" dxfId="32" priority="672" stopIfTrue="1">
      <formula>$A886="file"</formula>
    </cfRule>
  </conditionalFormatting>
  <conditionalFormatting sqref="B886:C889 D886:E889">
    <cfRule type="expression" dxfId="7" priority="673" stopIfTrue="1">
      <formula>$A886="note"</formula>
    </cfRule>
  </conditionalFormatting>
  <conditionalFormatting sqref="B886:C889 D886:E889">
    <cfRule type="expression" dxfId="8" priority="674" stopIfTrue="1">
      <formula>$A886="barcode"</formula>
    </cfRule>
  </conditionalFormatting>
  <conditionalFormatting sqref="B886:C889 D886:E889">
    <cfRule type="expression" dxfId="9" priority="675" stopIfTrue="1">
      <formula>OR($A886="geopoint", $A886="geoshape", $A886="geotrace")</formula>
    </cfRule>
  </conditionalFormatting>
  <conditionalFormatting sqref="B886:B889">
    <cfRule type="expression" dxfId="10" priority="676" stopIfTrue="1">
      <formula>OR($A886="calculate", $A886="calculate_here")</formula>
    </cfRule>
  </conditionalFormatting>
  <conditionalFormatting sqref="B886:C889 D886:E889">
    <cfRule type="expression" dxfId="11" priority="677" stopIfTrue="1">
      <formula>OR($A886="date", $A886="datetime", $A886="time")</formula>
    </cfRule>
  </conditionalFormatting>
  <conditionalFormatting sqref="B886:C889 D886:E889">
    <cfRule type="expression" dxfId="12" priority="678" stopIfTrue="1">
      <formula>$A886="image"</formula>
    </cfRule>
  </conditionalFormatting>
  <conditionalFormatting sqref="B886:C889 D886:E889">
    <cfRule type="expression" dxfId="13" priority="679" stopIfTrue="1">
      <formula>OR($A886="audio", $A886="video")</formula>
    </cfRule>
  </conditionalFormatting>
  <conditionalFormatting sqref="B886:E889">
    <cfRule type="expression" dxfId="33" priority="680" stopIfTrue="1">
      <formula>$A886="file"</formula>
    </cfRule>
  </conditionalFormatting>
  <conditionalFormatting sqref="B886:E889">
    <cfRule type="expression" dxfId="34" priority="681" stopIfTrue="1">
      <formula>$A886="enumerator"</formula>
    </cfRule>
  </conditionalFormatting>
  <conditionalFormatting sqref="B886:E889">
    <cfRule type="expression" dxfId="35" priority="682" stopIfTrue="1">
      <formula>OR(AND(LEFT($A886, 14)="sensor_stream ", LEN($A886)&gt;14, NOT(ISNUMBER(SEARCH(" ", $A886, 15)))), AND(LEFT($A886, 17)="sensor_statistic ", LEN($A886)&gt;17, NOT(ISNUMBER(SEARCH(" ", $A886, 18)))))</formula>
    </cfRule>
  </conditionalFormatting>
  <conditionalFormatting sqref="B886:E889">
    <cfRule type="expression" dxfId="14" priority="683" stopIfTrue="1">
      <formula>$A886="comments"</formula>
    </cfRule>
  </conditionalFormatting>
  <conditionalFormatting sqref="B886:E889">
    <cfRule type="expression" dxfId="15" priority="684" stopIfTrue="1">
      <formula>OR($A886="audio", $A886="video")</formula>
    </cfRule>
  </conditionalFormatting>
  <conditionalFormatting sqref="B886:E889">
    <cfRule type="expression" dxfId="16" priority="685" stopIfTrue="1">
      <formula>$A886="image"</formula>
    </cfRule>
  </conditionalFormatting>
  <conditionalFormatting sqref="B886:E889">
    <cfRule type="expression" dxfId="17" priority="686" stopIfTrue="1">
      <formula>OR($A886="date", $A886="datetime", $A886="time")</formula>
    </cfRule>
  </conditionalFormatting>
  <conditionalFormatting sqref="B886:E889">
    <cfRule type="expression" dxfId="18" priority="687" stopIfTrue="1">
      <formula>OR($A886="calculate", $A886="calculate_here")</formula>
    </cfRule>
  </conditionalFormatting>
  <conditionalFormatting sqref="B886:E889">
    <cfRule type="expression" dxfId="19" priority="688" stopIfTrue="1">
      <formula>$A886="note"</formula>
    </cfRule>
  </conditionalFormatting>
  <conditionalFormatting sqref="B886:E889">
    <cfRule type="expression" dxfId="20" priority="689" stopIfTrue="1">
      <formula>$A886="barcode"</formula>
    </cfRule>
  </conditionalFormatting>
  <conditionalFormatting sqref="B886:E889">
    <cfRule type="expression" dxfId="21" priority="690" stopIfTrue="1">
      <formula>OR($A886="geopoint", $A886="geoshape", $A886="geotrace")</formula>
    </cfRule>
  </conditionalFormatting>
  <conditionalFormatting sqref="B886:E889">
    <cfRule type="expression" dxfId="22" priority="691" stopIfTrue="1">
      <formula>OR($A886="audio audit", $A886="text audit", $A886="speed violations count", $A886="speed violations list", $A886="speed violations audit")</formula>
    </cfRule>
  </conditionalFormatting>
  <conditionalFormatting sqref="B886:E889">
    <cfRule type="expression" dxfId="23" priority="692" stopIfTrue="1">
      <formula>OR($A886="username", $A886="phonenumber", $A886="start", $A886="end", $A886="deviceid", $A886="subscriberid", $A886="simserial", $A886="caseid")</formula>
    </cfRule>
  </conditionalFormatting>
  <conditionalFormatting sqref="B886:E889">
    <cfRule type="expression" dxfId="24" priority="693" stopIfTrue="1">
      <formula>OR(AND(LEFT($A886, 16)="select_multiple ", LEN($A886)&gt;16, NOT(ISNUMBER(SEARCH(" ", $A886, 17)))), AND(LEFT($A886, 11)="select_one ", LEN($A886)&gt;11, NOT(ISNUMBER(SEARCH(" ", $A886, 12)))))</formula>
    </cfRule>
  </conditionalFormatting>
  <conditionalFormatting sqref="B886:E889">
    <cfRule type="expression" dxfId="25" priority="694" stopIfTrue="1">
      <formula>$A886="decimal"</formula>
    </cfRule>
  </conditionalFormatting>
  <conditionalFormatting sqref="B886:E889">
    <cfRule type="expression" dxfId="26" priority="695" stopIfTrue="1">
      <formula>$A886="integer"</formula>
    </cfRule>
  </conditionalFormatting>
  <conditionalFormatting sqref="B886:E889">
    <cfRule type="expression" dxfId="27" priority="696" stopIfTrue="1">
      <formula>$A886="text"</formula>
    </cfRule>
  </conditionalFormatting>
  <conditionalFormatting sqref="B886:E889">
    <cfRule type="expression" dxfId="28" priority="697" stopIfTrue="1">
      <formula>$A886="end repeat"</formula>
    </cfRule>
  </conditionalFormatting>
  <conditionalFormatting sqref="B886:E889">
    <cfRule type="expression" dxfId="28" priority="698" stopIfTrue="1">
      <formula>$A886="begin repeat"</formula>
    </cfRule>
  </conditionalFormatting>
  <conditionalFormatting sqref="B886:E889">
    <cfRule type="expression" dxfId="29" priority="699" stopIfTrue="1">
      <formula>$A886="end group"</formula>
    </cfRule>
  </conditionalFormatting>
  <conditionalFormatting sqref="B886:E889">
    <cfRule type="expression" dxfId="29" priority="700" stopIfTrue="1">
      <formula>$A886="begin group"</formula>
    </cfRule>
  </conditionalFormatting>
  <conditionalFormatting sqref="B886:B889">
    <cfRule type="expression" dxfId="30" priority="701" stopIfTrue="1">
      <formula>$A886="comments"</formula>
    </cfRule>
  </conditionalFormatting>
  <conditionalFormatting sqref="B886:B889">
    <cfRule type="expression" dxfId="36" priority="702" stopIfTrue="1">
      <formula>OR(AND(LEFT($A886, 14)="sensor_stream ", LEN($A886)&gt;14, NOT(ISNUMBER(SEARCH(" ", $A886, 15)))), AND(LEFT($A886, 17)="sensor_statistic ", LEN($A886)&gt;17, NOT(ISNUMBER(SEARCH(" ", $A886, 18)))))</formula>
    </cfRule>
  </conditionalFormatting>
  <conditionalFormatting sqref="B879:C883 D879:E883">
    <cfRule type="expression" dxfId="0" priority="703" stopIfTrue="1">
      <formula>$A879="begin group"</formula>
    </cfRule>
  </conditionalFormatting>
  <conditionalFormatting sqref="B879:C883 D879:E883">
    <cfRule type="expression" dxfId="1" priority="704" stopIfTrue="1">
      <formula>$A879="begin repeat"</formula>
    </cfRule>
  </conditionalFormatting>
  <conditionalFormatting sqref="B879:E883">
    <cfRule type="expression" dxfId="31" priority="705" stopIfTrue="1">
      <formula>$A879="enumerator"</formula>
    </cfRule>
  </conditionalFormatting>
  <conditionalFormatting sqref="B879:E883">
    <cfRule type="expression" dxfId="2" priority="706" stopIfTrue="1">
      <formula>$A879="text"</formula>
    </cfRule>
  </conditionalFormatting>
  <conditionalFormatting sqref="B879:E883">
    <cfRule type="expression" dxfId="3" priority="707" stopIfTrue="1">
      <formula>$A879="integer"</formula>
    </cfRule>
  </conditionalFormatting>
  <conditionalFormatting sqref="B879:E883">
    <cfRule type="expression" dxfId="4" priority="708" stopIfTrue="1">
      <formula>$A879="decimal"</formula>
    </cfRule>
  </conditionalFormatting>
  <conditionalFormatting sqref="B879:C883 D879:E883">
    <cfRule type="expression" dxfId="5" priority="709" stopIfTrue="1">
      <formula>OR(AND(LEFT($A879, 16)="select_multiple ", LEN($A879)&gt;16, NOT(ISNUMBER(SEARCH(" ", $A879, 17)))), AND(LEFT($A879, 11)="select_one ", LEN($A879)&gt;11, NOT(ISNUMBER(SEARCH(" ", $A879, 12)))))</formula>
    </cfRule>
  </conditionalFormatting>
  <conditionalFormatting sqref="B879:B883">
    <cfRule type="expression" dxfId="6" priority="710" stopIfTrue="1">
      <formula>OR($A879="audio audit", $A879="text audit", $A879="speed violations count", $A879="speed violations list", $A879="speed violations audit")</formula>
    </cfRule>
  </conditionalFormatting>
  <conditionalFormatting sqref="B879:C883 D879:E883">
    <cfRule type="expression" dxfId="32" priority="711" stopIfTrue="1">
      <formula>$A879="file"</formula>
    </cfRule>
  </conditionalFormatting>
  <conditionalFormatting sqref="B879:C883 D879:E883">
    <cfRule type="expression" dxfId="7" priority="712" stopIfTrue="1">
      <formula>$A879="note"</formula>
    </cfRule>
  </conditionalFormatting>
  <conditionalFormatting sqref="B879:C883 D879:E883">
    <cfRule type="expression" dxfId="8" priority="713" stopIfTrue="1">
      <formula>$A879="barcode"</formula>
    </cfRule>
  </conditionalFormatting>
  <conditionalFormatting sqref="B879:C883 D879:E883">
    <cfRule type="expression" dxfId="9" priority="714" stopIfTrue="1">
      <formula>OR($A879="geopoint", $A879="geoshape", $A879="geotrace")</formula>
    </cfRule>
  </conditionalFormatting>
  <conditionalFormatting sqref="B879:B883">
    <cfRule type="expression" dxfId="10" priority="715" stopIfTrue="1">
      <formula>OR($A879="calculate", $A879="calculate_here")</formula>
    </cfRule>
  </conditionalFormatting>
  <conditionalFormatting sqref="B879:C883 D879:E883">
    <cfRule type="expression" dxfId="11" priority="716" stopIfTrue="1">
      <formula>OR($A879="date", $A879="datetime", $A879="time")</formula>
    </cfRule>
  </conditionalFormatting>
  <conditionalFormatting sqref="B879:C883 D879:E883">
    <cfRule type="expression" dxfId="12" priority="717" stopIfTrue="1">
      <formula>$A879="image"</formula>
    </cfRule>
  </conditionalFormatting>
  <conditionalFormatting sqref="B879:C883 D879:E883">
    <cfRule type="expression" dxfId="13" priority="718" stopIfTrue="1">
      <formula>OR($A879="audio", $A879="video")</formula>
    </cfRule>
  </conditionalFormatting>
  <conditionalFormatting sqref="B879:E883">
    <cfRule type="expression" dxfId="33" priority="719" stopIfTrue="1">
      <formula>$A879="file"</formula>
    </cfRule>
  </conditionalFormatting>
  <conditionalFormatting sqref="B879:E883">
    <cfRule type="expression" dxfId="34" priority="720" stopIfTrue="1">
      <formula>$A879="enumerator"</formula>
    </cfRule>
  </conditionalFormatting>
  <conditionalFormatting sqref="B879:E883">
    <cfRule type="expression" dxfId="35" priority="721" stopIfTrue="1">
      <formula>OR(AND(LEFT($A879, 14)="sensor_stream ", LEN($A879)&gt;14, NOT(ISNUMBER(SEARCH(" ", $A879, 15)))), AND(LEFT($A879, 17)="sensor_statistic ", LEN($A879)&gt;17, NOT(ISNUMBER(SEARCH(" ", $A879, 18)))))</formula>
    </cfRule>
  </conditionalFormatting>
  <conditionalFormatting sqref="B879:E883">
    <cfRule type="expression" dxfId="14" priority="722" stopIfTrue="1">
      <formula>$A879="comments"</formula>
    </cfRule>
  </conditionalFormatting>
  <conditionalFormatting sqref="B879:E883">
    <cfRule type="expression" dxfId="15" priority="723" stopIfTrue="1">
      <formula>OR($A879="audio", $A879="video")</formula>
    </cfRule>
  </conditionalFormatting>
  <conditionalFormatting sqref="B879:E883">
    <cfRule type="expression" dxfId="16" priority="724" stopIfTrue="1">
      <formula>$A879="image"</formula>
    </cfRule>
  </conditionalFormatting>
  <conditionalFormatting sqref="B879:E883">
    <cfRule type="expression" dxfId="17" priority="725" stopIfTrue="1">
      <formula>OR($A879="date", $A879="datetime", $A879="time")</formula>
    </cfRule>
  </conditionalFormatting>
  <conditionalFormatting sqref="B879:E883">
    <cfRule type="expression" dxfId="18" priority="726" stopIfTrue="1">
      <formula>OR($A879="calculate", $A879="calculate_here")</formula>
    </cfRule>
  </conditionalFormatting>
  <conditionalFormatting sqref="B879:E883">
    <cfRule type="expression" dxfId="19" priority="727" stopIfTrue="1">
      <formula>$A879="note"</formula>
    </cfRule>
  </conditionalFormatting>
  <conditionalFormatting sqref="B879:E883">
    <cfRule type="expression" dxfId="20" priority="728" stopIfTrue="1">
      <formula>$A879="barcode"</formula>
    </cfRule>
  </conditionalFormatting>
  <conditionalFormatting sqref="B879:E883">
    <cfRule type="expression" dxfId="21" priority="729" stopIfTrue="1">
      <formula>OR($A879="geopoint", $A879="geoshape", $A879="geotrace")</formula>
    </cfRule>
  </conditionalFormatting>
  <conditionalFormatting sqref="B879:E883">
    <cfRule type="expression" dxfId="22" priority="730" stopIfTrue="1">
      <formula>OR($A879="audio audit", $A879="text audit", $A879="speed violations count", $A879="speed violations list", $A879="speed violations audit")</formula>
    </cfRule>
  </conditionalFormatting>
  <conditionalFormatting sqref="B879:E883">
    <cfRule type="expression" dxfId="23" priority="731" stopIfTrue="1">
      <formula>OR($A879="username", $A879="phonenumber", $A879="start", $A879="end", $A879="deviceid", $A879="subscriberid", $A879="simserial", $A879="caseid")</formula>
    </cfRule>
  </conditionalFormatting>
  <conditionalFormatting sqref="B879:E883">
    <cfRule type="expression" dxfId="24" priority="732" stopIfTrue="1">
      <formula>OR(AND(LEFT($A879, 16)="select_multiple ", LEN($A879)&gt;16, NOT(ISNUMBER(SEARCH(" ", $A879, 17)))), AND(LEFT($A879, 11)="select_one ", LEN($A879)&gt;11, NOT(ISNUMBER(SEARCH(" ", $A879, 12)))))</formula>
    </cfRule>
  </conditionalFormatting>
  <conditionalFormatting sqref="B879:E883">
    <cfRule type="expression" dxfId="25" priority="733" stopIfTrue="1">
      <formula>$A879="decimal"</formula>
    </cfRule>
  </conditionalFormatting>
  <conditionalFormatting sqref="B879:E883">
    <cfRule type="expression" dxfId="26" priority="734" stopIfTrue="1">
      <formula>$A879="integer"</formula>
    </cfRule>
  </conditionalFormatting>
  <conditionalFormatting sqref="B879:E883">
    <cfRule type="expression" dxfId="27" priority="735" stopIfTrue="1">
      <formula>$A879="text"</formula>
    </cfRule>
  </conditionalFormatting>
  <conditionalFormatting sqref="B879:E883">
    <cfRule type="expression" dxfId="28" priority="736" stopIfTrue="1">
      <formula>$A879="end repeat"</formula>
    </cfRule>
  </conditionalFormatting>
  <conditionalFormatting sqref="B879:E883">
    <cfRule type="expression" dxfId="28" priority="737" stopIfTrue="1">
      <formula>$A879="begin repeat"</formula>
    </cfRule>
  </conditionalFormatting>
  <conditionalFormatting sqref="B879:E883">
    <cfRule type="expression" dxfId="29" priority="738" stopIfTrue="1">
      <formula>$A879="end group"</formula>
    </cfRule>
  </conditionalFormatting>
  <conditionalFormatting sqref="B879:E883">
    <cfRule type="expression" dxfId="29" priority="739" stopIfTrue="1">
      <formula>$A879="begin group"</formula>
    </cfRule>
  </conditionalFormatting>
  <conditionalFormatting sqref="B879:B883">
    <cfRule type="expression" dxfId="30" priority="740" stopIfTrue="1">
      <formula>$A879="comments"</formula>
    </cfRule>
  </conditionalFormatting>
  <conditionalFormatting sqref="B879:B883">
    <cfRule type="expression" dxfId="36" priority="741" stopIfTrue="1">
      <formula>OR(AND(LEFT($A879, 14)="sensor_stream ", LEN($A879)&gt;14, NOT(ISNUMBER(SEARCH(" ", $A879, 15)))), AND(LEFT($A879, 17)="sensor_statistic ", LEN($A879)&gt;17, NOT(ISNUMBER(SEARCH(" ", $A879, 18)))))</formula>
    </cfRule>
  </conditionalFormatting>
  <conditionalFormatting sqref="B873:C874 D873:E874">
    <cfRule type="expression" dxfId="0" priority="742" stopIfTrue="1">
      <formula>$A873="begin group"</formula>
    </cfRule>
  </conditionalFormatting>
  <conditionalFormatting sqref="B873:C874 D873:E874">
    <cfRule type="expression" dxfId="1" priority="743" stopIfTrue="1">
      <formula>$A873="begin repeat"</formula>
    </cfRule>
  </conditionalFormatting>
  <conditionalFormatting sqref="B873:E874">
    <cfRule type="expression" dxfId="31" priority="744" stopIfTrue="1">
      <formula>$A873="enumerator"</formula>
    </cfRule>
  </conditionalFormatting>
  <conditionalFormatting sqref="B873:E874">
    <cfRule type="expression" dxfId="2" priority="745" stopIfTrue="1">
      <formula>$A873="text"</formula>
    </cfRule>
  </conditionalFormatting>
  <conditionalFormatting sqref="B873:E874">
    <cfRule type="expression" dxfId="3" priority="746" stopIfTrue="1">
      <formula>$A873="integer"</formula>
    </cfRule>
  </conditionalFormatting>
  <conditionalFormatting sqref="B873:E874">
    <cfRule type="expression" dxfId="4" priority="747" stopIfTrue="1">
      <formula>$A873="decimal"</formula>
    </cfRule>
  </conditionalFormatting>
  <conditionalFormatting sqref="B873:C874 D873:E874">
    <cfRule type="expression" dxfId="5" priority="748" stopIfTrue="1">
      <formula>OR(AND(LEFT($A873, 16)="select_multiple ", LEN($A873)&gt;16, NOT(ISNUMBER(SEARCH(" ", $A873, 17)))), AND(LEFT($A873, 11)="select_one ", LEN($A873)&gt;11, NOT(ISNUMBER(SEARCH(" ", $A873, 12)))))</formula>
    </cfRule>
  </conditionalFormatting>
  <conditionalFormatting sqref="B873:B874">
    <cfRule type="expression" dxfId="6" priority="749" stopIfTrue="1">
      <formula>OR($A873="audio audit", $A873="text audit", $A873="speed violations count", $A873="speed violations list", $A873="speed violations audit")</formula>
    </cfRule>
  </conditionalFormatting>
  <conditionalFormatting sqref="B873:C874 D873:E874">
    <cfRule type="expression" dxfId="32" priority="750" stopIfTrue="1">
      <formula>$A873="file"</formula>
    </cfRule>
  </conditionalFormatting>
  <conditionalFormatting sqref="B873:C874 D873:E874">
    <cfRule type="expression" dxfId="7" priority="751" stopIfTrue="1">
      <formula>$A873="note"</formula>
    </cfRule>
  </conditionalFormatting>
  <conditionalFormatting sqref="B873:C874 D873:E874">
    <cfRule type="expression" dxfId="8" priority="752" stopIfTrue="1">
      <formula>$A873="barcode"</formula>
    </cfRule>
  </conditionalFormatting>
  <conditionalFormatting sqref="B873:C874 D873:E874">
    <cfRule type="expression" dxfId="9" priority="753" stopIfTrue="1">
      <formula>OR($A873="geopoint", $A873="geoshape", $A873="geotrace")</formula>
    </cfRule>
  </conditionalFormatting>
  <conditionalFormatting sqref="B873:B874">
    <cfRule type="expression" dxfId="10" priority="754" stopIfTrue="1">
      <formula>OR($A873="calculate", $A873="calculate_here")</formula>
    </cfRule>
  </conditionalFormatting>
  <conditionalFormatting sqref="B873:C874 D873:E874">
    <cfRule type="expression" dxfId="11" priority="755" stopIfTrue="1">
      <formula>OR($A873="date", $A873="datetime", $A873="time")</formula>
    </cfRule>
  </conditionalFormatting>
  <conditionalFormatting sqref="B873:C874 D873:E874">
    <cfRule type="expression" dxfId="12" priority="756" stopIfTrue="1">
      <formula>$A873="image"</formula>
    </cfRule>
  </conditionalFormatting>
  <conditionalFormatting sqref="B873:C874 D873:E874">
    <cfRule type="expression" dxfId="13" priority="757" stopIfTrue="1">
      <formula>OR($A873="audio", $A873="video")</formula>
    </cfRule>
  </conditionalFormatting>
  <conditionalFormatting sqref="B873:E874">
    <cfRule type="expression" dxfId="33" priority="758" stopIfTrue="1">
      <formula>$A873="file"</formula>
    </cfRule>
  </conditionalFormatting>
  <conditionalFormatting sqref="B873:E874">
    <cfRule type="expression" dxfId="34" priority="759" stopIfTrue="1">
      <formula>$A873="enumerator"</formula>
    </cfRule>
  </conditionalFormatting>
  <conditionalFormatting sqref="B873:E874">
    <cfRule type="expression" dxfId="35" priority="760" stopIfTrue="1">
      <formula>OR(AND(LEFT($A873, 14)="sensor_stream ", LEN($A873)&gt;14, NOT(ISNUMBER(SEARCH(" ", $A873, 15)))), AND(LEFT($A873, 17)="sensor_statistic ", LEN($A873)&gt;17, NOT(ISNUMBER(SEARCH(" ", $A873, 18)))))</formula>
    </cfRule>
  </conditionalFormatting>
  <conditionalFormatting sqref="B873:E874">
    <cfRule type="expression" dxfId="14" priority="761" stopIfTrue="1">
      <formula>$A873="comments"</formula>
    </cfRule>
  </conditionalFormatting>
  <conditionalFormatting sqref="B873:E874">
    <cfRule type="expression" dxfId="15" priority="762" stopIfTrue="1">
      <formula>OR($A873="audio", $A873="video")</formula>
    </cfRule>
  </conditionalFormatting>
  <conditionalFormatting sqref="B873:E874">
    <cfRule type="expression" dxfId="16" priority="763" stopIfTrue="1">
      <formula>$A873="image"</formula>
    </cfRule>
  </conditionalFormatting>
  <conditionalFormatting sqref="B873:E874">
    <cfRule type="expression" dxfId="17" priority="764" stopIfTrue="1">
      <formula>OR($A873="date", $A873="datetime", $A873="time")</formula>
    </cfRule>
  </conditionalFormatting>
  <conditionalFormatting sqref="B873:E874">
    <cfRule type="expression" dxfId="18" priority="765" stopIfTrue="1">
      <formula>OR($A873="calculate", $A873="calculate_here")</formula>
    </cfRule>
  </conditionalFormatting>
  <conditionalFormatting sqref="B873:E874">
    <cfRule type="expression" dxfId="19" priority="766" stopIfTrue="1">
      <formula>$A873="note"</formula>
    </cfRule>
  </conditionalFormatting>
  <conditionalFormatting sqref="B873:E874">
    <cfRule type="expression" dxfId="20" priority="767" stopIfTrue="1">
      <formula>$A873="barcode"</formula>
    </cfRule>
  </conditionalFormatting>
  <conditionalFormatting sqref="B873:E874">
    <cfRule type="expression" dxfId="21" priority="768" stopIfTrue="1">
      <formula>OR($A873="geopoint", $A873="geoshape", $A873="geotrace")</formula>
    </cfRule>
  </conditionalFormatting>
  <conditionalFormatting sqref="B873:E874">
    <cfRule type="expression" dxfId="22" priority="769" stopIfTrue="1">
      <formula>OR($A873="audio audit", $A873="text audit", $A873="speed violations count", $A873="speed violations list", $A873="speed violations audit")</formula>
    </cfRule>
  </conditionalFormatting>
  <conditionalFormatting sqref="B873:E874">
    <cfRule type="expression" dxfId="23" priority="770" stopIfTrue="1">
      <formula>OR($A873="username", $A873="phonenumber", $A873="start", $A873="end", $A873="deviceid", $A873="subscriberid", $A873="simserial", $A873="caseid")</formula>
    </cfRule>
  </conditionalFormatting>
  <conditionalFormatting sqref="B873:E874">
    <cfRule type="expression" dxfId="24" priority="771" stopIfTrue="1">
      <formula>OR(AND(LEFT($A873, 16)="select_multiple ", LEN($A873)&gt;16, NOT(ISNUMBER(SEARCH(" ", $A873, 17)))), AND(LEFT($A873, 11)="select_one ", LEN($A873)&gt;11, NOT(ISNUMBER(SEARCH(" ", $A873, 12)))))</formula>
    </cfRule>
  </conditionalFormatting>
  <conditionalFormatting sqref="B873:E874">
    <cfRule type="expression" dxfId="25" priority="772" stopIfTrue="1">
      <formula>$A873="decimal"</formula>
    </cfRule>
  </conditionalFormatting>
  <conditionalFormatting sqref="B873:E874">
    <cfRule type="expression" dxfId="26" priority="773" stopIfTrue="1">
      <formula>$A873="integer"</formula>
    </cfRule>
  </conditionalFormatting>
  <conditionalFormatting sqref="B873:E874">
    <cfRule type="expression" dxfId="27" priority="774" stopIfTrue="1">
      <formula>$A873="text"</formula>
    </cfRule>
  </conditionalFormatting>
  <conditionalFormatting sqref="B873:E874">
    <cfRule type="expression" dxfId="28" priority="775" stopIfTrue="1">
      <formula>$A873="end repeat"</formula>
    </cfRule>
  </conditionalFormatting>
  <conditionalFormatting sqref="B873:E874">
    <cfRule type="expression" dxfId="28" priority="776" stopIfTrue="1">
      <formula>$A873="begin repeat"</formula>
    </cfRule>
  </conditionalFormatting>
  <conditionalFormatting sqref="B873:E874">
    <cfRule type="expression" dxfId="29" priority="777" stopIfTrue="1">
      <formula>$A873="end group"</formula>
    </cfRule>
  </conditionalFormatting>
  <conditionalFormatting sqref="B873:E874">
    <cfRule type="expression" dxfId="29" priority="778" stopIfTrue="1">
      <formula>$A873="begin group"</formula>
    </cfRule>
  </conditionalFormatting>
  <conditionalFormatting sqref="B873:B874">
    <cfRule type="expression" dxfId="30" priority="779" stopIfTrue="1">
      <formula>$A873="comments"</formula>
    </cfRule>
  </conditionalFormatting>
  <conditionalFormatting sqref="B873:B874">
    <cfRule type="expression" dxfId="36" priority="780" stopIfTrue="1">
      <formula>OR(AND(LEFT($A873, 14)="sensor_stream ", LEN($A873)&gt;14, NOT(ISNUMBER(SEARCH(" ", $A873, 15)))), AND(LEFT($A873, 17)="sensor_statistic ", LEN($A873)&gt;17, NOT(ISNUMBER(SEARCH(" ", $A873, 18)))))</formula>
    </cfRule>
  </conditionalFormatting>
  <conditionalFormatting sqref="B871:C871 D871:E871">
    <cfRule type="expression" dxfId="0" priority="781" stopIfTrue="1">
      <formula>$A871="begin group"</formula>
    </cfRule>
  </conditionalFormatting>
  <conditionalFormatting sqref="B871:C871 D871:E871">
    <cfRule type="expression" dxfId="1" priority="782" stopIfTrue="1">
      <formula>$A871="begin repeat"</formula>
    </cfRule>
  </conditionalFormatting>
  <conditionalFormatting sqref="B871:E871">
    <cfRule type="expression" dxfId="31" priority="783" stopIfTrue="1">
      <formula>$A871="enumerator"</formula>
    </cfRule>
  </conditionalFormatting>
  <conditionalFormatting sqref="B871:E871">
    <cfRule type="expression" dxfId="2" priority="784" stopIfTrue="1">
      <formula>$A871="text"</formula>
    </cfRule>
  </conditionalFormatting>
  <conditionalFormatting sqref="B871:E871">
    <cfRule type="expression" dxfId="3" priority="785" stopIfTrue="1">
      <formula>$A871="integer"</formula>
    </cfRule>
  </conditionalFormatting>
  <conditionalFormatting sqref="B871:E871">
    <cfRule type="expression" dxfId="4" priority="786" stopIfTrue="1">
      <formula>$A871="decimal"</formula>
    </cfRule>
  </conditionalFormatting>
  <conditionalFormatting sqref="B871:C871 D871:E871">
    <cfRule type="expression" dxfId="5" priority="787" stopIfTrue="1">
      <formula>OR(AND(LEFT($A871, 16)="select_multiple ", LEN($A871)&gt;16, NOT(ISNUMBER(SEARCH(" ", $A871, 17)))), AND(LEFT($A871, 11)="select_one ", LEN($A871)&gt;11, NOT(ISNUMBER(SEARCH(" ", $A871, 12)))))</formula>
    </cfRule>
  </conditionalFormatting>
  <conditionalFormatting sqref="B871">
    <cfRule type="expression" dxfId="6" priority="788" stopIfTrue="1">
      <formula>OR($A871="audio audit", $A871="text audit", $A871="speed violations count", $A871="speed violations list", $A871="speed violations audit")</formula>
    </cfRule>
  </conditionalFormatting>
  <conditionalFormatting sqref="B871:C871 D871:E871">
    <cfRule type="expression" dxfId="32" priority="789" stopIfTrue="1">
      <formula>$A871="file"</formula>
    </cfRule>
  </conditionalFormatting>
  <conditionalFormatting sqref="B871:C871 D871:E871">
    <cfRule type="expression" dxfId="7" priority="790" stopIfTrue="1">
      <formula>$A871="note"</formula>
    </cfRule>
  </conditionalFormatting>
  <conditionalFormatting sqref="B871:C871 D871:E871">
    <cfRule type="expression" dxfId="8" priority="791" stopIfTrue="1">
      <formula>$A871="barcode"</formula>
    </cfRule>
  </conditionalFormatting>
  <conditionalFormatting sqref="B871:C871 D871:E871">
    <cfRule type="expression" dxfId="9" priority="792" stopIfTrue="1">
      <formula>OR($A871="geopoint", $A871="geoshape", $A871="geotrace")</formula>
    </cfRule>
  </conditionalFormatting>
  <conditionalFormatting sqref="B871">
    <cfRule type="expression" dxfId="10" priority="793" stopIfTrue="1">
      <formula>OR($A871="calculate", $A871="calculate_here")</formula>
    </cfRule>
  </conditionalFormatting>
  <conditionalFormatting sqref="B871:C871 D871:E871">
    <cfRule type="expression" dxfId="11" priority="794" stopIfTrue="1">
      <formula>OR($A871="date", $A871="datetime", $A871="time")</formula>
    </cfRule>
  </conditionalFormatting>
  <conditionalFormatting sqref="B871:C871 D871:E871">
    <cfRule type="expression" dxfId="12" priority="795" stopIfTrue="1">
      <formula>$A871="image"</formula>
    </cfRule>
  </conditionalFormatting>
  <conditionalFormatting sqref="B871:C871 D871:E871">
    <cfRule type="expression" dxfId="13" priority="796" stopIfTrue="1">
      <formula>OR($A871="audio", $A871="video")</formula>
    </cfRule>
  </conditionalFormatting>
  <conditionalFormatting sqref="B871:E871">
    <cfRule type="expression" dxfId="33" priority="797" stopIfTrue="1">
      <formula>$A871="file"</formula>
    </cfRule>
  </conditionalFormatting>
  <conditionalFormatting sqref="B871:E871">
    <cfRule type="expression" dxfId="34" priority="798" stopIfTrue="1">
      <formula>$A871="enumerator"</formula>
    </cfRule>
  </conditionalFormatting>
  <conditionalFormatting sqref="B871:E871">
    <cfRule type="expression" dxfId="35" priority="799" stopIfTrue="1">
      <formula>OR(AND(LEFT($A871, 14)="sensor_stream ", LEN($A871)&gt;14, NOT(ISNUMBER(SEARCH(" ", $A871, 15)))), AND(LEFT($A871, 17)="sensor_statistic ", LEN($A871)&gt;17, NOT(ISNUMBER(SEARCH(" ", $A871, 18)))))</formula>
    </cfRule>
  </conditionalFormatting>
  <conditionalFormatting sqref="B871:E871">
    <cfRule type="expression" dxfId="14" priority="800" stopIfTrue="1">
      <formula>$A871="comments"</formula>
    </cfRule>
  </conditionalFormatting>
  <conditionalFormatting sqref="B871:E871">
    <cfRule type="expression" dxfId="15" priority="801" stopIfTrue="1">
      <formula>OR($A871="audio", $A871="video")</formula>
    </cfRule>
  </conditionalFormatting>
  <conditionalFormatting sqref="B871:E871">
    <cfRule type="expression" dxfId="16" priority="802" stopIfTrue="1">
      <formula>$A871="image"</formula>
    </cfRule>
  </conditionalFormatting>
  <conditionalFormatting sqref="B871:E871">
    <cfRule type="expression" dxfId="17" priority="803" stopIfTrue="1">
      <formula>OR($A871="date", $A871="datetime", $A871="time")</formula>
    </cfRule>
  </conditionalFormatting>
  <conditionalFormatting sqref="B871:E871">
    <cfRule type="expression" dxfId="18" priority="804" stopIfTrue="1">
      <formula>OR($A871="calculate", $A871="calculate_here")</formula>
    </cfRule>
  </conditionalFormatting>
  <conditionalFormatting sqref="B871:E871">
    <cfRule type="expression" dxfId="19" priority="805" stopIfTrue="1">
      <formula>$A871="note"</formula>
    </cfRule>
  </conditionalFormatting>
  <conditionalFormatting sqref="B871:E871">
    <cfRule type="expression" dxfId="20" priority="806" stopIfTrue="1">
      <formula>$A871="barcode"</formula>
    </cfRule>
  </conditionalFormatting>
  <conditionalFormatting sqref="B871:E871">
    <cfRule type="expression" dxfId="21" priority="807" stopIfTrue="1">
      <formula>OR($A871="geopoint", $A871="geoshape", $A871="geotrace")</formula>
    </cfRule>
  </conditionalFormatting>
  <conditionalFormatting sqref="B871:E871">
    <cfRule type="expression" dxfId="22" priority="808" stopIfTrue="1">
      <formula>OR($A871="audio audit", $A871="text audit", $A871="speed violations count", $A871="speed violations list", $A871="speed violations audit")</formula>
    </cfRule>
  </conditionalFormatting>
  <conditionalFormatting sqref="B871:E871">
    <cfRule type="expression" dxfId="23" priority="809" stopIfTrue="1">
      <formula>OR($A871="username", $A871="phonenumber", $A871="start", $A871="end", $A871="deviceid", $A871="subscriberid", $A871="simserial", $A871="caseid")</formula>
    </cfRule>
  </conditionalFormatting>
  <conditionalFormatting sqref="B871:E871">
    <cfRule type="expression" dxfId="24" priority="810" stopIfTrue="1">
      <formula>OR(AND(LEFT($A871, 16)="select_multiple ", LEN($A871)&gt;16, NOT(ISNUMBER(SEARCH(" ", $A871, 17)))), AND(LEFT($A871, 11)="select_one ", LEN($A871)&gt;11, NOT(ISNUMBER(SEARCH(" ", $A871, 12)))))</formula>
    </cfRule>
  </conditionalFormatting>
  <conditionalFormatting sqref="B871:E871">
    <cfRule type="expression" dxfId="25" priority="811" stopIfTrue="1">
      <formula>$A871="decimal"</formula>
    </cfRule>
  </conditionalFormatting>
  <conditionalFormatting sqref="B871:E871">
    <cfRule type="expression" dxfId="26" priority="812" stopIfTrue="1">
      <formula>$A871="integer"</formula>
    </cfRule>
  </conditionalFormatting>
  <conditionalFormatting sqref="B871:E871">
    <cfRule type="expression" dxfId="27" priority="813" stopIfTrue="1">
      <formula>$A871="text"</formula>
    </cfRule>
  </conditionalFormatting>
  <conditionalFormatting sqref="B871:E871">
    <cfRule type="expression" dxfId="28" priority="814" stopIfTrue="1">
      <formula>$A871="end repeat"</formula>
    </cfRule>
  </conditionalFormatting>
  <conditionalFormatting sqref="B871:E871">
    <cfRule type="expression" dxfId="28" priority="815" stopIfTrue="1">
      <formula>$A871="begin repeat"</formula>
    </cfRule>
  </conditionalFormatting>
  <conditionalFormatting sqref="B871:E871">
    <cfRule type="expression" dxfId="29" priority="816" stopIfTrue="1">
      <formula>$A871="end group"</formula>
    </cfRule>
  </conditionalFormatting>
  <conditionalFormatting sqref="B871:E871">
    <cfRule type="expression" dxfId="29" priority="817" stopIfTrue="1">
      <formula>$A871="begin group"</formula>
    </cfRule>
  </conditionalFormatting>
  <conditionalFormatting sqref="B871">
    <cfRule type="expression" dxfId="30" priority="818" stopIfTrue="1">
      <formula>$A871="comments"</formula>
    </cfRule>
  </conditionalFormatting>
  <conditionalFormatting sqref="B871">
    <cfRule type="expression" dxfId="36" priority="819" stopIfTrue="1">
      <formula>OR(AND(LEFT($A871, 14)="sensor_stream ", LEN($A871)&gt;14, NOT(ISNUMBER(SEARCH(" ", $A871, 15)))), AND(LEFT($A871, 17)="sensor_statistic ", LEN($A871)&gt;17, NOT(ISNUMBER(SEARCH(" ", $A871, 18)))))</formula>
    </cfRule>
  </conditionalFormatting>
  <conditionalFormatting sqref="B865:C866 D865:E866">
    <cfRule type="expression" dxfId="0" priority="820" stopIfTrue="1">
      <formula>$A865="begin group"</formula>
    </cfRule>
  </conditionalFormatting>
  <conditionalFormatting sqref="B865:C866 D865:E866">
    <cfRule type="expression" dxfId="1" priority="821" stopIfTrue="1">
      <formula>$A865="begin repeat"</formula>
    </cfRule>
  </conditionalFormatting>
  <conditionalFormatting sqref="B865:E866">
    <cfRule type="expression" dxfId="31" priority="822" stopIfTrue="1">
      <formula>$A865="enumerator"</formula>
    </cfRule>
  </conditionalFormatting>
  <conditionalFormatting sqref="B865:E866">
    <cfRule type="expression" dxfId="2" priority="823" stopIfTrue="1">
      <formula>$A865="text"</formula>
    </cfRule>
  </conditionalFormatting>
  <conditionalFormatting sqref="B865:E866">
    <cfRule type="expression" dxfId="3" priority="824" stopIfTrue="1">
      <formula>$A865="integer"</formula>
    </cfRule>
  </conditionalFormatting>
  <conditionalFormatting sqref="B865:E866">
    <cfRule type="expression" dxfId="4" priority="825" stopIfTrue="1">
      <formula>$A865="decimal"</formula>
    </cfRule>
  </conditionalFormatting>
  <conditionalFormatting sqref="B865:C866 D865:E866">
    <cfRule type="expression" dxfId="5" priority="826" stopIfTrue="1">
      <formula>OR(AND(LEFT($A865, 16)="select_multiple ", LEN($A865)&gt;16, NOT(ISNUMBER(SEARCH(" ", $A865, 17)))), AND(LEFT($A865, 11)="select_one ", LEN($A865)&gt;11, NOT(ISNUMBER(SEARCH(" ", $A865, 12)))))</formula>
    </cfRule>
  </conditionalFormatting>
  <conditionalFormatting sqref="B865:B866">
    <cfRule type="expression" dxfId="6" priority="827" stopIfTrue="1">
      <formula>OR($A865="audio audit", $A865="text audit", $A865="speed violations count", $A865="speed violations list", $A865="speed violations audit")</formula>
    </cfRule>
  </conditionalFormatting>
  <conditionalFormatting sqref="B865:C866 D865:E866">
    <cfRule type="expression" dxfId="32" priority="828" stopIfTrue="1">
      <formula>$A865="file"</formula>
    </cfRule>
  </conditionalFormatting>
  <conditionalFormatting sqref="B865:C866 D865:E866">
    <cfRule type="expression" dxfId="7" priority="829" stopIfTrue="1">
      <formula>$A865="note"</formula>
    </cfRule>
  </conditionalFormatting>
  <conditionalFormatting sqref="B865:C866 D865:E866">
    <cfRule type="expression" dxfId="8" priority="830" stopIfTrue="1">
      <formula>$A865="barcode"</formula>
    </cfRule>
  </conditionalFormatting>
  <conditionalFormatting sqref="B865:C866 D865:E866">
    <cfRule type="expression" dxfId="9" priority="831" stopIfTrue="1">
      <formula>OR($A865="geopoint", $A865="geoshape", $A865="geotrace")</formula>
    </cfRule>
  </conditionalFormatting>
  <conditionalFormatting sqref="B865:B866">
    <cfRule type="expression" dxfId="10" priority="832" stopIfTrue="1">
      <formula>OR($A865="calculate", $A865="calculate_here")</formula>
    </cfRule>
  </conditionalFormatting>
  <conditionalFormatting sqref="B865:C866 D865:E866">
    <cfRule type="expression" dxfId="11" priority="833" stopIfTrue="1">
      <formula>OR($A865="date", $A865="datetime", $A865="time")</formula>
    </cfRule>
  </conditionalFormatting>
  <conditionalFormatting sqref="B865:C866 D865:E866">
    <cfRule type="expression" dxfId="12" priority="834" stopIfTrue="1">
      <formula>$A865="image"</formula>
    </cfRule>
  </conditionalFormatting>
  <conditionalFormatting sqref="B865:C866 D865:E866">
    <cfRule type="expression" dxfId="13" priority="835" stopIfTrue="1">
      <formula>OR($A865="audio", $A865="video")</formula>
    </cfRule>
  </conditionalFormatting>
  <conditionalFormatting sqref="B865:E866">
    <cfRule type="expression" dxfId="33" priority="836" stopIfTrue="1">
      <formula>$A865="file"</formula>
    </cfRule>
  </conditionalFormatting>
  <conditionalFormatting sqref="B865:E866">
    <cfRule type="expression" dxfId="34" priority="837" stopIfTrue="1">
      <formula>$A865="enumerator"</formula>
    </cfRule>
  </conditionalFormatting>
  <conditionalFormatting sqref="B865:E866">
    <cfRule type="expression" dxfId="35" priority="838" stopIfTrue="1">
      <formula>OR(AND(LEFT($A865, 14)="sensor_stream ", LEN($A865)&gt;14, NOT(ISNUMBER(SEARCH(" ", $A865, 15)))), AND(LEFT($A865, 17)="sensor_statistic ", LEN($A865)&gt;17, NOT(ISNUMBER(SEARCH(" ", $A865, 18)))))</formula>
    </cfRule>
  </conditionalFormatting>
  <conditionalFormatting sqref="B865:E866">
    <cfRule type="expression" dxfId="14" priority="839" stopIfTrue="1">
      <formula>$A865="comments"</formula>
    </cfRule>
  </conditionalFormatting>
  <conditionalFormatting sqref="B865:E866">
    <cfRule type="expression" dxfId="15" priority="840" stopIfTrue="1">
      <formula>OR($A865="audio", $A865="video")</formula>
    </cfRule>
  </conditionalFormatting>
  <conditionalFormatting sqref="B865:E866">
    <cfRule type="expression" dxfId="16" priority="841" stopIfTrue="1">
      <formula>$A865="image"</formula>
    </cfRule>
  </conditionalFormatting>
  <conditionalFormatting sqref="B865:E866">
    <cfRule type="expression" dxfId="17" priority="842" stopIfTrue="1">
      <formula>OR($A865="date", $A865="datetime", $A865="time")</formula>
    </cfRule>
  </conditionalFormatting>
  <conditionalFormatting sqref="B865:E866">
    <cfRule type="expression" dxfId="18" priority="843" stopIfTrue="1">
      <formula>OR($A865="calculate", $A865="calculate_here")</formula>
    </cfRule>
  </conditionalFormatting>
  <conditionalFormatting sqref="B865:E866">
    <cfRule type="expression" dxfId="19" priority="844" stopIfTrue="1">
      <formula>$A865="note"</formula>
    </cfRule>
  </conditionalFormatting>
  <conditionalFormatting sqref="B865:E866">
    <cfRule type="expression" dxfId="20" priority="845" stopIfTrue="1">
      <formula>$A865="barcode"</formula>
    </cfRule>
  </conditionalFormatting>
  <conditionalFormatting sqref="B865:E866">
    <cfRule type="expression" dxfId="21" priority="846" stopIfTrue="1">
      <formula>OR($A865="geopoint", $A865="geoshape", $A865="geotrace")</formula>
    </cfRule>
  </conditionalFormatting>
  <conditionalFormatting sqref="B865:E866">
    <cfRule type="expression" dxfId="22" priority="847" stopIfTrue="1">
      <formula>OR($A865="audio audit", $A865="text audit", $A865="speed violations count", $A865="speed violations list", $A865="speed violations audit")</formula>
    </cfRule>
  </conditionalFormatting>
  <conditionalFormatting sqref="B865:E866">
    <cfRule type="expression" dxfId="23" priority="848" stopIfTrue="1">
      <formula>OR($A865="username", $A865="phonenumber", $A865="start", $A865="end", $A865="deviceid", $A865="subscriberid", $A865="simserial", $A865="caseid")</formula>
    </cfRule>
  </conditionalFormatting>
  <conditionalFormatting sqref="B865:E866">
    <cfRule type="expression" dxfId="24" priority="849" stopIfTrue="1">
      <formula>OR(AND(LEFT($A865, 16)="select_multiple ", LEN($A865)&gt;16, NOT(ISNUMBER(SEARCH(" ", $A865, 17)))), AND(LEFT($A865, 11)="select_one ", LEN($A865)&gt;11, NOT(ISNUMBER(SEARCH(" ", $A865, 12)))))</formula>
    </cfRule>
  </conditionalFormatting>
  <conditionalFormatting sqref="B865:E866">
    <cfRule type="expression" dxfId="25" priority="850" stopIfTrue="1">
      <formula>$A865="decimal"</formula>
    </cfRule>
  </conditionalFormatting>
  <conditionalFormatting sqref="B865:E866">
    <cfRule type="expression" dxfId="26" priority="851" stopIfTrue="1">
      <formula>$A865="integer"</formula>
    </cfRule>
  </conditionalFormatting>
  <conditionalFormatting sqref="B865:E866">
    <cfRule type="expression" dxfId="27" priority="852" stopIfTrue="1">
      <formula>$A865="text"</formula>
    </cfRule>
  </conditionalFormatting>
  <conditionalFormatting sqref="B865:E866">
    <cfRule type="expression" dxfId="28" priority="853" stopIfTrue="1">
      <formula>$A865="end repeat"</formula>
    </cfRule>
  </conditionalFormatting>
  <conditionalFormatting sqref="B865:E866">
    <cfRule type="expression" dxfId="28" priority="854" stopIfTrue="1">
      <formula>$A865="begin repeat"</formula>
    </cfRule>
  </conditionalFormatting>
  <conditionalFormatting sqref="B865:E866">
    <cfRule type="expression" dxfId="29" priority="855" stopIfTrue="1">
      <formula>$A865="end group"</formula>
    </cfRule>
  </conditionalFormatting>
  <conditionalFormatting sqref="B865:E866">
    <cfRule type="expression" dxfId="29" priority="856" stopIfTrue="1">
      <formula>$A865="begin group"</formula>
    </cfRule>
  </conditionalFormatting>
  <conditionalFormatting sqref="B865:B866">
    <cfRule type="expression" dxfId="30" priority="857" stopIfTrue="1">
      <formula>$A865="comments"</formula>
    </cfRule>
  </conditionalFormatting>
  <conditionalFormatting sqref="B865:B866">
    <cfRule type="expression" dxfId="36" priority="858" stopIfTrue="1">
      <formula>OR(AND(LEFT($A865, 14)="sensor_stream ", LEN($A865)&gt;14, NOT(ISNUMBER(SEARCH(" ", $A865, 15)))), AND(LEFT($A865, 17)="sensor_statistic ", LEN($A865)&gt;17, NOT(ISNUMBER(SEARCH(" ", $A865, 18)))))</formula>
    </cfRule>
  </conditionalFormatting>
  <conditionalFormatting sqref="B859:C861 D859:E861">
    <cfRule type="expression" dxfId="0" priority="859" stopIfTrue="1">
      <formula>$A859="begin group"</formula>
    </cfRule>
  </conditionalFormatting>
  <conditionalFormatting sqref="B859:C861 D859:E861">
    <cfRule type="expression" dxfId="1" priority="860" stopIfTrue="1">
      <formula>$A859="begin repeat"</formula>
    </cfRule>
  </conditionalFormatting>
  <conditionalFormatting sqref="B859:E861">
    <cfRule type="expression" dxfId="31" priority="861" stopIfTrue="1">
      <formula>$A859="enumerator"</formula>
    </cfRule>
  </conditionalFormatting>
  <conditionalFormatting sqref="B859:E861">
    <cfRule type="expression" dxfId="2" priority="862" stopIfTrue="1">
      <formula>$A859="text"</formula>
    </cfRule>
  </conditionalFormatting>
  <conditionalFormatting sqref="B859:E861">
    <cfRule type="expression" dxfId="3" priority="863" stopIfTrue="1">
      <formula>$A859="integer"</formula>
    </cfRule>
  </conditionalFormatting>
  <conditionalFormatting sqref="B859:E861">
    <cfRule type="expression" dxfId="4" priority="864" stopIfTrue="1">
      <formula>$A859="decimal"</formula>
    </cfRule>
  </conditionalFormatting>
  <conditionalFormatting sqref="B859:C861 D859:E861">
    <cfRule type="expression" dxfId="5" priority="865" stopIfTrue="1">
      <formula>OR(AND(LEFT($A859, 16)="select_multiple ", LEN($A859)&gt;16, NOT(ISNUMBER(SEARCH(" ", $A859, 17)))), AND(LEFT($A859, 11)="select_one ", LEN($A859)&gt;11, NOT(ISNUMBER(SEARCH(" ", $A859, 12)))))</formula>
    </cfRule>
  </conditionalFormatting>
  <conditionalFormatting sqref="B859:B861">
    <cfRule type="expression" dxfId="6" priority="866" stopIfTrue="1">
      <formula>OR($A859="audio audit", $A859="text audit", $A859="speed violations count", $A859="speed violations list", $A859="speed violations audit")</formula>
    </cfRule>
  </conditionalFormatting>
  <conditionalFormatting sqref="B859:C861 D859:E861">
    <cfRule type="expression" dxfId="32" priority="867" stopIfTrue="1">
      <formula>$A859="file"</formula>
    </cfRule>
  </conditionalFormatting>
  <conditionalFormatting sqref="B859:C861 D859:E861">
    <cfRule type="expression" dxfId="7" priority="868" stopIfTrue="1">
      <formula>$A859="note"</formula>
    </cfRule>
  </conditionalFormatting>
  <conditionalFormatting sqref="B859:C861 D859:E861">
    <cfRule type="expression" dxfId="8" priority="869" stopIfTrue="1">
      <formula>$A859="barcode"</formula>
    </cfRule>
  </conditionalFormatting>
  <conditionalFormatting sqref="B859:C861 D859:E861">
    <cfRule type="expression" dxfId="9" priority="870" stopIfTrue="1">
      <formula>OR($A859="geopoint", $A859="geoshape", $A859="geotrace")</formula>
    </cfRule>
  </conditionalFormatting>
  <conditionalFormatting sqref="B859:B861">
    <cfRule type="expression" dxfId="10" priority="871" stopIfTrue="1">
      <formula>OR($A859="calculate", $A859="calculate_here")</formula>
    </cfRule>
  </conditionalFormatting>
  <conditionalFormatting sqref="B859:C861 D859:E861">
    <cfRule type="expression" dxfId="11" priority="872" stopIfTrue="1">
      <formula>OR($A859="date", $A859="datetime", $A859="time")</formula>
    </cfRule>
  </conditionalFormatting>
  <conditionalFormatting sqref="B859:C861 D859:E861">
    <cfRule type="expression" dxfId="12" priority="873" stopIfTrue="1">
      <formula>$A859="image"</formula>
    </cfRule>
  </conditionalFormatting>
  <conditionalFormatting sqref="B859:C861 D859:E861">
    <cfRule type="expression" dxfId="13" priority="874" stopIfTrue="1">
      <formula>OR($A859="audio", $A859="video")</formula>
    </cfRule>
  </conditionalFormatting>
  <conditionalFormatting sqref="B859:E861">
    <cfRule type="expression" dxfId="33" priority="875" stopIfTrue="1">
      <formula>$A859="file"</formula>
    </cfRule>
  </conditionalFormatting>
  <conditionalFormatting sqref="B859:E861">
    <cfRule type="expression" dxfId="34" priority="876" stopIfTrue="1">
      <formula>$A859="enumerator"</formula>
    </cfRule>
  </conditionalFormatting>
  <conditionalFormatting sqref="B859:E861">
    <cfRule type="expression" dxfId="35" priority="877" stopIfTrue="1">
      <formula>OR(AND(LEFT($A859, 14)="sensor_stream ", LEN($A859)&gt;14, NOT(ISNUMBER(SEARCH(" ", $A859, 15)))), AND(LEFT($A859, 17)="sensor_statistic ", LEN($A859)&gt;17, NOT(ISNUMBER(SEARCH(" ", $A859, 18)))))</formula>
    </cfRule>
  </conditionalFormatting>
  <conditionalFormatting sqref="B859:E861">
    <cfRule type="expression" dxfId="14" priority="878" stopIfTrue="1">
      <formula>$A859="comments"</formula>
    </cfRule>
  </conditionalFormatting>
  <conditionalFormatting sqref="B859:E861">
    <cfRule type="expression" dxfId="15" priority="879" stopIfTrue="1">
      <formula>OR($A859="audio", $A859="video")</formula>
    </cfRule>
  </conditionalFormatting>
  <conditionalFormatting sqref="B859:E861">
    <cfRule type="expression" dxfId="16" priority="880" stopIfTrue="1">
      <formula>$A859="image"</formula>
    </cfRule>
  </conditionalFormatting>
  <conditionalFormatting sqref="B859:E861">
    <cfRule type="expression" dxfId="17" priority="881" stopIfTrue="1">
      <formula>OR($A859="date", $A859="datetime", $A859="time")</formula>
    </cfRule>
  </conditionalFormatting>
  <conditionalFormatting sqref="B859:E861">
    <cfRule type="expression" dxfId="18" priority="882" stopIfTrue="1">
      <formula>OR($A859="calculate", $A859="calculate_here")</formula>
    </cfRule>
  </conditionalFormatting>
  <conditionalFormatting sqref="B859:E861">
    <cfRule type="expression" dxfId="19" priority="883" stopIfTrue="1">
      <formula>$A859="note"</formula>
    </cfRule>
  </conditionalFormatting>
  <conditionalFormatting sqref="B859:E861">
    <cfRule type="expression" dxfId="20" priority="884" stopIfTrue="1">
      <formula>$A859="barcode"</formula>
    </cfRule>
  </conditionalFormatting>
  <conditionalFormatting sqref="B859:E861">
    <cfRule type="expression" dxfId="21" priority="885" stopIfTrue="1">
      <formula>OR($A859="geopoint", $A859="geoshape", $A859="geotrace")</formula>
    </cfRule>
  </conditionalFormatting>
  <conditionalFormatting sqref="B859:E861">
    <cfRule type="expression" dxfId="22" priority="886" stopIfTrue="1">
      <formula>OR($A859="audio audit", $A859="text audit", $A859="speed violations count", $A859="speed violations list", $A859="speed violations audit")</formula>
    </cfRule>
  </conditionalFormatting>
  <conditionalFormatting sqref="B859:E861">
    <cfRule type="expression" dxfId="23" priority="887" stopIfTrue="1">
      <formula>OR($A859="username", $A859="phonenumber", $A859="start", $A859="end", $A859="deviceid", $A859="subscriberid", $A859="simserial", $A859="caseid")</formula>
    </cfRule>
  </conditionalFormatting>
  <conditionalFormatting sqref="B859:E861">
    <cfRule type="expression" dxfId="24" priority="888" stopIfTrue="1">
      <formula>OR(AND(LEFT($A859, 16)="select_multiple ", LEN($A859)&gt;16, NOT(ISNUMBER(SEARCH(" ", $A859, 17)))), AND(LEFT($A859, 11)="select_one ", LEN($A859)&gt;11, NOT(ISNUMBER(SEARCH(" ", $A859, 12)))))</formula>
    </cfRule>
  </conditionalFormatting>
  <conditionalFormatting sqref="B859:E861">
    <cfRule type="expression" dxfId="25" priority="889" stopIfTrue="1">
      <formula>$A859="decimal"</formula>
    </cfRule>
  </conditionalFormatting>
  <conditionalFormatting sqref="B859:E861">
    <cfRule type="expression" dxfId="26" priority="890" stopIfTrue="1">
      <formula>$A859="integer"</formula>
    </cfRule>
  </conditionalFormatting>
  <conditionalFormatting sqref="B859:E861">
    <cfRule type="expression" dxfId="27" priority="891" stopIfTrue="1">
      <formula>$A859="text"</formula>
    </cfRule>
  </conditionalFormatting>
  <conditionalFormatting sqref="B859:E861">
    <cfRule type="expression" dxfId="28" priority="892" stopIfTrue="1">
      <formula>$A859="end repeat"</formula>
    </cfRule>
  </conditionalFormatting>
  <conditionalFormatting sqref="B859:E861">
    <cfRule type="expression" dxfId="28" priority="893" stopIfTrue="1">
      <formula>$A859="begin repeat"</formula>
    </cfRule>
  </conditionalFormatting>
  <conditionalFormatting sqref="B859:E861">
    <cfRule type="expression" dxfId="29" priority="894" stopIfTrue="1">
      <formula>$A859="end group"</formula>
    </cfRule>
  </conditionalFormatting>
  <conditionalFormatting sqref="B859:E861">
    <cfRule type="expression" dxfId="29" priority="895" stopIfTrue="1">
      <formula>$A859="begin group"</formula>
    </cfRule>
  </conditionalFormatting>
  <conditionalFormatting sqref="B859:B861">
    <cfRule type="expression" dxfId="30" priority="896" stopIfTrue="1">
      <formula>$A859="comments"</formula>
    </cfRule>
  </conditionalFormatting>
  <conditionalFormatting sqref="B859:B861">
    <cfRule type="expression" dxfId="36" priority="897" stopIfTrue="1">
      <formula>OR(AND(LEFT($A859, 14)="sensor_stream ", LEN($A859)&gt;14, NOT(ISNUMBER(SEARCH(" ", $A859, 15)))), AND(LEFT($A859, 17)="sensor_statistic ", LEN($A859)&gt;17, NOT(ISNUMBER(SEARCH(" ", $A859, 18)))))</formula>
    </cfRule>
  </conditionalFormatting>
  <conditionalFormatting sqref="B850:C855 D850:E855">
    <cfRule type="expression" dxfId="0" priority="898" stopIfTrue="1">
      <formula>$A850="begin group"</formula>
    </cfRule>
  </conditionalFormatting>
  <conditionalFormatting sqref="B850:C855 D850:E855">
    <cfRule type="expression" dxfId="1" priority="899" stopIfTrue="1">
      <formula>$A850="begin repeat"</formula>
    </cfRule>
  </conditionalFormatting>
  <conditionalFormatting sqref="B850:E855">
    <cfRule type="expression" dxfId="31" priority="900" stopIfTrue="1">
      <formula>$A850="enumerator"</formula>
    </cfRule>
  </conditionalFormatting>
  <conditionalFormatting sqref="B850:E855">
    <cfRule type="expression" dxfId="2" priority="901" stopIfTrue="1">
      <formula>$A850="text"</formula>
    </cfRule>
  </conditionalFormatting>
  <conditionalFormatting sqref="B850:E855">
    <cfRule type="expression" dxfId="3" priority="902" stopIfTrue="1">
      <formula>$A850="integer"</formula>
    </cfRule>
  </conditionalFormatting>
  <conditionalFormatting sqref="B850:E855">
    <cfRule type="expression" dxfId="4" priority="903" stopIfTrue="1">
      <formula>$A850="decimal"</formula>
    </cfRule>
  </conditionalFormatting>
  <conditionalFormatting sqref="B850:C855 D850:E855">
    <cfRule type="expression" dxfId="5" priority="904" stopIfTrue="1">
      <formula>OR(AND(LEFT($A850, 16)="select_multiple ", LEN($A850)&gt;16, NOT(ISNUMBER(SEARCH(" ", $A850, 17)))), AND(LEFT($A850, 11)="select_one ", LEN($A850)&gt;11, NOT(ISNUMBER(SEARCH(" ", $A850, 12)))))</formula>
    </cfRule>
  </conditionalFormatting>
  <conditionalFormatting sqref="B850:B855">
    <cfRule type="expression" dxfId="6" priority="905" stopIfTrue="1">
      <formula>OR($A850="audio audit", $A850="text audit", $A850="speed violations count", $A850="speed violations list", $A850="speed violations audit")</formula>
    </cfRule>
  </conditionalFormatting>
  <conditionalFormatting sqref="B850:C855 D850:E855">
    <cfRule type="expression" dxfId="32" priority="906" stopIfTrue="1">
      <formula>$A850="file"</formula>
    </cfRule>
  </conditionalFormatting>
  <conditionalFormatting sqref="B850:C855 D850:E855">
    <cfRule type="expression" dxfId="7" priority="907" stopIfTrue="1">
      <formula>$A850="note"</formula>
    </cfRule>
  </conditionalFormatting>
  <conditionalFormatting sqref="B850:C855 D850:E855">
    <cfRule type="expression" dxfId="8" priority="908" stopIfTrue="1">
      <formula>$A850="barcode"</formula>
    </cfRule>
  </conditionalFormatting>
  <conditionalFormatting sqref="B850:C855 D850:E855">
    <cfRule type="expression" dxfId="9" priority="909" stopIfTrue="1">
      <formula>OR($A850="geopoint", $A850="geoshape", $A850="geotrace")</formula>
    </cfRule>
  </conditionalFormatting>
  <conditionalFormatting sqref="B850:B855">
    <cfRule type="expression" dxfId="10" priority="910" stopIfTrue="1">
      <formula>OR($A850="calculate", $A850="calculate_here")</formula>
    </cfRule>
  </conditionalFormatting>
  <conditionalFormatting sqref="B850:C855 D850:E855">
    <cfRule type="expression" dxfId="11" priority="911" stopIfTrue="1">
      <formula>OR($A850="date", $A850="datetime", $A850="time")</formula>
    </cfRule>
  </conditionalFormatting>
  <conditionalFormatting sqref="B850:C855 D850:E855">
    <cfRule type="expression" dxfId="12" priority="912" stopIfTrue="1">
      <formula>$A850="image"</formula>
    </cfRule>
  </conditionalFormatting>
  <conditionalFormatting sqref="B850:C855 D850:E855">
    <cfRule type="expression" dxfId="13" priority="913" stopIfTrue="1">
      <formula>OR($A850="audio", $A850="video")</formula>
    </cfRule>
  </conditionalFormatting>
  <conditionalFormatting sqref="B850:E855">
    <cfRule type="expression" dxfId="33" priority="914" stopIfTrue="1">
      <formula>$A850="file"</formula>
    </cfRule>
  </conditionalFormatting>
  <conditionalFormatting sqref="B850:E855">
    <cfRule type="expression" dxfId="34" priority="915" stopIfTrue="1">
      <formula>$A850="enumerator"</formula>
    </cfRule>
  </conditionalFormatting>
  <conditionalFormatting sqref="B850:E855">
    <cfRule type="expression" dxfId="35" priority="916" stopIfTrue="1">
      <formula>OR(AND(LEFT($A850, 14)="sensor_stream ", LEN($A850)&gt;14, NOT(ISNUMBER(SEARCH(" ", $A850, 15)))), AND(LEFT($A850, 17)="sensor_statistic ", LEN($A850)&gt;17, NOT(ISNUMBER(SEARCH(" ", $A850, 18)))))</formula>
    </cfRule>
  </conditionalFormatting>
  <conditionalFormatting sqref="B850:E855">
    <cfRule type="expression" dxfId="14" priority="917" stopIfTrue="1">
      <formula>$A850="comments"</formula>
    </cfRule>
  </conditionalFormatting>
  <conditionalFormatting sqref="B850:E855">
    <cfRule type="expression" dxfId="15" priority="918" stopIfTrue="1">
      <formula>OR($A850="audio", $A850="video")</formula>
    </cfRule>
  </conditionalFormatting>
  <conditionalFormatting sqref="B850:E855">
    <cfRule type="expression" dxfId="16" priority="919" stopIfTrue="1">
      <formula>$A850="image"</formula>
    </cfRule>
  </conditionalFormatting>
  <conditionalFormatting sqref="B850:E855">
    <cfRule type="expression" dxfId="17" priority="920" stopIfTrue="1">
      <formula>OR($A850="date", $A850="datetime", $A850="time")</formula>
    </cfRule>
  </conditionalFormatting>
  <conditionalFormatting sqref="B850:E855">
    <cfRule type="expression" dxfId="18" priority="921" stopIfTrue="1">
      <formula>OR($A850="calculate", $A850="calculate_here")</formula>
    </cfRule>
  </conditionalFormatting>
  <conditionalFormatting sqref="B850:E855">
    <cfRule type="expression" dxfId="19" priority="922" stopIfTrue="1">
      <formula>$A850="note"</formula>
    </cfRule>
  </conditionalFormatting>
  <conditionalFormatting sqref="B850:E855">
    <cfRule type="expression" dxfId="20" priority="923" stopIfTrue="1">
      <formula>$A850="barcode"</formula>
    </cfRule>
  </conditionalFormatting>
  <conditionalFormatting sqref="B850:E855">
    <cfRule type="expression" dxfId="21" priority="924" stopIfTrue="1">
      <formula>OR($A850="geopoint", $A850="geoshape", $A850="geotrace")</formula>
    </cfRule>
  </conditionalFormatting>
  <conditionalFormatting sqref="B850:E855">
    <cfRule type="expression" dxfId="22" priority="925" stopIfTrue="1">
      <formula>OR($A850="audio audit", $A850="text audit", $A850="speed violations count", $A850="speed violations list", $A850="speed violations audit")</formula>
    </cfRule>
  </conditionalFormatting>
  <conditionalFormatting sqref="B850:E855">
    <cfRule type="expression" dxfId="23" priority="926" stopIfTrue="1">
      <formula>OR($A850="username", $A850="phonenumber", $A850="start", $A850="end", $A850="deviceid", $A850="subscriberid", $A850="simserial", $A850="caseid")</formula>
    </cfRule>
  </conditionalFormatting>
  <conditionalFormatting sqref="B850:E855">
    <cfRule type="expression" dxfId="24" priority="927" stopIfTrue="1">
      <formula>OR(AND(LEFT($A850, 16)="select_multiple ", LEN($A850)&gt;16, NOT(ISNUMBER(SEARCH(" ", $A850, 17)))), AND(LEFT($A850, 11)="select_one ", LEN($A850)&gt;11, NOT(ISNUMBER(SEARCH(" ", $A850, 12)))))</formula>
    </cfRule>
  </conditionalFormatting>
  <conditionalFormatting sqref="B850:E855">
    <cfRule type="expression" dxfId="25" priority="928" stopIfTrue="1">
      <formula>$A850="decimal"</formula>
    </cfRule>
  </conditionalFormatting>
  <conditionalFormatting sqref="B850:E855">
    <cfRule type="expression" dxfId="26" priority="929" stopIfTrue="1">
      <formula>$A850="integer"</formula>
    </cfRule>
  </conditionalFormatting>
  <conditionalFormatting sqref="B850:E855">
    <cfRule type="expression" dxfId="27" priority="930" stopIfTrue="1">
      <formula>$A850="text"</formula>
    </cfRule>
  </conditionalFormatting>
  <conditionalFormatting sqref="B850:E855">
    <cfRule type="expression" dxfId="28" priority="931" stopIfTrue="1">
      <formula>$A850="end repeat"</formula>
    </cfRule>
  </conditionalFormatting>
  <conditionalFormatting sqref="B850:E855">
    <cfRule type="expression" dxfId="28" priority="932" stopIfTrue="1">
      <formula>$A850="begin repeat"</formula>
    </cfRule>
  </conditionalFormatting>
  <conditionalFormatting sqref="B850:E855">
    <cfRule type="expression" dxfId="29" priority="933" stopIfTrue="1">
      <formula>$A850="end group"</formula>
    </cfRule>
  </conditionalFormatting>
  <conditionalFormatting sqref="B850:E855">
    <cfRule type="expression" dxfId="29" priority="934" stopIfTrue="1">
      <formula>$A850="begin group"</formula>
    </cfRule>
  </conditionalFormatting>
  <conditionalFormatting sqref="B850:B855">
    <cfRule type="expression" dxfId="30" priority="935" stopIfTrue="1">
      <formula>$A850="comments"</formula>
    </cfRule>
  </conditionalFormatting>
  <conditionalFormatting sqref="B850:B855">
    <cfRule type="expression" dxfId="36" priority="936" stopIfTrue="1">
      <formula>OR(AND(LEFT($A850, 14)="sensor_stream ", LEN($A850)&gt;14, NOT(ISNUMBER(SEARCH(" ", $A850, 15)))), AND(LEFT($A850, 17)="sensor_statistic ", LEN($A850)&gt;17, NOT(ISNUMBER(SEARCH(" ", $A850, 18)))))</formula>
    </cfRule>
  </conditionalFormatting>
  <conditionalFormatting sqref="B843:C848 D843:E848">
    <cfRule type="expression" dxfId="0" priority="937" stopIfTrue="1">
      <formula>$A843="begin group"</formula>
    </cfRule>
  </conditionalFormatting>
  <conditionalFormatting sqref="B843:C848 D843:E848">
    <cfRule type="expression" dxfId="1" priority="938" stopIfTrue="1">
      <formula>$A843="begin repeat"</formula>
    </cfRule>
  </conditionalFormatting>
  <conditionalFormatting sqref="B843:E848">
    <cfRule type="expression" dxfId="31" priority="939" stopIfTrue="1">
      <formula>$A843="enumerator"</formula>
    </cfRule>
  </conditionalFormatting>
  <conditionalFormatting sqref="B843:E848">
    <cfRule type="expression" dxfId="2" priority="940" stopIfTrue="1">
      <formula>$A843="text"</formula>
    </cfRule>
  </conditionalFormatting>
  <conditionalFormatting sqref="B843:E848">
    <cfRule type="expression" dxfId="3" priority="941" stopIfTrue="1">
      <formula>$A843="integer"</formula>
    </cfRule>
  </conditionalFormatting>
  <conditionalFormatting sqref="B843:E848">
    <cfRule type="expression" dxfId="4" priority="942" stopIfTrue="1">
      <formula>$A843="decimal"</formula>
    </cfRule>
  </conditionalFormatting>
  <conditionalFormatting sqref="B843:C848 D843:E848">
    <cfRule type="expression" dxfId="5" priority="943" stopIfTrue="1">
      <formula>OR(AND(LEFT($A843, 16)="select_multiple ", LEN($A843)&gt;16, NOT(ISNUMBER(SEARCH(" ", $A843, 17)))), AND(LEFT($A843, 11)="select_one ", LEN($A843)&gt;11, NOT(ISNUMBER(SEARCH(" ", $A843, 12)))))</formula>
    </cfRule>
  </conditionalFormatting>
  <conditionalFormatting sqref="B843:B848">
    <cfRule type="expression" dxfId="6" priority="944" stopIfTrue="1">
      <formula>OR($A843="audio audit", $A843="text audit", $A843="speed violations count", $A843="speed violations list", $A843="speed violations audit")</formula>
    </cfRule>
  </conditionalFormatting>
  <conditionalFormatting sqref="B843:C848 D843:E848">
    <cfRule type="expression" dxfId="32" priority="945" stopIfTrue="1">
      <formula>$A843="file"</formula>
    </cfRule>
  </conditionalFormatting>
  <conditionalFormatting sqref="B843:C848 D843:E848">
    <cfRule type="expression" dxfId="7" priority="946" stopIfTrue="1">
      <formula>$A843="note"</formula>
    </cfRule>
  </conditionalFormatting>
  <conditionalFormatting sqref="B843:C848 D843:E848">
    <cfRule type="expression" dxfId="8" priority="947" stopIfTrue="1">
      <formula>$A843="barcode"</formula>
    </cfRule>
  </conditionalFormatting>
  <conditionalFormatting sqref="B843:C848 D843:E848">
    <cfRule type="expression" dxfId="9" priority="948" stopIfTrue="1">
      <formula>OR($A843="geopoint", $A843="geoshape", $A843="geotrace")</formula>
    </cfRule>
  </conditionalFormatting>
  <conditionalFormatting sqref="B843:B848">
    <cfRule type="expression" dxfId="10" priority="949" stopIfTrue="1">
      <formula>OR($A843="calculate", $A843="calculate_here")</formula>
    </cfRule>
  </conditionalFormatting>
  <conditionalFormatting sqref="B843:C848 D843:E848">
    <cfRule type="expression" dxfId="11" priority="950" stopIfTrue="1">
      <formula>OR($A843="date", $A843="datetime", $A843="time")</formula>
    </cfRule>
  </conditionalFormatting>
  <conditionalFormatting sqref="B843:C848 D843:E848">
    <cfRule type="expression" dxfId="12" priority="951" stopIfTrue="1">
      <formula>$A843="image"</formula>
    </cfRule>
  </conditionalFormatting>
  <conditionalFormatting sqref="B843:C848 D843:E848">
    <cfRule type="expression" dxfId="13" priority="952" stopIfTrue="1">
      <formula>OR($A843="audio", $A843="video")</formula>
    </cfRule>
  </conditionalFormatting>
  <conditionalFormatting sqref="B843:E848">
    <cfRule type="expression" dxfId="33" priority="953" stopIfTrue="1">
      <formula>$A843="file"</formula>
    </cfRule>
  </conditionalFormatting>
  <conditionalFormatting sqref="B843:E848">
    <cfRule type="expression" dxfId="34" priority="954" stopIfTrue="1">
      <formula>$A843="enumerator"</formula>
    </cfRule>
  </conditionalFormatting>
  <conditionalFormatting sqref="B843:E848">
    <cfRule type="expression" dxfId="35" priority="955" stopIfTrue="1">
      <formula>OR(AND(LEFT($A843, 14)="sensor_stream ", LEN($A843)&gt;14, NOT(ISNUMBER(SEARCH(" ", $A843, 15)))), AND(LEFT($A843, 17)="sensor_statistic ", LEN($A843)&gt;17, NOT(ISNUMBER(SEARCH(" ", $A843, 18)))))</formula>
    </cfRule>
  </conditionalFormatting>
  <conditionalFormatting sqref="B843:E848">
    <cfRule type="expression" dxfId="14" priority="956" stopIfTrue="1">
      <formula>$A843="comments"</formula>
    </cfRule>
  </conditionalFormatting>
  <conditionalFormatting sqref="B843:E848">
    <cfRule type="expression" dxfId="15" priority="957" stopIfTrue="1">
      <formula>OR($A843="audio", $A843="video")</formula>
    </cfRule>
  </conditionalFormatting>
  <conditionalFormatting sqref="B843:E848">
    <cfRule type="expression" dxfId="16" priority="958" stopIfTrue="1">
      <formula>$A843="image"</formula>
    </cfRule>
  </conditionalFormatting>
  <conditionalFormatting sqref="B843:E848">
    <cfRule type="expression" dxfId="17" priority="959" stopIfTrue="1">
      <formula>OR($A843="date", $A843="datetime", $A843="time")</formula>
    </cfRule>
  </conditionalFormatting>
  <conditionalFormatting sqref="B843:E848">
    <cfRule type="expression" dxfId="18" priority="960" stopIfTrue="1">
      <formula>OR($A843="calculate", $A843="calculate_here")</formula>
    </cfRule>
  </conditionalFormatting>
  <conditionalFormatting sqref="B843:E848">
    <cfRule type="expression" dxfId="19" priority="961" stopIfTrue="1">
      <formula>$A843="note"</formula>
    </cfRule>
  </conditionalFormatting>
  <conditionalFormatting sqref="B843:E848">
    <cfRule type="expression" dxfId="20" priority="962" stopIfTrue="1">
      <formula>$A843="barcode"</formula>
    </cfRule>
  </conditionalFormatting>
  <conditionalFormatting sqref="B843:E848">
    <cfRule type="expression" dxfId="21" priority="963" stopIfTrue="1">
      <formula>OR($A843="geopoint", $A843="geoshape", $A843="geotrace")</formula>
    </cfRule>
  </conditionalFormatting>
  <conditionalFormatting sqref="B843:E848">
    <cfRule type="expression" dxfId="22" priority="964" stopIfTrue="1">
      <formula>OR($A843="audio audit", $A843="text audit", $A843="speed violations count", $A843="speed violations list", $A843="speed violations audit")</formula>
    </cfRule>
  </conditionalFormatting>
  <conditionalFormatting sqref="B843:E848">
    <cfRule type="expression" dxfId="23" priority="965" stopIfTrue="1">
      <formula>OR($A843="username", $A843="phonenumber", $A843="start", $A843="end", $A843="deviceid", $A843="subscriberid", $A843="simserial", $A843="caseid")</formula>
    </cfRule>
  </conditionalFormatting>
  <conditionalFormatting sqref="B843:E848">
    <cfRule type="expression" dxfId="24" priority="966" stopIfTrue="1">
      <formula>OR(AND(LEFT($A843, 16)="select_multiple ", LEN($A843)&gt;16, NOT(ISNUMBER(SEARCH(" ", $A843, 17)))), AND(LEFT($A843, 11)="select_one ", LEN($A843)&gt;11, NOT(ISNUMBER(SEARCH(" ", $A843, 12)))))</formula>
    </cfRule>
  </conditionalFormatting>
  <conditionalFormatting sqref="B843:E848">
    <cfRule type="expression" dxfId="25" priority="967" stopIfTrue="1">
      <formula>$A843="decimal"</formula>
    </cfRule>
  </conditionalFormatting>
  <conditionalFormatting sqref="B843:E848">
    <cfRule type="expression" dxfId="26" priority="968" stopIfTrue="1">
      <formula>$A843="integer"</formula>
    </cfRule>
  </conditionalFormatting>
  <conditionalFormatting sqref="B843:E848">
    <cfRule type="expression" dxfId="27" priority="969" stopIfTrue="1">
      <formula>$A843="text"</formula>
    </cfRule>
  </conditionalFormatting>
  <conditionalFormatting sqref="B843:E848">
    <cfRule type="expression" dxfId="28" priority="970" stopIfTrue="1">
      <formula>$A843="end repeat"</formula>
    </cfRule>
  </conditionalFormatting>
  <conditionalFormatting sqref="B843:E848">
    <cfRule type="expression" dxfId="28" priority="971" stopIfTrue="1">
      <formula>$A843="begin repeat"</formula>
    </cfRule>
  </conditionalFormatting>
  <conditionalFormatting sqref="B843:E848">
    <cfRule type="expression" dxfId="29" priority="972" stopIfTrue="1">
      <formula>$A843="end group"</formula>
    </cfRule>
  </conditionalFormatting>
  <conditionalFormatting sqref="B843:E848">
    <cfRule type="expression" dxfId="29" priority="973" stopIfTrue="1">
      <formula>$A843="begin group"</formula>
    </cfRule>
  </conditionalFormatting>
  <conditionalFormatting sqref="B843:B848">
    <cfRule type="expression" dxfId="30" priority="974" stopIfTrue="1">
      <formula>$A843="comments"</formula>
    </cfRule>
  </conditionalFormatting>
  <conditionalFormatting sqref="B843:B848">
    <cfRule type="expression" dxfId="36" priority="975" stopIfTrue="1">
      <formula>OR(AND(LEFT($A843, 14)="sensor_stream ", LEN($A843)&gt;14, NOT(ISNUMBER(SEARCH(" ", $A843, 15)))), AND(LEFT($A843, 17)="sensor_statistic ", LEN($A843)&gt;17, NOT(ISNUMBER(SEARCH(" ", $A843, 18)))))</formula>
    </cfRule>
  </conditionalFormatting>
  <conditionalFormatting sqref="B803:C837 D803:E837">
    <cfRule type="expression" dxfId="0" priority="976" stopIfTrue="1">
      <formula>$A803="begin group"</formula>
    </cfRule>
  </conditionalFormatting>
  <conditionalFormatting sqref="B803:C837 D803:E837">
    <cfRule type="expression" dxfId="1" priority="977" stopIfTrue="1">
      <formula>$A803="begin repeat"</formula>
    </cfRule>
  </conditionalFormatting>
  <conditionalFormatting sqref="B803:E837">
    <cfRule type="expression" dxfId="31" priority="978" stopIfTrue="1">
      <formula>$A803="enumerator"</formula>
    </cfRule>
  </conditionalFormatting>
  <conditionalFormatting sqref="B803:E837">
    <cfRule type="expression" dxfId="2" priority="979" stopIfTrue="1">
      <formula>$A803="text"</formula>
    </cfRule>
  </conditionalFormatting>
  <conditionalFormatting sqref="B803:E837">
    <cfRule type="expression" dxfId="3" priority="980" stopIfTrue="1">
      <formula>$A803="integer"</formula>
    </cfRule>
  </conditionalFormatting>
  <conditionalFormatting sqref="B803:E837">
    <cfRule type="expression" dxfId="4" priority="981" stopIfTrue="1">
      <formula>$A803="decimal"</formula>
    </cfRule>
  </conditionalFormatting>
  <conditionalFormatting sqref="B803:C837 D803:E837">
    <cfRule type="expression" dxfId="5" priority="982" stopIfTrue="1">
      <formula>OR(AND(LEFT($A803, 16)="select_multiple ", LEN($A803)&gt;16, NOT(ISNUMBER(SEARCH(" ", $A803, 17)))), AND(LEFT($A803, 11)="select_one ", LEN($A803)&gt;11, NOT(ISNUMBER(SEARCH(" ", $A803, 12)))))</formula>
    </cfRule>
  </conditionalFormatting>
  <conditionalFormatting sqref="B803:B837">
    <cfRule type="expression" dxfId="6" priority="983" stopIfTrue="1">
      <formula>OR($A803="audio audit", $A803="text audit", $A803="speed violations count", $A803="speed violations list", $A803="speed violations audit")</formula>
    </cfRule>
  </conditionalFormatting>
  <conditionalFormatting sqref="B803:C837 D803:E837">
    <cfRule type="expression" dxfId="32" priority="984" stopIfTrue="1">
      <formula>$A803="file"</formula>
    </cfRule>
  </conditionalFormatting>
  <conditionalFormatting sqref="B803:C837 D803:E837">
    <cfRule type="expression" dxfId="7" priority="985" stopIfTrue="1">
      <formula>$A803="note"</formula>
    </cfRule>
  </conditionalFormatting>
  <conditionalFormatting sqref="B803:C837 D803:E837">
    <cfRule type="expression" dxfId="8" priority="986" stopIfTrue="1">
      <formula>$A803="barcode"</formula>
    </cfRule>
  </conditionalFormatting>
  <conditionalFormatting sqref="B803:C837 D803:E837">
    <cfRule type="expression" dxfId="9" priority="987" stopIfTrue="1">
      <formula>OR($A803="geopoint", $A803="geoshape", $A803="geotrace")</formula>
    </cfRule>
  </conditionalFormatting>
  <conditionalFormatting sqref="B803:B837">
    <cfRule type="expression" dxfId="10" priority="988" stopIfTrue="1">
      <formula>OR($A803="calculate", $A803="calculate_here")</formula>
    </cfRule>
  </conditionalFormatting>
  <conditionalFormatting sqref="B803:C837 D803:E837">
    <cfRule type="expression" dxfId="11" priority="989" stopIfTrue="1">
      <formula>OR($A803="date", $A803="datetime", $A803="time")</formula>
    </cfRule>
  </conditionalFormatting>
  <conditionalFormatting sqref="B803:C837 D803:E837">
    <cfRule type="expression" dxfId="12" priority="990" stopIfTrue="1">
      <formula>$A803="image"</formula>
    </cfRule>
  </conditionalFormatting>
  <conditionalFormatting sqref="B803:C837 D803:E837">
    <cfRule type="expression" dxfId="13" priority="991" stopIfTrue="1">
      <formula>OR($A803="audio", $A803="video")</formula>
    </cfRule>
  </conditionalFormatting>
  <conditionalFormatting sqref="B803:E837">
    <cfRule type="expression" dxfId="33" priority="992" stopIfTrue="1">
      <formula>$A803="file"</formula>
    </cfRule>
  </conditionalFormatting>
  <conditionalFormatting sqref="B803:E837">
    <cfRule type="expression" dxfId="34" priority="993" stopIfTrue="1">
      <formula>$A803="enumerator"</formula>
    </cfRule>
  </conditionalFormatting>
  <conditionalFormatting sqref="B803:E837">
    <cfRule type="expression" dxfId="35" priority="994" stopIfTrue="1">
      <formula>OR(AND(LEFT($A803, 14)="sensor_stream ", LEN($A803)&gt;14, NOT(ISNUMBER(SEARCH(" ", $A803, 15)))), AND(LEFT($A803, 17)="sensor_statistic ", LEN($A803)&gt;17, NOT(ISNUMBER(SEARCH(" ", $A803, 18)))))</formula>
    </cfRule>
  </conditionalFormatting>
  <conditionalFormatting sqref="B803:E837">
    <cfRule type="expression" dxfId="14" priority="995" stopIfTrue="1">
      <formula>$A803="comments"</formula>
    </cfRule>
  </conditionalFormatting>
  <conditionalFormatting sqref="B803:E837">
    <cfRule type="expression" dxfId="15" priority="996" stopIfTrue="1">
      <formula>OR($A803="audio", $A803="video")</formula>
    </cfRule>
  </conditionalFormatting>
  <conditionalFormatting sqref="B803:E837">
    <cfRule type="expression" dxfId="16" priority="997" stopIfTrue="1">
      <formula>$A803="image"</formula>
    </cfRule>
  </conditionalFormatting>
  <conditionalFormatting sqref="B803:E837">
    <cfRule type="expression" dxfId="17" priority="998" stopIfTrue="1">
      <formula>OR($A803="date", $A803="datetime", $A803="time")</formula>
    </cfRule>
  </conditionalFormatting>
  <conditionalFormatting sqref="B803:E837">
    <cfRule type="expression" dxfId="18" priority="999" stopIfTrue="1">
      <formula>OR($A803="calculate", $A803="calculate_here")</formula>
    </cfRule>
  </conditionalFormatting>
  <conditionalFormatting sqref="B803:E837">
    <cfRule type="expression" dxfId="19" priority="1000" stopIfTrue="1">
      <formula>$A803="note"</formula>
    </cfRule>
  </conditionalFormatting>
  <conditionalFormatting sqref="B803:E837">
    <cfRule type="expression" dxfId="20" priority="1001" stopIfTrue="1">
      <formula>$A803="barcode"</formula>
    </cfRule>
  </conditionalFormatting>
  <conditionalFormatting sqref="B803:E837">
    <cfRule type="expression" dxfId="21" priority="1002" stopIfTrue="1">
      <formula>OR($A803="geopoint", $A803="geoshape", $A803="geotrace")</formula>
    </cfRule>
  </conditionalFormatting>
  <conditionalFormatting sqref="B803:E837">
    <cfRule type="expression" dxfId="22" priority="1003" stopIfTrue="1">
      <formula>OR($A803="audio audit", $A803="text audit", $A803="speed violations count", $A803="speed violations list", $A803="speed violations audit")</formula>
    </cfRule>
  </conditionalFormatting>
  <conditionalFormatting sqref="B803:E837">
    <cfRule type="expression" dxfId="23" priority="1004" stopIfTrue="1">
      <formula>OR($A803="username", $A803="phonenumber", $A803="start", $A803="end", $A803="deviceid", $A803="subscriberid", $A803="simserial", $A803="caseid")</formula>
    </cfRule>
  </conditionalFormatting>
  <conditionalFormatting sqref="B803:E837">
    <cfRule type="expression" dxfId="24" priority="1005" stopIfTrue="1">
      <formula>OR(AND(LEFT($A803, 16)="select_multiple ", LEN($A803)&gt;16, NOT(ISNUMBER(SEARCH(" ", $A803, 17)))), AND(LEFT($A803, 11)="select_one ", LEN($A803)&gt;11, NOT(ISNUMBER(SEARCH(" ", $A803, 12)))))</formula>
    </cfRule>
  </conditionalFormatting>
  <conditionalFormatting sqref="B803:E837">
    <cfRule type="expression" dxfId="25" priority="1006" stopIfTrue="1">
      <formula>$A803="decimal"</formula>
    </cfRule>
  </conditionalFormatting>
  <conditionalFormatting sqref="B803:E837">
    <cfRule type="expression" dxfId="26" priority="1007" stopIfTrue="1">
      <formula>$A803="integer"</formula>
    </cfRule>
  </conditionalFormatting>
  <conditionalFormatting sqref="B803:E837">
    <cfRule type="expression" dxfId="27" priority="1008" stopIfTrue="1">
      <formula>$A803="text"</formula>
    </cfRule>
  </conditionalFormatting>
  <conditionalFormatting sqref="B803:E837">
    <cfRule type="expression" dxfId="28" priority="1009" stopIfTrue="1">
      <formula>$A803="end repeat"</formula>
    </cfRule>
  </conditionalFormatting>
  <conditionalFormatting sqref="B803:E837">
    <cfRule type="expression" dxfId="28" priority="1010" stopIfTrue="1">
      <formula>$A803="begin repeat"</formula>
    </cfRule>
  </conditionalFormatting>
  <conditionalFormatting sqref="B803:E837">
    <cfRule type="expression" dxfId="29" priority="1011" stopIfTrue="1">
      <formula>$A803="end group"</formula>
    </cfRule>
  </conditionalFormatting>
  <conditionalFormatting sqref="B803:E837">
    <cfRule type="expression" dxfId="29" priority="1012" stopIfTrue="1">
      <formula>$A803="begin group"</formula>
    </cfRule>
  </conditionalFormatting>
  <conditionalFormatting sqref="B803:B837">
    <cfRule type="expression" dxfId="30" priority="1013" stopIfTrue="1">
      <formula>$A803="comments"</formula>
    </cfRule>
  </conditionalFormatting>
  <conditionalFormatting sqref="B803:B837">
    <cfRule type="expression" dxfId="36" priority="1014" stopIfTrue="1">
      <formula>OR(AND(LEFT($A803, 14)="sensor_stream ", LEN($A803)&gt;14, NOT(ISNUMBER(SEARCH(" ", $A803, 15)))), AND(LEFT($A803, 17)="sensor_statistic ", LEN($A803)&gt;17, NOT(ISNUMBER(SEARCH(" ", $A803, 18)))))</formula>
    </cfRule>
  </conditionalFormatting>
  <conditionalFormatting sqref="B794:C796 D794:E796">
    <cfRule type="expression" dxfId="0" priority="1015" stopIfTrue="1">
      <formula>$A794="begin group"</formula>
    </cfRule>
  </conditionalFormatting>
  <conditionalFormatting sqref="B794:C796 D794:E796">
    <cfRule type="expression" dxfId="1" priority="1016" stopIfTrue="1">
      <formula>$A794="begin repeat"</formula>
    </cfRule>
  </conditionalFormatting>
  <conditionalFormatting sqref="B794:E796">
    <cfRule type="expression" dxfId="31" priority="1017" stopIfTrue="1">
      <formula>$A794="enumerator"</formula>
    </cfRule>
  </conditionalFormatting>
  <conditionalFormatting sqref="B794:E796">
    <cfRule type="expression" dxfId="2" priority="1018" stopIfTrue="1">
      <formula>$A794="text"</formula>
    </cfRule>
  </conditionalFormatting>
  <conditionalFormatting sqref="B794:E796">
    <cfRule type="expression" dxfId="3" priority="1019" stopIfTrue="1">
      <formula>$A794="integer"</formula>
    </cfRule>
  </conditionalFormatting>
  <conditionalFormatting sqref="B794:E796">
    <cfRule type="expression" dxfId="4" priority="1020" stopIfTrue="1">
      <formula>$A794="decimal"</formula>
    </cfRule>
  </conditionalFormatting>
  <conditionalFormatting sqref="B794:C796 D794:E796">
    <cfRule type="expression" dxfId="5" priority="1021" stopIfTrue="1">
      <formula>OR(AND(LEFT($A794, 16)="select_multiple ", LEN($A794)&gt;16, NOT(ISNUMBER(SEARCH(" ", $A794, 17)))), AND(LEFT($A794, 11)="select_one ", LEN($A794)&gt;11, NOT(ISNUMBER(SEARCH(" ", $A794, 12)))))</formula>
    </cfRule>
  </conditionalFormatting>
  <conditionalFormatting sqref="B794:B796">
    <cfRule type="expression" dxfId="6" priority="1022" stopIfTrue="1">
      <formula>OR($A794="audio audit", $A794="text audit", $A794="speed violations count", $A794="speed violations list", $A794="speed violations audit")</formula>
    </cfRule>
  </conditionalFormatting>
  <conditionalFormatting sqref="B794:C796 D794:E796">
    <cfRule type="expression" dxfId="32" priority="1023" stopIfTrue="1">
      <formula>$A794="file"</formula>
    </cfRule>
  </conditionalFormatting>
  <conditionalFormatting sqref="B794:C796 D794:E796">
    <cfRule type="expression" dxfId="7" priority="1024" stopIfTrue="1">
      <formula>$A794="note"</formula>
    </cfRule>
  </conditionalFormatting>
  <conditionalFormatting sqref="B794:C796 D794:E796">
    <cfRule type="expression" dxfId="8" priority="1025" stopIfTrue="1">
      <formula>$A794="barcode"</formula>
    </cfRule>
  </conditionalFormatting>
  <conditionalFormatting sqref="B794:C796 D794:E796">
    <cfRule type="expression" dxfId="9" priority="1026" stopIfTrue="1">
      <formula>OR($A794="geopoint", $A794="geoshape", $A794="geotrace")</formula>
    </cfRule>
  </conditionalFormatting>
  <conditionalFormatting sqref="B794:B796">
    <cfRule type="expression" dxfId="10" priority="1027" stopIfTrue="1">
      <formula>OR($A794="calculate", $A794="calculate_here")</formula>
    </cfRule>
  </conditionalFormatting>
  <conditionalFormatting sqref="B794:C796 D794:E796">
    <cfRule type="expression" dxfId="11" priority="1028" stopIfTrue="1">
      <formula>OR($A794="date", $A794="datetime", $A794="time")</formula>
    </cfRule>
  </conditionalFormatting>
  <conditionalFormatting sqref="B794:C796 D794:E796">
    <cfRule type="expression" dxfId="12" priority="1029" stopIfTrue="1">
      <formula>$A794="image"</formula>
    </cfRule>
  </conditionalFormatting>
  <conditionalFormatting sqref="B794:C796 D794:E796">
    <cfRule type="expression" dxfId="13" priority="1030" stopIfTrue="1">
      <formula>OR($A794="audio", $A794="video")</formula>
    </cfRule>
  </conditionalFormatting>
  <conditionalFormatting sqref="B794:E796">
    <cfRule type="expression" dxfId="33" priority="1031" stopIfTrue="1">
      <formula>$A794="file"</formula>
    </cfRule>
  </conditionalFormatting>
  <conditionalFormatting sqref="B794:E796">
    <cfRule type="expression" dxfId="34" priority="1032" stopIfTrue="1">
      <formula>$A794="enumerator"</formula>
    </cfRule>
  </conditionalFormatting>
  <conditionalFormatting sqref="B794:E796">
    <cfRule type="expression" dxfId="35" priority="1033" stopIfTrue="1">
      <formula>OR(AND(LEFT($A794, 14)="sensor_stream ", LEN($A794)&gt;14, NOT(ISNUMBER(SEARCH(" ", $A794, 15)))), AND(LEFT($A794, 17)="sensor_statistic ", LEN($A794)&gt;17, NOT(ISNUMBER(SEARCH(" ", $A794, 18)))))</formula>
    </cfRule>
  </conditionalFormatting>
  <conditionalFormatting sqref="B794:E796">
    <cfRule type="expression" dxfId="14" priority="1034" stopIfTrue="1">
      <formula>$A794="comments"</formula>
    </cfRule>
  </conditionalFormatting>
  <conditionalFormatting sqref="B794:E796">
    <cfRule type="expression" dxfId="15" priority="1035" stopIfTrue="1">
      <formula>OR($A794="audio", $A794="video")</formula>
    </cfRule>
  </conditionalFormatting>
  <conditionalFormatting sqref="B794:E796">
    <cfRule type="expression" dxfId="16" priority="1036" stopIfTrue="1">
      <formula>$A794="image"</formula>
    </cfRule>
  </conditionalFormatting>
  <conditionalFormatting sqref="B794:E796">
    <cfRule type="expression" dxfId="17" priority="1037" stopIfTrue="1">
      <formula>OR($A794="date", $A794="datetime", $A794="time")</formula>
    </cfRule>
  </conditionalFormatting>
  <conditionalFormatting sqref="B794:E796">
    <cfRule type="expression" dxfId="18" priority="1038" stopIfTrue="1">
      <formula>OR($A794="calculate", $A794="calculate_here")</formula>
    </cfRule>
  </conditionalFormatting>
  <conditionalFormatting sqref="B794:E796">
    <cfRule type="expression" dxfId="19" priority="1039" stopIfTrue="1">
      <formula>$A794="note"</formula>
    </cfRule>
  </conditionalFormatting>
  <conditionalFormatting sqref="B794:E796">
    <cfRule type="expression" dxfId="20" priority="1040" stopIfTrue="1">
      <formula>$A794="barcode"</formula>
    </cfRule>
  </conditionalFormatting>
  <conditionalFormatting sqref="B794:E796">
    <cfRule type="expression" dxfId="21" priority="1041" stopIfTrue="1">
      <formula>OR($A794="geopoint", $A794="geoshape", $A794="geotrace")</formula>
    </cfRule>
  </conditionalFormatting>
  <conditionalFormatting sqref="B794:E796">
    <cfRule type="expression" dxfId="22" priority="1042" stopIfTrue="1">
      <formula>OR($A794="audio audit", $A794="text audit", $A794="speed violations count", $A794="speed violations list", $A794="speed violations audit")</formula>
    </cfRule>
  </conditionalFormatting>
  <conditionalFormatting sqref="B794:E796">
    <cfRule type="expression" dxfId="23" priority="1043" stopIfTrue="1">
      <formula>OR($A794="username", $A794="phonenumber", $A794="start", $A794="end", $A794="deviceid", $A794="subscriberid", $A794="simserial", $A794="caseid")</formula>
    </cfRule>
  </conditionalFormatting>
  <conditionalFormatting sqref="B794:E796">
    <cfRule type="expression" dxfId="24" priority="1044" stopIfTrue="1">
      <formula>OR(AND(LEFT($A794, 16)="select_multiple ", LEN($A794)&gt;16, NOT(ISNUMBER(SEARCH(" ", $A794, 17)))), AND(LEFT($A794, 11)="select_one ", LEN($A794)&gt;11, NOT(ISNUMBER(SEARCH(" ", $A794, 12)))))</formula>
    </cfRule>
  </conditionalFormatting>
  <conditionalFormatting sqref="B794:E796">
    <cfRule type="expression" dxfId="25" priority="1045" stopIfTrue="1">
      <formula>$A794="decimal"</formula>
    </cfRule>
  </conditionalFormatting>
  <conditionalFormatting sqref="B794:E796">
    <cfRule type="expression" dxfId="26" priority="1046" stopIfTrue="1">
      <formula>$A794="integer"</formula>
    </cfRule>
  </conditionalFormatting>
  <conditionalFormatting sqref="B794:E796">
    <cfRule type="expression" dxfId="27" priority="1047" stopIfTrue="1">
      <formula>$A794="text"</formula>
    </cfRule>
  </conditionalFormatting>
  <conditionalFormatting sqref="B794:E796">
    <cfRule type="expression" dxfId="28" priority="1048" stopIfTrue="1">
      <formula>$A794="end repeat"</formula>
    </cfRule>
  </conditionalFormatting>
  <conditionalFormatting sqref="B794:E796">
    <cfRule type="expression" dxfId="28" priority="1049" stopIfTrue="1">
      <formula>$A794="begin repeat"</formula>
    </cfRule>
  </conditionalFormatting>
  <conditionalFormatting sqref="B794:E796">
    <cfRule type="expression" dxfId="29" priority="1050" stopIfTrue="1">
      <formula>$A794="end group"</formula>
    </cfRule>
  </conditionalFormatting>
  <conditionalFormatting sqref="B794:E796">
    <cfRule type="expression" dxfId="29" priority="1051" stopIfTrue="1">
      <formula>$A794="begin group"</formula>
    </cfRule>
  </conditionalFormatting>
  <conditionalFormatting sqref="B794:B796">
    <cfRule type="expression" dxfId="30" priority="1052" stopIfTrue="1">
      <formula>$A794="comments"</formula>
    </cfRule>
  </conditionalFormatting>
  <conditionalFormatting sqref="B794:B796">
    <cfRule type="expression" dxfId="36" priority="1053" stopIfTrue="1">
      <formula>OR(AND(LEFT($A794, 14)="sensor_stream ", LEN($A794)&gt;14, NOT(ISNUMBER(SEARCH(" ", $A794, 15)))), AND(LEFT($A794, 17)="sensor_statistic ", LEN($A794)&gt;17, NOT(ISNUMBER(SEARCH(" ", $A794, 18)))))</formula>
    </cfRule>
  </conditionalFormatting>
  <conditionalFormatting sqref="B790:C792 D790:E792">
    <cfRule type="expression" dxfId="0" priority="1054" stopIfTrue="1">
      <formula>$A790="begin group"</formula>
    </cfRule>
  </conditionalFormatting>
  <conditionalFormatting sqref="B790:C792 D790:E792">
    <cfRule type="expression" dxfId="1" priority="1055" stopIfTrue="1">
      <formula>$A790="begin repeat"</formula>
    </cfRule>
  </conditionalFormatting>
  <conditionalFormatting sqref="B790:E792">
    <cfRule type="expression" dxfId="31" priority="1056" stopIfTrue="1">
      <formula>$A790="enumerator"</formula>
    </cfRule>
  </conditionalFormatting>
  <conditionalFormatting sqref="B790:E792">
    <cfRule type="expression" dxfId="2" priority="1057" stopIfTrue="1">
      <formula>$A790="text"</formula>
    </cfRule>
  </conditionalFormatting>
  <conditionalFormatting sqref="B790:E792">
    <cfRule type="expression" dxfId="3" priority="1058" stopIfTrue="1">
      <formula>$A790="integer"</formula>
    </cfRule>
  </conditionalFormatting>
  <conditionalFormatting sqref="B790:E792">
    <cfRule type="expression" dxfId="4" priority="1059" stopIfTrue="1">
      <formula>$A790="decimal"</formula>
    </cfRule>
  </conditionalFormatting>
  <conditionalFormatting sqref="B790:C792 D790:E792">
    <cfRule type="expression" dxfId="5" priority="1060" stopIfTrue="1">
      <formula>OR(AND(LEFT($A790, 16)="select_multiple ", LEN($A790)&gt;16, NOT(ISNUMBER(SEARCH(" ", $A790, 17)))), AND(LEFT($A790, 11)="select_one ", LEN($A790)&gt;11, NOT(ISNUMBER(SEARCH(" ", $A790, 12)))))</formula>
    </cfRule>
  </conditionalFormatting>
  <conditionalFormatting sqref="B790:B792">
    <cfRule type="expression" dxfId="6" priority="1061" stopIfTrue="1">
      <formula>OR($A790="audio audit", $A790="text audit", $A790="speed violations count", $A790="speed violations list", $A790="speed violations audit")</formula>
    </cfRule>
  </conditionalFormatting>
  <conditionalFormatting sqref="B790:C792 D790:E792">
    <cfRule type="expression" dxfId="32" priority="1062" stopIfTrue="1">
      <formula>$A790="file"</formula>
    </cfRule>
  </conditionalFormatting>
  <conditionalFormatting sqref="B790:C792 D790:E792">
    <cfRule type="expression" dxfId="7" priority="1063" stopIfTrue="1">
      <formula>$A790="note"</formula>
    </cfRule>
  </conditionalFormatting>
  <conditionalFormatting sqref="B790:C792 D790:E792">
    <cfRule type="expression" dxfId="8" priority="1064" stopIfTrue="1">
      <formula>$A790="barcode"</formula>
    </cfRule>
  </conditionalFormatting>
  <conditionalFormatting sqref="B790:C792 D790:E792">
    <cfRule type="expression" dxfId="9" priority="1065" stopIfTrue="1">
      <formula>OR($A790="geopoint", $A790="geoshape", $A790="geotrace")</formula>
    </cfRule>
  </conditionalFormatting>
  <conditionalFormatting sqref="B790:B792">
    <cfRule type="expression" dxfId="10" priority="1066" stopIfTrue="1">
      <formula>OR($A790="calculate", $A790="calculate_here")</formula>
    </cfRule>
  </conditionalFormatting>
  <conditionalFormatting sqref="B790:C792 D790:E792">
    <cfRule type="expression" dxfId="11" priority="1067" stopIfTrue="1">
      <formula>OR($A790="date", $A790="datetime", $A790="time")</formula>
    </cfRule>
  </conditionalFormatting>
  <conditionalFormatting sqref="B790:C792 D790:E792">
    <cfRule type="expression" dxfId="12" priority="1068" stopIfTrue="1">
      <formula>$A790="image"</formula>
    </cfRule>
  </conditionalFormatting>
  <conditionalFormatting sqref="B790:C792 D790:E792">
    <cfRule type="expression" dxfId="13" priority="1069" stopIfTrue="1">
      <formula>OR($A790="audio", $A790="video")</formula>
    </cfRule>
  </conditionalFormatting>
  <conditionalFormatting sqref="B790:E792">
    <cfRule type="expression" dxfId="33" priority="1070" stopIfTrue="1">
      <formula>$A790="file"</formula>
    </cfRule>
  </conditionalFormatting>
  <conditionalFormatting sqref="B790:E792">
    <cfRule type="expression" dxfId="34" priority="1071" stopIfTrue="1">
      <formula>$A790="enumerator"</formula>
    </cfRule>
  </conditionalFormatting>
  <conditionalFormatting sqref="B790:E792">
    <cfRule type="expression" dxfId="35" priority="1072" stopIfTrue="1">
      <formula>OR(AND(LEFT($A790, 14)="sensor_stream ", LEN($A790)&gt;14, NOT(ISNUMBER(SEARCH(" ", $A790, 15)))), AND(LEFT($A790, 17)="sensor_statistic ", LEN($A790)&gt;17, NOT(ISNUMBER(SEARCH(" ", $A790, 18)))))</formula>
    </cfRule>
  </conditionalFormatting>
  <conditionalFormatting sqref="B790:E792">
    <cfRule type="expression" dxfId="14" priority="1073" stopIfTrue="1">
      <formula>$A790="comments"</formula>
    </cfRule>
  </conditionalFormatting>
  <conditionalFormatting sqref="B790:E792">
    <cfRule type="expression" dxfId="15" priority="1074" stopIfTrue="1">
      <formula>OR($A790="audio", $A790="video")</formula>
    </cfRule>
  </conditionalFormatting>
  <conditionalFormatting sqref="B790:E792">
    <cfRule type="expression" dxfId="16" priority="1075" stopIfTrue="1">
      <formula>$A790="image"</formula>
    </cfRule>
  </conditionalFormatting>
  <conditionalFormatting sqref="B790:E792">
    <cfRule type="expression" dxfId="17" priority="1076" stopIfTrue="1">
      <formula>OR($A790="date", $A790="datetime", $A790="time")</formula>
    </cfRule>
  </conditionalFormatting>
  <conditionalFormatting sqref="B790:E792">
    <cfRule type="expression" dxfId="18" priority="1077" stopIfTrue="1">
      <formula>OR($A790="calculate", $A790="calculate_here")</formula>
    </cfRule>
  </conditionalFormatting>
  <conditionalFormatting sqref="B790:E792">
    <cfRule type="expression" dxfId="19" priority="1078" stopIfTrue="1">
      <formula>$A790="note"</formula>
    </cfRule>
  </conditionalFormatting>
  <conditionalFormatting sqref="B790:E792">
    <cfRule type="expression" dxfId="20" priority="1079" stopIfTrue="1">
      <formula>$A790="barcode"</formula>
    </cfRule>
  </conditionalFormatting>
  <conditionalFormatting sqref="B790:E792">
    <cfRule type="expression" dxfId="21" priority="1080" stopIfTrue="1">
      <formula>OR($A790="geopoint", $A790="geoshape", $A790="geotrace")</formula>
    </cfRule>
  </conditionalFormatting>
  <conditionalFormatting sqref="B790:E792">
    <cfRule type="expression" dxfId="22" priority="1081" stopIfTrue="1">
      <formula>OR($A790="audio audit", $A790="text audit", $A790="speed violations count", $A790="speed violations list", $A790="speed violations audit")</formula>
    </cfRule>
  </conditionalFormatting>
  <conditionalFormatting sqref="B790:E792">
    <cfRule type="expression" dxfId="23" priority="1082" stopIfTrue="1">
      <formula>OR($A790="username", $A790="phonenumber", $A790="start", $A790="end", $A790="deviceid", $A790="subscriberid", $A790="simserial", $A790="caseid")</formula>
    </cfRule>
  </conditionalFormatting>
  <conditionalFormatting sqref="B790:E792">
    <cfRule type="expression" dxfId="24" priority="1083" stopIfTrue="1">
      <formula>OR(AND(LEFT($A790, 16)="select_multiple ", LEN($A790)&gt;16, NOT(ISNUMBER(SEARCH(" ", $A790, 17)))), AND(LEFT($A790, 11)="select_one ", LEN($A790)&gt;11, NOT(ISNUMBER(SEARCH(" ", $A790, 12)))))</formula>
    </cfRule>
  </conditionalFormatting>
  <conditionalFormatting sqref="B790:E792">
    <cfRule type="expression" dxfId="25" priority="1084" stopIfTrue="1">
      <formula>$A790="decimal"</formula>
    </cfRule>
  </conditionalFormatting>
  <conditionalFormatting sqref="B790:E792">
    <cfRule type="expression" dxfId="26" priority="1085" stopIfTrue="1">
      <formula>$A790="integer"</formula>
    </cfRule>
  </conditionalFormatting>
  <conditionalFormatting sqref="B790:E792">
    <cfRule type="expression" dxfId="27" priority="1086" stopIfTrue="1">
      <formula>$A790="text"</formula>
    </cfRule>
  </conditionalFormatting>
  <conditionalFormatting sqref="B790:E792">
    <cfRule type="expression" dxfId="28" priority="1087" stopIfTrue="1">
      <formula>$A790="end repeat"</formula>
    </cfRule>
  </conditionalFormatting>
  <conditionalFormatting sqref="B790:E792">
    <cfRule type="expression" dxfId="28" priority="1088" stopIfTrue="1">
      <formula>$A790="begin repeat"</formula>
    </cfRule>
  </conditionalFormatting>
  <conditionalFormatting sqref="B790:E792">
    <cfRule type="expression" dxfId="29" priority="1089" stopIfTrue="1">
      <formula>$A790="end group"</formula>
    </cfRule>
  </conditionalFormatting>
  <conditionalFormatting sqref="B790:E792">
    <cfRule type="expression" dxfId="29" priority="1090" stopIfTrue="1">
      <formula>$A790="begin group"</formula>
    </cfRule>
  </conditionalFormatting>
  <conditionalFormatting sqref="B790:B792">
    <cfRule type="expression" dxfId="30" priority="1091" stopIfTrue="1">
      <formula>$A790="comments"</formula>
    </cfRule>
  </conditionalFormatting>
  <conditionalFormatting sqref="B790:B792">
    <cfRule type="expression" dxfId="36" priority="1092" stopIfTrue="1">
      <formula>OR(AND(LEFT($A790, 14)="sensor_stream ", LEN($A790)&gt;14, NOT(ISNUMBER(SEARCH(" ", $A790, 15)))), AND(LEFT($A790, 17)="sensor_statistic ", LEN($A790)&gt;17, NOT(ISNUMBER(SEARCH(" ", $A790, 18)))))</formula>
    </cfRule>
  </conditionalFormatting>
  <conditionalFormatting sqref="B784:C785 D784:E785">
    <cfRule type="expression" dxfId="0" priority="1093" stopIfTrue="1">
      <formula>$A784="begin group"</formula>
    </cfRule>
  </conditionalFormatting>
  <conditionalFormatting sqref="B784:C785 D784:E785">
    <cfRule type="expression" dxfId="1" priority="1094" stopIfTrue="1">
      <formula>$A784="begin repeat"</formula>
    </cfRule>
  </conditionalFormatting>
  <conditionalFormatting sqref="B784:E785">
    <cfRule type="expression" dxfId="31" priority="1095" stopIfTrue="1">
      <formula>$A784="enumerator"</formula>
    </cfRule>
  </conditionalFormatting>
  <conditionalFormatting sqref="B784:E785">
    <cfRule type="expression" dxfId="2" priority="1096" stopIfTrue="1">
      <formula>$A784="text"</formula>
    </cfRule>
  </conditionalFormatting>
  <conditionalFormatting sqref="B784:E785">
    <cfRule type="expression" dxfId="3" priority="1097" stopIfTrue="1">
      <formula>$A784="integer"</formula>
    </cfRule>
  </conditionalFormatting>
  <conditionalFormatting sqref="B784:E785">
    <cfRule type="expression" dxfId="4" priority="1098" stopIfTrue="1">
      <formula>$A784="decimal"</formula>
    </cfRule>
  </conditionalFormatting>
  <conditionalFormatting sqref="B784:C785 D784:E785">
    <cfRule type="expression" dxfId="5" priority="1099" stopIfTrue="1">
      <formula>OR(AND(LEFT($A784, 16)="select_multiple ", LEN($A784)&gt;16, NOT(ISNUMBER(SEARCH(" ", $A784, 17)))), AND(LEFT($A784, 11)="select_one ", LEN($A784)&gt;11, NOT(ISNUMBER(SEARCH(" ", $A784, 12)))))</formula>
    </cfRule>
  </conditionalFormatting>
  <conditionalFormatting sqref="B784:B785">
    <cfRule type="expression" dxfId="6" priority="1100" stopIfTrue="1">
      <formula>OR($A784="audio audit", $A784="text audit", $A784="speed violations count", $A784="speed violations list", $A784="speed violations audit")</formula>
    </cfRule>
  </conditionalFormatting>
  <conditionalFormatting sqref="B784:C785 D784:E785">
    <cfRule type="expression" dxfId="32" priority="1101" stopIfTrue="1">
      <formula>$A784="file"</formula>
    </cfRule>
  </conditionalFormatting>
  <conditionalFormatting sqref="B784:C785 D784:E785">
    <cfRule type="expression" dxfId="7" priority="1102" stopIfTrue="1">
      <formula>$A784="note"</formula>
    </cfRule>
  </conditionalFormatting>
  <conditionalFormatting sqref="B784:C785 D784:E785">
    <cfRule type="expression" dxfId="8" priority="1103" stopIfTrue="1">
      <formula>$A784="barcode"</formula>
    </cfRule>
  </conditionalFormatting>
  <conditionalFormatting sqref="B784:C785 D784:E785">
    <cfRule type="expression" dxfId="9" priority="1104" stopIfTrue="1">
      <formula>OR($A784="geopoint", $A784="geoshape", $A784="geotrace")</formula>
    </cfRule>
  </conditionalFormatting>
  <conditionalFormatting sqref="B784:B785">
    <cfRule type="expression" dxfId="10" priority="1105" stopIfTrue="1">
      <formula>OR($A784="calculate", $A784="calculate_here")</formula>
    </cfRule>
  </conditionalFormatting>
  <conditionalFormatting sqref="B784:C785 D784:E785">
    <cfRule type="expression" dxfId="11" priority="1106" stopIfTrue="1">
      <formula>OR($A784="date", $A784="datetime", $A784="time")</formula>
    </cfRule>
  </conditionalFormatting>
  <conditionalFormatting sqref="B784:C785 D784:E785">
    <cfRule type="expression" dxfId="12" priority="1107" stopIfTrue="1">
      <formula>$A784="image"</formula>
    </cfRule>
  </conditionalFormatting>
  <conditionalFormatting sqref="B784:C785 D784:E785">
    <cfRule type="expression" dxfId="13" priority="1108" stopIfTrue="1">
      <formula>OR($A784="audio", $A784="video")</formula>
    </cfRule>
  </conditionalFormatting>
  <conditionalFormatting sqref="B784:E785">
    <cfRule type="expression" dxfId="33" priority="1109" stopIfTrue="1">
      <formula>$A784="file"</formula>
    </cfRule>
  </conditionalFormatting>
  <conditionalFormatting sqref="B784:E785">
    <cfRule type="expression" dxfId="34" priority="1110" stopIfTrue="1">
      <formula>$A784="enumerator"</formula>
    </cfRule>
  </conditionalFormatting>
  <conditionalFormatting sqref="B784:E785">
    <cfRule type="expression" dxfId="35" priority="1111" stopIfTrue="1">
      <formula>OR(AND(LEFT($A784, 14)="sensor_stream ", LEN($A784)&gt;14, NOT(ISNUMBER(SEARCH(" ", $A784, 15)))), AND(LEFT($A784, 17)="sensor_statistic ", LEN($A784)&gt;17, NOT(ISNUMBER(SEARCH(" ", $A784, 18)))))</formula>
    </cfRule>
  </conditionalFormatting>
  <conditionalFormatting sqref="B784:E785">
    <cfRule type="expression" dxfId="14" priority="1112" stopIfTrue="1">
      <formula>$A784="comments"</formula>
    </cfRule>
  </conditionalFormatting>
  <conditionalFormatting sqref="B784:E785">
    <cfRule type="expression" dxfId="15" priority="1113" stopIfTrue="1">
      <formula>OR($A784="audio", $A784="video")</formula>
    </cfRule>
  </conditionalFormatting>
  <conditionalFormatting sqref="B784:E785">
    <cfRule type="expression" dxfId="16" priority="1114" stopIfTrue="1">
      <formula>$A784="image"</formula>
    </cfRule>
  </conditionalFormatting>
  <conditionalFormatting sqref="B784:E785">
    <cfRule type="expression" dxfId="17" priority="1115" stopIfTrue="1">
      <formula>OR($A784="date", $A784="datetime", $A784="time")</formula>
    </cfRule>
  </conditionalFormatting>
  <conditionalFormatting sqref="B784:E785">
    <cfRule type="expression" dxfId="18" priority="1116" stopIfTrue="1">
      <formula>OR($A784="calculate", $A784="calculate_here")</formula>
    </cfRule>
  </conditionalFormatting>
  <conditionalFormatting sqref="B784:E785">
    <cfRule type="expression" dxfId="19" priority="1117" stopIfTrue="1">
      <formula>$A784="note"</formula>
    </cfRule>
  </conditionalFormatting>
  <conditionalFormatting sqref="B784:E785">
    <cfRule type="expression" dxfId="20" priority="1118" stopIfTrue="1">
      <formula>$A784="barcode"</formula>
    </cfRule>
  </conditionalFormatting>
  <conditionalFormatting sqref="B784:E785">
    <cfRule type="expression" dxfId="21" priority="1119" stopIfTrue="1">
      <formula>OR($A784="geopoint", $A784="geoshape", $A784="geotrace")</formula>
    </cfRule>
  </conditionalFormatting>
  <conditionalFormatting sqref="B784:E785">
    <cfRule type="expression" dxfId="22" priority="1120" stopIfTrue="1">
      <formula>OR($A784="audio audit", $A784="text audit", $A784="speed violations count", $A784="speed violations list", $A784="speed violations audit")</formula>
    </cfRule>
  </conditionalFormatting>
  <conditionalFormatting sqref="B784:E785">
    <cfRule type="expression" dxfId="23" priority="1121" stopIfTrue="1">
      <formula>OR($A784="username", $A784="phonenumber", $A784="start", $A784="end", $A784="deviceid", $A784="subscriberid", $A784="simserial", $A784="caseid")</formula>
    </cfRule>
  </conditionalFormatting>
  <conditionalFormatting sqref="B784:E785">
    <cfRule type="expression" dxfId="24" priority="1122" stopIfTrue="1">
      <formula>OR(AND(LEFT($A784, 16)="select_multiple ", LEN($A784)&gt;16, NOT(ISNUMBER(SEARCH(" ", $A784, 17)))), AND(LEFT($A784, 11)="select_one ", LEN($A784)&gt;11, NOT(ISNUMBER(SEARCH(" ", $A784, 12)))))</formula>
    </cfRule>
  </conditionalFormatting>
  <conditionalFormatting sqref="B784:E785">
    <cfRule type="expression" dxfId="25" priority="1123" stopIfTrue="1">
      <formula>$A784="decimal"</formula>
    </cfRule>
  </conditionalFormatting>
  <conditionalFormatting sqref="B784:E785">
    <cfRule type="expression" dxfId="26" priority="1124" stopIfTrue="1">
      <formula>$A784="integer"</formula>
    </cfRule>
  </conditionalFormatting>
  <conditionalFormatting sqref="B784:E785">
    <cfRule type="expression" dxfId="27" priority="1125" stopIfTrue="1">
      <formula>$A784="text"</formula>
    </cfRule>
  </conditionalFormatting>
  <conditionalFormatting sqref="B784:E785">
    <cfRule type="expression" dxfId="28" priority="1126" stopIfTrue="1">
      <formula>$A784="end repeat"</formula>
    </cfRule>
  </conditionalFormatting>
  <conditionalFormatting sqref="B784:E785">
    <cfRule type="expression" dxfId="28" priority="1127" stopIfTrue="1">
      <formula>$A784="begin repeat"</formula>
    </cfRule>
  </conditionalFormatting>
  <conditionalFormatting sqref="B784:E785">
    <cfRule type="expression" dxfId="29" priority="1128" stopIfTrue="1">
      <formula>$A784="end group"</formula>
    </cfRule>
  </conditionalFormatting>
  <conditionalFormatting sqref="B784:E785">
    <cfRule type="expression" dxfId="29" priority="1129" stopIfTrue="1">
      <formula>$A784="begin group"</formula>
    </cfRule>
  </conditionalFormatting>
  <conditionalFormatting sqref="B784:B785">
    <cfRule type="expression" dxfId="30" priority="1130" stopIfTrue="1">
      <formula>$A784="comments"</formula>
    </cfRule>
  </conditionalFormatting>
  <conditionalFormatting sqref="B784:B785">
    <cfRule type="expression" dxfId="36" priority="1131" stopIfTrue="1">
      <formula>OR(AND(LEFT($A784, 14)="sensor_stream ", LEN($A784)&gt;14, NOT(ISNUMBER(SEARCH(" ", $A784, 15)))), AND(LEFT($A784, 17)="sensor_statistic ", LEN($A784)&gt;17, NOT(ISNUMBER(SEARCH(" ", $A784, 18)))))</formula>
    </cfRule>
  </conditionalFormatting>
  <conditionalFormatting sqref="B781:C782 D781:E782">
    <cfRule type="expression" dxfId="0" priority="1132" stopIfTrue="1">
      <formula>$A781="begin group"</formula>
    </cfRule>
  </conditionalFormatting>
  <conditionalFormatting sqref="B781:C782 D781:E782">
    <cfRule type="expression" dxfId="1" priority="1133" stopIfTrue="1">
      <formula>$A781="begin repeat"</formula>
    </cfRule>
  </conditionalFormatting>
  <conditionalFormatting sqref="B781:E782">
    <cfRule type="expression" dxfId="31" priority="1134" stopIfTrue="1">
      <formula>$A781="enumerator"</formula>
    </cfRule>
  </conditionalFormatting>
  <conditionalFormatting sqref="B781:E782">
    <cfRule type="expression" dxfId="2" priority="1135" stopIfTrue="1">
      <formula>$A781="text"</formula>
    </cfRule>
  </conditionalFormatting>
  <conditionalFormatting sqref="B781:E782">
    <cfRule type="expression" dxfId="3" priority="1136" stopIfTrue="1">
      <formula>$A781="integer"</formula>
    </cfRule>
  </conditionalFormatting>
  <conditionalFormatting sqref="B781:E782">
    <cfRule type="expression" dxfId="4" priority="1137" stopIfTrue="1">
      <formula>$A781="decimal"</formula>
    </cfRule>
  </conditionalFormatting>
  <conditionalFormatting sqref="B781:C782 D781:E782">
    <cfRule type="expression" dxfId="5" priority="1138" stopIfTrue="1">
      <formula>OR(AND(LEFT($A781, 16)="select_multiple ", LEN($A781)&gt;16, NOT(ISNUMBER(SEARCH(" ", $A781, 17)))), AND(LEFT($A781, 11)="select_one ", LEN($A781)&gt;11, NOT(ISNUMBER(SEARCH(" ", $A781, 12)))))</formula>
    </cfRule>
  </conditionalFormatting>
  <conditionalFormatting sqref="B781:B782">
    <cfRule type="expression" dxfId="6" priority="1139" stopIfTrue="1">
      <formula>OR($A781="audio audit", $A781="text audit", $A781="speed violations count", $A781="speed violations list", $A781="speed violations audit")</formula>
    </cfRule>
  </conditionalFormatting>
  <conditionalFormatting sqref="B781:C782 D781:E782">
    <cfRule type="expression" dxfId="32" priority="1140" stopIfTrue="1">
      <formula>$A781="file"</formula>
    </cfRule>
  </conditionalFormatting>
  <conditionalFormatting sqref="B781:C782 D781:E782">
    <cfRule type="expression" dxfId="7" priority="1141" stopIfTrue="1">
      <formula>$A781="note"</formula>
    </cfRule>
  </conditionalFormatting>
  <conditionalFormatting sqref="B781:C782 D781:E782">
    <cfRule type="expression" dxfId="8" priority="1142" stopIfTrue="1">
      <formula>$A781="barcode"</formula>
    </cfRule>
  </conditionalFormatting>
  <conditionalFormatting sqref="B781:C782 D781:E782">
    <cfRule type="expression" dxfId="9" priority="1143" stopIfTrue="1">
      <formula>OR($A781="geopoint", $A781="geoshape", $A781="geotrace")</formula>
    </cfRule>
  </conditionalFormatting>
  <conditionalFormatting sqref="B781:B782">
    <cfRule type="expression" dxfId="10" priority="1144" stopIfTrue="1">
      <formula>OR($A781="calculate", $A781="calculate_here")</formula>
    </cfRule>
  </conditionalFormatting>
  <conditionalFormatting sqref="B781:C782 D781:E782">
    <cfRule type="expression" dxfId="11" priority="1145" stopIfTrue="1">
      <formula>OR($A781="date", $A781="datetime", $A781="time")</formula>
    </cfRule>
  </conditionalFormatting>
  <conditionalFormatting sqref="B781:C782 D781:E782">
    <cfRule type="expression" dxfId="12" priority="1146" stopIfTrue="1">
      <formula>$A781="image"</formula>
    </cfRule>
  </conditionalFormatting>
  <conditionalFormatting sqref="B781:C782 D781:E782">
    <cfRule type="expression" dxfId="13" priority="1147" stopIfTrue="1">
      <formula>OR($A781="audio", $A781="video")</formula>
    </cfRule>
  </conditionalFormatting>
  <conditionalFormatting sqref="B781:E782">
    <cfRule type="expression" dxfId="33" priority="1148" stopIfTrue="1">
      <formula>$A781="file"</formula>
    </cfRule>
  </conditionalFormatting>
  <conditionalFormatting sqref="B781:E782">
    <cfRule type="expression" dxfId="34" priority="1149" stopIfTrue="1">
      <formula>$A781="enumerator"</formula>
    </cfRule>
  </conditionalFormatting>
  <conditionalFormatting sqref="B781:E782">
    <cfRule type="expression" dxfId="35" priority="1150" stopIfTrue="1">
      <formula>OR(AND(LEFT($A781, 14)="sensor_stream ", LEN($A781)&gt;14, NOT(ISNUMBER(SEARCH(" ", $A781, 15)))), AND(LEFT($A781, 17)="sensor_statistic ", LEN($A781)&gt;17, NOT(ISNUMBER(SEARCH(" ", $A781, 18)))))</formula>
    </cfRule>
  </conditionalFormatting>
  <conditionalFormatting sqref="B781:E782">
    <cfRule type="expression" dxfId="14" priority="1151" stopIfTrue="1">
      <formula>$A781="comments"</formula>
    </cfRule>
  </conditionalFormatting>
  <conditionalFormatting sqref="B781:E782">
    <cfRule type="expression" dxfId="15" priority="1152" stopIfTrue="1">
      <formula>OR($A781="audio", $A781="video")</formula>
    </cfRule>
  </conditionalFormatting>
  <conditionalFormatting sqref="B781:E782">
    <cfRule type="expression" dxfId="16" priority="1153" stopIfTrue="1">
      <formula>$A781="image"</formula>
    </cfRule>
  </conditionalFormatting>
  <conditionalFormatting sqref="B781:E782">
    <cfRule type="expression" dxfId="17" priority="1154" stopIfTrue="1">
      <formula>OR($A781="date", $A781="datetime", $A781="time")</formula>
    </cfRule>
  </conditionalFormatting>
  <conditionalFormatting sqref="B781:E782">
    <cfRule type="expression" dxfId="18" priority="1155" stopIfTrue="1">
      <formula>OR($A781="calculate", $A781="calculate_here")</formula>
    </cfRule>
  </conditionalFormatting>
  <conditionalFormatting sqref="B781:E782">
    <cfRule type="expression" dxfId="19" priority="1156" stopIfTrue="1">
      <formula>$A781="note"</formula>
    </cfRule>
  </conditionalFormatting>
  <conditionalFormatting sqref="B781:E782">
    <cfRule type="expression" dxfId="20" priority="1157" stopIfTrue="1">
      <formula>$A781="barcode"</formula>
    </cfRule>
  </conditionalFormatting>
  <conditionalFormatting sqref="B781:E782">
    <cfRule type="expression" dxfId="21" priority="1158" stopIfTrue="1">
      <formula>OR($A781="geopoint", $A781="geoshape", $A781="geotrace")</formula>
    </cfRule>
  </conditionalFormatting>
  <conditionalFormatting sqref="B781:E782">
    <cfRule type="expression" dxfId="22" priority="1159" stopIfTrue="1">
      <formula>OR($A781="audio audit", $A781="text audit", $A781="speed violations count", $A781="speed violations list", $A781="speed violations audit")</formula>
    </cfRule>
  </conditionalFormatting>
  <conditionalFormatting sqref="B781:E782">
    <cfRule type="expression" dxfId="23" priority="1160" stopIfTrue="1">
      <formula>OR($A781="username", $A781="phonenumber", $A781="start", $A781="end", $A781="deviceid", $A781="subscriberid", $A781="simserial", $A781="caseid")</formula>
    </cfRule>
  </conditionalFormatting>
  <conditionalFormatting sqref="B781:E782">
    <cfRule type="expression" dxfId="24" priority="1161" stopIfTrue="1">
      <formula>OR(AND(LEFT($A781, 16)="select_multiple ", LEN($A781)&gt;16, NOT(ISNUMBER(SEARCH(" ", $A781, 17)))), AND(LEFT($A781, 11)="select_one ", LEN($A781)&gt;11, NOT(ISNUMBER(SEARCH(" ", $A781, 12)))))</formula>
    </cfRule>
  </conditionalFormatting>
  <conditionalFormatting sqref="B781:E782">
    <cfRule type="expression" dxfId="25" priority="1162" stopIfTrue="1">
      <formula>$A781="decimal"</formula>
    </cfRule>
  </conditionalFormatting>
  <conditionalFormatting sqref="B781:E782">
    <cfRule type="expression" dxfId="26" priority="1163" stopIfTrue="1">
      <formula>$A781="integer"</formula>
    </cfRule>
  </conditionalFormatting>
  <conditionalFormatting sqref="B781:E782">
    <cfRule type="expression" dxfId="27" priority="1164" stopIfTrue="1">
      <formula>$A781="text"</formula>
    </cfRule>
  </conditionalFormatting>
  <conditionalFormatting sqref="B781:E782">
    <cfRule type="expression" dxfId="28" priority="1165" stopIfTrue="1">
      <formula>$A781="end repeat"</formula>
    </cfRule>
  </conditionalFormatting>
  <conditionalFormatting sqref="B781:E782">
    <cfRule type="expression" dxfId="28" priority="1166" stopIfTrue="1">
      <formula>$A781="begin repeat"</formula>
    </cfRule>
  </conditionalFormatting>
  <conditionalFormatting sqref="B781:E782">
    <cfRule type="expression" dxfId="29" priority="1167" stopIfTrue="1">
      <formula>$A781="end group"</formula>
    </cfRule>
  </conditionalFormatting>
  <conditionalFormatting sqref="B781:E782">
    <cfRule type="expression" dxfId="29" priority="1168" stopIfTrue="1">
      <formula>$A781="begin group"</formula>
    </cfRule>
  </conditionalFormatting>
  <conditionalFormatting sqref="B781:B782">
    <cfRule type="expression" dxfId="30" priority="1169" stopIfTrue="1">
      <formula>$A781="comments"</formula>
    </cfRule>
  </conditionalFormatting>
  <conditionalFormatting sqref="B781:B782">
    <cfRule type="expression" dxfId="36" priority="1170" stopIfTrue="1">
      <formula>OR(AND(LEFT($A781, 14)="sensor_stream ", LEN($A781)&gt;14, NOT(ISNUMBER(SEARCH(" ", $A781, 15)))), AND(LEFT($A781, 17)="sensor_statistic ", LEN($A781)&gt;17, NOT(ISNUMBER(SEARCH(" ", $A781, 18)))))</formula>
    </cfRule>
  </conditionalFormatting>
  <conditionalFormatting sqref="B777:C777 D777:E777">
    <cfRule type="expression" dxfId="0" priority="1171" stopIfTrue="1">
      <formula>$A777="begin group"</formula>
    </cfRule>
  </conditionalFormatting>
  <conditionalFormatting sqref="B777:C777 D777:E777">
    <cfRule type="expression" dxfId="1" priority="1172" stopIfTrue="1">
      <formula>$A777="begin repeat"</formula>
    </cfRule>
  </conditionalFormatting>
  <conditionalFormatting sqref="B777:E777">
    <cfRule type="expression" dxfId="31" priority="1173" stopIfTrue="1">
      <formula>$A777="enumerator"</formula>
    </cfRule>
  </conditionalFormatting>
  <conditionalFormatting sqref="B777:E777">
    <cfRule type="expression" dxfId="2" priority="1174" stopIfTrue="1">
      <formula>$A777="text"</formula>
    </cfRule>
  </conditionalFormatting>
  <conditionalFormatting sqref="B777:E777">
    <cfRule type="expression" dxfId="3" priority="1175" stopIfTrue="1">
      <formula>$A777="integer"</formula>
    </cfRule>
  </conditionalFormatting>
  <conditionalFormatting sqref="B777:E777">
    <cfRule type="expression" dxfId="4" priority="1176" stopIfTrue="1">
      <formula>$A777="decimal"</formula>
    </cfRule>
  </conditionalFormatting>
  <conditionalFormatting sqref="B777:C777 D777:E777">
    <cfRule type="expression" dxfId="5" priority="1177" stopIfTrue="1">
      <formula>OR(AND(LEFT($A777, 16)="select_multiple ", LEN($A777)&gt;16, NOT(ISNUMBER(SEARCH(" ", $A777, 17)))), AND(LEFT($A777, 11)="select_one ", LEN($A777)&gt;11, NOT(ISNUMBER(SEARCH(" ", $A777, 12)))))</formula>
    </cfRule>
  </conditionalFormatting>
  <conditionalFormatting sqref="B777">
    <cfRule type="expression" dxfId="6" priority="1178" stopIfTrue="1">
      <formula>OR($A777="audio audit", $A777="text audit", $A777="speed violations count", $A777="speed violations list", $A777="speed violations audit")</formula>
    </cfRule>
  </conditionalFormatting>
  <conditionalFormatting sqref="B777:C777 D777:E777">
    <cfRule type="expression" dxfId="32" priority="1179" stopIfTrue="1">
      <formula>$A777="file"</formula>
    </cfRule>
  </conditionalFormatting>
  <conditionalFormatting sqref="B777:C777 D777:E777">
    <cfRule type="expression" dxfId="7" priority="1180" stopIfTrue="1">
      <formula>$A777="note"</formula>
    </cfRule>
  </conditionalFormatting>
  <conditionalFormatting sqref="B777:C777 D777:E777">
    <cfRule type="expression" dxfId="8" priority="1181" stopIfTrue="1">
      <formula>$A777="barcode"</formula>
    </cfRule>
  </conditionalFormatting>
  <conditionalFormatting sqref="B777:C777 D777:E777">
    <cfRule type="expression" dxfId="9" priority="1182" stopIfTrue="1">
      <formula>OR($A777="geopoint", $A777="geoshape", $A777="geotrace")</formula>
    </cfRule>
  </conditionalFormatting>
  <conditionalFormatting sqref="B777">
    <cfRule type="expression" dxfId="10" priority="1183" stopIfTrue="1">
      <formula>OR($A777="calculate", $A777="calculate_here")</formula>
    </cfRule>
  </conditionalFormatting>
  <conditionalFormatting sqref="B777:C777 D777:E777">
    <cfRule type="expression" dxfId="11" priority="1184" stopIfTrue="1">
      <formula>OR($A777="date", $A777="datetime", $A777="time")</formula>
    </cfRule>
  </conditionalFormatting>
  <conditionalFormatting sqref="B777:C777 D777:E777">
    <cfRule type="expression" dxfId="12" priority="1185" stopIfTrue="1">
      <formula>$A777="image"</formula>
    </cfRule>
  </conditionalFormatting>
  <conditionalFormatting sqref="B777:C777 D777:E777">
    <cfRule type="expression" dxfId="13" priority="1186" stopIfTrue="1">
      <formula>OR($A777="audio", $A777="video")</formula>
    </cfRule>
  </conditionalFormatting>
  <conditionalFormatting sqref="B777:E777">
    <cfRule type="expression" dxfId="33" priority="1187" stopIfTrue="1">
      <formula>$A777="file"</formula>
    </cfRule>
  </conditionalFormatting>
  <conditionalFormatting sqref="B777:E777">
    <cfRule type="expression" dxfId="34" priority="1188" stopIfTrue="1">
      <formula>$A777="enumerator"</formula>
    </cfRule>
  </conditionalFormatting>
  <conditionalFormatting sqref="B777:E777">
    <cfRule type="expression" dxfId="35" priority="1189" stopIfTrue="1">
      <formula>OR(AND(LEFT($A777, 14)="sensor_stream ", LEN($A777)&gt;14, NOT(ISNUMBER(SEARCH(" ", $A777, 15)))), AND(LEFT($A777, 17)="sensor_statistic ", LEN($A777)&gt;17, NOT(ISNUMBER(SEARCH(" ", $A777, 18)))))</formula>
    </cfRule>
  </conditionalFormatting>
  <conditionalFormatting sqref="B777:E777">
    <cfRule type="expression" dxfId="14" priority="1190" stopIfTrue="1">
      <formula>$A777="comments"</formula>
    </cfRule>
  </conditionalFormatting>
  <conditionalFormatting sqref="B777:E777">
    <cfRule type="expression" dxfId="15" priority="1191" stopIfTrue="1">
      <formula>OR($A777="audio", $A777="video")</formula>
    </cfRule>
  </conditionalFormatting>
  <conditionalFormatting sqref="B777:E777">
    <cfRule type="expression" dxfId="16" priority="1192" stopIfTrue="1">
      <formula>$A777="image"</formula>
    </cfRule>
  </conditionalFormatting>
  <conditionalFormatting sqref="B777:E777">
    <cfRule type="expression" dxfId="17" priority="1193" stopIfTrue="1">
      <formula>OR($A777="date", $A777="datetime", $A777="time")</formula>
    </cfRule>
  </conditionalFormatting>
  <conditionalFormatting sqref="B777:E777">
    <cfRule type="expression" dxfId="18" priority="1194" stopIfTrue="1">
      <formula>OR($A777="calculate", $A777="calculate_here")</formula>
    </cfRule>
  </conditionalFormatting>
  <conditionalFormatting sqref="B777:E777">
    <cfRule type="expression" dxfId="19" priority="1195" stopIfTrue="1">
      <formula>$A777="note"</formula>
    </cfRule>
  </conditionalFormatting>
  <conditionalFormatting sqref="B777:E777">
    <cfRule type="expression" dxfId="20" priority="1196" stopIfTrue="1">
      <formula>$A777="barcode"</formula>
    </cfRule>
  </conditionalFormatting>
  <conditionalFormatting sqref="B777:E777">
    <cfRule type="expression" dxfId="21" priority="1197" stopIfTrue="1">
      <formula>OR($A777="geopoint", $A777="geoshape", $A777="geotrace")</formula>
    </cfRule>
  </conditionalFormatting>
  <conditionalFormatting sqref="B777:E777">
    <cfRule type="expression" dxfId="22" priority="1198" stopIfTrue="1">
      <formula>OR($A777="audio audit", $A777="text audit", $A777="speed violations count", $A777="speed violations list", $A777="speed violations audit")</formula>
    </cfRule>
  </conditionalFormatting>
  <conditionalFormatting sqref="B777:E777">
    <cfRule type="expression" dxfId="23" priority="1199" stopIfTrue="1">
      <formula>OR($A777="username", $A777="phonenumber", $A777="start", $A777="end", $A777="deviceid", $A777="subscriberid", $A777="simserial", $A777="caseid")</formula>
    </cfRule>
  </conditionalFormatting>
  <conditionalFormatting sqref="B777:E777">
    <cfRule type="expression" dxfId="24" priority="1200" stopIfTrue="1">
      <formula>OR(AND(LEFT($A777, 16)="select_multiple ", LEN($A777)&gt;16, NOT(ISNUMBER(SEARCH(" ", $A777, 17)))), AND(LEFT($A777, 11)="select_one ", LEN($A777)&gt;11, NOT(ISNUMBER(SEARCH(" ", $A777, 12)))))</formula>
    </cfRule>
  </conditionalFormatting>
  <conditionalFormatting sqref="B777:E777">
    <cfRule type="expression" dxfId="25" priority="1201" stopIfTrue="1">
      <formula>$A777="decimal"</formula>
    </cfRule>
  </conditionalFormatting>
  <conditionalFormatting sqref="B777:E777">
    <cfRule type="expression" dxfId="26" priority="1202" stopIfTrue="1">
      <formula>$A777="integer"</formula>
    </cfRule>
  </conditionalFormatting>
  <conditionalFormatting sqref="B777:E777">
    <cfRule type="expression" dxfId="27" priority="1203" stopIfTrue="1">
      <formula>$A777="text"</formula>
    </cfRule>
  </conditionalFormatting>
  <conditionalFormatting sqref="B777:E777">
    <cfRule type="expression" dxfId="28" priority="1204" stopIfTrue="1">
      <formula>$A777="end repeat"</formula>
    </cfRule>
  </conditionalFormatting>
  <conditionalFormatting sqref="B777:E777">
    <cfRule type="expression" dxfId="28" priority="1205" stopIfTrue="1">
      <formula>$A777="begin repeat"</formula>
    </cfRule>
  </conditionalFormatting>
  <conditionalFormatting sqref="B777:E777">
    <cfRule type="expression" dxfId="29" priority="1206" stopIfTrue="1">
      <formula>$A777="end group"</formula>
    </cfRule>
  </conditionalFormatting>
  <conditionalFormatting sqref="B777:E777">
    <cfRule type="expression" dxfId="29" priority="1207" stopIfTrue="1">
      <formula>$A777="begin group"</formula>
    </cfRule>
  </conditionalFormatting>
  <conditionalFormatting sqref="B777">
    <cfRule type="expression" dxfId="30" priority="1208" stopIfTrue="1">
      <formula>$A777="comments"</formula>
    </cfRule>
  </conditionalFormatting>
  <conditionalFormatting sqref="B777">
    <cfRule type="expression" dxfId="36" priority="1209" stopIfTrue="1">
      <formula>OR(AND(LEFT($A777, 14)="sensor_stream ", LEN($A777)&gt;14, NOT(ISNUMBER(SEARCH(" ", $A777, 15)))), AND(LEFT($A777, 17)="sensor_statistic ", LEN($A777)&gt;17, NOT(ISNUMBER(SEARCH(" ", $A777, 18)))))</formula>
    </cfRule>
  </conditionalFormatting>
  <conditionalFormatting sqref="B769:C771 D769:E771">
    <cfRule type="expression" dxfId="0" priority="1210" stopIfTrue="1">
      <formula>$A769="begin group"</formula>
    </cfRule>
  </conditionalFormatting>
  <conditionalFormatting sqref="B769:C771 D769:E771">
    <cfRule type="expression" dxfId="1" priority="1211" stopIfTrue="1">
      <formula>$A769="begin repeat"</formula>
    </cfRule>
  </conditionalFormatting>
  <conditionalFormatting sqref="B769:E771">
    <cfRule type="expression" dxfId="31" priority="1212" stopIfTrue="1">
      <formula>$A769="enumerator"</formula>
    </cfRule>
  </conditionalFormatting>
  <conditionalFormatting sqref="B769:E771">
    <cfRule type="expression" dxfId="2" priority="1213" stopIfTrue="1">
      <formula>$A769="text"</formula>
    </cfRule>
  </conditionalFormatting>
  <conditionalFormatting sqref="B769:E771">
    <cfRule type="expression" dxfId="3" priority="1214" stopIfTrue="1">
      <formula>$A769="integer"</formula>
    </cfRule>
  </conditionalFormatting>
  <conditionalFormatting sqref="B769:E771">
    <cfRule type="expression" dxfId="4" priority="1215" stopIfTrue="1">
      <formula>$A769="decimal"</formula>
    </cfRule>
  </conditionalFormatting>
  <conditionalFormatting sqref="B769:C771 D769:E771">
    <cfRule type="expression" dxfId="5" priority="1216" stopIfTrue="1">
      <formula>OR(AND(LEFT($A769, 16)="select_multiple ", LEN($A769)&gt;16, NOT(ISNUMBER(SEARCH(" ", $A769, 17)))), AND(LEFT($A769, 11)="select_one ", LEN($A769)&gt;11, NOT(ISNUMBER(SEARCH(" ", $A769, 12)))))</formula>
    </cfRule>
  </conditionalFormatting>
  <conditionalFormatting sqref="B769:B771">
    <cfRule type="expression" dxfId="6" priority="1217" stopIfTrue="1">
      <formula>OR($A769="audio audit", $A769="text audit", $A769="speed violations count", $A769="speed violations list", $A769="speed violations audit")</formula>
    </cfRule>
  </conditionalFormatting>
  <conditionalFormatting sqref="B769:C771 D769:E771">
    <cfRule type="expression" dxfId="32" priority="1218" stopIfTrue="1">
      <formula>$A769="file"</formula>
    </cfRule>
  </conditionalFormatting>
  <conditionalFormatting sqref="B769:C771 D769:E771">
    <cfRule type="expression" dxfId="7" priority="1219" stopIfTrue="1">
      <formula>$A769="note"</formula>
    </cfRule>
  </conditionalFormatting>
  <conditionalFormatting sqref="B769:C771 D769:E771">
    <cfRule type="expression" dxfId="8" priority="1220" stopIfTrue="1">
      <formula>$A769="barcode"</formula>
    </cfRule>
  </conditionalFormatting>
  <conditionalFormatting sqref="B769:C771 D769:E771">
    <cfRule type="expression" dxfId="9" priority="1221" stopIfTrue="1">
      <formula>OR($A769="geopoint", $A769="geoshape", $A769="geotrace")</formula>
    </cfRule>
  </conditionalFormatting>
  <conditionalFormatting sqref="B769:B771">
    <cfRule type="expression" dxfId="10" priority="1222" stopIfTrue="1">
      <formula>OR($A769="calculate", $A769="calculate_here")</formula>
    </cfRule>
  </conditionalFormatting>
  <conditionalFormatting sqref="B769:C771 D769:E771">
    <cfRule type="expression" dxfId="11" priority="1223" stopIfTrue="1">
      <formula>OR($A769="date", $A769="datetime", $A769="time")</formula>
    </cfRule>
  </conditionalFormatting>
  <conditionalFormatting sqref="B769:C771 D769:E771">
    <cfRule type="expression" dxfId="12" priority="1224" stopIfTrue="1">
      <formula>$A769="image"</formula>
    </cfRule>
  </conditionalFormatting>
  <conditionalFormatting sqref="B769:C771 D769:E771">
    <cfRule type="expression" dxfId="13" priority="1225" stopIfTrue="1">
      <formula>OR($A769="audio", $A769="video")</formula>
    </cfRule>
  </conditionalFormatting>
  <conditionalFormatting sqref="B769:E771">
    <cfRule type="expression" dxfId="33" priority="1226" stopIfTrue="1">
      <formula>$A769="file"</formula>
    </cfRule>
  </conditionalFormatting>
  <conditionalFormatting sqref="B769:E771">
    <cfRule type="expression" dxfId="34" priority="1227" stopIfTrue="1">
      <formula>$A769="enumerator"</formula>
    </cfRule>
  </conditionalFormatting>
  <conditionalFormatting sqref="B769:E771">
    <cfRule type="expression" dxfId="35" priority="1228" stopIfTrue="1">
      <formula>OR(AND(LEFT($A769, 14)="sensor_stream ", LEN($A769)&gt;14, NOT(ISNUMBER(SEARCH(" ", $A769, 15)))), AND(LEFT($A769, 17)="sensor_statistic ", LEN($A769)&gt;17, NOT(ISNUMBER(SEARCH(" ", $A769, 18)))))</formula>
    </cfRule>
  </conditionalFormatting>
  <conditionalFormatting sqref="B769:E771">
    <cfRule type="expression" dxfId="14" priority="1229" stopIfTrue="1">
      <formula>$A769="comments"</formula>
    </cfRule>
  </conditionalFormatting>
  <conditionalFormatting sqref="B769:E771">
    <cfRule type="expression" dxfId="15" priority="1230" stopIfTrue="1">
      <formula>OR($A769="audio", $A769="video")</formula>
    </cfRule>
  </conditionalFormatting>
  <conditionalFormatting sqref="B769:E771">
    <cfRule type="expression" dxfId="16" priority="1231" stopIfTrue="1">
      <formula>$A769="image"</formula>
    </cfRule>
  </conditionalFormatting>
  <conditionalFormatting sqref="B769:E771">
    <cfRule type="expression" dxfId="17" priority="1232" stopIfTrue="1">
      <formula>OR($A769="date", $A769="datetime", $A769="time")</formula>
    </cfRule>
  </conditionalFormatting>
  <conditionalFormatting sqref="B769:E771">
    <cfRule type="expression" dxfId="18" priority="1233" stopIfTrue="1">
      <formula>OR($A769="calculate", $A769="calculate_here")</formula>
    </cfRule>
  </conditionalFormatting>
  <conditionalFormatting sqref="B769:E771">
    <cfRule type="expression" dxfId="19" priority="1234" stopIfTrue="1">
      <formula>$A769="note"</formula>
    </cfRule>
  </conditionalFormatting>
  <conditionalFormatting sqref="B769:E771">
    <cfRule type="expression" dxfId="20" priority="1235" stopIfTrue="1">
      <formula>$A769="barcode"</formula>
    </cfRule>
  </conditionalFormatting>
  <conditionalFormatting sqref="B769:E771">
    <cfRule type="expression" dxfId="21" priority="1236" stopIfTrue="1">
      <formula>OR($A769="geopoint", $A769="geoshape", $A769="geotrace")</formula>
    </cfRule>
  </conditionalFormatting>
  <conditionalFormatting sqref="B769:E771">
    <cfRule type="expression" dxfId="22" priority="1237" stopIfTrue="1">
      <formula>OR($A769="audio audit", $A769="text audit", $A769="speed violations count", $A769="speed violations list", $A769="speed violations audit")</formula>
    </cfRule>
  </conditionalFormatting>
  <conditionalFormatting sqref="B769:E771">
    <cfRule type="expression" dxfId="23" priority="1238" stopIfTrue="1">
      <formula>OR($A769="username", $A769="phonenumber", $A769="start", $A769="end", $A769="deviceid", $A769="subscriberid", $A769="simserial", $A769="caseid")</formula>
    </cfRule>
  </conditionalFormatting>
  <conditionalFormatting sqref="B769:E771">
    <cfRule type="expression" dxfId="24" priority="1239" stopIfTrue="1">
      <formula>OR(AND(LEFT($A769, 16)="select_multiple ", LEN($A769)&gt;16, NOT(ISNUMBER(SEARCH(" ", $A769, 17)))), AND(LEFT($A769, 11)="select_one ", LEN($A769)&gt;11, NOT(ISNUMBER(SEARCH(" ", $A769, 12)))))</formula>
    </cfRule>
  </conditionalFormatting>
  <conditionalFormatting sqref="B769:E771">
    <cfRule type="expression" dxfId="25" priority="1240" stopIfTrue="1">
      <formula>$A769="decimal"</formula>
    </cfRule>
  </conditionalFormatting>
  <conditionalFormatting sqref="B769:E771">
    <cfRule type="expression" dxfId="26" priority="1241" stopIfTrue="1">
      <formula>$A769="integer"</formula>
    </cfRule>
  </conditionalFormatting>
  <conditionalFormatting sqref="B769:E771">
    <cfRule type="expression" dxfId="27" priority="1242" stopIfTrue="1">
      <formula>$A769="text"</formula>
    </cfRule>
  </conditionalFormatting>
  <conditionalFormatting sqref="B769:E771">
    <cfRule type="expression" dxfId="28" priority="1243" stopIfTrue="1">
      <formula>$A769="end repeat"</formula>
    </cfRule>
  </conditionalFormatting>
  <conditionalFormatting sqref="B769:E771">
    <cfRule type="expression" dxfId="28" priority="1244" stopIfTrue="1">
      <formula>$A769="begin repeat"</formula>
    </cfRule>
  </conditionalFormatting>
  <conditionalFormatting sqref="B769:E771">
    <cfRule type="expression" dxfId="29" priority="1245" stopIfTrue="1">
      <formula>$A769="end group"</formula>
    </cfRule>
  </conditionalFormatting>
  <conditionalFormatting sqref="B769:E771">
    <cfRule type="expression" dxfId="29" priority="1246" stopIfTrue="1">
      <formula>$A769="begin group"</formula>
    </cfRule>
  </conditionalFormatting>
  <conditionalFormatting sqref="B769:B771">
    <cfRule type="expression" dxfId="30" priority="1247" stopIfTrue="1">
      <formula>$A769="comments"</formula>
    </cfRule>
  </conditionalFormatting>
  <conditionalFormatting sqref="B769:B771">
    <cfRule type="expression" dxfId="36" priority="1248" stopIfTrue="1">
      <formula>OR(AND(LEFT($A769, 14)="sensor_stream ", LEN($A769)&gt;14, NOT(ISNUMBER(SEARCH(" ", $A769, 15)))), AND(LEFT($A769, 17)="sensor_statistic ", LEN($A769)&gt;17, NOT(ISNUMBER(SEARCH(" ", $A769, 18)))))</formula>
    </cfRule>
  </conditionalFormatting>
  <conditionalFormatting sqref="B765:C767 D765:E767">
    <cfRule type="expression" dxfId="0" priority="1249" stopIfTrue="1">
      <formula>$A765="begin group"</formula>
    </cfRule>
  </conditionalFormatting>
  <conditionalFormatting sqref="B765:C767 D765:E767">
    <cfRule type="expression" dxfId="1" priority="1250" stopIfTrue="1">
      <formula>$A765="begin repeat"</formula>
    </cfRule>
  </conditionalFormatting>
  <conditionalFormatting sqref="B765:E767">
    <cfRule type="expression" dxfId="31" priority="1251" stopIfTrue="1">
      <formula>$A765="enumerator"</formula>
    </cfRule>
  </conditionalFormatting>
  <conditionalFormatting sqref="B765:E767">
    <cfRule type="expression" dxfId="2" priority="1252" stopIfTrue="1">
      <formula>$A765="text"</formula>
    </cfRule>
  </conditionalFormatting>
  <conditionalFormatting sqref="B765:E767">
    <cfRule type="expression" dxfId="3" priority="1253" stopIfTrue="1">
      <formula>$A765="integer"</formula>
    </cfRule>
  </conditionalFormatting>
  <conditionalFormatting sqref="B765:E767">
    <cfRule type="expression" dxfId="4" priority="1254" stopIfTrue="1">
      <formula>$A765="decimal"</formula>
    </cfRule>
  </conditionalFormatting>
  <conditionalFormatting sqref="B765:C767 D765:E767">
    <cfRule type="expression" dxfId="5" priority="1255" stopIfTrue="1">
      <formula>OR(AND(LEFT($A765, 16)="select_multiple ", LEN($A765)&gt;16, NOT(ISNUMBER(SEARCH(" ", $A765, 17)))), AND(LEFT($A765, 11)="select_one ", LEN($A765)&gt;11, NOT(ISNUMBER(SEARCH(" ", $A765, 12)))))</formula>
    </cfRule>
  </conditionalFormatting>
  <conditionalFormatting sqref="B765:B767">
    <cfRule type="expression" dxfId="6" priority="1256" stopIfTrue="1">
      <formula>OR($A765="audio audit", $A765="text audit", $A765="speed violations count", $A765="speed violations list", $A765="speed violations audit")</formula>
    </cfRule>
  </conditionalFormatting>
  <conditionalFormatting sqref="B765:C767 D765:E767">
    <cfRule type="expression" dxfId="32" priority="1257" stopIfTrue="1">
      <formula>$A765="file"</formula>
    </cfRule>
  </conditionalFormatting>
  <conditionalFormatting sqref="B765:C767 D765:E767">
    <cfRule type="expression" dxfId="7" priority="1258" stopIfTrue="1">
      <formula>$A765="note"</formula>
    </cfRule>
  </conditionalFormatting>
  <conditionalFormatting sqref="B765:C767 D765:E767">
    <cfRule type="expression" dxfId="8" priority="1259" stopIfTrue="1">
      <formula>$A765="barcode"</formula>
    </cfRule>
  </conditionalFormatting>
  <conditionalFormatting sqref="B765:C767 D765:E767">
    <cfRule type="expression" dxfId="9" priority="1260" stopIfTrue="1">
      <formula>OR($A765="geopoint", $A765="geoshape", $A765="geotrace")</formula>
    </cfRule>
  </conditionalFormatting>
  <conditionalFormatting sqref="B765:B767">
    <cfRule type="expression" dxfId="10" priority="1261" stopIfTrue="1">
      <formula>OR($A765="calculate", $A765="calculate_here")</formula>
    </cfRule>
  </conditionalFormatting>
  <conditionalFormatting sqref="B765:C767 D765:E767">
    <cfRule type="expression" dxfId="11" priority="1262" stopIfTrue="1">
      <formula>OR($A765="date", $A765="datetime", $A765="time")</formula>
    </cfRule>
  </conditionalFormatting>
  <conditionalFormatting sqref="B765:C767 D765:E767">
    <cfRule type="expression" dxfId="12" priority="1263" stopIfTrue="1">
      <formula>$A765="image"</formula>
    </cfRule>
  </conditionalFormatting>
  <conditionalFormatting sqref="B765:C767 D765:E767">
    <cfRule type="expression" dxfId="13" priority="1264" stopIfTrue="1">
      <formula>OR($A765="audio", $A765="video")</formula>
    </cfRule>
  </conditionalFormatting>
  <conditionalFormatting sqref="B765:E767">
    <cfRule type="expression" dxfId="33" priority="1265" stopIfTrue="1">
      <formula>$A765="file"</formula>
    </cfRule>
  </conditionalFormatting>
  <conditionalFormatting sqref="B765:E767">
    <cfRule type="expression" dxfId="34" priority="1266" stopIfTrue="1">
      <formula>$A765="enumerator"</formula>
    </cfRule>
  </conditionalFormatting>
  <conditionalFormatting sqref="B765:E767">
    <cfRule type="expression" dxfId="35" priority="1267" stopIfTrue="1">
      <formula>OR(AND(LEFT($A765, 14)="sensor_stream ", LEN($A765)&gt;14, NOT(ISNUMBER(SEARCH(" ", $A765, 15)))), AND(LEFT($A765, 17)="sensor_statistic ", LEN($A765)&gt;17, NOT(ISNUMBER(SEARCH(" ", $A765, 18)))))</formula>
    </cfRule>
  </conditionalFormatting>
  <conditionalFormatting sqref="B765:E767">
    <cfRule type="expression" dxfId="14" priority="1268" stopIfTrue="1">
      <formula>$A765="comments"</formula>
    </cfRule>
  </conditionalFormatting>
  <conditionalFormatting sqref="B765:E767">
    <cfRule type="expression" dxfId="15" priority="1269" stopIfTrue="1">
      <formula>OR($A765="audio", $A765="video")</formula>
    </cfRule>
  </conditionalFormatting>
  <conditionalFormatting sqref="B765:E767">
    <cfRule type="expression" dxfId="16" priority="1270" stopIfTrue="1">
      <formula>$A765="image"</formula>
    </cfRule>
  </conditionalFormatting>
  <conditionalFormatting sqref="B765:E767">
    <cfRule type="expression" dxfId="17" priority="1271" stopIfTrue="1">
      <formula>OR($A765="date", $A765="datetime", $A765="time")</formula>
    </cfRule>
  </conditionalFormatting>
  <conditionalFormatting sqref="B765:E767">
    <cfRule type="expression" dxfId="18" priority="1272" stopIfTrue="1">
      <formula>OR($A765="calculate", $A765="calculate_here")</formula>
    </cfRule>
  </conditionalFormatting>
  <conditionalFormatting sqref="B765:E767">
    <cfRule type="expression" dxfId="19" priority="1273" stopIfTrue="1">
      <formula>$A765="note"</formula>
    </cfRule>
  </conditionalFormatting>
  <conditionalFormatting sqref="B765:E767">
    <cfRule type="expression" dxfId="20" priority="1274" stopIfTrue="1">
      <formula>$A765="barcode"</formula>
    </cfRule>
  </conditionalFormatting>
  <conditionalFormatting sqref="B765:E767">
    <cfRule type="expression" dxfId="21" priority="1275" stopIfTrue="1">
      <formula>OR($A765="geopoint", $A765="geoshape", $A765="geotrace")</formula>
    </cfRule>
  </conditionalFormatting>
  <conditionalFormatting sqref="B765:E767">
    <cfRule type="expression" dxfId="22" priority="1276" stopIfTrue="1">
      <formula>OR($A765="audio audit", $A765="text audit", $A765="speed violations count", $A765="speed violations list", $A765="speed violations audit")</formula>
    </cfRule>
  </conditionalFormatting>
  <conditionalFormatting sqref="B765:E767">
    <cfRule type="expression" dxfId="23" priority="1277" stopIfTrue="1">
      <formula>OR($A765="username", $A765="phonenumber", $A765="start", $A765="end", $A765="deviceid", $A765="subscriberid", $A765="simserial", $A765="caseid")</formula>
    </cfRule>
  </conditionalFormatting>
  <conditionalFormatting sqref="B765:E767">
    <cfRule type="expression" dxfId="24" priority="1278" stopIfTrue="1">
      <formula>OR(AND(LEFT($A765, 16)="select_multiple ", LEN($A765)&gt;16, NOT(ISNUMBER(SEARCH(" ", $A765, 17)))), AND(LEFT($A765, 11)="select_one ", LEN($A765)&gt;11, NOT(ISNUMBER(SEARCH(" ", $A765, 12)))))</formula>
    </cfRule>
  </conditionalFormatting>
  <conditionalFormatting sqref="B765:E767">
    <cfRule type="expression" dxfId="25" priority="1279" stopIfTrue="1">
      <formula>$A765="decimal"</formula>
    </cfRule>
  </conditionalFormatting>
  <conditionalFormatting sqref="B765:E767">
    <cfRule type="expression" dxfId="26" priority="1280" stopIfTrue="1">
      <formula>$A765="integer"</formula>
    </cfRule>
  </conditionalFormatting>
  <conditionalFormatting sqref="B765:E767">
    <cfRule type="expression" dxfId="27" priority="1281" stopIfTrue="1">
      <formula>$A765="text"</formula>
    </cfRule>
  </conditionalFormatting>
  <conditionalFormatting sqref="B765:E767">
    <cfRule type="expression" dxfId="28" priority="1282" stopIfTrue="1">
      <formula>$A765="end repeat"</formula>
    </cfRule>
  </conditionalFormatting>
  <conditionalFormatting sqref="B765:E767">
    <cfRule type="expression" dxfId="28" priority="1283" stopIfTrue="1">
      <formula>$A765="begin repeat"</formula>
    </cfRule>
  </conditionalFormatting>
  <conditionalFormatting sqref="B765:E767">
    <cfRule type="expression" dxfId="29" priority="1284" stopIfTrue="1">
      <formula>$A765="end group"</formula>
    </cfRule>
  </conditionalFormatting>
  <conditionalFormatting sqref="B765:E767">
    <cfRule type="expression" dxfId="29" priority="1285" stopIfTrue="1">
      <formula>$A765="begin group"</formula>
    </cfRule>
  </conditionalFormatting>
  <conditionalFormatting sqref="B765:B767">
    <cfRule type="expression" dxfId="30" priority="1286" stopIfTrue="1">
      <formula>$A765="comments"</formula>
    </cfRule>
  </conditionalFormatting>
  <conditionalFormatting sqref="B765:B767">
    <cfRule type="expression" dxfId="36" priority="1287" stopIfTrue="1">
      <formula>OR(AND(LEFT($A765, 14)="sensor_stream ", LEN($A765)&gt;14, NOT(ISNUMBER(SEARCH(" ", $A765, 15)))), AND(LEFT($A765, 17)="sensor_statistic ", LEN($A765)&gt;17, NOT(ISNUMBER(SEARCH(" ", $A765, 18)))))</formula>
    </cfRule>
  </conditionalFormatting>
  <conditionalFormatting sqref="B753:C760 D753:E760">
    <cfRule type="expression" dxfId="0" priority="1288" stopIfTrue="1">
      <formula>$A753="begin group"</formula>
    </cfRule>
  </conditionalFormatting>
  <conditionalFormatting sqref="B753:C760 D753:E760">
    <cfRule type="expression" dxfId="1" priority="1289" stopIfTrue="1">
      <formula>$A753="begin repeat"</formula>
    </cfRule>
  </conditionalFormatting>
  <conditionalFormatting sqref="B753:E760">
    <cfRule type="expression" dxfId="31" priority="1290" stopIfTrue="1">
      <formula>$A753="enumerator"</formula>
    </cfRule>
  </conditionalFormatting>
  <conditionalFormatting sqref="B753:E760">
    <cfRule type="expression" dxfId="2" priority="1291" stopIfTrue="1">
      <formula>$A753="text"</formula>
    </cfRule>
  </conditionalFormatting>
  <conditionalFormatting sqref="B753:E760">
    <cfRule type="expression" dxfId="3" priority="1292" stopIfTrue="1">
      <formula>$A753="integer"</formula>
    </cfRule>
  </conditionalFormatting>
  <conditionalFormatting sqref="B753:E760">
    <cfRule type="expression" dxfId="4" priority="1293" stopIfTrue="1">
      <formula>$A753="decimal"</formula>
    </cfRule>
  </conditionalFormatting>
  <conditionalFormatting sqref="B753:C760 D753:E760">
    <cfRule type="expression" dxfId="5" priority="1294" stopIfTrue="1">
      <formula>OR(AND(LEFT($A753, 16)="select_multiple ", LEN($A753)&gt;16, NOT(ISNUMBER(SEARCH(" ", $A753, 17)))), AND(LEFT($A753, 11)="select_one ", LEN($A753)&gt;11, NOT(ISNUMBER(SEARCH(" ", $A753, 12)))))</formula>
    </cfRule>
  </conditionalFormatting>
  <conditionalFormatting sqref="B753:B760">
    <cfRule type="expression" dxfId="6" priority="1295" stopIfTrue="1">
      <formula>OR($A753="audio audit", $A753="text audit", $A753="speed violations count", $A753="speed violations list", $A753="speed violations audit")</formula>
    </cfRule>
  </conditionalFormatting>
  <conditionalFormatting sqref="B753:C760 D753:E760">
    <cfRule type="expression" dxfId="32" priority="1296" stopIfTrue="1">
      <formula>$A753="file"</formula>
    </cfRule>
  </conditionalFormatting>
  <conditionalFormatting sqref="B753:C760 D753:E760">
    <cfRule type="expression" dxfId="7" priority="1297" stopIfTrue="1">
      <formula>$A753="note"</formula>
    </cfRule>
  </conditionalFormatting>
  <conditionalFormatting sqref="B753:C760 D753:E760">
    <cfRule type="expression" dxfId="8" priority="1298" stopIfTrue="1">
      <formula>$A753="barcode"</formula>
    </cfRule>
  </conditionalFormatting>
  <conditionalFormatting sqref="B753:C760 D753:E760">
    <cfRule type="expression" dxfId="9" priority="1299" stopIfTrue="1">
      <formula>OR($A753="geopoint", $A753="geoshape", $A753="geotrace")</formula>
    </cfRule>
  </conditionalFormatting>
  <conditionalFormatting sqref="B753:B760">
    <cfRule type="expression" dxfId="10" priority="1300" stopIfTrue="1">
      <formula>OR($A753="calculate", $A753="calculate_here")</formula>
    </cfRule>
  </conditionalFormatting>
  <conditionalFormatting sqref="B753:C760 D753:E760">
    <cfRule type="expression" dxfId="11" priority="1301" stopIfTrue="1">
      <formula>OR($A753="date", $A753="datetime", $A753="time")</formula>
    </cfRule>
  </conditionalFormatting>
  <conditionalFormatting sqref="B753:C760 D753:E760">
    <cfRule type="expression" dxfId="12" priority="1302" stopIfTrue="1">
      <formula>$A753="image"</formula>
    </cfRule>
  </conditionalFormatting>
  <conditionalFormatting sqref="B753:C760 D753:E760">
    <cfRule type="expression" dxfId="13" priority="1303" stopIfTrue="1">
      <formula>OR($A753="audio", $A753="video")</formula>
    </cfRule>
  </conditionalFormatting>
  <conditionalFormatting sqref="B753:E760">
    <cfRule type="expression" dxfId="33" priority="1304" stopIfTrue="1">
      <formula>$A753="file"</formula>
    </cfRule>
  </conditionalFormatting>
  <conditionalFormatting sqref="B753:E760">
    <cfRule type="expression" dxfId="34" priority="1305" stopIfTrue="1">
      <formula>$A753="enumerator"</formula>
    </cfRule>
  </conditionalFormatting>
  <conditionalFormatting sqref="B753:E760">
    <cfRule type="expression" dxfId="35" priority="1306" stopIfTrue="1">
      <formula>OR(AND(LEFT($A753, 14)="sensor_stream ", LEN($A753)&gt;14, NOT(ISNUMBER(SEARCH(" ", $A753, 15)))), AND(LEFT($A753, 17)="sensor_statistic ", LEN($A753)&gt;17, NOT(ISNUMBER(SEARCH(" ", $A753, 18)))))</formula>
    </cfRule>
  </conditionalFormatting>
  <conditionalFormatting sqref="B753:E760">
    <cfRule type="expression" dxfId="14" priority="1307" stopIfTrue="1">
      <formula>$A753="comments"</formula>
    </cfRule>
  </conditionalFormatting>
  <conditionalFormatting sqref="B753:E760">
    <cfRule type="expression" dxfId="15" priority="1308" stopIfTrue="1">
      <formula>OR($A753="audio", $A753="video")</formula>
    </cfRule>
  </conditionalFormatting>
  <conditionalFormatting sqref="B753:E760">
    <cfRule type="expression" dxfId="16" priority="1309" stopIfTrue="1">
      <formula>$A753="image"</formula>
    </cfRule>
  </conditionalFormatting>
  <conditionalFormatting sqref="B753:E760">
    <cfRule type="expression" dxfId="17" priority="1310" stopIfTrue="1">
      <formula>OR($A753="date", $A753="datetime", $A753="time")</formula>
    </cfRule>
  </conditionalFormatting>
  <conditionalFormatting sqref="B753:E760">
    <cfRule type="expression" dxfId="18" priority="1311" stopIfTrue="1">
      <formula>OR($A753="calculate", $A753="calculate_here")</formula>
    </cfRule>
  </conditionalFormatting>
  <conditionalFormatting sqref="B753:E760">
    <cfRule type="expression" dxfId="19" priority="1312" stopIfTrue="1">
      <formula>$A753="note"</formula>
    </cfRule>
  </conditionalFormatting>
  <conditionalFormatting sqref="B753:E760">
    <cfRule type="expression" dxfId="20" priority="1313" stopIfTrue="1">
      <formula>$A753="barcode"</formula>
    </cfRule>
  </conditionalFormatting>
  <conditionalFormatting sqref="B753:E760">
    <cfRule type="expression" dxfId="21" priority="1314" stopIfTrue="1">
      <formula>OR($A753="geopoint", $A753="geoshape", $A753="geotrace")</formula>
    </cfRule>
  </conditionalFormatting>
  <conditionalFormatting sqref="B753:E760">
    <cfRule type="expression" dxfId="22" priority="1315" stopIfTrue="1">
      <formula>OR($A753="audio audit", $A753="text audit", $A753="speed violations count", $A753="speed violations list", $A753="speed violations audit")</formula>
    </cfRule>
  </conditionalFormatting>
  <conditionalFormatting sqref="B753:E760">
    <cfRule type="expression" dxfId="23" priority="1316" stopIfTrue="1">
      <formula>OR($A753="username", $A753="phonenumber", $A753="start", $A753="end", $A753="deviceid", $A753="subscriberid", $A753="simserial", $A753="caseid")</formula>
    </cfRule>
  </conditionalFormatting>
  <conditionalFormatting sqref="B753:E760">
    <cfRule type="expression" dxfId="24" priority="1317" stopIfTrue="1">
      <formula>OR(AND(LEFT($A753, 16)="select_multiple ", LEN($A753)&gt;16, NOT(ISNUMBER(SEARCH(" ", $A753, 17)))), AND(LEFT($A753, 11)="select_one ", LEN($A753)&gt;11, NOT(ISNUMBER(SEARCH(" ", $A753, 12)))))</formula>
    </cfRule>
  </conditionalFormatting>
  <conditionalFormatting sqref="B753:E760">
    <cfRule type="expression" dxfId="25" priority="1318" stopIfTrue="1">
      <formula>$A753="decimal"</formula>
    </cfRule>
  </conditionalFormatting>
  <conditionalFormatting sqref="B753:E760">
    <cfRule type="expression" dxfId="26" priority="1319" stopIfTrue="1">
      <formula>$A753="integer"</formula>
    </cfRule>
  </conditionalFormatting>
  <conditionalFormatting sqref="B753:E760">
    <cfRule type="expression" dxfId="27" priority="1320" stopIfTrue="1">
      <formula>$A753="text"</formula>
    </cfRule>
  </conditionalFormatting>
  <conditionalFormatting sqref="B753:E760">
    <cfRule type="expression" dxfId="28" priority="1321" stopIfTrue="1">
      <formula>$A753="end repeat"</formula>
    </cfRule>
  </conditionalFormatting>
  <conditionalFormatting sqref="B753:E760">
    <cfRule type="expression" dxfId="28" priority="1322" stopIfTrue="1">
      <formula>$A753="begin repeat"</formula>
    </cfRule>
  </conditionalFormatting>
  <conditionalFormatting sqref="B753:E760">
    <cfRule type="expression" dxfId="29" priority="1323" stopIfTrue="1">
      <formula>$A753="end group"</formula>
    </cfRule>
  </conditionalFormatting>
  <conditionalFormatting sqref="B753:E760">
    <cfRule type="expression" dxfId="29" priority="1324" stopIfTrue="1">
      <formula>$A753="begin group"</formula>
    </cfRule>
  </conditionalFormatting>
  <conditionalFormatting sqref="B753:B760">
    <cfRule type="expression" dxfId="30" priority="1325" stopIfTrue="1">
      <formula>$A753="comments"</formula>
    </cfRule>
  </conditionalFormatting>
  <conditionalFormatting sqref="B753:B760">
    <cfRule type="expression" dxfId="36" priority="1326" stopIfTrue="1">
      <formula>OR(AND(LEFT($A753, 14)="sensor_stream ", LEN($A753)&gt;14, NOT(ISNUMBER(SEARCH(" ", $A753, 15)))), AND(LEFT($A753, 17)="sensor_statistic ", LEN($A753)&gt;17, NOT(ISNUMBER(SEARCH(" ", $A753, 18)))))</formula>
    </cfRule>
  </conditionalFormatting>
  <conditionalFormatting sqref="B746:C751 D746:E751">
    <cfRule type="expression" dxfId="0" priority="1327" stopIfTrue="1">
      <formula>$A746="begin group"</formula>
    </cfRule>
  </conditionalFormatting>
  <conditionalFormatting sqref="B746:C751 D746:E751">
    <cfRule type="expression" dxfId="1" priority="1328" stopIfTrue="1">
      <formula>$A746="begin repeat"</formula>
    </cfRule>
  </conditionalFormatting>
  <conditionalFormatting sqref="B746:E751">
    <cfRule type="expression" dxfId="31" priority="1329" stopIfTrue="1">
      <formula>$A746="enumerator"</formula>
    </cfRule>
  </conditionalFormatting>
  <conditionalFormatting sqref="B746:E751">
    <cfRule type="expression" dxfId="2" priority="1330" stopIfTrue="1">
      <formula>$A746="text"</formula>
    </cfRule>
  </conditionalFormatting>
  <conditionalFormatting sqref="B746:E751">
    <cfRule type="expression" dxfId="3" priority="1331" stopIfTrue="1">
      <formula>$A746="integer"</formula>
    </cfRule>
  </conditionalFormatting>
  <conditionalFormatting sqref="B746:E751">
    <cfRule type="expression" dxfId="4" priority="1332" stopIfTrue="1">
      <formula>$A746="decimal"</formula>
    </cfRule>
  </conditionalFormatting>
  <conditionalFormatting sqref="B746:C751 D746:E751">
    <cfRule type="expression" dxfId="5" priority="1333" stopIfTrue="1">
      <formula>OR(AND(LEFT($A746, 16)="select_multiple ", LEN($A746)&gt;16, NOT(ISNUMBER(SEARCH(" ", $A746, 17)))), AND(LEFT($A746, 11)="select_one ", LEN($A746)&gt;11, NOT(ISNUMBER(SEARCH(" ", $A746, 12)))))</formula>
    </cfRule>
  </conditionalFormatting>
  <conditionalFormatting sqref="B746:B751">
    <cfRule type="expression" dxfId="6" priority="1334" stopIfTrue="1">
      <formula>OR($A746="audio audit", $A746="text audit", $A746="speed violations count", $A746="speed violations list", $A746="speed violations audit")</formula>
    </cfRule>
  </conditionalFormatting>
  <conditionalFormatting sqref="B746:C751 D746:E751">
    <cfRule type="expression" dxfId="32" priority="1335" stopIfTrue="1">
      <formula>$A746="file"</formula>
    </cfRule>
  </conditionalFormatting>
  <conditionalFormatting sqref="B746:C751 D746:E751">
    <cfRule type="expression" dxfId="7" priority="1336" stopIfTrue="1">
      <formula>$A746="note"</formula>
    </cfRule>
  </conditionalFormatting>
  <conditionalFormatting sqref="B746:C751 D746:E751">
    <cfRule type="expression" dxfId="8" priority="1337" stopIfTrue="1">
      <formula>$A746="barcode"</formula>
    </cfRule>
  </conditionalFormatting>
  <conditionalFormatting sqref="B746:C751 D746:E751">
    <cfRule type="expression" dxfId="9" priority="1338" stopIfTrue="1">
      <formula>OR($A746="geopoint", $A746="geoshape", $A746="geotrace")</formula>
    </cfRule>
  </conditionalFormatting>
  <conditionalFormatting sqref="B746:B751">
    <cfRule type="expression" dxfId="10" priority="1339" stopIfTrue="1">
      <formula>OR($A746="calculate", $A746="calculate_here")</formula>
    </cfRule>
  </conditionalFormatting>
  <conditionalFormatting sqref="B746:C751 D746:E751">
    <cfRule type="expression" dxfId="11" priority="1340" stopIfTrue="1">
      <formula>OR($A746="date", $A746="datetime", $A746="time")</formula>
    </cfRule>
  </conditionalFormatting>
  <conditionalFormatting sqref="B746:C751 D746:E751">
    <cfRule type="expression" dxfId="12" priority="1341" stopIfTrue="1">
      <formula>$A746="image"</formula>
    </cfRule>
  </conditionalFormatting>
  <conditionalFormatting sqref="B746:C751 D746:E751">
    <cfRule type="expression" dxfId="13" priority="1342" stopIfTrue="1">
      <formula>OR($A746="audio", $A746="video")</formula>
    </cfRule>
  </conditionalFormatting>
  <conditionalFormatting sqref="B746:E751">
    <cfRule type="expression" dxfId="33" priority="1343" stopIfTrue="1">
      <formula>$A746="file"</formula>
    </cfRule>
  </conditionalFormatting>
  <conditionalFormatting sqref="B746:E751">
    <cfRule type="expression" dxfId="34" priority="1344" stopIfTrue="1">
      <formula>$A746="enumerator"</formula>
    </cfRule>
  </conditionalFormatting>
  <conditionalFormatting sqref="B746:E751">
    <cfRule type="expression" dxfId="35" priority="1345" stopIfTrue="1">
      <formula>OR(AND(LEFT($A746, 14)="sensor_stream ", LEN($A746)&gt;14, NOT(ISNUMBER(SEARCH(" ", $A746, 15)))), AND(LEFT($A746, 17)="sensor_statistic ", LEN($A746)&gt;17, NOT(ISNUMBER(SEARCH(" ", $A746, 18)))))</formula>
    </cfRule>
  </conditionalFormatting>
  <conditionalFormatting sqref="B746:E751">
    <cfRule type="expression" dxfId="14" priority="1346" stopIfTrue="1">
      <formula>$A746="comments"</formula>
    </cfRule>
  </conditionalFormatting>
  <conditionalFormatting sqref="B746:E751">
    <cfRule type="expression" dxfId="15" priority="1347" stopIfTrue="1">
      <formula>OR($A746="audio", $A746="video")</formula>
    </cfRule>
  </conditionalFormatting>
  <conditionalFormatting sqref="B746:E751">
    <cfRule type="expression" dxfId="16" priority="1348" stopIfTrue="1">
      <formula>$A746="image"</formula>
    </cfRule>
  </conditionalFormatting>
  <conditionalFormatting sqref="B746:E751">
    <cfRule type="expression" dxfId="17" priority="1349" stopIfTrue="1">
      <formula>OR($A746="date", $A746="datetime", $A746="time")</formula>
    </cfRule>
  </conditionalFormatting>
  <conditionalFormatting sqref="B746:E751">
    <cfRule type="expression" dxfId="18" priority="1350" stopIfTrue="1">
      <formula>OR($A746="calculate", $A746="calculate_here")</formula>
    </cfRule>
  </conditionalFormatting>
  <conditionalFormatting sqref="B746:E751">
    <cfRule type="expression" dxfId="19" priority="1351" stopIfTrue="1">
      <formula>$A746="note"</formula>
    </cfRule>
  </conditionalFormatting>
  <conditionalFormatting sqref="B746:E751">
    <cfRule type="expression" dxfId="20" priority="1352" stopIfTrue="1">
      <formula>$A746="barcode"</formula>
    </cfRule>
  </conditionalFormatting>
  <conditionalFormatting sqref="B746:E751">
    <cfRule type="expression" dxfId="21" priority="1353" stopIfTrue="1">
      <formula>OR($A746="geopoint", $A746="geoshape", $A746="geotrace")</formula>
    </cfRule>
  </conditionalFormatting>
  <conditionalFormatting sqref="B746:E751">
    <cfRule type="expression" dxfId="22" priority="1354" stopIfTrue="1">
      <formula>OR($A746="audio audit", $A746="text audit", $A746="speed violations count", $A746="speed violations list", $A746="speed violations audit")</formula>
    </cfRule>
  </conditionalFormatting>
  <conditionalFormatting sqref="B746:E751">
    <cfRule type="expression" dxfId="23" priority="1355" stopIfTrue="1">
      <formula>OR($A746="username", $A746="phonenumber", $A746="start", $A746="end", $A746="deviceid", $A746="subscriberid", $A746="simserial", $A746="caseid")</formula>
    </cfRule>
  </conditionalFormatting>
  <conditionalFormatting sqref="B746:E751">
    <cfRule type="expression" dxfId="24" priority="1356" stopIfTrue="1">
      <formula>OR(AND(LEFT($A746, 16)="select_multiple ", LEN($A746)&gt;16, NOT(ISNUMBER(SEARCH(" ", $A746, 17)))), AND(LEFT($A746, 11)="select_one ", LEN($A746)&gt;11, NOT(ISNUMBER(SEARCH(" ", $A746, 12)))))</formula>
    </cfRule>
  </conditionalFormatting>
  <conditionalFormatting sqref="B746:E751">
    <cfRule type="expression" dxfId="25" priority="1357" stopIfTrue="1">
      <formula>$A746="decimal"</formula>
    </cfRule>
  </conditionalFormatting>
  <conditionalFormatting sqref="B746:E751">
    <cfRule type="expression" dxfId="26" priority="1358" stopIfTrue="1">
      <formula>$A746="integer"</formula>
    </cfRule>
  </conditionalFormatting>
  <conditionalFormatting sqref="B746:E751">
    <cfRule type="expression" dxfId="27" priority="1359" stopIfTrue="1">
      <formula>$A746="text"</formula>
    </cfRule>
  </conditionalFormatting>
  <conditionalFormatting sqref="B746:E751">
    <cfRule type="expression" dxfId="28" priority="1360" stopIfTrue="1">
      <formula>$A746="end repeat"</formula>
    </cfRule>
  </conditionalFormatting>
  <conditionalFormatting sqref="B746:E751">
    <cfRule type="expression" dxfId="28" priority="1361" stopIfTrue="1">
      <formula>$A746="begin repeat"</formula>
    </cfRule>
  </conditionalFormatting>
  <conditionalFormatting sqref="B746:E751">
    <cfRule type="expression" dxfId="29" priority="1362" stopIfTrue="1">
      <formula>$A746="end group"</formula>
    </cfRule>
  </conditionalFormatting>
  <conditionalFormatting sqref="B746:E751">
    <cfRule type="expression" dxfId="29" priority="1363" stopIfTrue="1">
      <formula>$A746="begin group"</formula>
    </cfRule>
  </conditionalFormatting>
  <conditionalFormatting sqref="B746:B751">
    <cfRule type="expression" dxfId="30" priority="1364" stopIfTrue="1">
      <formula>$A746="comments"</formula>
    </cfRule>
  </conditionalFormatting>
  <conditionalFormatting sqref="B746:B751">
    <cfRule type="expression" dxfId="36" priority="1365" stopIfTrue="1">
      <formula>OR(AND(LEFT($A746, 14)="sensor_stream ", LEN($A746)&gt;14, NOT(ISNUMBER(SEARCH(" ", $A746, 15)))), AND(LEFT($A746, 17)="sensor_statistic ", LEN($A746)&gt;17, NOT(ISNUMBER(SEARCH(" ", $A746, 18)))))</formula>
    </cfRule>
  </conditionalFormatting>
  <conditionalFormatting sqref="B740:C742 D740:E742">
    <cfRule type="expression" dxfId="0" priority="1366" stopIfTrue="1">
      <formula>$A740="begin group"</formula>
    </cfRule>
  </conditionalFormatting>
  <conditionalFormatting sqref="B740:C742 D740:E742">
    <cfRule type="expression" dxfId="1" priority="1367" stopIfTrue="1">
      <formula>$A740="begin repeat"</formula>
    </cfRule>
  </conditionalFormatting>
  <conditionalFormatting sqref="B740:E742">
    <cfRule type="expression" dxfId="31" priority="1368" stopIfTrue="1">
      <formula>$A740="enumerator"</formula>
    </cfRule>
  </conditionalFormatting>
  <conditionalFormatting sqref="B740:E742">
    <cfRule type="expression" dxfId="2" priority="1369" stopIfTrue="1">
      <formula>$A740="text"</formula>
    </cfRule>
  </conditionalFormatting>
  <conditionalFormatting sqref="B740:E742">
    <cfRule type="expression" dxfId="3" priority="1370" stopIfTrue="1">
      <formula>$A740="integer"</formula>
    </cfRule>
  </conditionalFormatting>
  <conditionalFormatting sqref="B740:E742">
    <cfRule type="expression" dxfId="4" priority="1371" stopIfTrue="1">
      <formula>$A740="decimal"</formula>
    </cfRule>
  </conditionalFormatting>
  <conditionalFormatting sqref="B740:C742 D740:E742">
    <cfRule type="expression" dxfId="5" priority="1372" stopIfTrue="1">
      <formula>OR(AND(LEFT($A740, 16)="select_multiple ", LEN($A740)&gt;16, NOT(ISNUMBER(SEARCH(" ", $A740, 17)))), AND(LEFT($A740, 11)="select_one ", LEN($A740)&gt;11, NOT(ISNUMBER(SEARCH(" ", $A740, 12)))))</formula>
    </cfRule>
  </conditionalFormatting>
  <conditionalFormatting sqref="B740:B742">
    <cfRule type="expression" dxfId="6" priority="1373" stopIfTrue="1">
      <formula>OR($A740="audio audit", $A740="text audit", $A740="speed violations count", $A740="speed violations list", $A740="speed violations audit")</formula>
    </cfRule>
  </conditionalFormatting>
  <conditionalFormatting sqref="B740:C742 D740:E742">
    <cfRule type="expression" dxfId="32" priority="1374" stopIfTrue="1">
      <formula>$A740="file"</formula>
    </cfRule>
  </conditionalFormatting>
  <conditionalFormatting sqref="B740:C742 D740:E742">
    <cfRule type="expression" dxfId="7" priority="1375" stopIfTrue="1">
      <formula>$A740="note"</formula>
    </cfRule>
  </conditionalFormatting>
  <conditionalFormatting sqref="B740:C742 D740:E742">
    <cfRule type="expression" dxfId="8" priority="1376" stopIfTrue="1">
      <formula>$A740="barcode"</formula>
    </cfRule>
  </conditionalFormatting>
  <conditionalFormatting sqref="B740:C742 D740:E742">
    <cfRule type="expression" dxfId="9" priority="1377" stopIfTrue="1">
      <formula>OR($A740="geopoint", $A740="geoshape", $A740="geotrace")</formula>
    </cfRule>
  </conditionalFormatting>
  <conditionalFormatting sqref="B740:B742">
    <cfRule type="expression" dxfId="10" priority="1378" stopIfTrue="1">
      <formula>OR($A740="calculate", $A740="calculate_here")</formula>
    </cfRule>
  </conditionalFormatting>
  <conditionalFormatting sqref="B740:C742 D740:E742">
    <cfRule type="expression" dxfId="11" priority="1379" stopIfTrue="1">
      <formula>OR($A740="date", $A740="datetime", $A740="time")</formula>
    </cfRule>
  </conditionalFormatting>
  <conditionalFormatting sqref="B740:C742 D740:E742">
    <cfRule type="expression" dxfId="12" priority="1380" stopIfTrue="1">
      <formula>$A740="image"</formula>
    </cfRule>
  </conditionalFormatting>
  <conditionalFormatting sqref="B740:C742 D740:E742">
    <cfRule type="expression" dxfId="13" priority="1381" stopIfTrue="1">
      <formula>OR($A740="audio", $A740="video")</formula>
    </cfRule>
  </conditionalFormatting>
  <conditionalFormatting sqref="B740:E742">
    <cfRule type="expression" dxfId="33" priority="1382" stopIfTrue="1">
      <formula>$A740="file"</formula>
    </cfRule>
  </conditionalFormatting>
  <conditionalFormatting sqref="B740:E742">
    <cfRule type="expression" dxfId="34" priority="1383" stopIfTrue="1">
      <formula>$A740="enumerator"</formula>
    </cfRule>
  </conditionalFormatting>
  <conditionalFormatting sqref="B740:E742">
    <cfRule type="expression" dxfId="35" priority="1384" stopIfTrue="1">
      <formula>OR(AND(LEFT($A740, 14)="sensor_stream ", LEN($A740)&gt;14, NOT(ISNUMBER(SEARCH(" ", $A740, 15)))), AND(LEFT($A740, 17)="sensor_statistic ", LEN($A740)&gt;17, NOT(ISNUMBER(SEARCH(" ", $A740, 18)))))</formula>
    </cfRule>
  </conditionalFormatting>
  <conditionalFormatting sqref="B740:E742">
    <cfRule type="expression" dxfId="14" priority="1385" stopIfTrue="1">
      <formula>$A740="comments"</formula>
    </cfRule>
  </conditionalFormatting>
  <conditionalFormatting sqref="B740:E742">
    <cfRule type="expression" dxfId="15" priority="1386" stopIfTrue="1">
      <formula>OR($A740="audio", $A740="video")</formula>
    </cfRule>
  </conditionalFormatting>
  <conditionalFormatting sqref="B740:E742">
    <cfRule type="expression" dxfId="16" priority="1387" stopIfTrue="1">
      <formula>$A740="image"</formula>
    </cfRule>
  </conditionalFormatting>
  <conditionalFormatting sqref="B740:E742">
    <cfRule type="expression" dxfId="17" priority="1388" stopIfTrue="1">
      <formula>OR($A740="date", $A740="datetime", $A740="time")</formula>
    </cfRule>
  </conditionalFormatting>
  <conditionalFormatting sqref="B740:E742">
    <cfRule type="expression" dxfId="18" priority="1389" stopIfTrue="1">
      <formula>OR($A740="calculate", $A740="calculate_here")</formula>
    </cfRule>
  </conditionalFormatting>
  <conditionalFormatting sqref="B740:E742">
    <cfRule type="expression" dxfId="19" priority="1390" stopIfTrue="1">
      <formula>$A740="note"</formula>
    </cfRule>
  </conditionalFormatting>
  <conditionalFormatting sqref="B740:E742">
    <cfRule type="expression" dxfId="20" priority="1391" stopIfTrue="1">
      <formula>$A740="barcode"</formula>
    </cfRule>
  </conditionalFormatting>
  <conditionalFormatting sqref="B740:E742">
    <cfRule type="expression" dxfId="21" priority="1392" stopIfTrue="1">
      <formula>OR($A740="geopoint", $A740="geoshape", $A740="geotrace")</formula>
    </cfRule>
  </conditionalFormatting>
  <conditionalFormatting sqref="B740:E742">
    <cfRule type="expression" dxfId="22" priority="1393" stopIfTrue="1">
      <formula>OR($A740="audio audit", $A740="text audit", $A740="speed violations count", $A740="speed violations list", $A740="speed violations audit")</formula>
    </cfRule>
  </conditionalFormatting>
  <conditionalFormatting sqref="B740:E742">
    <cfRule type="expression" dxfId="23" priority="1394" stopIfTrue="1">
      <formula>OR($A740="username", $A740="phonenumber", $A740="start", $A740="end", $A740="deviceid", $A740="subscriberid", $A740="simserial", $A740="caseid")</formula>
    </cfRule>
  </conditionalFormatting>
  <conditionalFormatting sqref="B740:E742">
    <cfRule type="expression" dxfId="24" priority="1395" stopIfTrue="1">
      <formula>OR(AND(LEFT($A740, 16)="select_multiple ", LEN($A740)&gt;16, NOT(ISNUMBER(SEARCH(" ", $A740, 17)))), AND(LEFT($A740, 11)="select_one ", LEN($A740)&gt;11, NOT(ISNUMBER(SEARCH(" ", $A740, 12)))))</formula>
    </cfRule>
  </conditionalFormatting>
  <conditionalFormatting sqref="B740:E742">
    <cfRule type="expression" dxfId="25" priority="1396" stopIfTrue="1">
      <formula>$A740="decimal"</formula>
    </cfRule>
  </conditionalFormatting>
  <conditionalFormatting sqref="B740:E742">
    <cfRule type="expression" dxfId="26" priority="1397" stopIfTrue="1">
      <formula>$A740="integer"</formula>
    </cfRule>
  </conditionalFormatting>
  <conditionalFormatting sqref="B740:E742">
    <cfRule type="expression" dxfId="27" priority="1398" stopIfTrue="1">
      <formula>$A740="text"</formula>
    </cfRule>
  </conditionalFormatting>
  <conditionalFormatting sqref="B740:E742">
    <cfRule type="expression" dxfId="28" priority="1399" stopIfTrue="1">
      <formula>$A740="end repeat"</formula>
    </cfRule>
  </conditionalFormatting>
  <conditionalFormatting sqref="B740:E742">
    <cfRule type="expression" dxfId="28" priority="1400" stopIfTrue="1">
      <formula>$A740="begin repeat"</formula>
    </cfRule>
  </conditionalFormatting>
  <conditionalFormatting sqref="B740:E742">
    <cfRule type="expression" dxfId="29" priority="1401" stopIfTrue="1">
      <formula>$A740="end group"</formula>
    </cfRule>
  </conditionalFormatting>
  <conditionalFormatting sqref="B740:E742">
    <cfRule type="expression" dxfId="29" priority="1402" stopIfTrue="1">
      <formula>$A740="begin group"</formula>
    </cfRule>
  </conditionalFormatting>
  <conditionalFormatting sqref="B740:B742">
    <cfRule type="expression" dxfId="30" priority="1403" stopIfTrue="1">
      <formula>$A740="comments"</formula>
    </cfRule>
  </conditionalFormatting>
  <conditionalFormatting sqref="B740:B742">
    <cfRule type="expression" dxfId="36" priority="1404" stopIfTrue="1">
      <formula>OR(AND(LEFT($A740, 14)="sensor_stream ", LEN($A740)&gt;14, NOT(ISNUMBER(SEARCH(" ", $A740, 15)))), AND(LEFT($A740, 17)="sensor_statistic ", LEN($A740)&gt;17, NOT(ISNUMBER(SEARCH(" ", $A740, 18)))))</formula>
    </cfRule>
  </conditionalFormatting>
  <conditionalFormatting sqref="B735:C736 D735:E736">
    <cfRule type="expression" dxfId="0" priority="1405" stopIfTrue="1">
      <formula>$A735="begin group"</formula>
    </cfRule>
  </conditionalFormatting>
  <conditionalFormatting sqref="B735:C736 D735:E736">
    <cfRule type="expression" dxfId="1" priority="1406" stopIfTrue="1">
      <formula>$A735="begin repeat"</formula>
    </cfRule>
  </conditionalFormatting>
  <conditionalFormatting sqref="B735:E736">
    <cfRule type="expression" dxfId="31" priority="1407" stopIfTrue="1">
      <formula>$A735="enumerator"</formula>
    </cfRule>
  </conditionalFormatting>
  <conditionalFormatting sqref="B735:E736">
    <cfRule type="expression" dxfId="2" priority="1408" stopIfTrue="1">
      <formula>$A735="text"</formula>
    </cfRule>
  </conditionalFormatting>
  <conditionalFormatting sqref="B735:E736">
    <cfRule type="expression" dxfId="3" priority="1409" stopIfTrue="1">
      <formula>$A735="integer"</formula>
    </cfRule>
  </conditionalFormatting>
  <conditionalFormatting sqref="B735:E736">
    <cfRule type="expression" dxfId="4" priority="1410" stopIfTrue="1">
      <formula>$A735="decimal"</formula>
    </cfRule>
  </conditionalFormatting>
  <conditionalFormatting sqref="B735:C736 D735:E736">
    <cfRule type="expression" dxfId="5" priority="1411" stopIfTrue="1">
      <formula>OR(AND(LEFT($A735, 16)="select_multiple ", LEN($A735)&gt;16, NOT(ISNUMBER(SEARCH(" ", $A735, 17)))), AND(LEFT($A735, 11)="select_one ", LEN($A735)&gt;11, NOT(ISNUMBER(SEARCH(" ", $A735, 12)))))</formula>
    </cfRule>
  </conditionalFormatting>
  <conditionalFormatting sqref="B735:B736">
    <cfRule type="expression" dxfId="6" priority="1412" stopIfTrue="1">
      <formula>OR($A735="audio audit", $A735="text audit", $A735="speed violations count", $A735="speed violations list", $A735="speed violations audit")</formula>
    </cfRule>
  </conditionalFormatting>
  <conditionalFormatting sqref="B735:C736 D735:E736">
    <cfRule type="expression" dxfId="32" priority="1413" stopIfTrue="1">
      <formula>$A735="file"</formula>
    </cfRule>
  </conditionalFormatting>
  <conditionalFormatting sqref="B735:C736 D735:E736">
    <cfRule type="expression" dxfId="7" priority="1414" stopIfTrue="1">
      <formula>$A735="note"</formula>
    </cfRule>
  </conditionalFormatting>
  <conditionalFormatting sqref="B735:C736 D735:E736">
    <cfRule type="expression" dxfId="8" priority="1415" stopIfTrue="1">
      <formula>$A735="barcode"</formula>
    </cfRule>
  </conditionalFormatting>
  <conditionalFormatting sqref="B735:C736 D735:E736">
    <cfRule type="expression" dxfId="9" priority="1416" stopIfTrue="1">
      <formula>OR($A735="geopoint", $A735="geoshape", $A735="geotrace")</formula>
    </cfRule>
  </conditionalFormatting>
  <conditionalFormatting sqref="B735:B736">
    <cfRule type="expression" dxfId="10" priority="1417" stopIfTrue="1">
      <formula>OR($A735="calculate", $A735="calculate_here")</formula>
    </cfRule>
  </conditionalFormatting>
  <conditionalFormatting sqref="B735:C736 D735:E736">
    <cfRule type="expression" dxfId="11" priority="1418" stopIfTrue="1">
      <formula>OR($A735="date", $A735="datetime", $A735="time")</formula>
    </cfRule>
  </conditionalFormatting>
  <conditionalFormatting sqref="B735:C736 D735:E736">
    <cfRule type="expression" dxfId="12" priority="1419" stopIfTrue="1">
      <formula>$A735="image"</formula>
    </cfRule>
  </conditionalFormatting>
  <conditionalFormatting sqref="B735:C736 D735:E736">
    <cfRule type="expression" dxfId="13" priority="1420" stopIfTrue="1">
      <formula>OR($A735="audio", $A735="video")</formula>
    </cfRule>
  </conditionalFormatting>
  <conditionalFormatting sqref="B735:E736">
    <cfRule type="expression" dxfId="33" priority="1421" stopIfTrue="1">
      <formula>$A735="file"</formula>
    </cfRule>
  </conditionalFormatting>
  <conditionalFormatting sqref="B735:E736">
    <cfRule type="expression" dxfId="34" priority="1422" stopIfTrue="1">
      <formula>$A735="enumerator"</formula>
    </cfRule>
  </conditionalFormatting>
  <conditionalFormatting sqref="B735:E736">
    <cfRule type="expression" dxfId="35" priority="1423" stopIfTrue="1">
      <formula>OR(AND(LEFT($A735, 14)="sensor_stream ", LEN($A735)&gt;14, NOT(ISNUMBER(SEARCH(" ", $A735, 15)))), AND(LEFT($A735, 17)="sensor_statistic ", LEN($A735)&gt;17, NOT(ISNUMBER(SEARCH(" ", $A735, 18)))))</formula>
    </cfRule>
  </conditionalFormatting>
  <conditionalFormatting sqref="B735:E736">
    <cfRule type="expression" dxfId="14" priority="1424" stopIfTrue="1">
      <formula>$A735="comments"</formula>
    </cfRule>
  </conditionalFormatting>
  <conditionalFormatting sqref="B735:E736">
    <cfRule type="expression" dxfId="15" priority="1425" stopIfTrue="1">
      <formula>OR($A735="audio", $A735="video")</formula>
    </cfRule>
  </conditionalFormatting>
  <conditionalFormatting sqref="B735:E736">
    <cfRule type="expression" dxfId="16" priority="1426" stopIfTrue="1">
      <formula>$A735="image"</formula>
    </cfRule>
  </conditionalFormatting>
  <conditionalFormatting sqref="B735:E736">
    <cfRule type="expression" dxfId="17" priority="1427" stopIfTrue="1">
      <formula>OR($A735="date", $A735="datetime", $A735="time")</formula>
    </cfRule>
  </conditionalFormatting>
  <conditionalFormatting sqref="B735:E736">
    <cfRule type="expression" dxfId="18" priority="1428" stopIfTrue="1">
      <formula>OR($A735="calculate", $A735="calculate_here")</formula>
    </cfRule>
  </conditionalFormatting>
  <conditionalFormatting sqref="B735:E736">
    <cfRule type="expression" dxfId="19" priority="1429" stopIfTrue="1">
      <formula>$A735="note"</formula>
    </cfRule>
  </conditionalFormatting>
  <conditionalFormatting sqref="B735:E736">
    <cfRule type="expression" dxfId="20" priority="1430" stopIfTrue="1">
      <formula>$A735="barcode"</formula>
    </cfRule>
  </conditionalFormatting>
  <conditionalFormatting sqref="B735:E736">
    <cfRule type="expression" dxfId="21" priority="1431" stopIfTrue="1">
      <formula>OR($A735="geopoint", $A735="geoshape", $A735="geotrace")</formula>
    </cfRule>
  </conditionalFormatting>
  <conditionalFormatting sqref="B735:E736">
    <cfRule type="expression" dxfId="22" priority="1432" stopIfTrue="1">
      <formula>OR($A735="audio audit", $A735="text audit", $A735="speed violations count", $A735="speed violations list", $A735="speed violations audit")</formula>
    </cfRule>
  </conditionalFormatting>
  <conditionalFormatting sqref="B735:E736">
    <cfRule type="expression" dxfId="23" priority="1433" stopIfTrue="1">
      <formula>OR($A735="username", $A735="phonenumber", $A735="start", $A735="end", $A735="deviceid", $A735="subscriberid", $A735="simserial", $A735="caseid")</formula>
    </cfRule>
  </conditionalFormatting>
  <conditionalFormatting sqref="B735:E736">
    <cfRule type="expression" dxfId="24" priority="1434" stopIfTrue="1">
      <formula>OR(AND(LEFT($A735, 16)="select_multiple ", LEN($A735)&gt;16, NOT(ISNUMBER(SEARCH(" ", $A735, 17)))), AND(LEFT($A735, 11)="select_one ", LEN($A735)&gt;11, NOT(ISNUMBER(SEARCH(" ", $A735, 12)))))</formula>
    </cfRule>
  </conditionalFormatting>
  <conditionalFormatting sqref="B735:E736">
    <cfRule type="expression" dxfId="25" priority="1435" stopIfTrue="1">
      <formula>$A735="decimal"</formula>
    </cfRule>
  </conditionalFormatting>
  <conditionalFormatting sqref="B735:E736">
    <cfRule type="expression" dxfId="26" priority="1436" stopIfTrue="1">
      <formula>$A735="integer"</formula>
    </cfRule>
  </conditionalFormatting>
  <conditionalFormatting sqref="B735:E736">
    <cfRule type="expression" dxfId="27" priority="1437" stopIfTrue="1">
      <formula>$A735="text"</formula>
    </cfRule>
  </conditionalFormatting>
  <conditionalFormatting sqref="B735:E736">
    <cfRule type="expression" dxfId="28" priority="1438" stopIfTrue="1">
      <formula>$A735="end repeat"</formula>
    </cfRule>
  </conditionalFormatting>
  <conditionalFormatting sqref="B735:E736">
    <cfRule type="expression" dxfId="28" priority="1439" stopIfTrue="1">
      <formula>$A735="begin repeat"</formula>
    </cfRule>
  </conditionalFormatting>
  <conditionalFormatting sqref="B735:E736">
    <cfRule type="expression" dxfId="29" priority="1440" stopIfTrue="1">
      <formula>$A735="end group"</formula>
    </cfRule>
  </conditionalFormatting>
  <conditionalFormatting sqref="B735:E736">
    <cfRule type="expression" dxfId="29" priority="1441" stopIfTrue="1">
      <formula>$A735="begin group"</formula>
    </cfRule>
  </conditionalFormatting>
  <conditionalFormatting sqref="B735:B736">
    <cfRule type="expression" dxfId="30" priority="1442" stopIfTrue="1">
      <formula>$A735="comments"</formula>
    </cfRule>
  </conditionalFormatting>
  <conditionalFormatting sqref="B735:B736">
    <cfRule type="expression" dxfId="36" priority="1443" stopIfTrue="1">
      <formula>OR(AND(LEFT($A735, 14)="sensor_stream ", LEN($A735)&gt;14, NOT(ISNUMBER(SEARCH(" ", $A735, 15)))), AND(LEFT($A735, 17)="sensor_statistic ", LEN($A735)&gt;17, NOT(ISNUMBER(SEARCH(" ", $A735, 18)))))</formula>
    </cfRule>
  </conditionalFormatting>
  <conditionalFormatting sqref="B723:C725 D723:E725">
    <cfRule type="expression" dxfId="0" priority="1444" stopIfTrue="1">
      <formula>$A723="begin group"</formula>
    </cfRule>
  </conditionalFormatting>
  <conditionalFormatting sqref="B723:C725 D723:E725">
    <cfRule type="expression" dxfId="1" priority="1445" stopIfTrue="1">
      <formula>$A723="begin repeat"</formula>
    </cfRule>
  </conditionalFormatting>
  <conditionalFormatting sqref="B723:E725">
    <cfRule type="expression" dxfId="31" priority="1446" stopIfTrue="1">
      <formula>$A723="enumerator"</formula>
    </cfRule>
  </conditionalFormatting>
  <conditionalFormatting sqref="B723:E725">
    <cfRule type="expression" dxfId="2" priority="1447" stopIfTrue="1">
      <formula>$A723="text"</formula>
    </cfRule>
  </conditionalFormatting>
  <conditionalFormatting sqref="B723:E725">
    <cfRule type="expression" dxfId="3" priority="1448" stopIfTrue="1">
      <formula>$A723="integer"</formula>
    </cfRule>
  </conditionalFormatting>
  <conditionalFormatting sqref="B723:E725">
    <cfRule type="expression" dxfId="4" priority="1449" stopIfTrue="1">
      <formula>$A723="decimal"</formula>
    </cfRule>
  </conditionalFormatting>
  <conditionalFormatting sqref="B723:C725 D723:E725">
    <cfRule type="expression" dxfId="5" priority="1450" stopIfTrue="1">
      <formula>OR(AND(LEFT($A723, 16)="select_multiple ", LEN($A723)&gt;16, NOT(ISNUMBER(SEARCH(" ", $A723, 17)))), AND(LEFT($A723, 11)="select_one ", LEN($A723)&gt;11, NOT(ISNUMBER(SEARCH(" ", $A723, 12)))))</formula>
    </cfRule>
  </conditionalFormatting>
  <conditionalFormatting sqref="B723:B725">
    <cfRule type="expression" dxfId="6" priority="1451" stopIfTrue="1">
      <formula>OR($A723="audio audit", $A723="text audit", $A723="speed violations count", $A723="speed violations list", $A723="speed violations audit")</formula>
    </cfRule>
  </conditionalFormatting>
  <conditionalFormatting sqref="B723:C725 D723:E725">
    <cfRule type="expression" dxfId="32" priority="1452" stopIfTrue="1">
      <formula>$A723="file"</formula>
    </cfRule>
  </conditionalFormatting>
  <conditionalFormatting sqref="B723:C725 D723:E725">
    <cfRule type="expression" dxfId="7" priority="1453" stopIfTrue="1">
      <formula>$A723="note"</formula>
    </cfRule>
  </conditionalFormatting>
  <conditionalFormatting sqref="B723:C725 D723:E725">
    <cfRule type="expression" dxfId="8" priority="1454" stopIfTrue="1">
      <formula>$A723="barcode"</formula>
    </cfRule>
  </conditionalFormatting>
  <conditionalFormatting sqref="B723:C725 D723:E725">
    <cfRule type="expression" dxfId="9" priority="1455" stopIfTrue="1">
      <formula>OR($A723="geopoint", $A723="geoshape", $A723="geotrace")</formula>
    </cfRule>
  </conditionalFormatting>
  <conditionalFormatting sqref="B723:B725">
    <cfRule type="expression" dxfId="10" priority="1456" stopIfTrue="1">
      <formula>OR($A723="calculate", $A723="calculate_here")</formula>
    </cfRule>
  </conditionalFormatting>
  <conditionalFormatting sqref="B723:C725 D723:E725">
    <cfRule type="expression" dxfId="11" priority="1457" stopIfTrue="1">
      <formula>OR($A723="date", $A723="datetime", $A723="time")</formula>
    </cfRule>
  </conditionalFormatting>
  <conditionalFormatting sqref="B723:C725 D723:E725">
    <cfRule type="expression" dxfId="12" priority="1458" stopIfTrue="1">
      <formula>$A723="image"</formula>
    </cfRule>
  </conditionalFormatting>
  <conditionalFormatting sqref="B723:C725 D723:E725">
    <cfRule type="expression" dxfId="13" priority="1459" stopIfTrue="1">
      <formula>OR($A723="audio", $A723="video")</formula>
    </cfRule>
  </conditionalFormatting>
  <conditionalFormatting sqref="B723:E725">
    <cfRule type="expression" dxfId="33" priority="1460" stopIfTrue="1">
      <formula>$A723="file"</formula>
    </cfRule>
  </conditionalFormatting>
  <conditionalFormatting sqref="B723:E725">
    <cfRule type="expression" dxfId="34" priority="1461" stopIfTrue="1">
      <formula>$A723="enumerator"</formula>
    </cfRule>
  </conditionalFormatting>
  <conditionalFormatting sqref="B723:E725">
    <cfRule type="expression" dxfId="35" priority="1462" stopIfTrue="1">
      <formula>OR(AND(LEFT($A723, 14)="sensor_stream ", LEN($A723)&gt;14, NOT(ISNUMBER(SEARCH(" ", $A723, 15)))), AND(LEFT($A723, 17)="sensor_statistic ", LEN($A723)&gt;17, NOT(ISNUMBER(SEARCH(" ", $A723, 18)))))</formula>
    </cfRule>
  </conditionalFormatting>
  <conditionalFormatting sqref="B723:E725">
    <cfRule type="expression" dxfId="14" priority="1463" stopIfTrue="1">
      <formula>$A723="comments"</formula>
    </cfRule>
  </conditionalFormatting>
  <conditionalFormatting sqref="B723:E725">
    <cfRule type="expression" dxfId="15" priority="1464" stopIfTrue="1">
      <formula>OR($A723="audio", $A723="video")</formula>
    </cfRule>
  </conditionalFormatting>
  <conditionalFormatting sqref="B723:E725">
    <cfRule type="expression" dxfId="16" priority="1465" stopIfTrue="1">
      <formula>$A723="image"</formula>
    </cfRule>
  </conditionalFormatting>
  <conditionalFormatting sqref="B723:E725">
    <cfRule type="expression" dxfId="17" priority="1466" stopIfTrue="1">
      <formula>OR($A723="date", $A723="datetime", $A723="time")</formula>
    </cfRule>
  </conditionalFormatting>
  <conditionalFormatting sqref="B723:E725">
    <cfRule type="expression" dxfId="18" priority="1467" stopIfTrue="1">
      <formula>OR($A723="calculate", $A723="calculate_here")</formula>
    </cfRule>
  </conditionalFormatting>
  <conditionalFormatting sqref="B723:E725">
    <cfRule type="expression" dxfId="19" priority="1468" stopIfTrue="1">
      <formula>$A723="note"</formula>
    </cfRule>
  </conditionalFormatting>
  <conditionalFormatting sqref="B723:E725">
    <cfRule type="expression" dxfId="20" priority="1469" stopIfTrue="1">
      <formula>$A723="barcode"</formula>
    </cfRule>
  </conditionalFormatting>
  <conditionalFormatting sqref="B723:E725">
    <cfRule type="expression" dxfId="21" priority="1470" stopIfTrue="1">
      <formula>OR($A723="geopoint", $A723="geoshape", $A723="geotrace")</formula>
    </cfRule>
  </conditionalFormatting>
  <conditionalFormatting sqref="B723:E725">
    <cfRule type="expression" dxfId="22" priority="1471" stopIfTrue="1">
      <formula>OR($A723="audio audit", $A723="text audit", $A723="speed violations count", $A723="speed violations list", $A723="speed violations audit")</formula>
    </cfRule>
  </conditionalFormatting>
  <conditionalFormatting sqref="B723:E725">
    <cfRule type="expression" dxfId="23" priority="1472" stopIfTrue="1">
      <formula>OR($A723="username", $A723="phonenumber", $A723="start", $A723="end", $A723="deviceid", $A723="subscriberid", $A723="simserial", $A723="caseid")</formula>
    </cfRule>
  </conditionalFormatting>
  <conditionalFormatting sqref="B723:E725">
    <cfRule type="expression" dxfId="24" priority="1473" stopIfTrue="1">
      <formula>OR(AND(LEFT($A723, 16)="select_multiple ", LEN($A723)&gt;16, NOT(ISNUMBER(SEARCH(" ", $A723, 17)))), AND(LEFT($A723, 11)="select_one ", LEN($A723)&gt;11, NOT(ISNUMBER(SEARCH(" ", $A723, 12)))))</formula>
    </cfRule>
  </conditionalFormatting>
  <conditionalFormatting sqref="B723:E725">
    <cfRule type="expression" dxfId="25" priority="1474" stopIfTrue="1">
      <formula>$A723="decimal"</formula>
    </cfRule>
  </conditionalFormatting>
  <conditionalFormatting sqref="B723:E725">
    <cfRule type="expression" dxfId="26" priority="1475" stopIfTrue="1">
      <formula>$A723="integer"</formula>
    </cfRule>
  </conditionalFormatting>
  <conditionalFormatting sqref="B723:E725">
    <cfRule type="expression" dxfId="27" priority="1476" stopIfTrue="1">
      <formula>$A723="text"</formula>
    </cfRule>
  </conditionalFormatting>
  <conditionalFormatting sqref="B723:E725">
    <cfRule type="expression" dxfId="28" priority="1477" stopIfTrue="1">
      <formula>$A723="end repeat"</formula>
    </cfRule>
  </conditionalFormatting>
  <conditionalFormatting sqref="B723:E725">
    <cfRule type="expression" dxfId="28" priority="1478" stopIfTrue="1">
      <formula>$A723="begin repeat"</formula>
    </cfRule>
  </conditionalFormatting>
  <conditionalFormatting sqref="B723:E725">
    <cfRule type="expression" dxfId="29" priority="1479" stopIfTrue="1">
      <formula>$A723="end group"</formula>
    </cfRule>
  </conditionalFormatting>
  <conditionalFormatting sqref="B723:E725">
    <cfRule type="expression" dxfId="29" priority="1480" stopIfTrue="1">
      <formula>$A723="begin group"</formula>
    </cfRule>
  </conditionalFormatting>
  <conditionalFormatting sqref="B723:B725">
    <cfRule type="expression" dxfId="30" priority="1481" stopIfTrue="1">
      <formula>$A723="comments"</formula>
    </cfRule>
  </conditionalFormatting>
  <conditionalFormatting sqref="B723:B725">
    <cfRule type="expression" dxfId="36" priority="1482" stopIfTrue="1">
      <formula>OR(AND(LEFT($A723, 14)="sensor_stream ", LEN($A723)&gt;14, NOT(ISNUMBER(SEARCH(" ", $A723, 15)))), AND(LEFT($A723, 17)="sensor_statistic ", LEN($A723)&gt;17, NOT(ISNUMBER(SEARCH(" ", $A723, 18)))))</formula>
    </cfRule>
  </conditionalFormatting>
  <conditionalFormatting sqref="B717:C718 D717:E718">
    <cfRule type="expression" dxfId="0" priority="1483" stopIfTrue="1">
      <formula>$A717="begin group"</formula>
    </cfRule>
  </conditionalFormatting>
  <conditionalFormatting sqref="B717:C718 D717:E718">
    <cfRule type="expression" dxfId="1" priority="1484" stopIfTrue="1">
      <formula>$A717="begin repeat"</formula>
    </cfRule>
  </conditionalFormatting>
  <conditionalFormatting sqref="B717:E718">
    <cfRule type="expression" dxfId="31" priority="1485" stopIfTrue="1">
      <formula>$A717="enumerator"</formula>
    </cfRule>
  </conditionalFormatting>
  <conditionalFormatting sqref="B717:E718">
    <cfRule type="expression" dxfId="2" priority="1486" stopIfTrue="1">
      <formula>$A717="text"</formula>
    </cfRule>
  </conditionalFormatting>
  <conditionalFormatting sqref="B717:E718">
    <cfRule type="expression" dxfId="3" priority="1487" stopIfTrue="1">
      <formula>$A717="integer"</formula>
    </cfRule>
  </conditionalFormatting>
  <conditionalFormatting sqref="B717:E718">
    <cfRule type="expression" dxfId="4" priority="1488" stopIfTrue="1">
      <formula>$A717="decimal"</formula>
    </cfRule>
  </conditionalFormatting>
  <conditionalFormatting sqref="B717:C718 D717:E718">
    <cfRule type="expression" dxfId="5" priority="1489" stopIfTrue="1">
      <formula>OR(AND(LEFT($A717, 16)="select_multiple ", LEN($A717)&gt;16, NOT(ISNUMBER(SEARCH(" ", $A717, 17)))), AND(LEFT($A717, 11)="select_one ", LEN($A717)&gt;11, NOT(ISNUMBER(SEARCH(" ", $A717, 12)))))</formula>
    </cfRule>
  </conditionalFormatting>
  <conditionalFormatting sqref="B717:B718">
    <cfRule type="expression" dxfId="6" priority="1490" stopIfTrue="1">
      <formula>OR($A717="audio audit", $A717="text audit", $A717="speed violations count", $A717="speed violations list", $A717="speed violations audit")</formula>
    </cfRule>
  </conditionalFormatting>
  <conditionalFormatting sqref="B717:C718 D717:E718">
    <cfRule type="expression" dxfId="32" priority="1491" stopIfTrue="1">
      <formula>$A717="file"</formula>
    </cfRule>
  </conditionalFormatting>
  <conditionalFormatting sqref="B717:C718 D717:E718">
    <cfRule type="expression" dxfId="7" priority="1492" stopIfTrue="1">
      <formula>$A717="note"</formula>
    </cfRule>
  </conditionalFormatting>
  <conditionalFormatting sqref="B717:C718 D717:E718">
    <cfRule type="expression" dxfId="8" priority="1493" stopIfTrue="1">
      <formula>$A717="barcode"</formula>
    </cfRule>
  </conditionalFormatting>
  <conditionalFormatting sqref="B717:C718 D717:E718">
    <cfRule type="expression" dxfId="9" priority="1494" stopIfTrue="1">
      <formula>OR($A717="geopoint", $A717="geoshape", $A717="geotrace")</formula>
    </cfRule>
  </conditionalFormatting>
  <conditionalFormatting sqref="B717:B718">
    <cfRule type="expression" dxfId="10" priority="1495" stopIfTrue="1">
      <formula>OR($A717="calculate", $A717="calculate_here")</formula>
    </cfRule>
  </conditionalFormatting>
  <conditionalFormatting sqref="B717:C718 D717:E718">
    <cfRule type="expression" dxfId="11" priority="1496" stopIfTrue="1">
      <formula>OR($A717="date", $A717="datetime", $A717="time")</formula>
    </cfRule>
  </conditionalFormatting>
  <conditionalFormatting sqref="B717:C718 D717:E718">
    <cfRule type="expression" dxfId="12" priority="1497" stopIfTrue="1">
      <formula>$A717="image"</formula>
    </cfRule>
  </conditionalFormatting>
  <conditionalFormatting sqref="B717:C718 D717:E718">
    <cfRule type="expression" dxfId="13" priority="1498" stopIfTrue="1">
      <formula>OR($A717="audio", $A717="video")</formula>
    </cfRule>
  </conditionalFormatting>
  <conditionalFormatting sqref="B717:E718">
    <cfRule type="expression" dxfId="33" priority="1499" stopIfTrue="1">
      <formula>$A717="file"</formula>
    </cfRule>
  </conditionalFormatting>
  <conditionalFormatting sqref="B717:E718">
    <cfRule type="expression" dxfId="34" priority="1500" stopIfTrue="1">
      <formula>$A717="enumerator"</formula>
    </cfRule>
  </conditionalFormatting>
  <conditionalFormatting sqref="B717:E718">
    <cfRule type="expression" dxfId="35" priority="1501" stopIfTrue="1">
      <formula>OR(AND(LEFT($A717, 14)="sensor_stream ", LEN($A717)&gt;14, NOT(ISNUMBER(SEARCH(" ", $A717, 15)))), AND(LEFT($A717, 17)="sensor_statistic ", LEN($A717)&gt;17, NOT(ISNUMBER(SEARCH(" ", $A717, 18)))))</formula>
    </cfRule>
  </conditionalFormatting>
  <conditionalFormatting sqref="B717:E718">
    <cfRule type="expression" dxfId="14" priority="1502" stopIfTrue="1">
      <formula>$A717="comments"</formula>
    </cfRule>
  </conditionalFormatting>
  <conditionalFormatting sqref="B717:E718">
    <cfRule type="expression" dxfId="15" priority="1503" stopIfTrue="1">
      <formula>OR($A717="audio", $A717="video")</formula>
    </cfRule>
  </conditionalFormatting>
  <conditionalFormatting sqref="B717:E718">
    <cfRule type="expression" dxfId="16" priority="1504" stopIfTrue="1">
      <formula>$A717="image"</formula>
    </cfRule>
  </conditionalFormatting>
  <conditionalFormatting sqref="B717:E718">
    <cfRule type="expression" dxfId="17" priority="1505" stopIfTrue="1">
      <formula>OR($A717="date", $A717="datetime", $A717="time")</formula>
    </cfRule>
  </conditionalFormatting>
  <conditionalFormatting sqref="B717:E718">
    <cfRule type="expression" dxfId="18" priority="1506" stopIfTrue="1">
      <formula>OR($A717="calculate", $A717="calculate_here")</formula>
    </cfRule>
  </conditionalFormatting>
  <conditionalFormatting sqref="B717:E718">
    <cfRule type="expression" dxfId="19" priority="1507" stopIfTrue="1">
      <formula>$A717="note"</formula>
    </cfRule>
  </conditionalFormatting>
  <conditionalFormatting sqref="B717:E718">
    <cfRule type="expression" dxfId="20" priority="1508" stopIfTrue="1">
      <formula>$A717="barcode"</formula>
    </cfRule>
  </conditionalFormatting>
  <conditionalFormatting sqref="B717:E718">
    <cfRule type="expression" dxfId="21" priority="1509" stopIfTrue="1">
      <formula>OR($A717="geopoint", $A717="geoshape", $A717="geotrace")</formula>
    </cfRule>
  </conditionalFormatting>
  <conditionalFormatting sqref="B717:E718">
    <cfRule type="expression" dxfId="22" priority="1510" stopIfTrue="1">
      <formula>OR($A717="audio audit", $A717="text audit", $A717="speed violations count", $A717="speed violations list", $A717="speed violations audit")</formula>
    </cfRule>
  </conditionalFormatting>
  <conditionalFormatting sqref="B717:E718">
    <cfRule type="expression" dxfId="23" priority="1511" stopIfTrue="1">
      <formula>OR($A717="username", $A717="phonenumber", $A717="start", $A717="end", $A717="deviceid", $A717="subscriberid", $A717="simserial", $A717="caseid")</formula>
    </cfRule>
  </conditionalFormatting>
  <conditionalFormatting sqref="B717:E718">
    <cfRule type="expression" dxfId="24" priority="1512" stopIfTrue="1">
      <formula>OR(AND(LEFT($A717, 16)="select_multiple ", LEN($A717)&gt;16, NOT(ISNUMBER(SEARCH(" ", $A717, 17)))), AND(LEFT($A717, 11)="select_one ", LEN($A717)&gt;11, NOT(ISNUMBER(SEARCH(" ", $A717, 12)))))</formula>
    </cfRule>
  </conditionalFormatting>
  <conditionalFormatting sqref="B717:E718">
    <cfRule type="expression" dxfId="25" priority="1513" stopIfTrue="1">
      <formula>$A717="decimal"</formula>
    </cfRule>
  </conditionalFormatting>
  <conditionalFormatting sqref="B717:E718">
    <cfRule type="expression" dxfId="26" priority="1514" stopIfTrue="1">
      <formula>$A717="integer"</formula>
    </cfRule>
  </conditionalFormatting>
  <conditionalFormatting sqref="B717:E718">
    <cfRule type="expression" dxfId="27" priority="1515" stopIfTrue="1">
      <formula>$A717="text"</formula>
    </cfRule>
  </conditionalFormatting>
  <conditionalFormatting sqref="B717:E718">
    <cfRule type="expression" dxfId="28" priority="1516" stopIfTrue="1">
      <formula>$A717="end repeat"</formula>
    </cfRule>
  </conditionalFormatting>
  <conditionalFormatting sqref="B717:E718">
    <cfRule type="expression" dxfId="28" priority="1517" stopIfTrue="1">
      <formula>$A717="begin repeat"</formula>
    </cfRule>
  </conditionalFormatting>
  <conditionalFormatting sqref="B717:E718">
    <cfRule type="expression" dxfId="29" priority="1518" stopIfTrue="1">
      <formula>$A717="end group"</formula>
    </cfRule>
  </conditionalFormatting>
  <conditionalFormatting sqref="B717:E718">
    <cfRule type="expression" dxfId="29" priority="1519" stopIfTrue="1">
      <formula>$A717="begin group"</formula>
    </cfRule>
  </conditionalFormatting>
  <conditionalFormatting sqref="B717:B718">
    <cfRule type="expression" dxfId="30" priority="1520" stopIfTrue="1">
      <formula>$A717="comments"</formula>
    </cfRule>
  </conditionalFormatting>
  <conditionalFormatting sqref="B717:B718">
    <cfRule type="expression" dxfId="36" priority="1521" stopIfTrue="1">
      <formula>OR(AND(LEFT($A717, 14)="sensor_stream ", LEN($A717)&gt;14, NOT(ISNUMBER(SEARCH(" ", $A717, 15)))), AND(LEFT($A717, 17)="sensor_statistic ", LEN($A717)&gt;17, NOT(ISNUMBER(SEARCH(" ", $A717, 18)))))</formula>
    </cfRule>
  </conditionalFormatting>
  <conditionalFormatting sqref="B708:C710 D708:E710">
    <cfRule type="expression" dxfId="0" priority="1522" stopIfTrue="1">
      <formula>$A708="begin group"</formula>
    </cfRule>
  </conditionalFormatting>
  <conditionalFormatting sqref="B708:C710 D708:E710">
    <cfRule type="expression" dxfId="1" priority="1523" stopIfTrue="1">
      <formula>$A708="begin repeat"</formula>
    </cfRule>
  </conditionalFormatting>
  <conditionalFormatting sqref="B708:E710">
    <cfRule type="expression" dxfId="31" priority="1524" stopIfTrue="1">
      <formula>$A708="enumerator"</formula>
    </cfRule>
  </conditionalFormatting>
  <conditionalFormatting sqref="B708:E710">
    <cfRule type="expression" dxfId="2" priority="1525" stopIfTrue="1">
      <formula>$A708="text"</formula>
    </cfRule>
  </conditionalFormatting>
  <conditionalFormatting sqref="B708:E710">
    <cfRule type="expression" dxfId="3" priority="1526" stopIfTrue="1">
      <formula>$A708="integer"</formula>
    </cfRule>
  </conditionalFormatting>
  <conditionalFormatting sqref="B708:E710">
    <cfRule type="expression" dxfId="4" priority="1527" stopIfTrue="1">
      <formula>$A708="decimal"</formula>
    </cfRule>
  </conditionalFormatting>
  <conditionalFormatting sqref="B708:C710 D708:E710">
    <cfRule type="expression" dxfId="5" priority="1528" stopIfTrue="1">
      <formula>OR(AND(LEFT($A708, 16)="select_multiple ", LEN($A708)&gt;16, NOT(ISNUMBER(SEARCH(" ", $A708, 17)))), AND(LEFT($A708, 11)="select_one ", LEN($A708)&gt;11, NOT(ISNUMBER(SEARCH(" ", $A708, 12)))))</formula>
    </cfRule>
  </conditionalFormatting>
  <conditionalFormatting sqref="B708:B710">
    <cfRule type="expression" dxfId="6" priority="1529" stopIfTrue="1">
      <formula>OR($A708="audio audit", $A708="text audit", $A708="speed violations count", $A708="speed violations list", $A708="speed violations audit")</formula>
    </cfRule>
  </conditionalFormatting>
  <conditionalFormatting sqref="B708:C710 D708:E710">
    <cfRule type="expression" dxfId="32" priority="1530" stopIfTrue="1">
      <formula>$A708="file"</formula>
    </cfRule>
  </conditionalFormatting>
  <conditionalFormatting sqref="B708:C710 D708:E710">
    <cfRule type="expression" dxfId="7" priority="1531" stopIfTrue="1">
      <formula>$A708="note"</formula>
    </cfRule>
  </conditionalFormatting>
  <conditionalFormatting sqref="B708:C710 D708:E710">
    <cfRule type="expression" dxfId="8" priority="1532" stopIfTrue="1">
      <formula>$A708="barcode"</formula>
    </cfRule>
  </conditionalFormatting>
  <conditionalFormatting sqref="B708:C710 D708:E710">
    <cfRule type="expression" dxfId="9" priority="1533" stopIfTrue="1">
      <formula>OR($A708="geopoint", $A708="geoshape", $A708="geotrace")</formula>
    </cfRule>
  </conditionalFormatting>
  <conditionalFormatting sqref="B708:B710">
    <cfRule type="expression" dxfId="10" priority="1534" stopIfTrue="1">
      <formula>OR($A708="calculate", $A708="calculate_here")</formula>
    </cfRule>
  </conditionalFormatting>
  <conditionalFormatting sqref="B708:C710 D708:E710">
    <cfRule type="expression" dxfId="11" priority="1535" stopIfTrue="1">
      <formula>OR($A708="date", $A708="datetime", $A708="time")</formula>
    </cfRule>
  </conditionalFormatting>
  <conditionalFormatting sqref="B708:C710 D708:E710">
    <cfRule type="expression" dxfId="12" priority="1536" stopIfTrue="1">
      <formula>$A708="image"</formula>
    </cfRule>
  </conditionalFormatting>
  <conditionalFormatting sqref="B708:C710 D708:E710">
    <cfRule type="expression" dxfId="13" priority="1537" stopIfTrue="1">
      <formula>OR($A708="audio", $A708="video")</formula>
    </cfRule>
  </conditionalFormatting>
  <conditionalFormatting sqref="B708:E710">
    <cfRule type="expression" dxfId="33" priority="1538" stopIfTrue="1">
      <formula>$A708="file"</formula>
    </cfRule>
  </conditionalFormatting>
  <conditionalFormatting sqref="B708:E710">
    <cfRule type="expression" dxfId="34" priority="1539" stopIfTrue="1">
      <formula>$A708="enumerator"</formula>
    </cfRule>
  </conditionalFormatting>
  <conditionalFormatting sqref="B708:E710">
    <cfRule type="expression" dxfId="35" priority="1540" stopIfTrue="1">
      <formula>OR(AND(LEFT($A708, 14)="sensor_stream ", LEN($A708)&gt;14, NOT(ISNUMBER(SEARCH(" ", $A708, 15)))), AND(LEFT($A708, 17)="sensor_statistic ", LEN($A708)&gt;17, NOT(ISNUMBER(SEARCH(" ", $A708, 18)))))</formula>
    </cfRule>
  </conditionalFormatting>
  <conditionalFormatting sqref="B708:E710">
    <cfRule type="expression" dxfId="14" priority="1541" stopIfTrue="1">
      <formula>$A708="comments"</formula>
    </cfRule>
  </conditionalFormatting>
  <conditionalFormatting sqref="B708:E710">
    <cfRule type="expression" dxfId="15" priority="1542" stopIfTrue="1">
      <formula>OR($A708="audio", $A708="video")</formula>
    </cfRule>
  </conditionalFormatting>
  <conditionalFormatting sqref="B708:E710">
    <cfRule type="expression" dxfId="16" priority="1543" stopIfTrue="1">
      <formula>$A708="image"</formula>
    </cfRule>
  </conditionalFormatting>
  <conditionalFormatting sqref="B708:E710">
    <cfRule type="expression" dxfId="17" priority="1544" stopIfTrue="1">
      <formula>OR($A708="date", $A708="datetime", $A708="time")</formula>
    </cfRule>
  </conditionalFormatting>
  <conditionalFormatting sqref="B708:E710">
    <cfRule type="expression" dxfId="18" priority="1545" stopIfTrue="1">
      <formula>OR($A708="calculate", $A708="calculate_here")</formula>
    </cfRule>
  </conditionalFormatting>
  <conditionalFormatting sqref="B708:E710">
    <cfRule type="expression" dxfId="19" priority="1546" stopIfTrue="1">
      <formula>$A708="note"</formula>
    </cfRule>
  </conditionalFormatting>
  <conditionalFormatting sqref="B708:E710">
    <cfRule type="expression" dxfId="20" priority="1547" stopIfTrue="1">
      <formula>$A708="barcode"</formula>
    </cfRule>
  </conditionalFormatting>
  <conditionalFormatting sqref="B708:E710">
    <cfRule type="expression" dxfId="21" priority="1548" stopIfTrue="1">
      <formula>OR($A708="geopoint", $A708="geoshape", $A708="geotrace")</formula>
    </cfRule>
  </conditionalFormatting>
  <conditionalFormatting sqref="B708:E710">
    <cfRule type="expression" dxfId="22" priority="1549" stopIfTrue="1">
      <formula>OR($A708="audio audit", $A708="text audit", $A708="speed violations count", $A708="speed violations list", $A708="speed violations audit")</formula>
    </cfRule>
  </conditionalFormatting>
  <conditionalFormatting sqref="B708:E710">
    <cfRule type="expression" dxfId="23" priority="1550" stopIfTrue="1">
      <formula>OR($A708="username", $A708="phonenumber", $A708="start", $A708="end", $A708="deviceid", $A708="subscriberid", $A708="simserial", $A708="caseid")</formula>
    </cfRule>
  </conditionalFormatting>
  <conditionalFormatting sqref="B708:E710">
    <cfRule type="expression" dxfId="24" priority="1551" stopIfTrue="1">
      <formula>OR(AND(LEFT($A708, 16)="select_multiple ", LEN($A708)&gt;16, NOT(ISNUMBER(SEARCH(" ", $A708, 17)))), AND(LEFT($A708, 11)="select_one ", LEN($A708)&gt;11, NOT(ISNUMBER(SEARCH(" ", $A708, 12)))))</formula>
    </cfRule>
  </conditionalFormatting>
  <conditionalFormatting sqref="B708:E710">
    <cfRule type="expression" dxfId="25" priority="1552" stopIfTrue="1">
      <formula>$A708="decimal"</formula>
    </cfRule>
  </conditionalFormatting>
  <conditionalFormatting sqref="B708:E710">
    <cfRule type="expression" dxfId="26" priority="1553" stopIfTrue="1">
      <formula>$A708="integer"</formula>
    </cfRule>
  </conditionalFormatting>
  <conditionalFormatting sqref="B708:E710">
    <cfRule type="expression" dxfId="27" priority="1554" stopIfTrue="1">
      <formula>$A708="text"</formula>
    </cfRule>
  </conditionalFormatting>
  <conditionalFormatting sqref="B708:E710">
    <cfRule type="expression" dxfId="28" priority="1555" stopIfTrue="1">
      <formula>$A708="end repeat"</formula>
    </cfRule>
  </conditionalFormatting>
  <conditionalFormatting sqref="B708:E710">
    <cfRule type="expression" dxfId="28" priority="1556" stopIfTrue="1">
      <formula>$A708="begin repeat"</formula>
    </cfRule>
  </conditionalFormatting>
  <conditionalFormatting sqref="B708:E710">
    <cfRule type="expression" dxfId="29" priority="1557" stopIfTrue="1">
      <formula>$A708="end group"</formula>
    </cfRule>
  </conditionalFormatting>
  <conditionalFormatting sqref="B708:E710">
    <cfRule type="expression" dxfId="29" priority="1558" stopIfTrue="1">
      <formula>$A708="begin group"</formula>
    </cfRule>
  </conditionalFormatting>
  <conditionalFormatting sqref="B708:B710">
    <cfRule type="expression" dxfId="30" priority="1559" stopIfTrue="1">
      <formula>$A708="comments"</formula>
    </cfRule>
  </conditionalFormatting>
  <conditionalFormatting sqref="B708:B710">
    <cfRule type="expression" dxfId="36" priority="1560" stopIfTrue="1">
      <formula>OR(AND(LEFT($A708, 14)="sensor_stream ", LEN($A708)&gt;14, NOT(ISNUMBER(SEARCH(" ", $A708, 15)))), AND(LEFT($A708, 17)="sensor_statistic ", LEN($A708)&gt;17, NOT(ISNUMBER(SEARCH(" ", $A708, 18)))))</formula>
    </cfRule>
  </conditionalFormatting>
  <conditionalFormatting sqref="B702:C706 D702:E706">
    <cfRule type="expression" dxfId="0" priority="1561" stopIfTrue="1">
      <formula>$A702="begin group"</formula>
    </cfRule>
  </conditionalFormatting>
  <conditionalFormatting sqref="B702:C706 D702:E706">
    <cfRule type="expression" dxfId="1" priority="1562" stopIfTrue="1">
      <formula>$A702="begin repeat"</formula>
    </cfRule>
  </conditionalFormatting>
  <conditionalFormatting sqref="B702:E706">
    <cfRule type="expression" dxfId="31" priority="1563" stopIfTrue="1">
      <formula>$A702="enumerator"</formula>
    </cfRule>
  </conditionalFormatting>
  <conditionalFormatting sqref="B702:E706">
    <cfRule type="expression" dxfId="2" priority="1564" stopIfTrue="1">
      <formula>$A702="text"</formula>
    </cfRule>
  </conditionalFormatting>
  <conditionalFormatting sqref="B702:E706">
    <cfRule type="expression" dxfId="3" priority="1565" stopIfTrue="1">
      <formula>$A702="integer"</formula>
    </cfRule>
  </conditionalFormatting>
  <conditionalFormatting sqref="B702:E706">
    <cfRule type="expression" dxfId="4" priority="1566" stopIfTrue="1">
      <formula>$A702="decimal"</formula>
    </cfRule>
  </conditionalFormatting>
  <conditionalFormatting sqref="B702:C706 D702:E706">
    <cfRule type="expression" dxfId="5" priority="1567" stopIfTrue="1">
      <formula>OR(AND(LEFT($A702, 16)="select_multiple ", LEN($A702)&gt;16, NOT(ISNUMBER(SEARCH(" ", $A702, 17)))), AND(LEFT($A702, 11)="select_one ", LEN($A702)&gt;11, NOT(ISNUMBER(SEARCH(" ", $A702, 12)))))</formula>
    </cfRule>
  </conditionalFormatting>
  <conditionalFormatting sqref="B702:B706">
    <cfRule type="expression" dxfId="6" priority="1568" stopIfTrue="1">
      <formula>OR($A702="audio audit", $A702="text audit", $A702="speed violations count", $A702="speed violations list", $A702="speed violations audit")</formula>
    </cfRule>
  </conditionalFormatting>
  <conditionalFormatting sqref="B702:C706 D702:E706">
    <cfRule type="expression" dxfId="32" priority="1569" stopIfTrue="1">
      <formula>$A702="file"</formula>
    </cfRule>
  </conditionalFormatting>
  <conditionalFormatting sqref="B702:C706 D702:E706">
    <cfRule type="expression" dxfId="7" priority="1570" stopIfTrue="1">
      <formula>$A702="note"</formula>
    </cfRule>
  </conditionalFormatting>
  <conditionalFormatting sqref="B702:C706 D702:E706">
    <cfRule type="expression" dxfId="8" priority="1571" stopIfTrue="1">
      <formula>$A702="barcode"</formula>
    </cfRule>
  </conditionalFormatting>
  <conditionalFormatting sqref="B702:C706 D702:E706">
    <cfRule type="expression" dxfId="9" priority="1572" stopIfTrue="1">
      <formula>OR($A702="geopoint", $A702="geoshape", $A702="geotrace")</formula>
    </cfRule>
  </conditionalFormatting>
  <conditionalFormatting sqref="B702:B706">
    <cfRule type="expression" dxfId="10" priority="1573" stopIfTrue="1">
      <formula>OR($A702="calculate", $A702="calculate_here")</formula>
    </cfRule>
  </conditionalFormatting>
  <conditionalFormatting sqref="B702:C706 D702:E706">
    <cfRule type="expression" dxfId="11" priority="1574" stopIfTrue="1">
      <formula>OR($A702="date", $A702="datetime", $A702="time")</formula>
    </cfRule>
  </conditionalFormatting>
  <conditionalFormatting sqref="B702:C706 D702:E706">
    <cfRule type="expression" dxfId="12" priority="1575" stopIfTrue="1">
      <formula>$A702="image"</formula>
    </cfRule>
  </conditionalFormatting>
  <conditionalFormatting sqref="B702:C706 D702:E706">
    <cfRule type="expression" dxfId="13" priority="1576" stopIfTrue="1">
      <formula>OR($A702="audio", $A702="video")</formula>
    </cfRule>
  </conditionalFormatting>
  <conditionalFormatting sqref="B702:E706">
    <cfRule type="expression" dxfId="33" priority="1577" stopIfTrue="1">
      <formula>$A702="file"</formula>
    </cfRule>
  </conditionalFormatting>
  <conditionalFormatting sqref="B702:E706">
    <cfRule type="expression" dxfId="34" priority="1578" stopIfTrue="1">
      <formula>$A702="enumerator"</formula>
    </cfRule>
  </conditionalFormatting>
  <conditionalFormatting sqref="B702:E706">
    <cfRule type="expression" dxfId="35" priority="1579" stopIfTrue="1">
      <formula>OR(AND(LEFT($A702, 14)="sensor_stream ", LEN($A702)&gt;14, NOT(ISNUMBER(SEARCH(" ", $A702, 15)))), AND(LEFT($A702, 17)="sensor_statistic ", LEN($A702)&gt;17, NOT(ISNUMBER(SEARCH(" ", $A702, 18)))))</formula>
    </cfRule>
  </conditionalFormatting>
  <conditionalFormatting sqref="B702:E706">
    <cfRule type="expression" dxfId="14" priority="1580" stopIfTrue="1">
      <formula>$A702="comments"</formula>
    </cfRule>
  </conditionalFormatting>
  <conditionalFormatting sqref="B702:E706">
    <cfRule type="expression" dxfId="15" priority="1581" stopIfTrue="1">
      <formula>OR($A702="audio", $A702="video")</formula>
    </cfRule>
  </conditionalFormatting>
  <conditionalFormatting sqref="B702:E706">
    <cfRule type="expression" dxfId="16" priority="1582" stopIfTrue="1">
      <formula>$A702="image"</formula>
    </cfRule>
  </conditionalFormatting>
  <conditionalFormatting sqref="B702:E706">
    <cfRule type="expression" dxfId="17" priority="1583" stopIfTrue="1">
      <formula>OR($A702="date", $A702="datetime", $A702="time")</formula>
    </cfRule>
  </conditionalFormatting>
  <conditionalFormatting sqref="B702:E706">
    <cfRule type="expression" dxfId="18" priority="1584" stopIfTrue="1">
      <formula>OR($A702="calculate", $A702="calculate_here")</formula>
    </cfRule>
  </conditionalFormatting>
  <conditionalFormatting sqref="B702:E706">
    <cfRule type="expression" dxfId="19" priority="1585" stopIfTrue="1">
      <formula>$A702="note"</formula>
    </cfRule>
  </conditionalFormatting>
  <conditionalFormatting sqref="B702:E706">
    <cfRule type="expression" dxfId="20" priority="1586" stopIfTrue="1">
      <formula>$A702="barcode"</formula>
    </cfRule>
  </conditionalFormatting>
  <conditionalFormatting sqref="B702:E706">
    <cfRule type="expression" dxfId="21" priority="1587" stopIfTrue="1">
      <formula>OR($A702="geopoint", $A702="geoshape", $A702="geotrace")</formula>
    </cfRule>
  </conditionalFormatting>
  <conditionalFormatting sqref="B702:E706">
    <cfRule type="expression" dxfId="22" priority="1588" stopIfTrue="1">
      <formula>OR($A702="audio audit", $A702="text audit", $A702="speed violations count", $A702="speed violations list", $A702="speed violations audit")</formula>
    </cfRule>
  </conditionalFormatting>
  <conditionalFormatting sqref="B702:E706">
    <cfRule type="expression" dxfId="23" priority="1589" stopIfTrue="1">
      <formula>OR($A702="username", $A702="phonenumber", $A702="start", $A702="end", $A702="deviceid", $A702="subscriberid", $A702="simserial", $A702="caseid")</formula>
    </cfRule>
  </conditionalFormatting>
  <conditionalFormatting sqref="B702:E706">
    <cfRule type="expression" dxfId="24" priority="1590" stopIfTrue="1">
      <formula>OR(AND(LEFT($A702, 16)="select_multiple ", LEN($A702)&gt;16, NOT(ISNUMBER(SEARCH(" ", $A702, 17)))), AND(LEFT($A702, 11)="select_one ", LEN($A702)&gt;11, NOT(ISNUMBER(SEARCH(" ", $A702, 12)))))</formula>
    </cfRule>
  </conditionalFormatting>
  <conditionalFormatting sqref="B702:E706">
    <cfRule type="expression" dxfId="25" priority="1591" stopIfTrue="1">
      <formula>$A702="decimal"</formula>
    </cfRule>
  </conditionalFormatting>
  <conditionalFormatting sqref="B702:E706">
    <cfRule type="expression" dxfId="26" priority="1592" stopIfTrue="1">
      <formula>$A702="integer"</formula>
    </cfRule>
  </conditionalFormatting>
  <conditionalFormatting sqref="B702:E706">
    <cfRule type="expression" dxfId="27" priority="1593" stopIfTrue="1">
      <formula>$A702="text"</formula>
    </cfRule>
  </conditionalFormatting>
  <conditionalFormatting sqref="B702:E706">
    <cfRule type="expression" dxfId="28" priority="1594" stopIfTrue="1">
      <formula>$A702="end repeat"</formula>
    </cfRule>
  </conditionalFormatting>
  <conditionalFormatting sqref="B702:E706">
    <cfRule type="expression" dxfId="28" priority="1595" stopIfTrue="1">
      <formula>$A702="begin repeat"</formula>
    </cfRule>
  </conditionalFormatting>
  <conditionalFormatting sqref="B702:E706">
    <cfRule type="expression" dxfId="29" priority="1596" stopIfTrue="1">
      <formula>$A702="end group"</formula>
    </cfRule>
  </conditionalFormatting>
  <conditionalFormatting sqref="B702:E706">
    <cfRule type="expression" dxfId="29" priority="1597" stopIfTrue="1">
      <formula>$A702="begin group"</formula>
    </cfRule>
  </conditionalFormatting>
  <conditionalFormatting sqref="B702:B706">
    <cfRule type="expression" dxfId="30" priority="1598" stopIfTrue="1">
      <formula>$A702="comments"</formula>
    </cfRule>
  </conditionalFormatting>
  <conditionalFormatting sqref="B702:B706">
    <cfRule type="expression" dxfId="36" priority="1599" stopIfTrue="1">
      <formula>OR(AND(LEFT($A702, 14)="sensor_stream ", LEN($A702)&gt;14, NOT(ISNUMBER(SEARCH(" ", $A702, 15)))), AND(LEFT($A702, 17)="sensor_statistic ", LEN($A702)&gt;17, NOT(ISNUMBER(SEARCH(" ", $A702, 18)))))</formula>
    </cfRule>
  </conditionalFormatting>
  <conditionalFormatting sqref="B700:C700 D700:E700">
    <cfRule type="expression" dxfId="0" priority="1600" stopIfTrue="1">
      <formula>$A700="begin group"</formula>
    </cfRule>
  </conditionalFormatting>
  <conditionalFormatting sqref="B700:C700 D700:E700">
    <cfRule type="expression" dxfId="1" priority="1601" stopIfTrue="1">
      <formula>$A700="begin repeat"</formula>
    </cfRule>
  </conditionalFormatting>
  <conditionalFormatting sqref="B700:E700">
    <cfRule type="expression" dxfId="31" priority="1602" stopIfTrue="1">
      <formula>$A700="enumerator"</formula>
    </cfRule>
  </conditionalFormatting>
  <conditionalFormatting sqref="B700:E700">
    <cfRule type="expression" dxfId="2" priority="1603" stopIfTrue="1">
      <formula>$A700="text"</formula>
    </cfRule>
  </conditionalFormatting>
  <conditionalFormatting sqref="B700:E700">
    <cfRule type="expression" dxfId="3" priority="1604" stopIfTrue="1">
      <formula>$A700="integer"</formula>
    </cfRule>
  </conditionalFormatting>
  <conditionalFormatting sqref="B700:E700">
    <cfRule type="expression" dxfId="4" priority="1605" stopIfTrue="1">
      <formula>$A700="decimal"</formula>
    </cfRule>
  </conditionalFormatting>
  <conditionalFormatting sqref="B700:C700 D700:E700">
    <cfRule type="expression" dxfId="5" priority="1606" stopIfTrue="1">
      <formula>OR(AND(LEFT($A700, 16)="select_multiple ", LEN($A700)&gt;16, NOT(ISNUMBER(SEARCH(" ", $A700, 17)))), AND(LEFT($A700, 11)="select_one ", LEN($A700)&gt;11, NOT(ISNUMBER(SEARCH(" ", $A700, 12)))))</formula>
    </cfRule>
  </conditionalFormatting>
  <conditionalFormatting sqref="B700">
    <cfRule type="expression" dxfId="6" priority="1607" stopIfTrue="1">
      <formula>OR($A700="audio audit", $A700="text audit", $A700="speed violations count", $A700="speed violations list", $A700="speed violations audit")</formula>
    </cfRule>
  </conditionalFormatting>
  <conditionalFormatting sqref="B700:C700 D700:E700">
    <cfRule type="expression" dxfId="32" priority="1608" stopIfTrue="1">
      <formula>$A700="file"</formula>
    </cfRule>
  </conditionalFormatting>
  <conditionalFormatting sqref="B700:C700 D700:E700">
    <cfRule type="expression" dxfId="7" priority="1609" stopIfTrue="1">
      <formula>$A700="note"</formula>
    </cfRule>
  </conditionalFormatting>
  <conditionalFormatting sqref="B700:C700 D700:E700">
    <cfRule type="expression" dxfId="8" priority="1610" stopIfTrue="1">
      <formula>$A700="barcode"</formula>
    </cfRule>
  </conditionalFormatting>
  <conditionalFormatting sqref="B700:C700 D700:E700">
    <cfRule type="expression" dxfId="9" priority="1611" stopIfTrue="1">
      <formula>OR($A700="geopoint", $A700="geoshape", $A700="geotrace")</formula>
    </cfRule>
  </conditionalFormatting>
  <conditionalFormatting sqref="B700">
    <cfRule type="expression" dxfId="10" priority="1612" stopIfTrue="1">
      <formula>OR($A700="calculate", $A700="calculate_here")</formula>
    </cfRule>
  </conditionalFormatting>
  <conditionalFormatting sqref="B700:C700 D700:E700">
    <cfRule type="expression" dxfId="11" priority="1613" stopIfTrue="1">
      <formula>OR($A700="date", $A700="datetime", $A700="time")</formula>
    </cfRule>
  </conditionalFormatting>
  <conditionalFormatting sqref="B700:C700 D700:E700">
    <cfRule type="expression" dxfId="12" priority="1614" stopIfTrue="1">
      <formula>$A700="image"</formula>
    </cfRule>
  </conditionalFormatting>
  <conditionalFormatting sqref="B700:C700 D700:E700">
    <cfRule type="expression" dxfId="13" priority="1615" stopIfTrue="1">
      <formula>OR($A700="audio", $A700="video")</formula>
    </cfRule>
  </conditionalFormatting>
  <conditionalFormatting sqref="B700:E700">
    <cfRule type="expression" dxfId="33" priority="1616" stopIfTrue="1">
      <formula>$A700="file"</formula>
    </cfRule>
  </conditionalFormatting>
  <conditionalFormatting sqref="B700:E700">
    <cfRule type="expression" dxfId="34" priority="1617" stopIfTrue="1">
      <formula>$A700="enumerator"</formula>
    </cfRule>
  </conditionalFormatting>
  <conditionalFormatting sqref="B700:E700">
    <cfRule type="expression" dxfId="35" priority="1618" stopIfTrue="1">
      <formula>OR(AND(LEFT($A700, 14)="sensor_stream ", LEN($A700)&gt;14, NOT(ISNUMBER(SEARCH(" ", $A700, 15)))), AND(LEFT($A700, 17)="sensor_statistic ", LEN($A700)&gt;17, NOT(ISNUMBER(SEARCH(" ", $A700, 18)))))</formula>
    </cfRule>
  </conditionalFormatting>
  <conditionalFormatting sqref="B700:E700">
    <cfRule type="expression" dxfId="14" priority="1619" stopIfTrue="1">
      <formula>$A700="comments"</formula>
    </cfRule>
  </conditionalFormatting>
  <conditionalFormatting sqref="B700:E700">
    <cfRule type="expression" dxfId="15" priority="1620" stopIfTrue="1">
      <formula>OR($A700="audio", $A700="video")</formula>
    </cfRule>
  </conditionalFormatting>
  <conditionalFormatting sqref="B700:E700">
    <cfRule type="expression" dxfId="16" priority="1621" stopIfTrue="1">
      <formula>$A700="image"</formula>
    </cfRule>
  </conditionalFormatting>
  <conditionalFormatting sqref="B700:E700">
    <cfRule type="expression" dxfId="17" priority="1622" stopIfTrue="1">
      <formula>OR($A700="date", $A700="datetime", $A700="time")</formula>
    </cfRule>
  </conditionalFormatting>
  <conditionalFormatting sqref="B700:E700">
    <cfRule type="expression" dxfId="18" priority="1623" stopIfTrue="1">
      <formula>OR($A700="calculate", $A700="calculate_here")</formula>
    </cfRule>
  </conditionalFormatting>
  <conditionalFormatting sqref="B700:E700">
    <cfRule type="expression" dxfId="19" priority="1624" stopIfTrue="1">
      <formula>$A700="note"</formula>
    </cfRule>
  </conditionalFormatting>
  <conditionalFormatting sqref="B700:E700">
    <cfRule type="expression" dxfId="20" priority="1625" stopIfTrue="1">
      <formula>$A700="barcode"</formula>
    </cfRule>
  </conditionalFormatting>
  <conditionalFormatting sqref="B700:E700">
    <cfRule type="expression" dxfId="21" priority="1626" stopIfTrue="1">
      <formula>OR($A700="geopoint", $A700="geoshape", $A700="geotrace")</formula>
    </cfRule>
  </conditionalFormatting>
  <conditionalFormatting sqref="B700:E700">
    <cfRule type="expression" dxfId="22" priority="1627" stopIfTrue="1">
      <formula>OR($A700="audio audit", $A700="text audit", $A700="speed violations count", $A700="speed violations list", $A700="speed violations audit")</formula>
    </cfRule>
  </conditionalFormatting>
  <conditionalFormatting sqref="B700:E700">
    <cfRule type="expression" dxfId="23" priority="1628" stopIfTrue="1">
      <formula>OR($A700="username", $A700="phonenumber", $A700="start", $A700="end", $A700="deviceid", $A700="subscriberid", $A700="simserial", $A700="caseid")</formula>
    </cfRule>
  </conditionalFormatting>
  <conditionalFormatting sqref="B700:E700">
    <cfRule type="expression" dxfId="24" priority="1629" stopIfTrue="1">
      <formula>OR(AND(LEFT($A700, 16)="select_multiple ", LEN($A700)&gt;16, NOT(ISNUMBER(SEARCH(" ", $A700, 17)))), AND(LEFT($A700, 11)="select_one ", LEN($A700)&gt;11, NOT(ISNUMBER(SEARCH(" ", $A700, 12)))))</formula>
    </cfRule>
  </conditionalFormatting>
  <conditionalFormatting sqref="B700:E700">
    <cfRule type="expression" dxfId="25" priority="1630" stopIfTrue="1">
      <formula>$A700="decimal"</formula>
    </cfRule>
  </conditionalFormatting>
  <conditionalFormatting sqref="B700:E700">
    <cfRule type="expression" dxfId="26" priority="1631" stopIfTrue="1">
      <formula>$A700="integer"</formula>
    </cfRule>
  </conditionalFormatting>
  <conditionalFormatting sqref="B700:E700">
    <cfRule type="expression" dxfId="27" priority="1632" stopIfTrue="1">
      <formula>$A700="text"</formula>
    </cfRule>
  </conditionalFormatting>
  <conditionalFormatting sqref="B700:E700">
    <cfRule type="expression" dxfId="28" priority="1633" stopIfTrue="1">
      <formula>$A700="end repeat"</formula>
    </cfRule>
  </conditionalFormatting>
  <conditionalFormatting sqref="B700:E700">
    <cfRule type="expression" dxfId="28" priority="1634" stopIfTrue="1">
      <formula>$A700="begin repeat"</formula>
    </cfRule>
  </conditionalFormatting>
  <conditionalFormatting sqref="B700:E700">
    <cfRule type="expression" dxfId="29" priority="1635" stopIfTrue="1">
      <formula>$A700="end group"</formula>
    </cfRule>
  </conditionalFormatting>
  <conditionalFormatting sqref="B700:E700">
    <cfRule type="expression" dxfId="29" priority="1636" stopIfTrue="1">
      <formula>$A700="begin group"</formula>
    </cfRule>
  </conditionalFormatting>
  <conditionalFormatting sqref="B700">
    <cfRule type="expression" dxfId="30" priority="1637" stopIfTrue="1">
      <formula>$A700="comments"</formula>
    </cfRule>
  </conditionalFormatting>
  <conditionalFormatting sqref="B700">
    <cfRule type="expression" dxfId="36" priority="1638" stopIfTrue="1">
      <formula>OR(AND(LEFT($A700, 14)="sensor_stream ", LEN($A700)&gt;14, NOT(ISNUMBER(SEARCH(" ", $A700, 15)))), AND(LEFT($A700, 17)="sensor_statistic ", LEN($A700)&gt;17, NOT(ISNUMBER(SEARCH(" ", $A700, 18)))))</formula>
    </cfRule>
  </conditionalFormatting>
  <conditionalFormatting sqref="B693:C695 D693:E695">
    <cfRule type="expression" dxfId="0" priority="1639" stopIfTrue="1">
      <formula>$A693="begin group"</formula>
    </cfRule>
  </conditionalFormatting>
  <conditionalFormatting sqref="B693:C695 D693:E695">
    <cfRule type="expression" dxfId="1" priority="1640" stopIfTrue="1">
      <formula>$A693="begin repeat"</formula>
    </cfRule>
  </conditionalFormatting>
  <conditionalFormatting sqref="B693:E695">
    <cfRule type="expression" dxfId="31" priority="1641" stopIfTrue="1">
      <formula>$A693="enumerator"</formula>
    </cfRule>
  </conditionalFormatting>
  <conditionalFormatting sqref="B693:E695">
    <cfRule type="expression" dxfId="2" priority="1642" stopIfTrue="1">
      <formula>$A693="text"</formula>
    </cfRule>
  </conditionalFormatting>
  <conditionalFormatting sqref="B693:E695">
    <cfRule type="expression" dxfId="3" priority="1643" stopIfTrue="1">
      <formula>$A693="integer"</formula>
    </cfRule>
  </conditionalFormatting>
  <conditionalFormatting sqref="B693:E695">
    <cfRule type="expression" dxfId="4" priority="1644" stopIfTrue="1">
      <formula>$A693="decimal"</formula>
    </cfRule>
  </conditionalFormatting>
  <conditionalFormatting sqref="B693:C695 D693:E695">
    <cfRule type="expression" dxfId="5" priority="1645" stopIfTrue="1">
      <formula>OR(AND(LEFT($A693, 16)="select_multiple ", LEN($A693)&gt;16, NOT(ISNUMBER(SEARCH(" ", $A693, 17)))), AND(LEFT($A693, 11)="select_one ", LEN($A693)&gt;11, NOT(ISNUMBER(SEARCH(" ", $A693, 12)))))</formula>
    </cfRule>
  </conditionalFormatting>
  <conditionalFormatting sqref="B693:B695">
    <cfRule type="expression" dxfId="6" priority="1646" stopIfTrue="1">
      <formula>OR($A693="audio audit", $A693="text audit", $A693="speed violations count", $A693="speed violations list", $A693="speed violations audit")</formula>
    </cfRule>
  </conditionalFormatting>
  <conditionalFormatting sqref="B693:C695 D693:E695">
    <cfRule type="expression" dxfId="32" priority="1647" stopIfTrue="1">
      <formula>$A693="file"</formula>
    </cfRule>
  </conditionalFormatting>
  <conditionalFormatting sqref="B693:C695 D693:E695">
    <cfRule type="expression" dxfId="7" priority="1648" stopIfTrue="1">
      <formula>$A693="note"</formula>
    </cfRule>
  </conditionalFormatting>
  <conditionalFormatting sqref="B693:C695 D693:E695">
    <cfRule type="expression" dxfId="8" priority="1649" stopIfTrue="1">
      <formula>$A693="barcode"</formula>
    </cfRule>
  </conditionalFormatting>
  <conditionalFormatting sqref="B693:C695 D693:E695">
    <cfRule type="expression" dxfId="9" priority="1650" stopIfTrue="1">
      <formula>OR($A693="geopoint", $A693="geoshape", $A693="geotrace")</formula>
    </cfRule>
  </conditionalFormatting>
  <conditionalFormatting sqref="B693:B695">
    <cfRule type="expression" dxfId="10" priority="1651" stopIfTrue="1">
      <formula>OR($A693="calculate", $A693="calculate_here")</formula>
    </cfRule>
  </conditionalFormatting>
  <conditionalFormatting sqref="B693:C695 D693:E695">
    <cfRule type="expression" dxfId="11" priority="1652" stopIfTrue="1">
      <formula>OR($A693="date", $A693="datetime", $A693="time")</formula>
    </cfRule>
  </conditionalFormatting>
  <conditionalFormatting sqref="B693:C695 D693:E695">
    <cfRule type="expression" dxfId="12" priority="1653" stopIfTrue="1">
      <formula>$A693="image"</formula>
    </cfRule>
  </conditionalFormatting>
  <conditionalFormatting sqref="B693:C695 D693:E695">
    <cfRule type="expression" dxfId="13" priority="1654" stopIfTrue="1">
      <formula>OR($A693="audio", $A693="video")</formula>
    </cfRule>
  </conditionalFormatting>
  <conditionalFormatting sqref="B693:E695">
    <cfRule type="expression" dxfId="33" priority="1655" stopIfTrue="1">
      <formula>$A693="file"</formula>
    </cfRule>
  </conditionalFormatting>
  <conditionalFormatting sqref="B693:E695">
    <cfRule type="expression" dxfId="34" priority="1656" stopIfTrue="1">
      <formula>$A693="enumerator"</formula>
    </cfRule>
  </conditionalFormatting>
  <conditionalFormatting sqref="B693:E695">
    <cfRule type="expression" dxfId="35" priority="1657" stopIfTrue="1">
      <formula>OR(AND(LEFT($A693, 14)="sensor_stream ", LEN($A693)&gt;14, NOT(ISNUMBER(SEARCH(" ", $A693, 15)))), AND(LEFT($A693, 17)="sensor_statistic ", LEN($A693)&gt;17, NOT(ISNUMBER(SEARCH(" ", $A693, 18)))))</formula>
    </cfRule>
  </conditionalFormatting>
  <conditionalFormatting sqref="B693:E695">
    <cfRule type="expression" dxfId="14" priority="1658" stopIfTrue="1">
      <formula>$A693="comments"</formula>
    </cfRule>
  </conditionalFormatting>
  <conditionalFormatting sqref="B693:E695">
    <cfRule type="expression" dxfId="15" priority="1659" stopIfTrue="1">
      <formula>OR($A693="audio", $A693="video")</formula>
    </cfRule>
  </conditionalFormatting>
  <conditionalFormatting sqref="B693:E695">
    <cfRule type="expression" dxfId="16" priority="1660" stopIfTrue="1">
      <formula>$A693="image"</formula>
    </cfRule>
  </conditionalFormatting>
  <conditionalFormatting sqref="B693:E695">
    <cfRule type="expression" dxfId="17" priority="1661" stopIfTrue="1">
      <formula>OR($A693="date", $A693="datetime", $A693="time")</formula>
    </cfRule>
  </conditionalFormatting>
  <conditionalFormatting sqref="B693:E695">
    <cfRule type="expression" dxfId="18" priority="1662" stopIfTrue="1">
      <formula>OR($A693="calculate", $A693="calculate_here")</formula>
    </cfRule>
  </conditionalFormatting>
  <conditionalFormatting sqref="B693:E695">
    <cfRule type="expression" dxfId="19" priority="1663" stopIfTrue="1">
      <formula>$A693="note"</formula>
    </cfRule>
  </conditionalFormatting>
  <conditionalFormatting sqref="B693:E695">
    <cfRule type="expression" dxfId="20" priority="1664" stopIfTrue="1">
      <formula>$A693="barcode"</formula>
    </cfRule>
  </conditionalFormatting>
  <conditionalFormatting sqref="B693:E695">
    <cfRule type="expression" dxfId="21" priority="1665" stopIfTrue="1">
      <formula>OR($A693="geopoint", $A693="geoshape", $A693="geotrace")</formula>
    </cfRule>
  </conditionalFormatting>
  <conditionalFormatting sqref="B693:E695">
    <cfRule type="expression" dxfId="22" priority="1666" stopIfTrue="1">
      <formula>OR($A693="audio audit", $A693="text audit", $A693="speed violations count", $A693="speed violations list", $A693="speed violations audit")</formula>
    </cfRule>
  </conditionalFormatting>
  <conditionalFormatting sqref="B693:E695">
    <cfRule type="expression" dxfId="23" priority="1667" stopIfTrue="1">
      <formula>OR($A693="username", $A693="phonenumber", $A693="start", $A693="end", $A693="deviceid", $A693="subscriberid", $A693="simserial", $A693="caseid")</formula>
    </cfRule>
  </conditionalFormatting>
  <conditionalFormatting sqref="B693:E695">
    <cfRule type="expression" dxfId="24" priority="1668" stopIfTrue="1">
      <formula>OR(AND(LEFT($A693, 16)="select_multiple ", LEN($A693)&gt;16, NOT(ISNUMBER(SEARCH(" ", $A693, 17)))), AND(LEFT($A693, 11)="select_one ", LEN($A693)&gt;11, NOT(ISNUMBER(SEARCH(" ", $A693, 12)))))</formula>
    </cfRule>
  </conditionalFormatting>
  <conditionalFormatting sqref="B693:E695">
    <cfRule type="expression" dxfId="25" priority="1669" stopIfTrue="1">
      <formula>$A693="decimal"</formula>
    </cfRule>
  </conditionalFormatting>
  <conditionalFormatting sqref="B693:E695">
    <cfRule type="expression" dxfId="26" priority="1670" stopIfTrue="1">
      <formula>$A693="integer"</formula>
    </cfRule>
  </conditionalFormatting>
  <conditionalFormatting sqref="B693:E695">
    <cfRule type="expression" dxfId="27" priority="1671" stopIfTrue="1">
      <formula>$A693="text"</formula>
    </cfRule>
  </conditionalFormatting>
  <conditionalFormatting sqref="B693:E695">
    <cfRule type="expression" dxfId="28" priority="1672" stopIfTrue="1">
      <formula>$A693="end repeat"</formula>
    </cfRule>
  </conditionalFormatting>
  <conditionalFormatting sqref="B693:E695">
    <cfRule type="expression" dxfId="28" priority="1673" stopIfTrue="1">
      <formula>$A693="begin repeat"</formula>
    </cfRule>
  </conditionalFormatting>
  <conditionalFormatting sqref="B693:E695">
    <cfRule type="expression" dxfId="29" priority="1674" stopIfTrue="1">
      <formula>$A693="end group"</formula>
    </cfRule>
  </conditionalFormatting>
  <conditionalFormatting sqref="B693:E695">
    <cfRule type="expression" dxfId="29" priority="1675" stopIfTrue="1">
      <formula>$A693="begin group"</formula>
    </cfRule>
  </conditionalFormatting>
  <conditionalFormatting sqref="B693:B695">
    <cfRule type="expression" dxfId="30" priority="1676" stopIfTrue="1">
      <formula>$A693="comments"</formula>
    </cfRule>
  </conditionalFormatting>
  <conditionalFormatting sqref="B693:B695">
    <cfRule type="expression" dxfId="36" priority="1677" stopIfTrue="1">
      <formula>OR(AND(LEFT($A693, 14)="sensor_stream ", LEN($A693)&gt;14, NOT(ISNUMBER(SEARCH(" ", $A693, 15)))), AND(LEFT($A693, 17)="sensor_statistic ", LEN($A693)&gt;17, NOT(ISNUMBER(SEARCH(" ", $A693, 18)))))</formula>
    </cfRule>
  </conditionalFormatting>
  <conditionalFormatting sqref="B683:C687 D683:E687">
    <cfRule type="expression" dxfId="0" priority="1678" stopIfTrue="1">
      <formula>$A683="begin group"</formula>
    </cfRule>
  </conditionalFormatting>
  <conditionalFormatting sqref="B683:C687 D683:E687">
    <cfRule type="expression" dxfId="1" priority="1679" stopIfTrue="1">
      <formula>$A683="begin repeat"</formula>
    </cfRule>
  </conditionalFormatting>
  <conditionalFormatting sqref="B683:E687">
    <cfRule type="expression" dxfId="31" priority="1680" stopIfTrue="1">
      <formula>$A683="enumerator"</formula>
    </cfRule>
  </conditionalFormatting>
  <conditionalFormatting sqref="B683:E687">
    <cfRule type="expression" dxfId="2" priority="1681" stopIfTrue="1">
      <formula>$A683="text"</formula>
    </cfRule>
  </conditionalFormatting>
  <conditionalFormatting sqref="B683:E687">
    <cfRule type="expression" dxfId="3" priority="1682" stopIfTrue="1">
      <formula>$A683="integer"</formula>
    </cfRule>
  </conditionalFormatting>
  <conditionalFormatting sqref="B683:E687">
    <cfRule type="expression" dxfId="4" priority="1683" stopIfTrue="1">
      <formula>$A683="decimal"</formula>
    </cfRule>
  </conditionalFormatting>
  <conditionalFormatting sqref="B683:C687 D683:E687">
    <cfRule type="expression" dxfId="5" priority="1684" stopIfTrue="1">
      <formula>OR(AND(LEFT($A683, 16)="select_multiple ", LEN($A683)&gt;16, NOT(ISNUMBER(SEARCH(" ", $A683, 17)))), AND(LEFT($A683, 11)="select_one ", LEN($A683)&gt;11, NOT(ISNUMBER(SEARCH(" ", $A683, 12)))))</formula>
    </cfRule>
  </conditionalFormatting>
  <conditionalFormatting sqref="B683:B687">
    <cfRule type="expression" dxfId="6" priority="1685" stopIfTrue="1">
      <formula>OR($A683="audio audit", $A683="text audit", $A683="speed violations count", $A683="speed violations list", $A683="speed violations audit")</formula>
    </cfRule>
  </conditionalFormatting>
  <conditionalFormatting sqref="B683:C687 D683:E687">
    <cfRule type="expression" dxfId="32" priority="1686" stopIfTrue="1">
      <formula>$A683="file"</formula>
    </cfRule>
  </conditionalFormatting>
  <conditionalFormatting sqref="B683:C687 D683:E687">
    <cfRule type="expression" dxfId="7" priority="1687" stopIfTrue="1">
      <formula>$A683="note"</formula>
    </cfRule>
  </conditionalFormatting>
  <conditionalFormatting sqref="B683:C687 D683:E687">
    <cfRule type="expression" dxfId="8" priority="1688" stopIfTrue="1">
      <formula>$A683="barcode"</formula>
    </cfRule>
  </conditionalFormatting>
  <conditionalFormatting sqref="B683:C687 D683:E687">
    <cfRule type="expression" dxfId="9" priority="1689" stopIfTrue="1">
      <formula>OR($A683="geopoint", $A683="geoshape", $A683="geotrace")</formula>
    </cfRule>
  </conditionalFormatting>
  <conditionalFormatting sqref="B683:B687">
    <cfRule type="expression" dxfId="10" priority="1690" stopIfTrue="1">
      <formula>OR($A683="calculate", $A683="calculate_here")</formula>
    </cfRule>
  </conditionalFormatting>
  <conditionalFormatting sqref="B683:C687 D683:E687">
    <cfRule type="expression" dxfId="11" priority="1691" stopIfTrue="1">
      <formula>OR($A683="date", $A683="datetime", $A683="time")</formula>
    </cfRule>
  </conditionalFormatting>
  <conditionalFormatting sqref="B683:C687 D683:E687">
    <cfRule type="expression" dxfId="12" priority="1692" stopIfTrue="1">
      <formula>$A683="image"</formula>
    </cfRule>
  </conditionalFormatting>
  <conditionalFormatting sqref="B683:C687 D683:E687">
    <cfRule type="expression" dxfId="13" priority="1693" stopIfTrue="1">
      <formula>OR($A683="audio", $A683="video")</formula>
    </cfRule>
  </conditionalFormatting>
  <conditionalFormatting sqref="B683:E687">
    <cfRule type="expression" dxfId="33" priority="1694" stopIfTrue="1">
      <formula>$A683="file"</formula>
    </cfRule>
  </conditionalFormatting>
  <conditionalFormatting sqref="B683:E687">
    <cfRule type="expression" dxfId="34" priority="1695" stopIfTrue="1">
      <formula>$A683="enumerator"</formula>
    </cfRule>
  </conditionalFormatting>
  <conditionalFormatting sqref="B683:E687">
    <cfRule type="expression" dxfId="35" priority="1696" stopIfTrue="1">
      <formula>OR(AND(LEFT($A683, 14)="sensor_stream ", LEN($A683)&gt;14, NOT(ISNUMBER(SEARCH(" ", $A683, 15)))), AND(LEFT($A683, 17)="sensor_statistic ", LEN($A683)&gt;17, NOT(ISNUMBER(SEARCH(" ", $A683, 18)))))</formula>
    </cfRule>
  </conditionalFormatting>
  <conditionalFormatting sqref="B683:E687">
    <cfRule type="expression" dxfId="14" priority="1697" stopIfTrue="1">
      <formula>$A683="comments"</formula>
    </cfRule>
  </conditionalFormatting>
  <conditionalFormatting sqref="B683:E687">
    <cfRule type="expression" dxfId="15" priority="1698" stopIfTrue="1">
      <formula>OR($A683="audio", $A683="video")</formula>
    </cfRule>
  </conditionalFormatting>
  <conditionalFormatting sqref="B683:E687">
    <cfRule type="expression" dxfId="16" priority="1699" stopIfTrue="1">
      <formula>$A683="image"</formula>
    </cfRule>
  </conditionalFormatting>
  <conditionalFormatting sqref="B683:E687">
    <cfRule type="expression" dxfId="17" priority="1700" stopIfTrue="1">
      <formula>OR($A683="date", $A683="datetime", $A683="time")</formula>
    </cfRule>
  </conditionalFormatting>
  <conditionalFormatting sqref="B683:E687">
    <cfRule type="expression" dxfId="18" priority="1701" stopIfTrue="1">
      <formula>OR($A683="calculate", $A683="calculate_here")</formula>
    </cfRule>
  </conditionalFormatting>
  <conditionalFormatting sqref="B683:E687">
    <cfRule type="expression" dxfId="19" priority="1702" stopIfTrue="1">
      <formula>$A683="note"</formula>
    </cfRule>
  </conditionalFormatting>
  <conditionalFormatting sqref="B683:E687">
    <cfRule type="expression" dxfId="20" priority="1703" stopIfTrue="1">
      <formula>$A683="barcode"</formula>
    </cfRule>
  </conditionalFormatting>
  <conditionalFormatting sqref="B683:E687">
    <cfRule type="expression" dxfId="21" priority="1704" stopIfTrue="1">
      <formula>OR($A683="geopoint", $A683="geoshape", $A683="geotrace")</formula>
    </cfRule>
  </conditionalFormatting>
  <conditionalFormatting sqref="B683:E687">
    <cfRule type="expression" dxfId="22" priority="1705" stopIfTrue="1">
      <formula>OR($A683="audio audit", $A683="text audit", $A683="speed violations count", $A683="speed violations list", $A683="speed violations audit")</formula>
    </cfRule>
  </conditionalFormatting>
  <conditionalFormatting sqref="B683:E687">
    <cfRule type="expression" dxfId="23" priority="1706" stopIfTrue="1">
      <formula>OR($A683="username", $A683="phonenumber", $A683="start", $A683="end", $A683="deviceid", $A683="subscriberid", $A683="simserial", $A683="caseid")</formula>
    </cfRule>
  </conditionalFormatting>
  <conditionalFormatting sqref="B683:E687">
    <cfRule type="expression" dxfId="24" priority="1707" stopIfTrue="1">
      <formula>OR(AND(LEFT($A683, 16)="select_multiple ", LEN($A683)&gt;16, NOT(ISNUMBER(SEARCH(" ", $A683, 17)))), AND(LEFT($A683, 11)="select_one ", LEN($A683)&gt;11, NOT(ISNUMBER(SEARCH(" ", $A683, 12)))))</formula>
    </cfRule>
  </conditionalFormatting>
  <conditionalFormatting sqref="B683:E687">
    <cfRule type="expression" dxfId="25" priority="1708" stopIfTrue="1">
      <formula>$A683="decimal"</formula>
    </cfRule>
  </conditionalFormatting>
  <conditionalFormatting sqref="B683:E687">
    <cfRule type="expression" dxfId="26" priority="1709" stopIfTrue="1">
      <formula>$A683="integer"</formula>
    </cfRule>
  </conditionalFormatting>
  <conditionalFormatting sqref="B683:E687">
    <cfRule type="expression" dxfId="27" priority="1710" stopIfTrue="1">
      <formula>$A683="text"</formula>
    </cfRule>
  </conditionalFormatting>
  <conditionalFormatting sqref="B683:E687">
    <cfRule type="expression" dxfId="28" priority="1711" stopIfTrue="1">
      <formula>$A683="end repeat"</formula>
    </cfRule>
  </conditionalFormatting>
  <conditionalFormatting sqref="B683:E687">
    <cfRule type="expression" dxfId="28" priority="1712" stopIfTrue="1">
      <formula>$A683="begin repeat"</formula>
    </cfRule>
  </conditionalFormatting>
  <conditionalFormatting sqref="B683:E687">
    <cfRule type="expression" dxfId="29" priority="1713" stopIfTrue="1">
      <formula>$A683="end group"</formula>
    </cfRule>
  </conditionalFormatting>
  <conditionalFormatting sqref="B683:E687">
    <cfRule type="expression" dxfId="29" priority="1714" stopIfTrue="1">
      <formula>$A683="begin group"</formula>
    </cfRule>
  </conditionalFormatting>
  <conditionalFormatting sqref="B683:B687">
    <cfRule type="expression" dxfId="30" priority="1715" stopIfTrue="1">
      <formula>$A683="comments"</formula>
    </cfRule>
  </conditionalFormatting>
  <conditionalFormatting sqref="B683:B687">
    <cfRule type="expression" dxfId="36" priority="1716" stopIfTrue="1">
      <formula>OR(AND(LEFT($A683, 14)="sensor_stream ", LEN($A683)&gt;14, NOT(ISNUMBER(SEARCH(" ", $A683, 15)))), AND(LEFT($A683, 17)="sensor_statistic ", LEN($A683)&gt;17, NOT(ISNUMBER(SEARCH(" ", $A683, 18)))))</formula>
    </cfRule>
  </conditionalFormatting>
  <conditionalFormatting sqref="B677:C678 D677:E678">
    <cfRule type="expression" dxfId="0" priority="1717" stopIfTrue="1">
      <formula>$A677="begin group"</formula>
    </cfRule>
  </conditionalFormatting>
  <conditionalFormatting sqref="B677:C678 D677:E678">
    <cfRule type="expression" dxfId="1" priority="1718" stopIfTrue="1">
      <formula>$A677="begin repeat"</formula>
    </cfRule>
  </conditionalFormatting>
  <conditionalFormatting sqref="B677:E678">
    <cfRule type="expression" dxfId="31" priority="1719" stopIfTrue="1">
      <formula>$A677="enumerator"</formula>
    </cfRule>
  </conditionalFormatting>
  <conditionalFormatting sqref="B677:E678">
    <cfRule type="expression" dxfId="2" priority="1720" stopIfTrue="1">
      <formula>$A677="text"</formula>
    </cfRule>
  </conditionalFormatting>
  <conditionalFormatting sqref="B677:E678">
    <cfRule type="expression" dxfId="3" priority="1721" stopIfTrue="1">
      <formula>$A677="integer"</formula>
    </cfRule>
  </conditionalFormatting>
  <conditionalFormatting sqref="B677:E678">
    <cfRule type="expression" dxfId="4" priority="1722" stopIfTrue="1">
      <formula>$A677="decimal"</formula>
    </cfRule>
  </conditionalFormatting>
  <conditionalFormatting sqref="B677:C678 D677:E678">
    <cfRule type="expression" dxfId="5" priority="1723" stopIfTrue="1">
      <formula>OR(AND(LEFT($A677, 16)="select_multiple ", LEN($A677)&gt;16, NOT(ISNUMBER(SEARCH(" ", $A677, 17)))), AND(LEFT($A677, 11)="select_one ", LEN($A677)&gt;11, NOT(ISNUMBER(SEARCH(" ", $A677, 12)))))</formula>
    </cfRule>
  </conditionalFormatting>
  <conditionalFormatting sqref="B677:B678">
    <cfRule type="expression" dxfId="6" priority="1724" stopIfTrue="1">
      <formula>OR($A677="audio audit", $A677="text audit", $A677="speed violations count", $A677="speed violations list", $A677="speed violations audit")</formula>
    </cfRule>
  </conditionalFormatting>
  <conditionalFormatting sqref="B677:C678 D677:E678">
    <cfRule type="expression" dxfId="32" priority="1725" stopIfTrue="1">
      <formula>$A677="file"</formula>
    </cfRule>
  </conditionalFormatting>
  <conditionalFormatting sqref="B677:C678 D677:E678">
    <cfRule type="expression" dxfId="7" priority="1726" stopIfTrue="1">
      <formula>$A677="note"</formula>
    </cfRule>
  </conditionalFormatting>
  <conditionalFormatting sqref="B677:C678 D677:E678">
    <cfRule type="expression" dxfId="8" priority="1727" stopIfTrue="1">
      <formula>$A677="barcode"</formula>
    </cfRule>
  </conditionalFormatting>
  <conditionalFormatting sqref="B677:C678 D677:E678">
    <cfRule type="expression" dxfId="9" priority="1728" stopIfTrue="1">
      <formula>OR($A677="geopoint", $A677="geoshape", $A677="geotrace")</formula>
    </cfRule>
  </conditionalFormatting>
  <conditionalFormatting sqref="B677:B678">
    <cfRule type="expression" dxfId="10" priority="1729" stopIfTrue="1">
      <formula>OR($A677="calculate", $A677="calculate_here")</formula>
    </cfRule>
  </conditionalFormatting>
  <conditionalFormatting sqref="B677:C678 D677:E678">
    <cfRule type="expression" dxfId="11" priority="1730" stopIfTrue="1">
      <formula>OR($A677="date", $A677="datetime", $A677="time")</formula>
    </cfRule>
  </conditionalFormatting>
  <conditionalFormatting sqref="B677:C678 D677:E678">
    <cfRule type="expression" dxfId="12" priority="1731" stopIfTrue="1">
      <formula>$A677="image"</formula>
    </cfRule>
  </conditionalFormatting>
  <conditionalFormatting sqref="B677:C678 D677:E678">
    <cfRule type="expression" dxfId="13" priority="1732" stopIfTrue="1">
      <formula>OR($A677="audio", $A677="video")</formula>
    </cfRule>
  </conditionalFormatting>
  <conditionalFormatting sqref="B677:E678">
    <cfRule type="expression" dxfId="33" priority="1733" stopIfTrue="1">
      <formula>$A677="file"</formula>
    </cfRule>
  </conditionalFormatting>
  <conditionalFormatting sqref="B677:E678">
    <cfRule type="expression" dxfId="34" priority="1734" stopIfTrue="1">
      <formula>$A677="enumerator"</formula>
    </cfRule>
  </conditionalFormatting>
  <conditionalFormatting sqref="B677:E678">
    <cfRule type="expression" dxfId="35" priority="1735" stopIfTrue="1">
      <formula>OR(AND(LEFT($A677, 14)="sensor_stream ", LEN($A677)&gt;14, NOT(ISNUMBER(SEARCH(" ", $A677, 15)))), AND(LEFT($A677, 17)="sensor_statistic ", LEN($A677)&gt;17, NOT(ISNUMBER(SEARCH(" ", $A677, 18)))))</formula>
    </cfRule>
  </conditionalFormatting>
  <conditionalFormatting sqref="B677:E678">
    <cfRule type="expression" dxfId="14" priority="1736" stopIfTrue="1">
      <formula>$A677="comments"</formula>
    </cfRule>
  </conditionalFormatting>
  <conditionalFormatting sqref="B677:E678">
    <cfRule type="expression" dxfId="15" priority="1737" stopIfTrue="1">
      <formula>OR($A677="audio", $A677="video")</formula>
    </cfRule>
  </conditionalFormatting>
  <conditionalFormatting sqref="B677:E678">
    <cfRule type="expression" dxfId="16" priority="1738" stopIfTrue="1">
      <formula>$A677="image"</formula>
    </cfRule>
  </conditionalFormatting>
  <conditionalFormatting sqref="B677:E678">
    <cfRule type="expression" dxfId="17" priority="1739" stopIfTrue="1">
      <formula>OR($A677="date", $A677="datetime", $A677="time")</formula>
    </cfRule>
  </conditionalFormatting>
  <conditionalFormatting sqref="B677:E678">
    <cfRule type="expression" dxfId="18" priority="1740" stopIfTrue="1">
      <formula>OR($A677="calculate", $A677="calculate_here")</formula>
    </cfRule>
  </conditionalFormatting>
  <conditionalFormatting sqref="B677:E678">
    <cfRule type="expression" dxfId="19" priority="1741" stopIfTrue="1">
      <formula>$A677="note"</formula>
    </cfRule>
  </conditionalFormatting>
  <conditionalFormatting sqref="B677:E678">
    <cfRule type="expression" dxfId="20" priority="1742" stopIfTrue="1">
      <formula>$A677="barcode"</formula>
    </cfRule>
  </conditionalFormatting>
  <conditionalFormatting sqref="B677:E678">
    <cfRule type="expression" dxfId="21" priority="1743" stopIfTrue="1">
      <formula>OR($A677="geopoint", $A677="geoshape", $A677="geotrace")</formula>
    </cfRule>
  </conditionalFormatting>
  <conditionalFormatting sqref="B677:E678">
    <cfRule type="expression" dxfId="22" priority="1744" stopIfTrue="1">
      <formula>OR($A677="audio audit", $A677="text audit", $A677="speed violations count", $A677="speed violations list", $A677="speed violations audit")</formula>
    </cfRule>
  </conditionalFormatting>
  <conditionalFormatting sqref="B677:E678">
    <cfRule type="expression" dxfId="23" priority="1745" stopIfTrue="1">
      <formula>OR($A677="username", $A677="phonenumber", $A677="start", $A677="end", $A677="deviceid", $A677="subscriberid", $A677="simserial", $A677="caseid")</formula>
    </cfRule>
  </conditionalFormatting>
  <conditionalFormatting sqref="B677:E678">
    <cfRule type="expression" dxfId="24" priority="1746" stopIfTrue="1">
      <formula>OR(AND(LEFT($A677, 16)="select_multiple ", LEN($A677)&gt;16, NOT(ISNUMBER(SEARCH(" ", $A677, 17)))), AND(LEFT($A677, 11)="select_one ", LEN($A677)&gt;11, NOT(ISNUMBER(SEARCH(" ", $A677, 12)))))</formula>
    </cfRule>
  </conditionalFormatting>
  <conditionalFormatting sqref="B677:E678">
    <cfRule type="expression" dxfId="25" priority="1747" stopIfTrue="1">
      <formula>$A677="decimal"</formula>
    </cfRule>
  </conditionalFormatting>
  <conditionalFormatting sqref="B677:E678">
    <cfRule type="expression" dxfId="26" priority="1748" stopIfTrue="1">
      <formula>$A677="integer"</formula>
    </cfRule>
  </conditionalFormatting>
  <conditionalFormatting sqref="B677:E678">
    <cfRule type="expression" dxfId="27" priority="1749" stopIfTrue="1">
      <formula>$A677="text"</formula>
    </cfRule>
  </conditionalFormatting>
  <conditionalFormatting sqref="B677:E678">
    <cfRule type="expression" dxfId="28" priority="1750" stopIfTrue="1">
      <formula>$A677="end repeat"</formula>
    </cfRule>
  </conditionalFormatting>
  <conditionalFormatting sqref="B677:E678">
    <cfRule type="expression" dxfId="28" priority="1751" stopIfTrue="1">
      <formula>$A677="begin repeat"</formula>
    </cfRule>
  </conditionalFormatting>
  <conditionalFormatting sqref="B677:E678">
    <cfRule type="expression" dxfId="29" priority="1752" stopIfTrue="1">
      <formula>$A677="end group"</formula>
    </cfRule>
  </conditionalFormatting>
  <conditionalFormatting sqref="B677:E678">
    <cfRule type="expression" dxfId="29" priority="1753" stopIfTrue="1">
      <formula>$A677="begin group"</formula>
    </cfRule>
  </conditionalFormatting>
  <conditionalFormatting sqref="B677:B678">
    <cfRule type="expression" dxfId="30" priority="1754" stopIfTrue="1">
      <formula>$A677="comments"</formula>
    </cfRule>
  </conditionalFormatting>
  <conditionalFormatting sqref="B677:B678">
    <cfRule type="expression" dxfId="36" priority="1755" stopIfTrue="1">
      <formula>OR(AND(LEFT($A677, 14)="sensor_stream ", LEN($A677)&gt;14, NOT(ISNUMBER(SEARCH(" ", $A677, 15)))), AND(LEFT($A677, 17)="sensor_statistic ", LEN($A677)&gt;17, NOT(ISNUMBER(SEARCH(" ", $A677, 18)))))</formula>
    </cfRule>
  </conditionalFormatting>
  <conditionalFormatting sqref="B673:C675 D673:E675">
    <cfRule type="expression" dxfId="0" priority="1756" stopIfTrue="1">
      <formula>$A673="begin group"</formula>
    </cfRule>
  </conditionalFormatting>
  <conditionalFormatting sqref="B673:C675 D673:E675">
    <cfRule type="expression" dxfId="1" priority="1757" stopIfTrue="1">
      <formula>$A673="begin repeat"</formula>
    </cfRule>
  </conditionalFormatting>
  <conditionalFormatting sqref="B673:E675">
    <cfRule type="expression" dxfId="31" priority="1758" stopIfTrue="1">
      <formula>$A673="enumerator"</formula>
    </cfRule>
  </conditionalFormatting>
  <conditionalFormatting sqref="B673:E675">
    <cfRule type="expression" dxfId="2" priority="1759" stopIfTrue="1">
      <formula>$A673="text"</formula>
    </cfRule>
  </conditionalFormatting>
  <conditionalFormatting sqref="B673:E675">
    <cfRule type="expression" dxfId="3" priority="1760" stopIfTrue="1">
      <formula>$A673="integer"</formula>
    </cfRule>
  </conditionalFormatting>
  <conditionalFormatting sqref="B673:E675">
    <cfRule type="expression" dxfId="4" priority="1761" stopIfTrue="1">
      <formula>$A673="decimal"</formula>
    </cfRule>
  </conditionalFormatting>
  <conditionalFormatting sqref="B673:C675 D673:E675">
    <cfRule type="expression" dxfId="5" priority="1762" stopIfTrue="1">
      <formula>OR(AND(LEFT($A673, 16)="select_multiple ", LEN($A673)&gt;16, NOT(ISNUMBER(SEARCH(" ", $A673, 17)))), AND(LEFT($A673, 11)="select_one ", LEN($A673)&gt;11, NOT(ISNUMBER(SEARCH(" ", $A673, 12)))))</formula>
    </cfRule>
  </conditionalFormatting>
  <conditionalFormatting sqref="B673:B675">
    <cfRule type="expression" dxfId="6" priority="1763" stopIfTrue="1">
      <formula>OR($A673="audio audit", $A673="text audit", $A673="speed violations count", $A673="speed violations list", $A673="speed violations audit")</formula>
    </cfRule>
  </conditionalFormatting>
  <conditionalFormatting sqref="B673:C675 D673:E675">
    <cfRule type="expression" dxfId="32" priority="1764" stopIfTrue="1">
      <formula>$A673="file"</formula>
    </cfRule>
  </conditionalFormatting>
  <conditionalFormatting sqref="B673:C675 D673:E675">
    <cfRule type="expression" dxfId="7" priority="1765" stopIfTrue="1">
      <formula>$A673="note"</formula>
    </cfRule>
  </conditionalFormatting>
  <conditionalFormatting sqref="B673:C675 D673:E675">
    <cfRule type="expression" dxfId="8" priority="1766" stopIfTrue="1">
      <formula>$A673="barcode"</formula>
    </cfRule>
  </conditionalFormatting>
  <conditionalFormatting sqref="B673:C675 D673:E675">
    <cfRule type="expression" dxfId="9" priority="1767" stopIfTrue="1">
      <formula>OR($A673="geopoint", $A673="geoshape", $A673="geotrace")</formula>
    </cfRule>
  </conditionalFormatting>
  <conditionalFormatting sqref="B673:B675">
    <cfRule type="expression" dxfId="10" priority="1768" stopIfTrue="1">
      <formula>OR($A673="calculate", $A673="calculate_here")</formula>
    </cfRule>
  </conditionalFormatting>
  <conditionalFormatting sqref="B673:C675 D673:E675">
    <cfRule type="expression" dxfId="11" priority="1769" stopIfTrue="1">
      <formula>OR($A673="date", $A673="datetime", $A673="time")</formula>
    </cfRule>
  </conditionalFormatting>
  <conditionalFormatting sqref="B673:C675 D673:E675">
    <cfRule type="expression" dxfId="12" priority="1770" stopIfTrue="1">
      <formula>$A673="image"</formula>
    </cfRule>
  </conditionalFormatting>
  <conditionalFormatting sqref="B673:C675 D673:E675">
    <cfRule type="expression" dxfId="13" priority="1771" stopIfTrue="1">
      <formula>OR($A673="audio", $A673="video")</formula>
    </cfRule>
  </conditionalFormatting>
  <conditionalFormatting sqref="B673:E675">
    <cfRule type="expression" dxfId="33" priority="1772" stopIfTrue="1">
      <formula>$A673="file"</formula>
    </cfRule>
  </conditionalFormatting>
  <conditionalFormatting sqref="B673:E675">
    <cfRule type="expression" dxfId="34" priority="1773" stopIfTrue="1">
      <formula>$A673="enumerator"</formula>
    </cfRule>
  </conditionalFormatting>
  <conditionalFormatting sqref="B673:E675">
    <cfRule type="expression" dxfId="35" priority="1774" stopIfTrue="1">
      <formula>OR(AND(LEFT($A673, 14)="sensor_stream ", LEN($A673)&gt;14, NOT(ISNUMBER(SEARCH(" ", $A673, 15)))), AND(LEFT($A673, 17)="sensor_statistic ", LEN($A673)&gt;17, NOT(ISNUMBER(SEARCH(" ", $A673, 18)))))</formula>
    </cfRule>
  </conditionalFormatting>
  <conditionalFormatting sqref="B673:E675">
    <cfRule type="expression" dxfId="14" priority="1775" stopIfTrue="1">
      <formula>$A673="comments"</formula>
    </cfRule>
  </conditionalFormatting>
  <conditionalFormatting sqref="B673:E675">
    <cfRule type="expression" dxfId="15" priority="1776" stopIfTrue="1">
      <formula>OR($A673="audio", $A673="video")</formula>
    </cfRule>
  </conditionalFormatting>
  <conditionalFormatting sqref="B673:E675">
    <cfRule type="expression" dxfId="16" priority="1777" stopIfTrue="1">
      <formula>$A673="image"</formula>
    </cfRule>
  </conditionalFormatting>
  <conditionalFormatting sqref="B673:E675">
    <cfRule type="expression" dxfId="17" priority="1778" stopIfTrue="1">
      <formula>OR($A673="date", $A673="datetime", $A673="time")</formula>
    </cfRule>
  </conditionalFormatting>
  <conditionalFormatting sqref="B673:E675">
    <cfRule type="expression" dxfId="18" priority="1779" stopIfTrue="1">
      <formula>OR($A673="calculate", $A673="calculate_here")</formula>
    </cfRule>
  </conditionalFormatting>
  <conditionalFormatting sqref="B673:E675">
    <cfRule type="expression" dxfId="19" priority="1780" stopIfTrue="1">
      <formula>$A673="note"</formula>
    </cfRule>
  </conditionalFormatting>
  <conditionalFormatting sqref="B673:E675">
    <cfRule type="expression" dxfId="20" priority="1781" stopIfTrue="1">
      <formula>$A673="barcode"</formula>
    </cfRule>
  </conditionalFormatting>
  <conditionalFormatting sqref="B673:E675">
    <cfRule type="expression" dxfId="21" priority="1782" stopIfTrue="1">
      <formula>OR($A673="geopoint", $A673="geoshape", $A673="geotrace")</formula>
    </cfRule>
  </conditionalFormatting>
  <conditionalFormatting sqref="B673:E675">
    <cfRule type="expression" dxfId="22" priority="1783" stopIfTrue="1">
      <formula>OR($A673="audio audit", $A673="text audit", $A673="speed violations count", $A673="speed violations list", $A673="speed violations audit")</formula>
    </cfRule>
  </conditionalFormatting>
  <conditionalFormatting sqref="B673:E675">
    <cfRule type="expression" dxfId="23" priority="1784" stopIfTrue="1">
      <formula>OR($A673="username", $A673="phonenumber", $A673="start", $A673="end", $A673="deviceid", $A673="subscriberid", $A673="simserial", $A673="caseid")</formula>
    </cfRule>
  </conditionalFormatting>
  <conditionalFormatting sqref="B673:E675">
    <cfRule type="expression" dxfId="24" priority="1785" stopIfTrue="1">
      <formula>OR(AND(LEFT($A673, 16)="select_multiple ", LEN($A673)&gt;16, NOT(ISNUMBER(SEARCH(" ", $A673, 17)))), AND(LEFT($A673, 11)="select_one ", LEN($A673)&gt;11, NOT(ISNUMBER(SEARCH(" ", $A673, 12)))))</formula>
    </cfRule>
  </conditionalFormatting>
  <conditionalFormatting sqref="B673:E675">
    <cfRule type="expression" dxfId="25" priority="1786" stopIfTrue="1">
      <formula>$A673="decimal"</formula>
    </cfRule>
  </conditionalFormatting>
  <conditionalFormatting sqref="B673:E675">
    <cfRule type="expression" dxfId="26" priority="1787" stopIfTrue="1">
      <formula>$A673="integer"</formula>
    </cfRule>
  </conditionalFormatting>
  <conditionalFormatting sqref="B673:E675">
    <cfRule type="expression" dxfId="27" priority="1788" stopIfTrue="1">
      <formula>$A673="text"</formula>
    </cfRule>
  </conditionalFormatting>
  <conditionalFormatting sqref="B673:E675">
    <cfRule type="expression" dxfId="28" priority="1789" stopIfTrue="1">
      <formula>$A673="end repeat"</formula>
    </cfRule>
  </conditionalFormatting>
  <conditionalFormatting sqref="B673:E675">
    <cfRule type="expression" dxfId="28" priority="1790" stopIfTrue="1">
      <formula>$A673="begin repeat"</formula>
    </cfRule>
  </conditionalFormatting>
  <conditionalFormatting sqref="B673:E675">
    <cfRule type="expression" dxfId="29" priority="1791" stopIfTrue="1">
      <formula>$A673="end group"</formula>
    </cfRule>
  </conditionalFormatting>
  <conditionalFormatting sqref="B673:E675">
    <cfRule type="expression" dxfId="29" priority="1792" stopIfTrue="1">
      <formula>$A673="begin group"</formula>
    </cfRule>
  </conditionalFormatting>
  <conditionalFormatting sqref="B673:B675">
    <cfRule type="expression" dxfId="30" priority="1793" stopIfTrue="1">
      <formula>$A673="comments"</formula>
    </cfRule>
  </conditionalFormatting>
  <conditionalFormatting sqref="B673:B675">
    <cfRule type="expression" dxfId="36" priority="1794" stopIfTrue="1">
      <formula>OR(AND(LEFT($A673, 14)="sensor_stream ", LEN($A673)&gt;14, NOT(ISNUMBER(SEARCH(" ", $A673, 15)))), AND(LEFT($A673, 17)="sensor_statistic ", LEN($A673)&gt;17, NOT(ISNUMBER(SEARCH(" ", $A673, 18)))))</formula>
    </cfRule>
  </conditionalFormatting>
  <conditionalFormatting sqref="B671:C671 D671:E671">
    <cfRule type="expression" dxfId="0" priority="1795" stopIfTrue="1">
      <formula>$A671="begin group"</formula>
    </cfRule>
  </conditionalFormatting>
  <conditionalFormatting sqref="B671:C671 D671:E671">
    <cfRule type="expression" dxfId="1" priority="1796" stopIfTrue="1">
      <formula>$A671="begin repeat"</formula>
    </cfRule>
  </conditionalFormatting>
  <conditionalFormatting sqref="B671:E671">
    <cfRule type="expression" dxfId="31" priority="1797" stopIfTrue="1">
      <formula>$A671="enumerator"</formula>
    </cfRule>
  </conditionalFormatting>
  <conditionalFormatting sqref="B671:E671">
    <cfRule type="expression" dxfId="2" priority="1798" stopIfTrue="1">
      <formula>$A671="text"</formula>
    </cfRule>
  </conditionalFormatting>
  <conditionalFormatting sqref="B671:E671">
    <cfRule type="expression" dxfId="3" priority="1799" stopIfTrue="1">
      <formula>$A671="integer"</formula>
    </cfRule>
  </conditionalFormatting>
  <conditionalFormatting sqref="B671:E671">
    <cfRule type="expression" dxfId="4" priority="1800" stopIfTrue="1">
      <formula>$A671="decimal"</formula>
    </cfRule>
  </conditionalFormatting>
  <conditionalFormatting sqref="B671:C671 D671:E671">
    <cfRule type="expression" dxfId="5" priority="1801" stopIfTrue="1">
      <formula>OR(AND(LEFT($A671, 16)="select_multiple ", LEN($A671)&gt;16, NOT(ISNUMBER(SEARCH(" ", $A671, 17)))), AND(LEFT($A671, 11)="select_one ", LEN($A671)&gt;11, NOT(ISNUMBER(SEARCH(" ", $A671, 12)))))</formula>
    </cfRule>
  </conditionalFormatting>
  <conditionalFormatting sqref="B671">
    <cfRule type="expression" dxfId="6" priority="1802" stopIfTrue="1">
      <formula>OR($A671="audio audit", $A671="text audit", $A671="speed violations count", $A671="speed violations list", $A671="speed violations audit")</formula>
    </cfRule>
  </conditionalFormatting>
  <conditionalFormatting sqref="B671:C671 D671:E671">
    <cfRule type="expression" dxfId="32" priority="1803" stopIfTrue="1">
      <formula>$A671="file"</formula>
    </cfRule>
  </conditionalFormatting>
  <conditionalFormatting sqref="B671:C671 D671:E671">
    <cfRule type="expression" dxfId="7" priority="1804" stopIfTrue="1">
      <formula>$A671="note"</formula>
    </cfRule>
  </conditionalFormatting>
  <conditionalFormatting sqref="B671:C671 D671:E671">
    <cfRule type="expression" dxfId="8" priority="1805" stopIfTrue="1">
      <formula>$A671="barcode"</formula>
    </cfRule>
  </conditionalFormatting>
  <conditionalFormatting sqref="B671:C671 D671:E671">
    <cfRule type="expression" dxfId="9" priority="1806" stopIfTrue="1">
      <formula>OR($A671="geopoint", $A671="geoshape", $A671="geotrace")</formula>
    </cfRule>
  </conditionalFormatting>
  <conditionalFormatting sqref="B671">
    <cfRule type="expression" dxfId="10" priority="1807" stopIfTrue="1">
      <formula>OR($A671="calculate", $A671="calculate_here")</formula>
    </cfRule>
  </conditionalFormatting>
  <conditionalFormatting sqref="B671:C671 D671:E671">
    <cfRule type="expression" dxfId="11" priority="1808" stopIfTrue="1">
      <formula>OR($A671="date", $A671="datetime", $A671="time")</formula>
    </cfRule>
  </conditionalFormatting>
  <conditionalFormatting sqref="B671:C671 D671:E671">
    <cfRule type="expression" dxfId="12" priority="1809" stopIfTrue="1">
      <formula>$A671="image"</formula>
    </cfRule>
  </conditionalFormatting>
  <conditionalFormatting sqref="B671:C671 D671:E671">
    <cfRule type="expression" dxfId="13" priority="1810" stopIfTrue="1">
      <formula>OR($A671="audio", $A671="video")</formula>
    </cfRule>
  </conditionalFormatting>
  <conditionalFormatting sqref="B671:E671">
    <cfRule type="expression" dxfId="33" priority="1811" stopIfTrue="1">
      <formula>$A671="file"</formula>
    </cfRule>
  </conditionalFormatting>
  <conditionalFormatting sqref="B671:E671">
    <cfRule type="expression" dxfId="34" priority="1812" stopIfTrue="1">
      <formula>$A671="enumerator"</formula>
    </cfRule>
  </conditionalFormatting>
  <conditionalFormatting sqref="B671:E671">
    <cfRule type="expression" dxfId="35" priority="1813" stopIfTrue="1">
      <formula>OR(AND(LEFT($A671, 14)="sensor_stream ", LEN($A671)&gt;14, NOT(ISNUMBER(SEARCH(" ", $A671, 15)))), AND(LEFT($A671, 17)="sensor_statistic ", LEN($A671)&gt;17, NOT(ISNUMBER(SEARCH(" ", $A671, 18)))))</formula>
    </cfRule>
  </conditionalFormatting>
  <conditionalFormatting sqref="B671:E671">
    <cfRule type="expression" dxfId="14" priority="1814" stopIfTrue="1">
      <formula>$A671="comments"</formula>
    </cfRule>
  </conditionalFormatting>
  <conditionalFormatting sqref="B671:E671">
    <cfRule type="expression" dxfId="15" priority="1815" stopIfTrue="1">
      <formula>OR($A671="audio", $A671="video")</formula>
    </cfRule>
  </conditionalFormatting>
  <conditionalFormatting sqref="B671:E671">
    <cfRule type="expression" dxfId="16" priority="1816" stopIfTrue="1">
      <formula>$A671="image"</formula>
    </cfRule>
  </conditionalFormatting>
  <conditionalFormatting sqref="B671:E671">
    <cfRule type="expression" dxfId="17" priority="1817" stopIfTrue="1">
      <formula>OR($A671="date", $A671="datetime", $A671="time")</formula>
    </cfRule>
  </conditionalFormatting>
  <conditionalFormatting sqref="B671:E671">
    <cfRule type="expression" dxfId="18" priority="1818" stopIfTrue="1">
      <formula>OR($A671="calculate", $A671="calculate_here")</formula>
    </cfRule>
  </conditionalFormatting>
  <conditionalFormatting sqref="B671:E671">
    <cfRule type="expression" dxfId="19" priority="1819" stopIfTrue="1">
      <formula>$A671="note"</formula>
    </cfRule>
  </conditionalFormatting>
  <conditionalFormatting sqref="B671:E671">
    <cfRule type="expression" dxfId="20" priority="1820" stopIfTrue="1">
      <formula>$A671="barcode"</formula>
    </cfRule>
  </conditionalFormatting>
  <conditionalFormatting sqref="B671:E671">
    <cfRule type="expression" dxfId="21" priority="1821" stopIfTrue="1">
      <formula>OR($A671="geopoint", $A671="geoshape", $A671="geotrace")</formula>
    </cfRule>
  </conditionalFormatting>
  <conditionalFormatting sqref="B671:E671">
    <cfRule type="expression" dxfId="22" priority="1822" stopIfTrue="1">
      <formula>OR($A671="audio audit", $A671="text audit", $A671="speed violations count", $A671="speed violations list", $A671="speed violations audit")</formula>
    </cfRule>
  </conditionalFormatting>
  <conditionalFormatting sqref="B671:E671">
    <cfRule type="expression" dxfId="23" priority="1823" stopIfTrue="1">
      <formula>OR($A671="username", $A671="phonenumber", $A671="start", $A671="end", $A671="deviceid", $A671="subscriberid", $A671="simserial", $A671="caseid")</formula>
    </cfRule>
  </conditionalFormatting>
  <conditionalFormatting sqref="B671:E671">
    <cfRule type="expression" dxfId="24" priority="1824" stopIfTrue="1">
      <formula>OR(AND(LEFT($A671, 16)="select_multiple ", LEN($A671)&gt;16, NOT(ISNUMBER(SEARCH(" ", $A671, 17)))), AND(LEFT($A671, 11)="select_one ", LEN($A671)&gt;11, NOT(ISNUMBER(SEARCH(" ", $A671, 12)))))</formula>
    </cfRule>
  </conditionalFormatting>
  <conditionalFormatting sqref="B671:E671">
    <cfRule type="expression" dxfId="25" priority="1825" stopIfTrue="1">
      <formula>$A671="decimal"</formula>
    </cfRule>
  </conditionalFormatting>
  <conditionalFormatting sqref="B671:E671">
    <cfRule type="expression" dxfId="26" priority="1826" stopIfTrue="1">
      <formula>$A671="integer"</formula>
    </cfRule>
  </conditionalFormatting>
  <conditionalFormatting sqref="B671:E671">
    <cfRule type="expression" dxfId="27" priority="1827" stopIfTrue="1">
      <formula>$A671="text"</formula>
    </cfRule>
  </conditionalFormatting>
  <conditionalFormatting sqref="B671:E671">
    <cfRule type="expression" dxfId="28" priority="1828" stopIfTrue="1">
      <formula>$A671="end repeat"</formula>
    </cfRule>
  </conditionalFormatting>
  <conditionalFormatting sqref="B671:E671">
    <cfRule type="expression" dxfId="28" priority="1829" stopIfTrue="1">
      <formula>$A671="begin repeat"</formula>
    </cfRule>
  </conditionalFormatting>
  <conditionalFormatting sqref="B671:E671">
    <cfRule type="expression" dxfId="29" priority="1830" stopIfTrue="1">
      <formula>$A671="end group"</formula>
    </cfRule>
  </conditionalFormatting>
  <conditionalFormatting sqref="B671:E671">
    <cfRule type="expression" dxfId="29" priority="1831" stopIfTrue="1">
      <formula>$A671="begin group"</formula>
    </cfRule>
  </conditionalFormatting>
  <conditionalFormatting sqref="B671">
    <cfRule type="expression" dxfId="30" priority="1832" stopIfTrue="1">
      <formula>$A671="comments"</formula>
    </cfRule>
  </conditionalFormatting>
  <conditionalFormatting sqref="B671">
    <cfRule type="expression" dxfId="36" priority="1833" stopIfTrue="1">
      <formula>OR(AND(LEFT($A671, 14)="sensor_stream ", LEN($A671)&gt;14, NOT(ISNUMBER(SEARCH(" ", $A671, 15)))), AND(LEFT($A671, 17)="sensor_statistic ", LEN($A671)&gt;17, NOT(ISNUMBER(SEARCH(" ", $A671, 18)))))</formula>
    </cfRule>
  </conditionalFormatting>
  <conditionalFormatting sqref="B668:C669 D668:E669">
    <cfRule type="expression" dxfId="0" priority="1834" stopIfTrue="1">
      <formula>$A668="begin group"</formula>
    </cfRule>
  </conditionalFormatting>
  <conditionalFormatting sqref="B668:C669 D668:E669">
    <cfRule type="expression" dxfId="1" priority="1835" stopIfTrue="1">
      <formula>$A668="begin repeat"</formula>
    </cfRule>
  </conditionalFormatting>
  <conditionalFormatting sqref="B668:E669">
    <cfRule type="expression" dxfId="31" priority="1836" stopIfTrue="1">
      <formula>$A668="enumerator"</formula>
    </cfRule>
  </conditionalFormatting>
  <conditionalFormatting sqref="B668:E669">
    <cfRule type="expression" dxfId="2" priority="1837" stopIfTrue="1">
      <formula>$A668="text"</formula>
    </cfRule>
  </conditionalFormatting>
  <conditionalFormatting sqref="B668:E669">
    <cfRule type="expression" dxfId="3" priority="1838" stopIfTrue="1">
      <formula>$A668="integer"</formula>
    </cfRule>
  </conditionalFormatting>
  <conditionalFormatting sqref="B668:E669">
    <cfRule type="expression" dxfId="4" priority="1839" stopIfTrue="1">
      <formula>$A668="decimal"</formula>
    </cfRule>
  </conditionalFormatting>
  <conditionalFormatting sqref="B668:C669 D668:E669">
    <cfRule type="expression" dxfId="5" priority="1840" stopIfTrue="1">
      <formula>OR(AND(LEFT($A668, 16)="select_multiple ", LEN($A668)&gt;16, NOT(ISNUMBER(SEARCH(" ", $A668, 17)))), AND(LEFT($A668, 11)="select_one ", LEN($A668)&gt;11, NOT(ISNUMBER(SEARCH(" ", $A668, 12)))))</formula>
    </cfRule>
  </conditionalFormatting>
  <conditionalFormatting sqref="B668:B669">
    <cfRule type="expression" dxfId="6" priority="1841" stopIfTrue="1">
      <formula>OR($A668="audio audit", $A668="text audit", $A668="speed violations count", $A668="speed violations list", $A668="speed violations audit")</formula>
    </cfRule>
  </conditionalFormatting>
  <conditionalFormatting sqref="B668:C669 D668:E669">
    <cfRule type="expression" dxfId="32" priority="1842" stopIfTrue="1">
      <formula>$A668="file"</formula>
    </cfRule>
  </conditionalFormatting>
  <conditionalFormatting sqref="B668:C669 D668:E669">
    <cfRule type="expression" dxfId="7" priority="1843" stopIfTrue="1">
      <formula>$A668="note"</formula>
    </cfRule>
  </conditionalFormatting>
  <conditionalFormatting sqref="B668:C669 D668:E669">
    <cfRule type="expression" dxfId="8" priority="1844" stopIfTrue="1">
      <formula>$A668="barcode"</formula>
    </cfRule>
  </conditionalFormatting>
  <conditionalFormatting sqref="B668:C669 D668:E669">
    <cfRule type="expression" dxfId="9" priority="1845" stopIfTrue="1">
      <formula>OR($A668="geopoint", $A668="geoshape", $A668="geotrace")</formula>
    </cfRule>
  </conditionalFormatting>
  <conditionalFormatting sqref="B668:B669">
    <cfRule type="expression" dxfId="10" priority="1846" stopIfTrue="1">
      <formula>OR($A668="calculate", $A668="calculate_here")</formula>
    </cfRule>
  </conditionalFormatting>
  <conditionalFormatting sqref="B668:C669 D668:E669">
    <cfRule type="expression" dxfId="11" priority="1847" stopIfTrue="1">
      <formula>OR($A668="date", $A668="datetime", $A668="time")</formula>
    </cfRule>
  </conditionalFormatting>
  <conditionalFormatting sqref="B668:C669 D668:E669">
    <cfRule type="expression" dxfId="12" priority="1848" stopIfTrue="1">
      <formula>$A668="image"</formula>
    </cfRule>
  </conditionalFormatting>
  <conditionalFormatting sqref="B668:C669 D668:E669">
    <cfRule type="expression" dxfId="13" priority="1849" stopIfTrue="1">
      <formula>OR($A668="audio", $A668="video")</formula>
    </cfRule>
  </conditionalFormatting>
  <conditionalFormatting sqref="B668:E669">
    <cfRule type="expression" dxfId="33" priority="1850" stopIfTrue="1">
      <formula>$A668="file"</formula>
    </cfRule>
  </conditionalFormatting>
  <conditionalFormatting sqref="B668:E669">
    <cfRule type="expression" dxfId="34" priority="1851" stopIfTrue="1">
      <formula>$A668="enumerator"</formula>
    </cfRule>
  </conditionalFormatting>
  <conditionalFormatting sqref="B668:E669">
    <cfRule type="expression" dxfId="35" priority="1852" stopIfTrue="1">
      <formula>OR(AND(LEFT($A668, 14)="sensor_stream ", LEN($A668)&gt;14, NOT(ISNUMBER(SEARCH(" ", $A668, 15)))), AND(LEFT($A668, 17)="sensor_statistic ", LEN($A668)&gt;17, NOT(ISNUMBER(SEARCH(" ", $A668, 18)))))</formula>
    </cfRule>
  </conditionalFormatting>
  <conditionalFormatting sqref="B668:E669">
    <cfRule type="expression" dxfId="14" priority="1853" stopIfTrue="1">
      <formula>$A668="comments"</formula>
    </cfRule>
  </conditionalFormatting>
  <conditionalFormatting sqref="B668:E669">
    <cfRule type="expression" dxfId="15" priority="1854" stopIfTrue="1">
      <formula>OR($A668="audio", $A668="video")</formula>
    </cfRule>
  </conditionalFormatting>
  <conditionalFormatting sqref="B668:E669">
    <cfRule type="expression" dxfId="16" priority="1855" stopIfTrue="1">
      <formula>$A668="image"</formula>
    </cfRule>
  </conditionalFormatting>
  <conditionalFormatting sqref="B668:E669">
    <cfRule type="expression" dxfId="17" priority="1856" stopIfTrue="1">
      <formula>OR($A668="date", $A668="datetime", $A668="time")</formula>
    </cfRule>
  </conditionalFormatting>
  <conditionalFormatting sqref="B668:E669">
    <cfRule type="expression" dxfId="18" priority="1857" stopIfTrue="1">
      <formula>OR($A668="calculate", $A668="calculate_here")</formula>
    </cfRule>
  </conditionalFormatting>
  <conditionalFormatting sqref="B668:E669">
    <cfRule type="expression" dxfId="19" priority="1858" stopIfTrue="1">
      <formula>$A668="note"</formula>
    </cfRule>
  </conditionalFormatting>
  <conditionalFormatting sqref="B668:E669">
    <cfRule type="expression" dxfId="20" priority="1859" stopIfTrue="1">
      <formula>$A668="barcode"</formula>
    </cfRule>
  </conditionalFormatting>
  <conditionalFormatting sqref="B668:E669">
    <cfRule type="expression" dxfId="21" priority="1860" stopIfTrue="1">
      <formula>OR($A668="geopoint", $A668="geoshape", $A668="geotrace")</formula>
    </cfRule>
  </conditionalFormatting>
  <conditionalFormatting sqref="B668:E669">
    <cfRule type="expression" dxfId="22" priority="1861" stopIfTrue="1">
      <formula>OR($A668="audio audit", $A668="text audit", $A668="speed violations count", $A668="speed violations list", $A668="speed violations audit")</formula>
    </cfRule>
  </conditionalFormatting>
  <conditionalFormatting sqref="B668:E669">
    <cfRule type="expression" dxfId="23" priority="1862" stopIfTrue="1">
      <formula>OR($A668="username", $A668="phonenumber", $A668="start", $A668="end", $A668="deviceid", $A668="subscriberid", $A668="simserial", $A668="caseid")</formula>
    </cfRule>
  </conditionalFormatting>
  <conditionalFormatting sqref="B668:E669">
    <cfRule type="expression" dxfId="24" priority="1863" stopIfTrue="1">
      <formula>OR(AND(LEFT($A668, 16)="select_multiple ", LEN($A668)&gt;16, NOT(ISNUMBER(SEARCH(" ", $A668, 17)))), AND(LEFT($A668, 11)="select_one ", LEN($A668)&gt;11, NOT(ISNUMBER(SEARCH(" ", $A668, 12)))))</formula>
    </cfRule>
  </conditionalFormatting>
  <conditionalFormatting sqref="B668:E669">
    <cfRule type="expression" dxfId="25" priority="1864" stopIfTrue="1">
      <formula>$A668="decimal"</formula>
    </cfRule>
  </conditionalFormatting>
  <conditionalFormatting sqref="B668:E669">
    <cfRule type="expression" dxfId="26" priority="1865" stopIfTrue="1">
      <formula>$A668="integer"</formula>
    </cfRule>
  </conditionalFormatting>
  <conditionalFormatting sqref="B668:E669">
    <cfRule type="expression" dxfId="27" priority="1866" stopIfTrue="1">
      <formula>$A668="text"</formula>
    </cfRule>
  </conditionalFormatting>
  <conditionalFormatting sqref="B668:E669">
    <cfRule type="expression" dxfId="28" priority="1867" stopIfTrue="1">
      <formula>$A668="end repeat"</formula>
    </cfRule>
  </conditionalFormatting>
  <conditionalFormatting sqref="B668:E669">
    <cfRule type="expression" dxfId="28" priority="1868" stopIfTrue="1">
      <formula>$A668="begin repeat"</formula>
    </cfRule>
  </conditionalFormatting>
  <conditionalFormatting sqref="B668:E669">
    <cfRule type="expression" dxfId="29" priority="1869" stopIfTrue="1">
      <formula>$A668="end group"</formula>
    </cfRule>
  </conditionalFormatting>
  <conditionalFormatting sqref="B668:E669">
    <cfRule type="expression" dxfId="29" priority="1870" stopIfTrue="1">
      <formula>$A668="begin group"</formula>
    </cfRule>
  </conditionalFormatting>
  <conditionalFormatting sqref="B668:B669">
    <cfRule type="expression" dxfId="30" priority="1871" stopIfTrue="1">
      <formula>$A668="comments"</formula>
    </cfRule>
  </conditionalFormatting>
  <conditionalFormatting sqref="B668:B669">
    <cfRule type="expression" dxfId="36" priority="1872" stopIfTrue="1">
      <formula>OR(AND(LEFT($A668, 14)="sensor_stream ", LEN($A668)&gt;14, NOT(ISNUMBER(SEARCH(" ", $A668, 15)))), AND(LEFT($A668, 17)="sensor_statistic ", LEN($A668)&gt;17, NOT(ISNUMBER(SEARCH(" ", $A668, 18)))))</formula>
    </cfRule>
  </conditionalFormatting>
  <conditionalFormatting sqref="B661:C663 D661:E663">
    <cfRule type="expression" dxfId="0" priority="1873" stopIfTrue="1">
      <formula>$A661="begin group"</formula>
    </cfRule>
  </conditionalFormatting>
  <conditionalFormatting sqref="B661:C663 D661:E663">
    <cfRule type="expression" dxfId="1" priority="1874" stopIfTrue="1">
      <formula>$A661="begin repeat"</formula>
    </cfRule>
  </conditionalFormatting>
  <conditionalFormatting sqref="B661:E663">
    <cfRule type="expression" dxfId="31" priority="1875" stopIfTrue="1">
      <formula>$A661="enumerator"</formula>
    </cfRule>
  </conditionalFormatting>
  <conditionalFormatting sqref="B661:E663">
    <cfRule type="expression" dxfId="2" priority="1876" stopIfTrue="1">
      <formula>$A661="text"</formula>
    </cfRule>
  </conditionalFormatting>
  <conditionalFormatting sqref="B661:E663">
    <cfRule type="expression" dxfId="3" priority="1877" stopIfTrue="1">
      <formula>$A661="integer"</formula>
    </cfRule>
  </conditionalFormatting>
  <conditionalFormatting sqref="B661:E663">
    <cfRule type="expression" dxfId="4" priority="1878" stopIfTrue="1">
      <formula>$A661="decimal"</formula>
    </cfRule>
  </conditionalFormatting>
  <conditionalFormatting sqref="B661:C663 D661:E663">
    <cfRule type="expression" dxfId="5" priority="1879" stopIfTrue="1">
      <formula>OR(AND(LEFT($A661, 16)="select_multiple ", LEN($A661)&gt;16, NOT(ISNUMBER(SEARCH(" ", $A661, 17)))), AND(LEFT($A661, 11)="select_one ", LEN($A661)&gt;11, NOT(ISNUMBER(SEARCH(" ", $A661, 12)))))</formula>
    </cfRule>
  </conditionalFormatting>
  <conditionalFormatting sqref="B661:B663">
    <cfRule type="expression" dxfId="6" priority="1880" stopIfTrue="1">
      <formula>OR($A661="audio audit", $A661="text audit", $A661="speed violations count", $A661="speed violations list", $A661="speed violations audit")</formula>
    </cfRule>
  </conditionalFormatting>
  <conditionalFormatting sqref="B661:C663 D661:E663">
    <cfRule type="expression" dxfId="32" priority="1881" stopIfTrue="1">
      <formula>$A661="file"</formula>
    </cfRule>
  </conditionalFormatting>
  <conditionalFormatting sqref="B661:C663 D661:E663">
    <cfRule type="expression" dxfId="7" priority="1882" stopIfTrue="1">
      <formula>$A661="note"</formula>
    </cfRule>
  </conditionalFormatting>
  <conditionalFormatting sqref="B661:C663 D661:E663">
    <cfRule type="expression" dxfId="8" priority="1883" stopIfTrue="1">
      <formula>$A661="barcode"</formula>
    </cfRule>
  </conditionalFormatting>
  <conditionalFormatting sqref="B661:C663 D661:E663">
    <cfRule type="expression" dxfId="9" priority="1884" stopIfTrue="1">
      <formula>OR($A661="geopoint", $A661="geoshape", $A661="geotrace")</formula>
    </cfRule>
  </conditionalFormatting>
  <conditionalFormatting sqref="B661:B663">
    <cfRule type="expression" dxfId="10" priority="1885" stopIfTrue="1">
      <formula>OR($A661="calculate", $A661="calculate_here")</formula>
    </cfRule>
  </conditionalFormatting>
  <conditionalFormatting sqref="B661:C663 D661:E663">
    <cfRule type="expression" dxfId="11" priority="1886" stopIfTrue="1">
      <formula>OR($A661="date", $A661="datetime", $A661="time")</formula>
    </cfRule>
  </conditionalFormatting>
  <conditionalFormatting sqref="B661:C663 D661:E663">
    <cfRule type="expression" dxfId="12" priority="1887" stopIfTrue="1">
      <formula>$A661="image"</formula>
    </cfRule>
  </conditionalFormatting>
  <conditionalFormatting sqref="B661:C663 D661:E663">
    <cfRule type="expression" dxfId="13" priority="1888" stopIfTrue="1">
      <formula>OR($A661="audio", $A661="video")</formula>
    </cfRule>
  </conditionalFormatting>
  <conditionalFormatting sqref="B661:E663">
    <cfRule type="expression" dxfId="33" priority="1889" stopIfTrue="1">
      <formula>$A661="file"</formula>
    </cfRule>
  </conditionalFormatting>
  <conditionalFormatting sqref="B661:E663">
    <cfRule type="expression" dxfId="34" priority="1890" stopIfTrue="1">
      <formula>$A661="enumerator"</formula>
    </cfRule>
  </conditionalFormatting>
  <conditionalFormatting sqref="B661:E663">
    <cfRule type="expression" dxfId="35" priority="1891" stopIfTrue="1">
      <formula>OR(AND(LEFT($A661, 14)="sensor_stream ", LEN($A661)&gt;14, NOT(ISNUMBER(SEARCH(" ", $A661, 15)))), AND(LEFT($A661, 17)="sensor_statistic ", LEN($A661)&gt;17, NOT(ISNUMBER(SEARCH(" ", $A661, 18)))))</formula>
    </cfRule>
  </conditionalFormatting>
  <conditionalFormatting sqref="B661:E663">
    <cfRule type="expression" dxfId="14" priority="1892" stopIfTrue="1">
      <formula>$A661="comments"</formula>
    </cfRule>
  </conditionalFormatting>
  <conditionalFormatting sqref="B661:E663">
    <cfRule type="expression" dxfId="15" priority="1893" stopIfTrue="1">
      <formula>OR($A661="audio", $A661="video")</formula>
    </cfRule>
  </conditionalFormatting>
  <conditionalFormatting sqref="B661:E663">
    <cfRule type="expression" dxfId="16" priority="1894" stopIfTrue="1">
      <formula>$A661="image"</formula>
    </cfRule>
  </conditionalFormatting>
  <conditionalFormatting sqref="B661:E663">
    <cfRule type="expression" dxfId="17" priority="1895" stopIfTrue="1">
      <formula>OR($A661="date", $A661="datetime", $A661="time")</formula>
    </cfRule>
  </conditionalFormatting>
  <conditionalFormatting sqref="B661:E663">
    <cfRule type="expression" dxfId="18" priority="1896" stopIfTrue="1">
      <formula>OR($A661="calculate", $A661="calculate_here")</formula>
    </cfRule>
  </conditionalFormatting>
  <conditionalFormatting sqref="B661:E663">
    <cfRule type="expression" dxfId="19" priority="1897" stopIfTrue="1">
      <formula>$A661="note"</formula>
    </cfRule>
  </conditionalFormatting>
  <conditionalFormatting sqref="B661:E663">
    <cfRule type="expression" dxfId="20" priority="1898" stopIfTrue="1">
      <formula>$A661="barcode"</formula>
    </cfRule>
  </conditionalFormatting>
  <conditionalFormatting sqref="B661:E663">
    <cfRule type="expression" dxfId="21" priority="1899" stopIfTrue="1">
      <formula>OR($A661="geopoint", $A661="geoshape", $A661="geotrace")</formula>
    </cfRule>
  </conditionalFormatting>
  <conditionalFormatting sqref="B661:E663">
    <cfRule type="expression" dxfId="22" priority="1900" stopIfTrue="1">
      <formula>OR($A661="audio audit", $A661="text audit", $A661="speed violations count", $A661="speed violations list", $A661="speed violations audit")</formula>
    </cfRule>
  </conditionalFormatting>
  <conditionalFormatting sqref="B661:E663">
    <cfRule type="expression" dxfId="23" priority="1901" stopIfTrue="1">
      <formula>OR($A661="username", $A661="phonenumber", $A661="start", $A661="end", $A661="deviceid", $A661="subscriberid", $A661="simserial", $A661="caseid")</formula>
    </cfRule>
  </conditionalFormatting>
  <conditionalFormatting sqref="B661:E663">
    <cfRule type="expression" dxfId="24" priority="1902" stopIfTrue="1">
      <formula>OR(AND(LEFT($A661, 16)="select_multiple ", LEN($A661)&gt;16, NOT(ISNUMBER(SEARCH(" ", $A661, 17)))), AND(LEFT($A661, 11)="select_one ", LEN($A661)&gt;11, NOT(ISNUMBER(SEARCH(" ", $A661, 12)))))</formula>
    </cfRule>
  </conditionalFormatting>
  <conditionalFormatting sqref="B661:E663">
    <cfRule type="expression" dxfId="25" priority="1903" stopIfTrue="1">
      <formula>$A661="decimal"</formula>
    </cfRule>
  </conditionalFormatting>
  <conditionalFormatting sqref="B661:E663">
    <cfRule type="expression" dxfId="26" priority="1904" stopIfTrue="1">
      <formula>$A661="integer"</formula>
    </cfRule>
  </conditionalFormatting>
  <conditionalFormatting sqref="B661:E663">
    <cfRule type="expression" dxfId="27" priority="1905" stopIfTrue="1">
      <formula>$A661="text"</formula>
    </cfRule>
  </conditionalFormatting>
  <conditionalFormatting sqref="B661:E663">
    <cfRule type="expression" dxfId="28" priority="1906" stopIfTrue="1">
      <formula>$A661="end repeat"</formula>
    </cfRule>
  </conditionalFormatting>
  <conditionalFormatting sqref="B661:E663">
    <cfRule type="expression" dxfId="28" priority="1907" stopIfTrue="1">
      <formula>$A661="begin repeat"</formula>
    </cfRule>
  </conditionalFormatting>
  <conditionalFormatting sqref="B661:E663">
    <cfRule type="expression" dxfId="29" priority="1908" stopIfTrue="1">
      <formula>$A661="end group"</formula>
    </cfRule>
  </conditionalFormatting>
  <conditionalFormatting sqref="B661:E663">
    <cfRule type="expression" dxfId="29" priority="1909" stopIfTrue="1">
      <formula>$A661="begin group"</formula>
    </cfRule>
  </conditionalFormatting>
  <conditionalFormatting sqref="B661:B663">
    <cfRule type="expression" dxfId="30" priority="1910" stopIfTrue="1">
      <formula>$A661="comments"</formula>
    </cfRule>
  </conditionalFormatting>
  <conditionalFormatting sqref="B661:B663">
    <cfRule type="expression" dxfId="36" priority="1911" stopIfTrue="1">
      <formula>OR(AND(LEFT($A661, 14)="sensor_stream ", LEN($A661)&gt;14, NOT(ISNUMBER(SEARCH(" ", $A661, 15)))), AND(LEFT($A661, 17)="sensor_statistic ", LEN($A661)&gt;17, NOT(ISNUMBER(SEARCH(" ", $A661, 18)))))</formula>
    </cfRule>
  </conditionalFormatting>
  <conditionalFormatting sqref="B652:C658 D652:E658">
    <cfRule type="expression" dxfId="0" priority="1912" stopIfTrue="1">
      <formula>$A652="begin group"</formula>
    </cfRule>
  </conditionalFormatting>
  <conditionalFormatting sqref="B652:C658 D652:E658">
    <cfRule type="expression" dxfId="1" priority="1913" stopIfTrue="1">
      <formula>$A652="begin repeat"</formula>
    </cfRule>
  </conditionalFormatting>
  <conditionalFormatting sqref="B652:E658">
    <cfRule type="expression" dxfId="31" priority="1914" stopIfTrue="1">
      <formula>$A652="enumerator"</formula>
    </cfRule>
  </conditionalFormatting>
  <conditionalFormatting sqref="B652:E658">
    <cfRule type="expression" dxfId="2" priority="1915" stopIfTrue="1">
      <formula>$A652="text"</formula>
    </cfRule>
  </conditionalFormatting>
  <conditionalFormatting sqref="B652:E658">
    <cfRule type="expression" dxfId="3" priority="1916" stopIfTrue="1">
      <formula>$A652="integer"</formula>
    </cfRule>
  </conditionalFormatting>
  <conditionalFormatting sqref="B652:E658">
    <cfRule type="expression" dxfId="4" priority="1917" stopIfTrue="1">
      <formula>$A652="decimal"</formula>
    </cfRule>
  </conditionalFormatting>
  <conditionalFormatting sqref="B652:C658 D652:E658">
    <cfRule type="expression" dxfId="5" priority="1918" stopIfTrue="1">
      <formula>OR(AND(LEFT($A652, 16)="select_multiple ", LEN($A652)&gt;16, NOT(ISNUMBER(SEARCH(" ", $A652, 17)))), AND(LEFT($A652, 11)="select_one ", LEN($A652)&gt;11, NOT(ISNUMBER(SEARCH(" ", $A652, 12)))))</formula>
    </cfRule>
  </conditionalFormatting>
  <conditionalFormatting sqref="B652:B658">
    <cfRule type="expression" dxfId="6" priority="1919" stopIfTrue="1">
      <formula>OR($A652="audio audit", $A652="text audit", $A652="speed violations count", $A652="speed violations list", $A652="speed violations audit")</formula>
    </cfRule>
  </conditionalFormatting>
  <conditionalFormatting sqref="B652:C658 D652:E658">
    <cfRule type="expression" dxfId="32" priority="1920" stopIfTrue="1">
      <formula>$A652="file"</formula>
    </cfRule>
  </conditionalFormatting>
  <conditionalFormatting sqref="B652:C658 D652:E658">
    <cfRule type="expression" dxfId="7" priority="1921" stopIfTrue="1">
      <formula>$A652="note"</formula>
    </cfRule>
  </conditionalFormatting>
  <conditionalFormatting sqref="B652:C658 D652:E658">
    <cfRule type="expression" dxfId="8" priority="1922" stopIfTrue="1">
      <formula>$A652="barcode"</formula>
    </cfRule>
  </conditionalFormatting>
  <conditionalFormatting sqref="B652:C658 D652:E658">
    <cfRule type="expression" dxfId="9" priority="1923" stopIfTrue="1">
      <formula>OR($A652="geopoint", $A652="geoshape", $A652="geotrace")</formula>
    </cfRule>
  </conditionalFormatting>
  <conditionalFormatting sqref="B652:B658">
    <cfRule type="expression" dxfId="10" priority="1924" stopIfTrue="1">
      <formula>OR($A652="calculate", $A652="calculate_here")</formula>
    </cfRule>
  </conditionalFormatting>
  <conditionalFormatting sqref="B652:C658 D652:E658">
    <cfRule type="expression" dxfId="11" priority="1925" stopIfTrue="1">
      <formula>OR($A652="date", $A652="datetime", $A652="time")</formula>
    </cfRule>
  </conditionalFormatting>
  <conditionalFormatting sqref="B652:C658 D652:E658">
    <cfRule type="expression" dxfId="12" priority="1926" stopIfTrue="1">
      <formula>$A652="image"</formula>
    </cfRule>
  </conditionalFormatting>
  <conditionalFormatting sqref="B652:C658 D652:E658">
    <cfRule type="expression" dxfId="13" priority="1927" stopIfTrue="1">
      <formula>OR($A652="audio", $A652="video")</formula>
    </cfRule>
  </conditionalFormatting>
  <conditionalFormatting sqref="B652:E658">
    <cfRule type="expression" dxfId="33" priority="1928" stopIfTrue="1">
      <formula>$A652="file"</formula>
    </cfRule>
  </conditionalFormatting>
  <conditionalFormatting sqref="B652:E658">
    <cfRule type="expression" dxfId="34" priority="1929" stopIfTrue="1">
      <formula>$A652="enumerator"</formula>
    </cfRule>
  </conditionalFormatting>
  <conditionalFormatting sqref="B652:E658">
    <cfRule type="expression" dxfId="35" priority="1930" stopIfTrue="1">
      <formula>OR(AND(LEFT($A652, 14)="sensor_stream ", LEN($A652)&gt;14, NOT(ISNUMBER(SEARCH(" ", $A652, 15)))), AND(LEFT($A652, 17)="sensor_statistic ", LEN($A652)&gt;17, NOT(ISNUMBER(SEARCH(" ", $A652, 18)))))</formula>
    </cfRule>
  </conditionalFormatting>
  <conditionalFormatting sqref="B652:E658">
    <cfRule type="expression" dxfId="14" priority="1931" stopIfTrue="1">
      <formula>$A652="comments"</formula>
    </cfRule>
  </conditionalFormatting>
  <conditionalFormatting sqref="B652:E658">
    <cfRule type="expression" dxfId="15" priority="1932" stopIfTrue="1">
      <formula>OR($A652="audio", $A652="video")</formula>
    </cfRule>
  </conditionalFormatting>
  <conditionalFormatting sqref="B652:E658">
    <cfRule type="expression" dxfId="16" priority="1933" stopIfTrue="1">
      <formula>$A652="image"</formula>
    </cfRule>
  </conditionalFormatting>
  <conditionalFormatting sqref="B652:E658">
    <cfRule type="expression" dxfId="17" priority="1934" stopIfTrue="1">
      <formula>OR($A652="date", $A652="datetime", $A652="time")</formula>
    </cfRule>
  </conditionalFormatting>
  <conditionalFormatting sqref="B652:E658">
    <cfRule type="expression" dxfId="18" priority="1935" stopIfTrue="1">
      <formula>OR($A652="calculate", $A652="calculate_here")</formula>
    </cfRule>
  </conditionalFormatting>
  <conditionalFormatting sqref="B652:E658">
    <cfRule type="expression" dxfId="19" priority="1936" stopIfTrue="1">
      <formula>$A652="note"</formula>
    </cfRule>
  </conditionalFormatting>
  <conditionalFormatting sqref="B652:E658">
    <cfRule type="expression" dxfId="20" priority="1937" stopIfTrue="1">
      <formula>$A652="barcode"</formula>
    </cfRule>
  </conditionalFormatting>
  <conditionalFormatting sqref="B652:E658">
    <cfRule type="expression" dxfId="21" priority="1938" stopIfTrue="1">
      <formula>OR($A652="geopoint", $A652="geoshape", $A652="geotrace")</formula>
    </cfRule>
  </conditionalFormatting>
  <conditionalFormatting sqref="B652:E658">
    <cfRule type="expression" dxfId="22" priority="1939" stopIfTrue="1">
      <formula>OR($A652="audio audit", $A652="text audit", $A652="speed violations count", $A652="speed violations list", $A652="speed violations audit")</formula>
    </cfRule>
  </conditionalFormatting>
  <conditionalFormatting sqref="B652:E658">
    <cfRule type="expression" dxfId="23" priority="1940" stopIfTrue="1">
      <formula>OR($A652="username", $A652="phonenumber", $A652="start", $A652="end", $A652="deviceid", $A652="subscriberid", $A652="simserial", $A652="caseid")</formula>
    </cfRule>
  </conditionalFormatting>
  <conditionalFormatting sqref="B652:E658">
    <cfRule type="expression" dxfId="24" priority="1941" stopIfTrue="1">
      <formula>OR(AND(LEFT($A652, 16)="select_multiple ", LEN($A652)&gt;16, NOT(ISNUMBER(SEARCH(" ", $A652, 17)))), AND(LEFT($A652, 11)="select_one ", LEN($A652)&gt;11, NOT(ISNUMBER(SEARCH(" ", $A652, 12)))))</formula>
    </cfRule>
  </conditionalFormatting>
  <conditionalFormatting sqref="B652:E658">
    <cfRule type="expression" dxfId="25" priority="1942" stopIfTrue="1">
      <formula>$A652="decimal"</formula>
    </cfRule>
  </conditionalFormatting>
  <conditionalFormatting sqref="B652:E658">
    <cfRule type="expression" dxfId="26" priority="1943" stopIfTrue="1">
      <formula>$A652="integer"</formula>
    </cfRule>
  </conditionalFormatting>
  <conditionalFormatting sqref="B652:E658">
    <cfRule type="expression" dxfId="27" priority="1944" stopIfTrue="1">
      <formula>$A652="text"</formula>
    </cfRule>
  </conditionalFormatting>
  <conditionalFormatting sqref="B652:E658">
    <cfRule type="expression" dxfId="28" priority="1945" stopIfTrue="1">
      <formula>$A652="end repeat"</formula>
    </cfRule>
  </conditionalFormatting>
  <conditionalFormatting sqref="B652:E658">
    <cfRule type="expression" dxfId="28" priority="1946" stopIfTrue="1">
      <formula>$A652="begin repeat"</formula>
    </cfRule>
  </conditionalFormatting>
  <conditionalFormatting sqref="B652:E658">
    <cfRule type="expression" dxfId="29" priority="1947" stopIfTrue="1">
      <formula>$A652="end group"</formula>
    </cfRule>
  </conditionalFormatting>
  <conditionalFormatting sqref="B652:E658">
    <cfRule type="expression" dxfId="29" priority="1948" stopIfTrue="1">
      <formula>$A652="begin group"</formula>
    </cfRule>
  </conditionalFormatting>
  <conditionalFormatting sqref="B652:B658">
    <cfRule type="expression" dxfId="30" priority="1949" stopIfTrue="1">
      <formula>$A652="comments"</formula>
    </cfRule>
  </conditionalFormatting>
  <conditionalFormatting sqref="B652:B658">
    <cfRule type="expression" dxfId="36" priority="1950" stopIfTrue="1">
      <formula>OR(AND(LEFT($A652, 14)="sensor_stream ", LEN($A652)&gt;14, NOT(ISNUMBER(SEARCH(" ", $A652, 15)))), AND(LEFT($A652, 17)="sensor_statistic ", LEN($A652)&gt;17, NOT(ISNUMBER(SEARCH(" ", $A652, 18)))))</formula>
    </cfRule>
  </conditionalFormatting>
  <conditionalFormatting sqref="B646:C647 D646:E647">
    <cfRule type="expression" dxfId="0" priority="1951" stopIfTrue="1">
      <formula>$A646="begin group"</formula>
    </cfRule>
  </conditionalFormatting>
  <conditionalFormatting sqref="B646:C647 D646:E647">
    <cfRule type="expression" dxfId="1" priority="1952" stopIfTrue="1">
      <formula>$A646="begin repeat"</formula>
    </cfRule>
  </conditionalFormatting>
  <conditionalFormatting sqref="B646:E647">
    <cfRule type="expression" dxfId="31" priority="1953" stopIfTrue="1">
      <formula>$A646="enumerator"</formula>
    </cfRule>
  </conditionalFormatting>
  <conditionalFormatting sqref="B646:E647">
    <cfRule type="expression" dxfId="2" priority="1954" stopIfTrue="1">
      <formula>$A646="text"</formula>
    </cfRule>
  </conditionalFormatting>
  <conditionalFormatting sqref="B646:E647">
    <cfRule type="expression" dxfId="3" priority="1955" stopIfTrue="1">
      <formula>$A646="integer"</formula>
    </cfRule>
  </conditionalFormatting>
  <conditionalFormatting sqref="B646:E647">
    <cfRule type="expression" dxfId="4" priority="1956" stopIfTrue="1">
      <formula>$A646="decimal"</formula>
    </cfRule>
  </conditionalFormatting>
  <conditionalFormatting sqref="B646:C647 D646:E647">
    <cfRule type="expression" dxfId="5" priority="1957" stopIfTrue="1">
      <formula>OR(AND(LEFT($A646, 16)="select_multiple ", LEN($A646)&gt;16, NOT(ISNUMBER(SEARCH(" ", $A646, 17)))), AND(LEFT($A646, 11)="select_one ", LEN($A646)&gt;11, NOT(ISNUMBER(SEARCH(" ", $A646, 12)))))</formula>
    </cfRule>
  </conditionalFormatting>
  <conditionalFormatting sqref="B646:B647">
    <cfRule type="expression" dxfId="6" priority="1958" stopIfTrue="1">
      <formula>OR($A646="audio audit", $A646="text audit", $A646="speed violations count", $A646="speed violations list", $A646="speed violations audit")</formula>
    </cfRule>
  </conditionalFormatting>
  <conditionalFormatting sqref="B646:C647 D646:E647">
    <cfRule type="expression" dxfId="32" priority="1959" stopIfTrue="1">
      <formula>$A646="file"</formula>
    </cfRule>
  </conditionalFormatting>
  <conditionalFormatting sqref="B646:C647 D646:E647">
    <cfRule type="expression" dxfId="7" priority="1960" stopIfTrue="1">
      <formula>$A646="note"</formula>
    </cfRule>
  </conditionalFormatting>
  <conditionalFormatting sqref="B646:C647 D646:E647">
    <cfRule type="expression" dxfId="8" priority="1961" stopIfTrue="1">
      <formula>$A646="barcode"</formula>
    </cfRule>
  </conditionalFormatting>
  <conditionalFormatting sqref="B646:C647 D646:E647">
    <cfRule type="expression" dxfId="9" priority="1962" stopIfTrue="1">
      <formula>OR($A646="geopoint", $A646="geoshape", $A646="geotrace")</formula>
    </cfRule>
  </conditionalFormatting>
  <conditionalFormatting sqref="B646:B647">
    <cfRule type="expression" dxfId="10" priority="1963" stopIfTrue="1">
      <formula>OR($A646="calculate", $A646="calculate_here")</formula>
    </cfRule>
  </conditionalFormatting>
  <conditionalFormatting sqref="B646:C647 D646:E647">
    <cfRule type="expression" dxfId="11" priority="1964" stopIfTrue="1">
      <formula>OR($A646="date", $A646="datetime", $A646="time")</formula>
    </cfRule>
  </conditionalFormatting>
  <conditionalFormatting sqref="B646:C647 D646:E647">
    <cfRule type="expression" dxfId="12" priority="1965" stopIfTrue="1">
      <formula>$A646="image"</formula>
    </cfRule>
  </conditionalFormatting>
  <conditionalFormatting sqref="B646:C647 D646:E647">
    <cfRule type="expression" dxfId="13" priority="1966" stopIfTrue="1">
      <formula>OR($A646="audio", $A646="video")</formula>
    </cfRule>
  </conditionalFormatting>
  <conditionalFormatting sqref="B646:E647">
    <cfRule type="expression" dxfId="33" priority="1967" stopIfTrue="1">
      <formula>$A646="file"</formula>
    </cfRule>
  </conditionalFormatting>
  <conditionalFormatting sqref="B646:E647">
    <cfRule type="expression" dxfId="34" priority="1968" stopIfTrue="1">
      <formula>$A646="enumerator"</formula>
    </cfRule>
  </conditionalFormatting>
  <conditionalFormatting sqref="B646:E647">
    <cfRule type="expression" dxfId="35" priority="1969" stopIfTrue="1">
      <formula>OR(AND(LEFT($A646, 14)="sensor_stream ", LEN($A646)&gt;14, NOT(ISNUMBER(SEARCH(" ", $A646, 15)))), AND(LEFT($A646, 17)="sensor_statistic ", LEN($A646)&gt;17, NOT(ISNUMBER(SEARCH(" ", $A646, 18)))))</formula>
    </cfRule>
  </conditionalFormatting>
  <conditionalFormatting sqref="B646:E647">
    <cfRule type="expression" dxfId="14" priority="1970" stopIfTrue="1">
      <formula>$A646="comments"</formula>
    </cfRule>
  </conditionalFormatting>
  <conditionalFormatting sqref="B646:E647">
    <cfRule type="expression" dxfId="15" priority="1971" stopIfTrue="1">
      <formula>OR($A646="audio", $A646="video")</formula>
    </cfRule>
  </conditionalFormatting>
  <conditionalFormatting sqref="B646:E647">
    <cfRule type="expression" dxfId="16" priority="1972" stopIfTrue="1">
      <formula>$A646="image"</formula>
    </cfRule>
  </conditionalFormatting>
  <conditionalFormatting sqref="B646:E647">
    <cfRule type="expression" dxfId="17" priority="1973" stopIfTrue="1">
      <formula>OR($A646="date", $A646="datetime", $A646="time")</formula>
    </cfRule>
  </conditionalFormatting>
  <conditionalFormatting sqref="B646:E647">
    <cfRule type="expression" dxfId="18" priority="1974" stopIfTrue="1">
      <formula>OR($A646="calculate", $A646="calculate_here")</formula>
    </cfRule>
  </conditionalFormatting>
  <conditionalFormatting sqref="B646:E647">
    <cfRule type="expression" dxfId="19" priority="1975" stopIfTrue="1">
      <formula>$A646="note"</formula>
    </cfRule>
  </conditionalFormatting>
  <conditionalFormatting sqref="B646:E647">
    <cfRule type="expression" dxfId="20" priority="1976" stopIfTrue="1">
      <formula>$A646="barcode"</formula>
    </cfRule>
  </conditionalFormatting>
  <conditionalFormatting sqref="B646:E647">
    <cfRule type="expression" dxfId="21" priority="1977" stopIfTrue="1">
      <formula>OR($A646="geopoint", $A646="geoshape", $A646="geotrace")</formula>
    </cfRule>
  </conditionalFormatting>
  <conditionalFormatting sqref="B646:E647">
    <cfRule type="expression" dxfId="22" priority="1978" stopIfTrue="1">
      <formula>OR($A646="audio audit", $A646="text audit", $A646="speed violations count", $A646="speed violations list", $A646="speed violations audit")</formula>
    </cfRule>
  </conditionalFormatting>
  <conditionalFormatting sqref="B646:E647">
    <cfRule type="expression" dxfId="23" priority="1979" stopIfTrue="1">
      <formula>OR($A646="username", $A646="phonenumber", $A646="start", $A646="end", $A646="deviceid", $A646="subscriberid", $A646="simserial", $A646="caseid")</formula>
    </cfRule>
  </conditionalFormatting>
  <conditionalFormatting sqref="B646:E647">
    <cfRule type="expression" dxfId="24" priority="1980" stopIfTrue="1">
      <formula>OR(AND(LEFT($A646, 16)="select_multiple ", LEN($A646)&gt;16, NOT(ISNUMBER(SEARCH(" ", $A646, 17)))), AND(LEFT($A646, 11)="select_one ", LEN($A646)&gt;11, NOT(ISNUMBER(SEARCH(" ", $A646, 12)))))</formula>
    </cfRule>
  </conditionalFormatting>
  <conditionalFormatting sqref="B646:E647">
    <cfRule type="expression" dxfId="25" priority="1981" stopIfTrue="1">
      <formula>$A646="decimal"</formula>
    </cfRule>
  </conditionalFormatting>
  <conditionalFormatting sqref="B646:E647">
    <cfRule type="expression" dxfId="26" priority="1982" stopIfTrue="1">
      <formula>$A646="integer"</formula>
    </cfRule>
  </conditionalFormatting>
  <conditionalFormatting sqref="B646:E647">
    <cfRule type="expression" dxfId="27" priority="1983" stopIfTrue="1">
      <formula>$A646="text"</formula>
    </cfRule>
  </conditionalFormatting>
  <conditionalFormatting sqref="B646:E647">
    <cfRule type="expression" dxfId="28" priority="1984" stopIfTrue="1">
      <formula>$A646="end repeat"</formula>
    </cfRule>
  </conditionalFormatting>
  <conditionalFormatting sqref="B646:E647">
    <cfRule type="expression" dxfId="28" priority="1985" stopIfTrue="1">
      <formula>$A646="begin repeat"</formula>
    </cfRule>
  </conditionalFormatting>
  <conditionalFormatting sqref="B646:E647">
    <cfRule type="expression" dxfId="29" priority="1986" stopIfTrue="1">
      <formula>$A646="end group"</formula>
    </cfRule>
  </conditionalFormatting>
  <conditionalFormatting sqref="B646:E647">
    <cfRule type="expression" dxfId="29" priority="1987" stopIfTrue="1">
      <formula>$A646="begin group"</formula>
    </cfRule>
  </conditionalFormatting>
  <conditionalFormatting sqref="B646:B647">
    <cfRule type="expression" dxfId="30" priority="1988" stopIfTrue="1">
      <formula>$A646="comments"</formula>
    </cfRule>
  </conditionalFormatting>
  <conditionalFormatting sqref="B646:B647">
    <cfRule type="expression" dxfId="36" priority="1989" stopIfTrue="1">
      <formula>OR(AND(LEFT($A646, 14)="sensor_stream ", LEN($A646)&gt;14, NOT(ISNUMBER(SEARCH(" ", $A646, 15)))), AND(LEFT($A646, 17)="sensor_statistic ", LEN($A646)&gt;17, NOT(ISNUMBER(SEARCH(" ", $A646, 18)))))</formula>
    </cfRule>
  </conditionalFormatting>
  <conditionalFormatting sqref="B638:C642 D638:E642">
    <cfRule type="expression" dxfId="0" priority="1990" stopIfTrue="1">
      <formula>$A638="begin group"</formula>
    </cfRule>
  </conditionalFormatting>
  <conditionalFormatting sqref="B638:C642 D638:E642">
    <cfRule type="expression" dxfId="1" priority="1991" stopIfTrue="1">
      <formula>$A638="begin repeat"</formula>
    </cfRule>
  </conditionalFormatting>
  <conditionalFormatting sqref="B638:E642">
    <cfRule type="expression" dxfId="31" priority="1992" stopIfTrue="1">
      <formula>$A638="enumerator"</formula>
    </cfRule>
  </conditionalFormatting>
  <conditionalFormatting sqref="B638:E642">
    <cfRule type="expression" dxfId="2" priority="1993" stopIfTrue="1">
      <formula>$A638="text"</formula>
    </cfRule>
  </conditionalFormatting>
  <conditionalFormatting sqref="B638:E642">
    <cfRule type="expression" dxfId="3" priority="1994" stopIfTrue="1">
      <formula>$A638="integer"</formula>
    </cfRule>
  </conditionalFormatting>
  <conditionalFormatting sqref="B638:E642">
    <cfRule type="expression" dxfId="4" priority="1995" stopIfTrue="1">
      <formula>$A638="decimal"</formula>
    </cfRule>
  </conditionalFormatting>
  <conditionalFormatting sqref="B638:C642 D638:E642">
    <cfRule type="expression" dxfId="5" priority="1996" stopIfTrue="1">
      <formula>OR(AND(LEFT($A638, 16)="select_multiple ", LEN($A638)&gt;16, NOT(ISNUMBER(SEARCH(" ", $A638, 17)))), AND(LEFT($A638, 11)="select_one ", LEN($A638)&gt;11, NOT(ISNUMBER(SEARCH(" ", $A638, 12)))))</formula>
    </cfRule>
  </conditionalFormatting>
  <conditionalFormatting sqref="B638:B642">
    <cfRule type="expression" dxfId="6" priority="1997" stopIfTrue="1">
      <formula>OR($A638="audio audit", $A638="text audit", $A638="speed violations count", $A638="speed violations list", $A638="speed violations audit")</formula>
    </cfRule>
  </conditionalFormatting>
  <conditionalFormatting sqref="B638:C642 D638:E642">
    <cfRule type="expression" dxfId="32" priority="1998" stopIfTrue="1">
      <formula>$A638="file"</formula>
    </cfRule>
  </conditionalFormatting>
  <conditionalFormatting sqref="B638:C642 D638:E642">
    <cfRule type="expression" dxfId="7" priority="1999" stopIfTrue="1">
      <formula>$A638="note"</formula>
    </cfRule>
  </conditionalFormatting>
  <conditionalFormatting sqref="B638:C642 D638:E642">
    <cfRule type="expression" dxfId="8" priority="2000" stopIfTrue="1">
      <formula>$A638="barcode"</formula>
    </cfRule>
  </conditionalFormatting>
  <conditionalFormatting sqref="B638:C642 D638:E642">
    <cfRule type="expression" dxfId="9" priority="2001" stopIfTrue="1">
      <formula>OR($A638="geopoint", $A638="geoshape", $A638="geotrace")</formula>
    </cfRule>
  </conditionalFormatting>
  <conditionalFormatting sqref="B638:B642">
    <cfRule type="expression" dxfId="10" priority="2002" stopIfTrue="1">
      <formula>OR($A638="calculate", $A638="calculate_here")</formula>
    </cfRule>
  </conditionalFormatting>
  <conditionalFormatting sqref="B638:C642 D638:E642">
    <cfRule type="expression" dxfId="11" priority="2003" stopIfTrue="1">
      <formula>OR($A638="date", $A638="datetime", $A638="time")</formula>
    </cfRule>
  </conditionalFormatting>
  <conditionalFormatting sqref="B638:C642 D638:E642">
    <cfRule type="expression" dxfId="12" priority="2004" stopIfTrue="1">
      <formula>$A638="image"</formula>
    </cfRule>
  </conditionalFormatting>
  <conditionalFormatting sqref="B638:C642 D638:E642">
    <cfRule type="expression" dxfId="13" priority="2005" stopIfTrue="1">
      <formula>OR($A638="audio", $A638="video")</formula>
    </cfRule>
  </conditionalFormatting>
  <conditionalFormatting sqref="B638:E642">
    <cfRule type="expression" dxfId="33" priority="2006" stopIfTrue="1">
      <formula>$A638="file"</formula>
    </cfRule>
  </conditionalFormatting>
  <conditionalFormatting sqref="B638:E642">
    <cfRule type="expression" dxfId="34" priority="2007" stopIfTrue="1">
      <formula>$A638="enumerator"</formula>
    </cfRule>
  </conditionalFormatting>
  <conditionalFormatting sqref="B638:E642">
    <cfRule type="expression" dxfId="35" priority="2008" stopIfTrue="1">
      <formula>OR(AND(LEFT($A638, 14)="sensor_stream ", LEN($A638)&gt;14, NOT(ISNUMBER(SEARCH(" ", $A638, 15)))), AND(LEFT($A638, 17)="sensor_statistic ", LEN($A638)&gt;17, NOT(ISNUMBER(SEARCH(" ", $A638, 18)))))</formula>
    </cfRule>
  </conditionalFormatting>
  <conditionalFormatting sqref="B638:E642">
    <cfRule type="expression" dxfId="14" priority="2009" stopIfTrue="1">
      <formula>$A638="comments"</formula>
    </cfRule>
  </conditionalFormatting>
  <conditionalFormatting sqref="B638:E642">
    <cfRule type="expression" dxfId="15" priority="2010" stopIfTrue="1">
      <formula>OR($A638="audio", $A638="video")</formula>
    </cfRule>
  </conditionalFormatting>
  <conditionalFormatting sqref="B638:E642">
    <cfRule type="expression" dxfId="16" priority="2011" stopIfTrue="1">
      <formula>$A638="image"</formula>
    </cfRule>
  </conditionalFormatting>
  <conditionalFormatting sqref="B638:E642">
    <cfRule type="expression" dxfId="17" priority="2012" stopIfTrue="1">
      <formula>OR($A638="date", $A638="datetime", $A638="time")</formula>
    </cfRule>
  </conditionalFormatting>
  <conditionalFormatting sqref="B638:E642">
    <cfRule type="expression" dxfId="18" priority="2013" stopIfTrue="1">
      <formula>OR($A638="calculate", $A638="calculate_here")</formula>
    </cfRule>
  </conditionalFormatting>
  <conditionalFormatting sqref="B638:E642">
    <cfRule type="expression" dxfId="19" priority="2014" stopIfTrue="1">
      <formula>$A638="note"</formula>
    </cfRule>
  </conditionalFormatting>
  <conditionalFormatting sqref="B638:E642">
    <cfRule type="expression" dxfId="20" priority="2015" stopIfTrue="1">
      <formula>$A638="barcode"</formula>
    </cfRule>
  </conditionalFormatting>
  <conditionalFormatting sqref="B638:E642">
    <cfRule type="expression" dxfId="21" priority="2016" stopIfTrue="1">
      <formula>OR($A638="geopoint", $A638="geoshape", $A638="geotrace")</formula>
    </cfRule>
  </conditionalFormatting>
  <conditionalFormatting sqref="B638:E642">
    <cfRule type="expression" dxfId="22" priority="2017" stopIfTrue="1">
      <formula>OR($A638="audio audit", $A638="text audit", $A638="speed violations count", $A638="speed violations list", $A638="speed violations audit")</formula>
    </cfRule>
  </conditionalFormatting>
  <conditionalFormatting sqref="B638:E642">
    <cfRule type="expression" dxfId="23" priority="2018" stopIfTrue="1">
      <formula>OR($A638="username", $A638="phonenumber", $A638="start", $A638="end", $A638="deviceid", $A638="subscriberid", $A638="simserial", $A638="caseid")</formula>
    </cfRule>
  </conditionalFormatting>
  <conditionalFormatting sqref="B638:E642">
    <cfRule type="expression" dxfId="24" priority="2019" stopIfTrue="1">
      <formula>OR(AND(LEFT($A638, 16)="select_multiple ", LEN($A638)&gt;16, NOT(ISNUMBER(SEARCH(" ", $A638, 17)))), AND(LEFT($A638, 11)="select_one ", LEN($A638)&gt;11, NOT(ISNUMBER(SEARCH(" ", $A638, 12)))))</formula>
    </cfRule>
  </conditionalFormatting>
  <conditionalFormatting sqref="B638:E642">
    <cfRule type="expression" dxfId="25" priority="2020" stopIfTrue="1">
      <formula>$A638="decimal"</formula>
    </cfRule>
  </conditionalFormatting>
  <conditionalFormatting sqref="B638:E642">
    <cfRule type="expression" dxfId="26" priority="2021" stopIfTrue="1">
      <formula>$A638="integer"</formula>
    </cfRule>
  </conditionalFormatting>
  <conditionalFormatting sqref="B638:E642">
    <cfRule type="expression" dxfId="27" priority="2022" stopIfTrue="1">
      <formula>$A638="text"</formula>
    </cfRule>
  </conditionalFormatting>
  <conditionalFormatting sqref="B638:E642">
    <cfRule type="expression" dxfId="28" priority="2023" stopIfTrue="1">
      <formula>$A638="end repeat"</formula>
    </cfRule>
  </conditionalFormatting>
  <conditionalFormatting sqref="B638:E642">
    <cfRule type="expression" dxfId="28" priority="2024" stopIfTrue="1">
      <formula>$A638="begin repeat"</formula>
    </cfRule>
  </conditionalFormatting>
  <conditionalFormatting sqref="B638:E642">
    <cfRule type="expression" dxfId="29" priority="2025" stopIfTrue="1">
      <formula>$A638="end group"</formula>
    </cfRule>
  </conditionalFormatting>
  <conditionalFormatting sqref="B638:E642">
    <cfRule type="expression" dxfId="29" priority="2026" stopIfTrue="1">
      <formula>$A638="begin group"</formula>
    </cfRule>
  </conditionalFormatting>
  <conditionalFormatting sqref="B638:B642">
    <cfRule type="expression" dxfId="30" priority="2027" stopIfTrue="1">
      <formula>$A638="comments"</formula>
    </cfRule>
  </conditionalFormatting>
  <conditionalFormatting sqref="B638:B642">
    <cfRule type="expression" dxfId="36" priority="2028" stopIfTrue="1">
      <formula>OR(AND(LEFT($A638, 14)="sensor_stream ", LEN($A638)&gt;14, NOT(ISNUMBER(SEARCH(" ", $A638, 15)))), AND(LEFT($A638, 17)="sensor_statistic ", LEN($A638)&gt;17, NOT(ISNUMBER(SEARCH(" ", $A638, 18)))))</formula>
    </cfRule>
  </conditionalFormatting>
  <conditionalFormatting sqref="B616:C622 D616:E622">
    <cfRule type="expression" dxfId="0" priority="2029" stopIfTrue="1">
      <formula>$A616="begin group"</formula>
    </cfRule>
  </conditionalFormatting>
  <conditionalFormatting sqref="B616:C622 D616:E622">
    <cfRule type="expression" dxfId="1" priority="2030" stopIfTrue="1">
      <formula>$A616="begin repeat"</formula>
    </cfRule>
  </conditionalFormatting>
  <conditionalFormatting sqref="B616:E622">
    <cfRule type="expression" dxfId="31" priority="2031" stopIfTrue="1">
      <formula>$A616="enumerator"</formula>
    </cfRule>
  </conditionalFormatting>
  <conditionalFormatting sqref="B616:E622">
    <cfRule type="expression" dxfId="2" priority="2032" stopIfTrue="1">
      <formula>$A616="text"</formula>
    </cfRule>
  </conditionalFormatting>
  <conditionalFormatting sqref="B616:E622">
    <cfRule type="expression" dxfId="3" priority="2033" stopIfTrue="1">
      <formula>$A616="integer"</formula>
    </cfRule>
  </conditionalFormatting>
  <conditionalFormatting sqref="B616:E622">
    <cfRule type="expression" dxfId="4" priority="2034" stopIfTrue="1">
      <formula>$A616="decimal"</formula>
    </cfRule>
  </conditionalFormatting>
  <conditionalFormatting sqref="B616:C622 D616:E622">
    <cfRule type="expression" dxfId="5" priority="2035" stopIfTrue="1">
      <formula>OR(AND(LEFT($A616, 16)="select_multiple ", LEN($A616)&gt;16, NOT(ISNUMBER(SEARCH(" ", $A616, 17)))), AND(LEFT($A616, 11)="select_one ", LEN($A616)&gt;11, NOT(ISNUMBER(SEARCH(" ", $A616, 12)))))</formula>
    </cfRule>
  </conditionalFormatting>
  <conditionalFormatting sqref="B616:B622">
    <cfRule type="expression" dxfId="6" priority="2036" stopIfTrue="1">
      <formula>OR($A616="audio audit", $A616="text audit", $A616="speed violations count", $A616="speed violations list", $A616="speed violations audit")</formula>
    </cfRule>
  </conditionalFormatting>
  <conditionalFormatting sqref="B616:C622 D616:E622">
    <cfRule type="expression" dxfId="32" priority="2037" stopIfTrue="1">
      <formula>$A616="file"</formula>
    </cfRule>
  </conditionalFormatting>
  <conditionalFormatting sqref="B616:C622 D616:E622">
    <cfRule type="expression" dxfId="7" priority="2038" stopIfTrue="1">
      <formula>$A616="note"</formula>
    </cfRule>
  </conditionalFormatting>
  <conditionalFormatting sqref="B616:C622 D616:E622">
    <cfRule type="expression" dxfId="8" priority="2039" stopIfTrue="1">
      <formula>$A616="barcode"</formula>
    </cfRule>
  </conditionalFormatting>
  <conditionalFormatting sqref="B616:C622 D616:E622">
    <cfRule type="expression" dxfId="9" priority="2040" stopIfTrue="1">
      <formula>OR($A616="geopoint", $A616="geoshape", $A616="geotrace")</formula>
    </cfRule>
  </conditionalFormatting>
  <conditionalFormatting sqref="B616:B622">
    <cfRule type="expression" dxfId="10" priority="2041" stopIfTrue="1">
      <formula>OR($A616="calculate", $A616="calculate_here")</formula>
    </cfRule>
  </conditionalFormatting>
  <conditionalFormatting sqref="B616:C622 D616:E622">
    <cfRule type="expression" dxfId="11" priority="2042" stopIfTrue="1">
      <formula>OR($A616="date", $A616="datetime", $A616="time")</formula>
    </cfRule>
  </conditionalFormatting>
  <conditionalFormatting sqref="B616:C622 D616:E622">
    <cfRule type="expression" dxfId="12" priority="2043" stopIfTrue="1">
      <formula>$A616="image"</formula>
    </cfRule>
  </conditionalFormatting>
  <conditionalFormatting sqref="B616:C622 D616:E622">
    <cfRule type="expression" dxfId="13" priority="2044" stopIfTrue="1">
      <formula>OR($A616="audio", $A616="video")</formula>
    </cfRule>
  </conditionalFormatting>
  <conditionalFormatting sqref="B616:E622">
    <cfRule type="expression" dxfId="33" priority="2045" stopIfTrue="1">
      <formula>$A616="file"</formula>
    </cfRule>
  </conditionalFormatting>
  <conditionalFormatting sqref="B616:E622">
    <cfRule type="expression" dxfId="34" priority="2046" stopIfTrue="1">
      <formula>$A616="enumerator"</formula>
    </cfRule>
  </conditionalFormatting>
  <conditionalFormatting sqref="B616:E622">
    <cfRule type="expression" dxfId="35" priority="2047" stopIfTrue="1">
      <formula>OR(AND(LEFT($A616, 14)="sensor_stream ", LEN($A616)&gt;14, NOT(ISNUMBER(SEARCH(" ", $A616, 15)))), AND(LEFT($A616, 17)="sensor_statistic ", LEN($A616)&gt;17, NOT(ISNUMBER(SEARCH(" ", $A616, 18)))))</formula>
    </cfRule>
  </conditionalFormatting>
  <conditionalFormatting sqref="B616:E622">
    <cfRule type="expression" dxfId="14" priority="2048" stopIfTrue="1">
      <formula>$A616="comments"</formula>
    </cfRule>
  </conditionalFormatting>
  <conditionalFormatting sqref="B616:E622">
    <cfRule type="expression" dxfId="15" priority="2049" stopIfTrue="1">
      <formula>OR($A616="audio", $A616="video")</formula>
    </cfRule>
  </conditionalFormatting>
  <conditionalFormatting sqref="B616:E622">
    <cfRule type="expression" dxfId="16" priority="2050" stopIfTrue="1">
      <formula>$A616="image"</formula>
    </cfRule>
  </conditionalFormatting>
  <conditionalFormatting sqref="B616:E622">
    <cfRule type="expression" dxfId="17" priority="2051" stopIfTrue="1">
      <formula>OR($A616="date", $A616="datetime", $A616="time")</formula>
    </cfRule>
  </conditionalFormatting>
  <conditionalFormatting sqref="B616:E622">
    <cfRule type="expression" dxfId="18" priority="2052" stopIfTrue="1">
      <formula>OR($A616="calculate", $A616="calculate_here")</formula>
    </cfRule>
  </conditionalFormatting>
  <conditionalFormatting sqref="B616:E622">
    <cfRule type="expression" dxfId="19" priority="2053" stopIfTrue="1">
      <formula>$A616="note"</formula>
    </cfRule>
  </conditionalFormatting>
  <conditionalFormatting sqref="B616:E622">
    <cfRule type="expression" dxfId="20" priority="2054" stopIfTrue="1">
      <formula>$A616="barcode"</formula>
    </cfRule>
  </conditionalFormatting>
  <conditionalFormatting sqref="B616:E622">
    <cfRule type="expression" dxfId="21" priority="2055" stopIfTrue="1">
      <formula>OR($A616="geopoint", $A616="geoshape", $A616="geotrace")</formula>
    </cfRule>
  </conditionalFormatting>
  <conditionalFormatting sqref="B616:E622">
    <cfRule type="expression" dxfId="22" priority="2056" stopIfTrue="1">
      <formula>OR($A616="audio audit", $A616="text audit", $A616="speed violations count", $A616="speed violations list", $A616="speed violations audit")</formula>
    </cfRule>
  </conditionalFormatting>
  <conditionalFormatting sqref="B616:E622">
    <cfRule type="expression" dxfId="23" priority="2057" stopIfTrue="1">
      <formula>OR($A616="username", $A616="phonenumber", $A616="start", $A616="end", $A616="deviceid", $A616="subscriberid", $A616="simserial", $A616="caseid")</formula>
    </cfRule>
  </conditionalFormatting>
  <conditionalFormatting sqref="B616:E622">
    <cfRule type="expression" dxfId="24" priority="2058" stopIfTrue="1">
      <formula>OR(AND(LEFT($A616, 16)="select_multiple ", LEN($A616)&gt;16, NOT(ISNUMBER(SEARCH(" ", $A616, 17)))), AND(LEFT($A616, 11)="select_one ", LEN($A616)&gt;11, NOT(ISNUMBER(SEARCH(" ", $A616, 12)))))</formula>
    </cfRule>
  </conditionalFormatting>
  <conditionalFormatting sqref="B616:E622">
    <cfRule type="expression" dxfId="25" priority="2059" stopIfTrue="1">
      <formula>$A616="decimal"</formula>
    </cfRule>
  </conditionalFormatting>
  <conditionalFormatting sqref="B616:E622">
    <cfRule type="expression" dxfId="26" priority="2060" stopIfTrue="1">
      <formula>$A616="integer"</formula>
    </cfRule>
  </conditionalFormatting>
  <conditionalFormatting sqref="B616:E622">
    <cfRule type="expression" dxfId="27" priority="2061" stopIfTrue="1">
      <formula>$A616="text"</formula>
    </cfRule>
  </conditionalFormatting>
  <conditionalFormatting sqref="B616:E622">
    <cfRule type="expression" dxfId="28" priority="2062" stopIfTrue="1">
      <formula>$A616="end repeat"</formula>
    </cfRule>
  </conditionalFormatting>
  <conditionalFormatting sqref="B616:E622">
    <cfRule type="expression" dxfId="28" priority="2063" stopIfTrue="1">
      <formula>$A616="begin repeat"</formula>
    </cfRule>
  </conditionalFormatting>
  <conditionalFormatting sqref="B616:E622">
    <cfRule type="expression" dxfId="29" priority="2064" stopIfTrue="1">
      <formula>$A616="end group"</formula>
    </cfRule>
  </conditionalFormatting>
  <conditionalFormatting sqref="B616:E622">
    <cfRule type="expression" dxfId="29" priority="2065" stopIfTrue="1">
      <formula>$A616="begin group"</formula>
    </cfRule>
  </conditionalFormatting>
  <conditionalFormatting sqref="B616:B622">
    <cfRule type="expression" dxfId="30" priority="2066" stopIfTrue="1">
      <formula>$A616="comments"</formula>
    </cfRule>
  </conditionalFormatting>
  <conditionalFormatting sqref="B616:B622">
    <cfRule type="expression" dxfId="36" priority="2067" stopIfTrue="1">
      <formula>OR(AND(LEFT($A616, 14)="sensor_stream ", LEN($A616)&gt;14, NOT(ISNUMBER(SEARCH(" ", $A616, 15)))), AND(LEFT($A616, 17)="sensor_statistic ", LEN($A616)&gt;17, NOT(ISNUMBER(SEARCH(" ", $A616, 18)))))</formula>
    </cfRule>
  </conditionalFormatting>
  <conditionalFormatting sqref="B609:C611 D609:E611">
    <cfRule type="expression" dxfId="0" priority="2068" stopIfTrue="1">
      <formula>$A609="begin group"</formula>
    </cfRule>
  </conditionalFormatting>
  <conditionalFormatting sqref="B609:C611 D609:E611">
    <cfRule type="expression" dxfId="1" priority="2069" stopIfTrue="1">
      <formula>$A609="begin repeat"</formula>
    </cfRule>
  </conditionalFormatting>
  <conditionalFormatting sqref="B609:E611">
    <cfRule type="expression" dxfId="31" priority="2070" stopIfTrue="1">
      <formula>$A609="enumerator"</formula>
    </cfRule>
  </conditionalFormatting>
  <conditionalFormatting sqref="B609:E611">
    <cfRule type="expression" dxfId="2" priority="2071" stopIfTrue="1">
      <formula>$A609="text"</formula>
    </cfRule>
  </conditionalFormatting>
  <conditionalFormatting sqref="B609:E611">
    <cfRule type="expression" dxfId="3" priority="2072" stopIfTrue="1">
      <formula>$A609="integer"</formula>
    </cfRule>
  </conditionalFormatting>
  <conditionalFormatting sqref="B609:E611">
    <cfRule type="expression" dxfId="4" priority="2073" stopIfTrue="1">
      <formula>$A609="decimal"</formula>
    </cfRule>
  </conditionalFormatting>
  <conditionalFormatting sqref="B609:C611 D609:E611">
    <cfRule type="expression" dxfId="5" priority="2074" stopIfTrue="1">
      <formula>OR(AND(LEFT($A609, 16)="select_multiple ", LEN($A609)&gt;16, NOT(ISNUMBER(SEARCH(" ", $A609, 17)))), AND(LEFT($A609, 11)="select_one ", LEN($A609)&gt;11, NOT(ISNUMBER(SEARCH(" ", $A609, 12)))))</formula>
    </cfRule>
  </conditionalFormatting>
  <conditionalFormatting sqref="B609:B611">
    <cfRule type="expression" dxfId="6" priority="2075" stopIfTrue="1">
      <formula>OR($A609="audio audit", $A609="text audit", $A609="speed violations count", $A609="speed violations list", $A609="speed violations audit")</formula>
    </cfRule>
  </conditionalFormatting>
  <conditionalFormatting sqref="B609:C611 D609:E611">
    <cfRule type="expression" dxfId="32" priority="2076" stopIfTrue="1">
      <formula>$A609="file"</formula>
    </cfRule>
  </conditionalFormatting>
  <conditionalFormatting sqref="B609:C611 D609:E611">
    <cfRule type="expression" dxfId="7" priority="2077" stopIfTrue="1">
      <formula>$A609="note"</formula>
    </cfRule>
  </conditionalFormatting>
  <conditionalFormatting sqref="B609:C611 D609:E611">
    <cfRule type="expression" dxfId="8" priority="2078" stopIfTrue="1">
      <formula>$A609="barcode"</formula>
    </cfRule>
  </conditionalFormatting>
  <conditionalFormatting sqref="B609:C611 D609:E611">
    <cfRule type="expression" dxfId="9" priority="2079" stopIfTrue="1">
      <formula>OR($A609="geopoint", $A609="geoshape", $A609="geotrace")</formula>
    </cfRule>
  </conditionalFormatting>
  <conditionalFormatting sqref="B609:B611">
    <cfRule type="expression" dxfId="10" priority="2080" stopIfTrue="1">
      <formula>OR($A609="calculate", $A609="calculate_here")</formula>
    </cfRule>
  </conditionalFormatting>
  <conditionalFormatting sqref="B609:C611 D609:E611">
    <cfRule type="expression" dxfId="11" priority="2081" stopIfTrue="1">
      <formula>OR($A609="date", $A609="datetime", $A609="time")</formula>
    </cfRule>
  </conditionalFormatting>
  <conditionalFormatting sqref="B609:C611 D609:E611">
    <cfRule type="expression" dxfId="12" priority="2082" stopIfTrue="1">
      <formula>$A609="image"</formula>
    </cfRule>
  </conditionalFormatting>
  <conditionalFormatting sqref="B609:C611 D609:E611">
    <cfRule type="expression" dxfId="13" priority="2083" stopIfTrue="1">
      <formula>OR($A609="audio", $A609="video")</formula>
    </cfRule>
  </conditionalFormatting>
  <conditionalFormatting sqref="B609:E611">
    <cfRule type="expression" dxfId="33" priority="2084" stopIfTrue="1">
      <formula>$A609="file"</formula>
    </cfRule>
  </conditionalFormatting>
  <conditionalFormatting sqref="B609:E611">
    <cfRule type="expression" dxfId="34" priority="2085" stopIfTrue="1">
      <formula>$A609="enumerator"</formula>
    </cfRule>
  </conditionalFormatting>
  <conditionalFormatting sqref="B609:E611">
    <cfRule type="expression" dxfId="35" priority="2086" stopIfTrue="1">
      <formula>OR(AND(LEFT($A609, 14)="sensor_stream ", LEN($A609)&gt;14, NOT(ISNUMBER(SEARCH(" ", $A609, 15)))), AND(LEFT($A609, 17)="sensor_statistic ", LEN($A609)&gt;17, NOT(ISNUMBER(SEARCH(" ", $A609, 18)))))</formula>
    </cfRule>
  </conditionalFormatting>
  <conditionalFormatting sqref="B609:E611">
    <cfRule type="expression" dxfId="14" priority="2087" stopIfTrue="1">
      <formula>$A609="comments"</formula>
    </cfRule>
  </conditionalFormatting>
  <conditionalFormatting sqref="B609:E611">
    <cfRule type="expression" dxfId="15" priority="2088" stopIfTrue="1">
      <formula>OR($A609="audio", $A609="video")</formula>
    </cfRule>
  </conditionalFormatting>
  <conditionalFormatting sqref="B609:E611">
    <cfRule type="expression" dxfId="16" priority="2089" stopIfTrue="1">
      <formula>$A609="image"</formula>
    </cfRule>
  </conditionalFormatting>
  <conditionalFormatting sqref="B609:E611">
    <cfRule type="expression" dxfId="17" priority="2090" stopIfTrue="1">
      <formula>OR($A609="date", $A609="datetime", $A609="time")</formula>
    </cfRule>
  </conditionalFormatting>
  <conditionalFormatting sqref="B609:E611">
    <cfRule type="expression" dxfId="18" priority="2091" stopIfTrue="1">
      <formula>OR($A609="calculate", $A609="calculate_here")</formula>
    </cfRule>
  </conditionalFormatting>
  <conditionalFormatting sqref="B609:E611">
    <cfRule type="expression" dxfId="19" priority="2092" stopIfTrue="1">
      <formula>$A609="note"</formula>
    </cfRule>
  </conditionalFormatting>
  <conditionalFormatting sqref="B609:E611">
    <cfRule type="expression" dxfId="20" priority="2093" stopIfTrue="1">
      <formula>$A609="barcode"</formula>
    </cfRule>
  </conditionalFormatting>
  <conditionalFormatting sqref="B609:E611">
    <cfRule type="expression" dxfId="21" priority="2094" stopIfTrue="1">
      <formula>OR($A609="geopoint", $A609="geoshape", $A609="geotrace")</formula>
    </cfRule>
  </conditionalFormatting>
  <conditionalFormatting sqref="B609:E611">
    <cfRule type="expression" dxfId="22" priority="2095" stopIfTrue="1">
      <formula>OR($A609="audio audit", $A609="text audit", $A609="speed violations count", $A609="speed violations list", $A609="speed violations audit")</formula>
    </cfRule>
  </conditionalFormatting>
  <conditionalFormatting sqref="B609:E611">
    <cfRule type="expression" dxfId="23" priority="2096" stopIfTrue="1">
      <formula>OR($A609="username", $A609="phonenumber", $A609="start", $A609="end", $A609="deviceid", $A609="subscriberid", $A609="simserial", $A609="caseid")</formula>
    </cfRule>
  </conditionalFormatting>
  <conditionalFormatting sqref="B609:E611">
    <cfRule type="expression" dxfId="24" priority="2097" stopIfTrue="1">
      <formula>OR(AND(LEFT($A609, 16)="select_multiple ", LEN($A609)&gt;16, NOT(ISNUMBER(SEARCH(" ", $A609, 17)))), AND(LEFT($A609, 11)="select_one ", LEN($A609)&gt;11, NOT(ISNUMBER(SEARCH(" ", $A609, 12)))))</formula>
    </cfRule>
  </conditionalFormatting>
  <conditionalFormatting sqref="B609:E611">
    <cfRule type="expression" dxfId="25" priority="2098" stopIfTrue="1">
      <formula>$A609="decimal"</formula>
    </cfRule>
  </conditionalFormatting>
  <conditionalFormatting sqref="B609:E611">
    <cfRule type="expression" dxfId="26" priority="2099" stopIfTrue="1">
      <formula>$A609="integer"</formula>
    </cfRule>
  </conditionalFormatting>
  <conditionalFormatting sqref="B609:E611">
    <cfRule type="expression" dxfId="27" priority="2100" stopIfTrue="1">
      <formula>$A609="text"</formula>
    </cfRule>
  </conditionalFormatting>
  <conditionalFormatting sqref="B609:E611">
    <cfRule type="expression" dxfId="28" priority="2101" stopIfTrue="1">
      <formula>$A609="end repeat"</formula>
    </cfRule>
  </conditionalFormatting>
  <conditionalFormatting sqref="B609:E611">
    <cfRule type="expression" dxfId="28" priority="2102" stopIfTrue="1">
      <formula>$A609="begin repeat"</formula>
    </cfRule>
  </conditionalFormatting>
  <conditionalFormatting sqref="B609:E611">
    <cfRule type="expression" dxfId="29" priority="2103" stopIfTrue="1">
      <formula>$A609="end group"</formula>
    </cfRule>
  </conditionalFormatting>
  <conditionalFormatting sqref="B609:E611">
    <cfRule type="expression" dxfId="29" priority="2104" stopIfTrue="1">
      <formula>$A609="begin group"</formula>
    </cfRule>
  </conditionalFormatting>
  <conditionalFormatting sqref="B609:B611">
    <cfRule type="expression" dxfId="30" priority="2105" stopIfTrue="1">
      <formula>$A609="comments"</formula>
    </cfRule>
  </conditionalFormatting>
  <conditionalFormatting sqref="B609:B611">
    <cfRule type="expression" dxfId="36" priority="2106" stopIfTrue="1">
      <formula>OR(AND(LEFT($A609, 14)="sensor_stream ", LEN($A609)&gt;14, NOT(ISNUMBER(SEARCH(" ", $A609, 15)))), AND(LEFT($A609, 17)="sensor_statistic ", LEN($A609)&gt;17, NOT(ISNUMBER(SEARCH(" ", $A609, 18)))))</formula>
    </cfRule>
  </conditionalFormatting>
  <conditionalFormatting sqref="B601:C605 D601:E605">
    <cfRule type="expression" dxfId="0" priority="2107" stopIfTrue="1">
      <formula>$A601="begin group"</formula>
    </cfRule>
  </conditionalFormatting>
  <conditionalFormatting sqref="B601:C605 D601:E605">
    <cfRule type="expression" dxfId="1" priority="2108" stopIfTrue="1">
      <formula>$A601="begin repeat"</formula>
    </cfRule>
  </conditionalFormatting>
  <conditionalFormatting sqref="B601:E605">
    <cfRule type="expression" dxfId="31" priority="2109" stopIfTrue="1">
      <formula>$A601="enumerator"</formula>
    </cfRule>
  </conditionalFormatting>
  <conditionalFormatting sqref="B601:E605">
    <cfRule type="expression" dxfId="2" priority="2110" stopIfTrue="1">
      <formula>$A601="text"</formula>
    </cfRule>
  </conditionalFormatting>
  <conditionalFormatting sqref="B601:E605">
    <cfRule type="expression" dxfId="3" priority="2111" stopIfTrue="1">
      <formula>$A601="integer"</formula>
    </cfRule>
  </conditionalFormatting>
  <conditionalFormatting sqref="B601:E605">
    <cfRule type="expression" dxfId="4" priority="2112" stopIfTrue="1">
      <formula>$A601="decimal"</formula>
    </cfRule>
  </conditionalFormatting>
  <conditionalFormatting sqref="B601:C605 D601:E605">
    <cfRule type="expression" dxfId="5" priority="2113" stopIfTrue="1">
      <formula>OR(AND(LEFT($A601, 16)="select_multiple ", LEN($A601)&gt;16, NOT(ISNUMBER(SEARCH(" ", $A601, 17)))), AND(LEFT($A601, 11)="select_one ", LEN($A601)&gt;11, NOT(ISNUMBER(SEARCH(" ", $A601, 12)))))</formula>
    </cfRule>
  </conditionalFormatting>
  <conditionalFormatting sqref="B601:B605">
    <cfRule type="expression" dxfId="6" priority="2114" stopIfTrue="1">
      <formula>OR($A601="audio audit", $A601="text audit", $A601="speed violations count", $A601="speed violations list", $A601="speed violations audit")</formula>
    </cfRule>
  </conditionalFormatting>
  <conditionalFormatting sqref="B601:C605 D601:E605">
    <cfRule type="expression" dxfId="32" priority="2115" stopIfTrue="1">
      <formula>$A601="file"</formula>
    </cfRule>
  </conditionalFormatting>
  <conditionalFormatting sqref="B601:C605 D601:E605">
    <cfRule type="expression" dxfId="7" priority="2116" stopIfTrue="1">
      <formula>$A601="note"</formula>
    </cfRule>
  </conditionalFormatting>
  <conditionalFormatting sqref="B601:C605 D601:E605">
    <cfRule type="expression" dxfId="8" priority="2117" stopIfTrue="1">
      <formula>$A601="barcode"</formula>
    </cfRule>
  </conditionalFormatting>
  <conditionalFormatting sqref="B601:C605 D601:E605">
    <cfRule type="expression" dxfId="9" priority="2118" stopIfTrue="1">
      <formula>OR($A601="geopoint", $A601="geoshape", $A601="geotrace")</formula>
    </cfRule>
  </conditionalFormatting>
  <conditionalFormatting sqref="B601:B605">
    <cfRule type="expression" dxfId="10" priority="2119" stopIfTrue="1">
      <formula>OR($A601="calculate", $A601="calculate_here")</formula>
    </cfRule>
  </conditionalFormatting>
  <conditionalFormatting sqref="B601:C605 D601:E605">
    <cfRule type="expression" dxfId="11" priority="2120" stopIfTrue="1">
      <formula>OR($A601="date", $A601="datetime", $A601="time")</formula>
    </cfRule>
  </conditionalFormatting>
  <conditionalFormatting sqref="B601:C605 D601:E605">
    <cfRule type="expression" dxfId="12" priority="2121" stopIfTrue="1">
      <formula>$A601="image"</formula>
    </cfRule>
  </conditionalFormatting>
  <conditionalFormatting sqref="B601:C605 D601:E605">
    <cfRule type="expression" dxfId="13" priority="2122" stopIfTrue="1">
      <formula>OR($A601="audio", $A601="video")</formula>
    </cfRule>
  </conditionalFormatting>
  <conditionalFormatting sqref="B601:E605">
    <cfRule type="expression" dxfId="33" priority="2123" stopIfTrue="1">
      <formula>$A601="file"</formula>
    </cfRule>
  </conditionalFormatting>
  <conditionalFormatting sqref="B601:E605">
    <cfRule type="expression" dxfId="34" priority="2124" stopIfTrue="1">
      <formula>$A601="enumerator"</formula>
    </cfRule>
  </conditionalFormatting>
  <conditionalFormatting sqref="B601:E605">
    <cfRule type="expression" dxfId="35" priority="2125" stopIfTrue="1">
      <formula>OR(AND(LEFT($A601, 14)="sensor_stream ", LEN($A601)&gt;14, NOT(ISNUMBER(SEARCH(" ", $A601, 15)))), AND(LEFT($A601, 17)="sensor_statistic ", LEN($A601)&gt;17, NOT(ISNUMBER(SEARCH(" ", $A601, 18)))))</formula>
    </cfRule>
  </conditionalFormatting>
  <conditionalFormatting sqref="B601:E605">
    <cfRule type="expression" dxfId="14" priority="2126" stopIfTrue="1">
      <formula>$A601="comments"</formula>
    </cfRule>
  </conditionalFormatting>
  <conditionalFormatting sqref="B601:E605">
    <cfRule type="expression" dxfId="15" priority="2127" stopIfTrue="1">
      <formula>OR($A601="audio", $A601="video")</formula>
    </cfRule>
  </conditionalFormatting>
  <conditionalFormatting sqref="B601:E605">
    <cfRule type="expression" dxfId="16" priority="2128" stopIfTrue="1">
      <formula>$A601="image"</formula>
    </cfRule>
  </conditionalFormatting>
  <conditionalFormatting sqref="B601:E605">
    <cfRule type="expression" dxfId="17" priority="2129" stopIfTrue="1">
      <formula>OR($A601="date", $A601="datetime", $A601="time")</formula>
    </cfRule>
  </conditionalFormatting>
  <conditionalFormatting sqref="B601:E605">
    <cfRule type="expression" dxfId="18" priority="2130" stopIfTrue="1">
      <formula>OR($A601="calculate", $A601="calculate_here")</formula>
    </cfRule>
  </conditionalFormatting>
  <conditionalFormatting sqref="B601:E605">
    <cfRule type="expression" dxfId="19" priority="2131" stopIfTrue="1">
      <formula>$A601="note"</formula>
    </cfRule>
  </conditionalFormatting>
  <conditionalFormatting sqref="B601:E605">
    <cfRule type="expression" dxfId="20" priority="2132" stopIfTrue="1">
      <formula>$A601="barcode"</formula>
    </cfRule>
  </conditionalFormatting>
  <conditionalFormatting sqref="B601:E605">
    <cfRule type="expression" dxfId="21" priority="2133" stopIfTrue="1">
      <formula>OR($A601="geopoint", $A601="geoshape", $A601="geotrace")</formula>
    </cfRule>
  </conditionalFormatting>
  <conditionalFormatting sqref="B601:E605">
    <cfRule type="expression" dxfId="22" priority="2134" stopIfTrue="1">
      <formula>OR($A601="audio audit", $A601="text audit", $A601="speed violations count", $A601="speed violations list", $A601="speed violations audit")</formula>
    </cfRule>
  </conditionalFormatting>
  <conditionalFormatting sqref="B601:E605">
    <cfRule type="expression" dxfId="23" priority="2135" stopIfTrue="1">
      <formula>OR($A601="username", $A601="phonenumber", $A601="start", $A601="end", $A601="deviceid", $A601="subscriberid", $A601="simserial", $A601="caseid")</formula>
    </cfRule>
  </conditionalFormatting>
  <conditionalFormatting sqref="B601:E605">
    <cfRule type="expression" dxfId="24" priority="2136" stopIfTrue="1">
      <formula>OR(AND(LEFT($A601, 16)="select_multiple ", LEN($A601)&gt;16, NOT(ISNUMBER(SEARCH(" ", $A601, 17)))), AND(LEFT($A601, 11)="select_one ", LEN($A601)&gt;11, NOT(ISNUMBER(SEARCH(" ", $A601, 12)))))</formula>
    </cfRule>
  </conditionalFormatting>
  <conditionalFormatting sqref="B601:E605">
    <cfRule type="expression" dxfId="25" priority="2137" stopIfTrue="1">
      <formula>$A601="decimal"</formula>
    </cfRule>
  </conditionalFormatting>
  <conditionalFormatting sqref="B601:E605">
    <cfRule type="expression" dxfId="26" priority="2138" stopIfTrue="1">
      <formula>$A601="integer"</formula>
    </cfRule>
  </conditionalFormatting>
  <conditionalFormatting sqref="B601:E605">
    <cfRule type="expression" dxfId="27" priority="2139" stopIfTrue="1">
      <formula>$A601="text"</formula>
    </cfRule>
  </conditionalFormatting>
  <conditionalFormatting sqref="B601:E605">
    <cfRule type="expression" dxfId="28" priority="2140" stopIfTrue="1">
      <formula>$A601="end repeat"</formula>
    </cfRule>
  </conditionalFormatting>
  <conditionalFormatting sqref="B601:E605">
    <cfRule type="expression" dxfId="28" priority="2141" stopIfTrue="1">
      <formula>$A601="begin repeat"</formula>
    </cfRule>
  </conditionalFormatting>
  <conditionalFormatting sqref="B601:E605">
    <cfRule type="expression" dxfId="29" priority="2142" stopIfTrue="1">
      <formula>$A601="end group"</formula>
    </cfRule>
  </conditionalFormatting>
  <conditionalFormatting sqref="B601:E605">
    <cfRule type="expression" dxfId="29" priority="2143" stopIfTrue="1">
      <formula>$A601="begin group"</formula>
    </cfRule>
  </conditionalFormatting>
  <conditionalFormatting sqref="B601:B605">
    <cfRule type="expression" dxfId="30" priority="2144" stopIfTrue="1">
      <formula>$A601="comments"</formula>
    </cfRule>
  </conditionalFormatting>
  <conditionalFormatting sqref="B601:B605">
    <cfRule type="expression" dxfId="36" priority="2145" stopIfTrue="1">
      <formula>OR(AND(LEFT($A601, 14)="sensor_stream ", LEN($A601)&gt;14, NOT(ISNUMBER(SEARCH(" ", $A601, 15)))), AND(LEFT($A601, 17)="sensor_statistic ", LEN($A601)&gt;17, NOT(ISNUMBER(SEARCH(" ", $A601, 18)))))</formula>
    </cfRule>
  </conditionalFormatting>
  <conditionalFormatting sqref="B588:C591 D588:E591">
    <cfRule type="expression" dxfId="0" priority="2146" stopIfTrue="1">
      <formula>$A588="begin group"</formula>
    </cfRule>
  </conditionalFormatting>
  <conditionalFormatting sqref="B588:C591 D588:E591">
    <cfRule type="expression" dxfId="1" priority="2147" stopIfTrue="1">
      <formula>$A588="begin repeat"</formula>
    </cfRule>
  </conditionalFormatting>
  <conditionalFormatting sqref="B588:E591">
    <cfRule type="expression" dxfId="31" priority="2148" stopIfTrue="1">
      <formula>$A588="enumerator"</formula>
    </cfRule>
  </conditionalFormatting>
  <conditionalFormatting sqref="B588:E591">
    <cfRule type="expression" dxfId="2" priority="2149" stopIfTrue="1">
      <formula>$A588="text"</formula>
    </cfRule>
  </conditionalFormatting>
  <conditionalFormatting sqref="B588:E591">
    <cfRule type="expression" dxfId="3" priority="2150" stopIfTrue="1">
      <formula>$A588="integer"</formula>
    </cfRule>
  </conditionalFormatting>
  <conditionalFormatting sqref="B588:E591">
    <cfRule type="expression" dxfId="4" priority="2151" stopIfTrue="1">
      <formula>$A588="decimal"</formula>
    </cfRule>
  </conditionalFormatting>
  <conditionalFormatting sqref="B588:C591 D588:E591">
    <cfRule type="expression" dxfId="5" priority="2152" stopIfTrue="1">
      <formula>OR(AND(LEFT($A588, 16)="select_multiple ", LEN($A588)&gt;16, NOT(ISNUMBER(SEARCH(" ", $A588, 17)))), AND(LEFT($A588, 11)="select_one ", LEN($A588)&gt;11, NOT(ISNUMBER(SEARCH(" ", $A588, 12)))))</formula>
    </cfRule>
  </conditionalFormatting>
  <conditionalFormatting sqref="B588:B591">
    <cfRule type="expression" dxfId="6" priority="2153" stopIfTrue="1">
      <formula>OR($A588="audio audit", $A588="text audit", $A588="speed violations count", $A588="speed violations list", $A588="speed violations audit")</formula>
    </cfRule>
  </conditionalFormatting>
  <conditionalFormatting sqref="B588:C591 D588:E591">
    <cfRule type="expression" dxfId="32" priority="2154" stopIfTrue="1">
      <formula>$A588="file"</formula>
    </cfRule>
  </conditionalFormatting>
  <conditionalFormatting sqref="B588:C591 D588:E591">
    <cfRule type="expression" dxfId="7" priority="2155" stopIfTrue="1">
      <formula>$A588="note"</formula>
    </cfRule>
  </conditionalFormatting>
  <conditionalFormatting sqref="B588:C591 D588:E591">
    <cfRule type="expression" dxfId="8" priority="2156" stopIfTrue="1">
      <formula>$A588="barcode"</formula>
    </cfRule>
  </conditionalFormatting>
  <conditionalFormatting sqref="B588:C591 D588:E591">
    <cfRule type="expression" dxfId="9" priority="2157" stopIfTrue="1">
      <formula>OR($A588="geopoint", $A588="geoshape", $A588="geotrace")</formula>
    </cfRule>
  </conditionalFormatting>
  <conditionalFormatting sqref="B588:B591">
    <cfRule type="expression" dxfId="10" priority="2158" stopIfTrue="1">
      <formula>OR($A588="calculate", $A588="calculate_here")</formula>
    </cfRule>
  </conditionalFormatting>
  <conditionalFormatting sqref="B588:C591 D588:E591">
    <cfRule type="expression" dxfId="11" priority="2159" stopIfTrue="1">
      <formula>OR($A588="date", $A588="datetime", $A588="time")</formula>
    </cfRule>
  </conditionalFormatting>
  <conditionalFormatting sqref="B588:C591 D588:E591">
    <cfRule type="expression" dxfId="12" priority="2160" stopIfTrue="1">
      <formula>$A588="image"</formula>
    </cfRule>
  </conditionalFormatting>
  <conditionalFormatting sqref="B588:C591 D588:E591">
    <cfRule type="expression" dxfId="13" priority="2161" stopIfTrue="1">
      <formula>OR($A588="audio", $A588="video")</formula>
    </cfRule>
  </conditionalFormatting>
  <conditionalFormatting sqref="B588:E591">
    <cfRule type="expression" dxfId="33" priority="2162" stopIfTrue="1">
      <formula>$A588="file"</formula>
    </cfRule>
  </conditionalFormatting>
  <conditionalFormatting sqref="B588:E591">
    <cfRule type="expression" dxfId="34" priority="2163" stopIfTrue="1">
      <formula>$A588="enumerator"</formula>
    </cfRule>
  </conditionalFormatting>
  <conditionalFormatting sqref="B588:E591">
    <cfRule type="expression" dxfId="35" priority="2164" stopIfTrue="1">
      <formula>OR(AND(LEFT($A588, 14)="sensor_stream ", LEN($A588)&gt;14, NOT(ISNUMBER(SEARCH(" ", $A588, 15)))), AND(LEFT($A588, 17)="sensor_statistic ", LEN($A588)&gt;17, NOT(ISNUMBER(SEARCH(" ", $A588, 18)))))</formula>
    </cfRule>
  </conditionalFormatting>
  <conditionalFormatting sqref="B588:E591">
    <cfRule type="expression" dxfId="14" priority="2165" stopIfTrue="1">
      <formula>$A588="comments"</formula>
    </cfRule>
  </conditionalFormatting>
  <conditionalFormatting sqref="B588:E591">
    <cfRule type="expression" dxfId="15" priority="2166" stopIfTrue="1">
      <formula>OR($A588="audio", $A588="video")</formula>
    </cfRule>
  </conditionalFormatting>
  <conditionalFormatting sqref="B588:E591">
    <cfRule type="expression" dxfId="16" priority="2167" stopIfTrue="1">
      <formula>$A588="image"</formula>
    </cfRule>
  </conditionalFormatting>
  <conditionalFormatting sqref="B588:E591">
    <cfRule type="expression" dxfId="17" priority="2168" stopIfTrue="1">
      <formula>OR($A588="date", $A588="datetime", $A588="time")</formula>
    </cfRule>
  </conditionalFormatting>
  <conditionalFormatting sqref="B588:E591">
    <cfRule type="expression" dxfId="18" priority="2169" stopIfTrue="1">
      <formula>OR($A588="calculate", $A588="calculate_here")</formula>
    </cfRule>
  </conditionalFormatting>
  <conditionalFormatting sqref="B588:E591">
    <cfRule type="expression" dxfId="19" priority="2170" stopIfTrue="1">
      <formula>$A588="note"</formula>
    </cfRule>
  </conditionalFormatting>
  <conditionalFormatting sqref="B588:E591">
    <cfRule type="expression" dxfId="20" priority="2171" stopIfTrue="1">
      <formula>$A588="barcode"</formula>
    </cfRule>
  </conditionalFormatting>
  <conditionalFormatting sqref="B588:E591">
    <cfRule type="expression" dxfId="21" priority="2172" stopIfTrue="1">
      <formula>OR($A588="geopoint", $A588="geoshape", $A588="geotrace")</formula>
    </cfRule>
  </conditionalFormatting>
  <conditionalFormatting sqref="B588:E591">
    <cfRule type="expression" dxfId="22" priority="2173" stopIfTrue="1">
      <formula>OR($A588="audio audit", $A588="text audit", $A588="speed violations count", $A588="speed violations list", $A588="speed violations audit")</formula>
    </cfRule>
  </conditionalFormatting>
  <conditionalFormatting sqref="B588:E591">
    <cfRule type="expression" dxfId="23" priority="2174" stopIfTrue="1">
      <formula>OR($A588="username", $A588="phonenumber", $A588="start", $A588="end", $A588="deviceid", $A588="subscriberid", $A588="simserial", $A588="caseid")</formula>
    </cfRule>
  </conditionalFormatting>
  <conditionalFormatting sqref="B588:E591">
    <cfRule type="expression" dxfId="24" priority="2175" stopIfTrue="1">
      <formula>OR(AND(LEFT($A588, 16)="select_multiple ", LEN($A588)&gt;16, NOT(ISNUMBER(SEARCH(" ", $A588, 17)))), AND(LEFT($A588, 11)="select_one ", LEN($A588)&gt;11, NOT(ISNUMBER(SEARCH(" ", $A588, 12)))))</formula>
    </cfRule>
  </conditionalFormatting>
  <conditionalFormatting sqref="B588:E591">
    <cfRule type="expression" dxfId="25" priority="2176" stopIfTrue="1">
      <formula>$A588="decimal"</formula>
    </cfRule>
  </conditionalFormatting>
  <conditionalFormatting sqref="B588:E591">
    <cfRule type="expression" dxfId="26" priority="2177" stopIfTrue="1">
      <formula>$A588="integer"</formula>
    </cfRule>
  </conditionalFormatting>
  <conditionalFormatting sqref="B588:E591">
    <cfRule type="expression" dxfId="27" priority="2178" stopIfTrue="1">
      <formula>$A588="text"</formula>
    </cfRule>
  </conditionalFormatting>
  <conditionalFormatting sqref="B588:E591">
    <cfRule type="expression" dxfId="28" priority="2179" stopIfTrue="1">
      <formula>$A588="end repeat"</formula>
    </cfRule>
  </conditionalFormatting>
  <conditionalFormatting sqref="B588:E591">
    <cfRule type="expression" dxfId="28" priority="2180" stopIfTrue="1">
      <formula>$A588="begin repeat"</formula>
    </cfRule>
  </conditionalFormatting>
  <conditionalFormatting sqref="B588:E591">
    <cfRule type="expression" dxfId="29" priority="2181" stopIfTrue="1">
      <formula>$A588="end group"</formula>
    </cfRule>
  </conditionalFormatting>
  <conditionalFormatting sqref="B588:E591">
    <cfRule type="expression" dxfId="29" priority="2182" stopIfTrue="1">
      <formula>$A588="begin group"</formula>
    </cfRule>
  </conditionalFormatting>
  <conditionalFormatting sqref="B588:B591">
    <cfRule type="expression" dxfId="30" priority="2183" stopIfTrue="1">
      <formula>$A588="comments"</formula>
    </cfRule>
  </conditionalFormatting>
  <conditionalFormatting sqref="B588:B591">
    <cfRule type="expression" dxfId="36" priority="2184" stopIfTrue="1">
      <formula>OR(AND(LEFT($A588, 14)="sensor_stream ", LEN($A588)&gt;14, NOT(ISNUMBER(SEARCH(" ", $A588, 15)))), AND(LEFT($A588, 17)="sensor_statistic ", LEN($A588)&gt;17, NOT(ISNUMBER(SEARCH(" ", $A588, 18)))))</formula>
    </cfRule>
  </conditionalFormatting>
  <conditionalFormatting sqref="B572:C584 D572:E584">
    <cfRule type="expression" dxfId="0" priority="2185" stopIfTrue="1">
      <formula>$A572="begin group"</formula>
    </cfRule>
  </conditionalFormatting>
  <conditionalFormatting sqref="B572:C584 D572:E584">
    <cfRule type="expression" dxfId="1" priority="2186" stopIfTrue="1">
      <formula>$A572="begin repeat"</formula>
    </cfRule>
  </conditionalFormatting>
  <conditionalFormatting sqref="B572:E584">
    <cfRule type="expression" dxfId="31" priority="2187" stopIfTrue="1">
      <formula>$A572="enumerator"</formula>
    </cfRule>
  </conditionalFormatting>
  <conditionalFormatting sqref="B572:E584">
    <cfRule type="expression" dxfId="2" priority="2188" stopIfTrue="1">
      <formula>$A572="text"</formula>
    </cfRule>
  </conditionalFormatting>
  <conditionalFormatting sqref="B572:E584">
    <cfRule type="expression" dxfId="3" priority="2189" stopIfTrue="1">
      <formula>$A572="integer"</formula>
    </cfRule>
  </conditionalFormatting>
  <conditionalFormatting sqref="B572:E584">
    <cfRule type="expression" dxfId="4" priority="2190" stopIfTrue="1">
      <formula>$A572="decimal"</formula>
    </cfRule>
  </conditionalFormatting>
  <conditionalFormatting sqref="B572:C584 D572:E584">
    <cfRule type="expression" dxfId="5" priority="2191" stopIfTrue="1">
      <formula>OR(AND(LEFT($A572, 16)="select_multiple ", LEN($A572)&gt;16, NOT(ISNUMBER(SEARCH(" ", $A572, 17)))), AND(LEFT($A572, 11)="select_one ", LEN($A572)&gt;11, NOT(ISNUMBER(SEARCH(" ", $A572, 12)))))</formula>
    </cfRule>
  </conditionalFormatting>
  <conditionalFormatting sqref="B572:B584">
    <cfRule type="expression" dxfId="6" priority="2192" stopIfTrue="1">
      <formula>OR($A572="audio audit", $A572="text audit", $A572="speed violations count", $A572="speed violations list", $A572="speed violations audit")</formula>
    </cfRule>
  </conditionalFormatting>
  <conditionalFormatting sqref="B572:C584 D572:E584">
    <cfRule type="expression" dxfId="32" priority="2193" stopIfTrue="1">
      <formula>$A572="file"</formula>
    </cfRule>
  </conditionalFormatting>
  <conditionalFormatting sqref="B572:C584 D572:E584">
    <cfRule type="expression" dxfId="7" priority="2194" stopIfTrue="1">
      <formula>$A572="note"</formula>
    </cfRule>
  </conditionalFormatting>
  <conditionalFormatting sqref="B572:C584 D572:E584">
    <cfRule type="expression" dxfId="8" priority="2195" stopIfTrue="1">
      <formula>$A572="barcode"</formula>
    </cfRule>
  </conditionalFormatting>
  <conditionalFormatting sqref="B572:C584 D572:E584">
    <cfRule type="expression" dxfId="9" priority="2196" stopIfTrue="1">
      <formula>OR($A572="geopoint", $A572="geoshape", $A572="geotrace")</formula>
    </cfRule>
  </conditionalFormatting>
  <conditionalFormatting sqref="B572:B584">
    <cfRule type="expression" dxfId="10" priority="2197" stopIfTrue="1">
      <formula>OR($A572="calculate", $A572="calculate_here")</formula>
    </cfRule>
  </conditionalFormatting>
  <conditionalFormatting sqref="B572:C584 D572:E584">
    <cfRule type="expression" dxfId="11" priority="2198" stopIfTrue="1">
      <formula>OR($A572="date", $A572="datetime", $A572="time")</formula>
    </cfRule>
  </conditionalFormatting>
  <conditionalFormatting sqref="B572:C584 D572:E584">
    <cfRule type="expression" dxfId="12" priority="2199" stopIfTrue="1">
      <formula>$A572="image"</formula>
    </cfRule>
  </conditionalFormatting>
  <conditionalFormatting sqref="B572:C584 D572:E584">
    <cfRule type="expression" dxfId="13" priority="2200" stopIfTrue="1">
      <formula>OR($A572="audio", $A572="video")</formula>
    </cfRule>
  </conditionalFormatting>
  <conditionalFormatting sqref="B572:E584">
    <cfRule type="expression" dxfId="33" priority="2201" stopIfTrue="1">
      <formula>$A572="file"</formula>
    </cfRule>
  </conditionalFormatting>
  <conditionalFormatting sqref="B572:E584">
    <cfRule type="expression" dxfId="34" priority="2202" stopIfTrue="1">
      <formula>$A572="enumerator"</formula>
    </cfRule>
  </conditionalFormatting>
  <conditionalFormatting sqref="B572:E584">
    <cfRule type="expression" dxfId="35" priority="2203" stopIfTrue="1">
      <formula>OR(AND(LEFT($A572, 14)="sensor_stream ", LEN($A572)&gt;14, NOT(ISNUMBER(SEARCH(" ", $A572, 15)))), AND(LEFT($A572, 17)="sensor_statistic ", LEN($A572)&gt;17, NOT(ISNUMBER(SEARCH(" ", $A572, 18)))))</formula>
    </cfRule>
  </conditionalFormatting>
  <conditionalFormatting sqref="B572:E584">
    <cfRule type="expression" dxfId="14" priority="2204" stopIfTrue="1">
      <formula>$A572="comments"</formula>
    </cfRule>
  </conditionalFormatting>
  <conditionalFormatting sqref="B572:E584">
    <cfRule type="expression" dxfId="15" priority="2205" stopIfTrue="1">
      <formula>OR($A572="audio", $A572="video")</formula>
    </cfRule>
  </conditionalFormatting>
  <conditionalFormatting sqref="B572:E584">
    <cfRule type="expression" dxfId="16" priority="2206" stopIfTrue="1">
      <formula>$A572="image"</formula>
    </cfRule>
  </conditionalFormatting>
  <conditionalFormatting sqref="B572:E584">
    <cfRule type="expression" dxfId="17" priority="2207" stopIfTrue="1">
      <formula>OR($A572="date", $A572="datetime", $A572="time")</formula>
    </cfRule>
  </conditionalFormatting>
  <conditionalFormatting sqref="B572:E584">
    <cfRule type="expression" dxfId="18" priority="2208" stopIfTrue="1">
      <formula>OR($A572="calculate", $A572="calculate_here")</formula>
    </cfRule>
  </conditionalFormatting>
  <conditionalFormatting sqref="B572:E584">
    <cfRule type="expression" dxfId="19" priority="2209" stopIfTrue="1">
      <formula>$A572="note"</formula>
    </cfRule>
  </conditionalFormatting>
  <conditionalFormatting sqref="B572:E584">
    <cfRule type="expression" dxfId="20" priority="2210" stopIfTrue="1">
      <formula>$A572="barcode"</formula>
    </cfRule>
  </conditionalFormatting>
  <conditionalFormatting sqref="B572:E584">
    <cfRule type="expression" dxfId="21" priority="2211" stopIfTrue="1">
      <formula>OR($A572="geopoint", $A572="geoshape", $A572="geotrace")</formula>
    </cfRule>
  </conditionalFormatting>
  <conditionalFormatting sqref="B572:E584">
    <cfRule type="expression" dxfId="22" priority="2212" stopIfTrue="1">
      <formula>OR($A572="audio audit", $A572="text audit", $A572="speed violations count", $A572="speed violations list", $A572="speed violations audit")</formula>
    </cfRule>
  </conditionalFormatting>
  <conditionalFormatting sqref="B572:E584">
    <cfRule type="expression" dxfId="23" priority="2213" stopIfTrue="1">
      <formula>OR($A572="username", $A572="phonenumber", $A572="start", $A572="end", $A572="deviceid", $A572="subscriberid", $A572="simserial", $A572="caseid")</formula>
    </cfRule>
  </conditionalFormatting>
  <conditionalFormatting sqref="B572:E584">
    <cfRule type="expression" dxfId="24" priority="2214" stopIfTrue="1">
      <formula>OR(AND(LEFT($A572, 16)="select_multiple ", LEN($A572)&gt;16, NOT(ISNUMBER(SEARCH(" ", $A572, 17)))), AND(LEFT($A572, 11)="select_one ", LEN($A572)&gt;11, NOT(ISNUMBER(SEARCH(" ", $A572, 12)))))</formula>
    </cfRule>
  </conditionalFormatting>
  <conditionalFormatting sqref="B572:E584">
    <cfRule type="expression" dxfId="25" priority="2215" stopIfTrue="1">
      <formula>$A572="decimal"</formula>
    </cfRule>
  </conditionalFormatting>
  <conditionalFormatting sqref="B572:E584">
    <cfRule type="expression" dxfId="26" priority="2216" stopIfTrue="1">
      <formula>$A572="integer"</formula>
    </cfRule>
  </conditionalFormatting>
  <conditionalFormatting sqref="B572:E584">
    <cfRule type="expression" dxfId="27" priority="2217" stopIfTrue="1">
      <formula>$A572="text"</formula>
    </cfRule>
  </conditionalFormatting>
  <conditionalFormatting sqref="B572:E584">
    <cfRule type="expression" dxfId="28" priority="2218" stopIfTrue="1">
      <formula>$A572="end repeat"</formula>
    </cfRule>
  </conditionalFormatting>
  <conditionalFormatting sqref="B572:E584">
    <cfRule type="expression" dxfId="28" priority="2219" stopIfTrue="1">
      <formula>$A572="begin repeat"</formula>
    </cfRule>
  </conditionalFormatting>
  <conditionalFormatting sqref="B572:E584">
    <cfRule type="expression" dxfId="29" priority="2220" stopIfTrue="1">
      <formula>$A572="end group"</formula>
    </cfRule>
  </conditionalFormatting>
  <conditionalFormatting sqref="B572:E584">
    <cfRule type="expression" dxfId="29" priority="2221" stopIfTrue="1">
      <formula>$A572="begin group"</formula>
    </cfRule>
  </conditionalFormatting>
  <conditionalFormatting sqref="B572:B584">
    <cfRule type="expression" dxfId="30" priority="2222" stopIfTrue="1">
      <formula>$A572="comments"</formula>
    </cfRule>
  </conditionalFormatting>
  <conditionalFormatting sqref="B572:B584">
    <cfRule type="expression" dxfId="36" priority="2223" stopIfTrue="1">
      <formula>OR(AND(LEFT($A572, 14)="sensor_stream ", LEN($A572)&gt;14, NOT(ISNUMBER(SEARCH(" ", $A572, 15)))), AND(LEFT($A572, 17)="sensor_statistic ", LEN($A572)&gt;17, NOT(ISNUMBER(SEARCH(" ", $A572, 18)))))</formula>
    </cfRule>
  </conditionalFormatting>
  <conditionalFormatting sqref="B556:C570 D556:E570">
    <cfRule type="expression" dxfId="0" priority="2224" stopIfTrue="1">
      <formula>$A556="begin group"</formula>
    </cfRule>
  </conditionalFormatting>
  <conditionalFormatting sqref="B556:C570 D556:E570">
    <cfRule type="expression" dxfId="1" priority="2225" stopIfTrue="1">
      <formula>$A556="begin repeat"</formula>
    </cfRule>
  </conditionalFormatting>
  <conditionalFormatting sqref="B556:E570">
    <cfRule type="expression" dxfId="31" priority="2226" stopIfTrue="1">
      <formula>$A556="enumerator"</formula>
    </cfRule>
  </conditionalFormatting>
  <conditionalFormatting sqref="B556:E570">
    <cfRule type="expression" dxfId="2" priority="2227" stopIfTrue="1">
      <formula>$A556="text"</formula>
    </cfRule>
  </conditionalFormatting>
  <conditionalFormatting sqref="B556:E570">
    <cfRule type="expression" dxfId="3" priority="2228" stopIfTrue="1">
      <formula>$A556="integer"</formula>
    </cfRule>
  </conditionalFormatting>
  <conditionalFormatting sqref="B556:E570">
    <cfRule type="expression" dxfId="4" priority="2229" stopIfTrue="1">
      <formula>$A556="decimal"</formula>
    </cfRule>
  </conditionalFormatting>
  <conditionalFormatting sqref="B556:C570 D556:E570">
    <cfRule type="expression" dxfId="5" priority="2230" stopIfTrue="1">
      <formula>OR(AND(LEFT($A556, 16)="select_multiple ", LEN($A556)&gt;16, NOT(ISNUMBER(SEARCH(" ", $A556, 17)))), AND(LEFT($A556, 11)="select_one ", LEN($A556)&gt;11, NOT(ISNUMBER(SEARCH(" ", $A556, 12)))))</formula>
    </cfRule>
  </conditionalFormatting>
  <conditionalFormatting sqref="B556:B570">
    <cfRule type="expression" dxfId="6" priority="2231" stopIfTrue="1">
      <formula>OR($A556="audio audit", $A556="text audit", $A556="speed violations count", $A556="speed violations list", $A556="speed violations audit")</formula>
    </cfRule>
  </conditionalFormatting>
  <conditionalFormatting sqref="B556:C570 D556:E570">
    <cfRule type="expression" dxfId="32" priority="2232" stopIfTrue="1">
      <formula>$A556="file"</formula>
    </cfRule>
  </conditionalFormatting>
  <conditionalFormatting sqref="B556:C570 D556:E570">
    <cfRule type="expression" dxfId="7" priority="2233" stopIfTrue="1">
      <formula>$A556="note"</formula>
    </cfRule>
  </conditionalFormatting>
  <conditionalFormatting sqref="B556:C570 D556:E570">
    <cfRule type="expression" dxfId="8" priority="2234" stopIfTrue="1">
      <formula>$A556="barcode"</formula>
    </cfRule>
  </conditionalFormatting>
  <conditionalFormatting sqref="B556:C570 D556:E570">
    <cfRule type="expression" dxfId="9" priority="2235" stopIfTrue="1">
      <formula>OR($A556="geopoint", $A556="geoshape", $A556="geotrace")</formula>
    </cfRule>
  </conditionalFormatting>
  <conditionalFormatting sqref="B556:B570">
    <cfRule type="expression" dxfId="10" priority="2236" stopIfTrue="1">
      <formula>OR($A556="calculate", $A556="calculate_here")</formula>
    </cfRule>
  </conditionalFormatting>
  <conditionalFormatting sqref="B556:C570 D556:E570">
    <cfRule type="expression" dxfId="11" priority="2237" stopIfTrue="1">
      <formula>OR($A556="date", $A556="datetime", $A556="time")</formula>
    </cfRule>
  </conditionalFormatting>
  <conditionalFormatting sqref="B556:C570 D556:E570">
    <cfRule type="expression" dxfId="12" priority="2238" stopIfTrue="1">
      <formula>$A556="image"</formula>
    </cfRule>
  </conditionalFormatting>
  <conditionalFormatting sqref="B556:C570 D556:E570">
    <cfRule type="expression" dxfId="13" priority="2239" stopIfTrue="1">
      <formula>OR($A556="audio", $A556="video")</formula>
    </cfRule>
  </conditionalFormatting>
  <conditionalFormatting sqref="B556:E570">
    <cfRule type="expression" dxfId="33" priority="2240" stopIfTrue="1">
      <formula>$A556="file"</formula>
    </cfRule>
  </conditionalFormatting>
  <conditionalFormatting sqref="B556:E570">
    <cfRule type="expression" dxfId="34" priority="2241" stopIfTrue="1">
      <formula>$A556="enumerator"</formula>
    </cfRule>
  </conditionalFormatting>
  <conditionalFormatting sqref="B556:E570">
    <cfRule type="expression" dxfId="35" priority="2242" stopIfTrue="1">
      <formula>OR(AND(LEFT($A556, 14)="sensor_stream ", LEN($A556)&gt;14, NOT(ISNUMBER(SEARCH(" ", $A556, 15)))), AND(LEFT($A556, 17)="sensor_statistic ", LEN($A556)&gt;17, NOT(ISNUMBER(SEARCH(" ", $A556, 18)))))</formula>
    </cfRule>
  </conditionalFormatting>
  <conditionalFormatting sqref="B556:E570">
    <cfRule type="expression" dxfId="14" priority="2243" stopIfTrue="1">
      <formula>$A556="comments"</formula>
    </cfRule>
  </conditionalFormatting>
  <conditionalFormatting sqref="B556:E570">
    <cfRule type="expression" dxfId="15" priority="2244" stopIfTrue="1">
      <formula>OR($A556="audio", $A556="video")</formula>
    </cfRule>
  </conditionalFormatting>
  <conditionalFormatting sqref="B556:E570">
    <cfRule type="expression" dxfId="16" priority="2245" stopIfTrue="1">
      <formula>$A556="image"</formula>
    </cfRule>
  </conditionalFormatting>
  <conditionalFormatting sqref="B556:E570">
    <cfRule type="expression" dxfId="17" priority="2246" stopIfTrue="1">
      <formula>OR($A556="date", $A556="datetime", $A556="time")</formula>
    </cfRule>
  </conditionalFormatting>
  <conditionalFormatting sqref="B556:E570">
    <cfRule type="expression" dxfId="18" priority="2247" stopIfTrue="1">
      <formula>OR($A556="calculate", $A556="calculate_here")</formula>
    </cfRule>
  </conditionalFormatting>
  <conditionalFormatting sqref="B556:E570">
    <cfRule type="expression" dxfId="19" priority="2248" stopIfTrue="1">
      <formula>$A556="note"</formula>
    </cfRule>
  </conditionalFormatting>
  <conditionalFormatting sqref="B556:E570">
    <cfRule type="expression" dxfId="20" priority="2249" stopIfTrue="1">
      <formula>$A556="barcode"</formula>
    </cfRule>
  </conditionalFormatting>
  <conditionalFormatting sqref="B556:E570">
    <cfRule type="expression" dxfId="21" priority="2250" stopIfTrue="1">
      <formula>OR($A556="geopoint", $A556="geoshape", $A556="geotrace")</formula>
    </cfRule>
  </conditionalFormatting>
  <conditionalFormatting sqref="B556:E570">
    <cfRule type="expression" dxfId="22" priority="2251" stopIfTrue="1">
      <formula>OR($A556="audio audit", $A556="text audit", $A556="speed violations count", $A556="speed violations list", $A556="speed violations audit")</formula>
    </cfRule>
  </conditionalFormatting>
  <conditionalFormatting sqref="B556:E570">
    <cfRule type="expression" dxfId="23" priority="2252" stopIfTrue="1">
      <formula>OR($A556="username", $A556="phonenumber", $A556="start", $A556="end", $A556="deviceid", $A556="subscriberid", $A556="simserial", $A556="caseid")</formula>
    </cfRule>
  </conditionalFormatting>
  <conditionalFormatting sqref="B556:E570">
    <cfRule type="expression" dxfId="24" priority="2253" stopIfTrue="1">
      <formula>OR(AND(LEFT($A556, 16)="select_multiple ", LEN($A556)&gt;16, NOT(ISNUMBER(SEARCH(" ", $A556, 17)))), AND(LEFT($A556, 11)="select_one ", LEN($A556)&gt;11, NOT(ISNUMBER(SEARCH(" ", $A556, 12)))))</formula>
    </cfRule>
  </conditionalFormatting>
  <conditionalFormatting sqref="B556:E570">
    <cfRule type="expression" dxfId="25" priority="2254" stopIfTrue="1">
      <formula>$A556="decimal"</formula>
    </cfRule>
  </conditionalFormatting>
  <conditionalFormatting sqref="B556:E570">
    <cfRule type="expression" dxfId="26" priority="2255" stopIfTrue="1">
      <formula>$A556="integer"</formula>
    </cfRule>
  </conditionalFormatting>
  <conditionalFormatting sqref="B556:E570">
    <cfRule type="expression" dxfId="27" priority="2256" stopIfTrue="1">
      <formula>$A556="text"</formula>
    </cfRule>
  </conditionalFormatting>
  <conditionalFormatting sqref="B556:E570">
    <cfRule type="expression" dxfId="28" priority="2257" stopIfTrue="1">
      <formula>$A556="end repeat"</formula>
    </cfRule>
  </conditionalFormatting>
  <conditionalFormatting sqref="B556:E570">
    <cfRule type="expression" dxfId="28" priority="2258" stopIfTrue="1">
      <formula>$A556="begin repeat"</formula>
    </cfRule>
  </conditionalFormatting>
  <conditionalFormatting sqref="B556:E570">
    <cfRule type="expression" dxfId="29" priority="2259" stopIfTrue="1">
      <formula>$A556="end group"</formula>
    </cfRule>
  </conditionalFormatting>
  <conditionalFormatting sqref="B556:E570">
    <cfRule type="expression" dxfId="29" priority="2260" stopIfTrue="1">
      <formula>$A556="begin group"</formula>
    </cfRule>
  </conditionalFormatting>
  <conditionalFormatting sqref="B556:B561 B563:B570">
    <cfRule type="expression" dxfId="30" priority="2261" stopIfTrue="1">
      <formula>$A556="comments"</formula>
    </cfRule>
  </conditionalFormatting>
  <conditionalFormatting sqref="B556:B570">
    <cfRule type="expression" dxfId="36" priority="2262" stopIfTrue="1">
      <formula>OR(AND(LEFT($A556, 14)="sensor_stream ", LEN($A556)&gt;14, NOT(ISNUMBER(SEARCH(" ", $A556, 15)))), AND(LEFT($A556, 17)="sensor_statistic ", LEN($A556)&gt;17, NOT(ISNUMBER(SEARCH(" ", $A556, 18)))))</formula>
    </cfRule>
  </conditionalFormatting>
  <conditionalFormatting sqref="B542:C542 D542:E542">
    <cfRule type="expression" dxfId="0" priority="2263" stopIfTrue="1">
      <formula>$A542="begin group"</formula>
    </cfRule>
  </conditionalFormatting>
  <conditionalFormatting sqref="B542:C542 D542:E542">
    <cfRule type="expression" dxfId="1" priority="2264" stopIfTrue="1">
      <formula>$A542="begin repeat"</formula>
    </cfRule>
  </conditionalFormatting>
  <conditionalFormatting sqref="B542:E542">
    <cfRule type="expression" dxfId="31" priority="2265" stopIfTrue="1">
      <formula>$A542="enumerator"</formula>
    </cfRule>
  </conditionalFormatting>
  <conditionalFormatting sqref="B542:E542">
    <cfRule type="expression" dxfId="2" priority="2266" stopIfTrue="1">
      <formula>$A542="text"</formula>
    </cfRule>
  </conditionalFormatting>
  <conditionalFormatting sqref="B542:E542">
    <cfRule type="expression" dxfId="3" priority="2267" stopIfTrue="1">
      <formula>$A542="integer"</formula>
    </cfRule>
  </conditionalFormatting>
  <conditionalFormatting sqref="B542:E542">
    <cfRule type="expression" dxfId="4" priority="2268" stopIfTrue="1">
      <formula>$A542="decimal"</formula>
    </cfRule>
  </conditionalFormatting>
  <conditionalFormatting sqref="B542:C542 D542:E542">
    <cfRule type="expression" dxfId="5" priority="2269" stopIfTrue="1">
      <formula>OR(AND(LEFT($A542, 16)="select_multiple ", LEN($A542)&gt;16, NOT(ISNUMBER(SEARCH(" ", $A542, 17)))), AND(LEFT($A542, 11)="select_one ", LEN($A542)&gt;11, NOT(ISNUMBER(SEARCH(" ", $A542, 12)))))</formula>
    </cfRule>
  </conditionalFormatting>
  <conditionalFormatting sqref="B542">
    <cfRule type="expression" dxfId="6" priority="2270" stopIfTrue="1">
      <formula>OR($A542="audio audit", $A542="text audit", $A542="speed violations count", $A542="speed violations list", $A542="speed violations audit")</formula>
    </cfRule>
  </conditionalFormatting>
  <conditionalFormatting sqref="B542:C542 D542:E542">
    <cfRule type="expression" dxfId="32" priority="2271" stopIfTrue="1">
      <formula>$A542="file"</formula>
    </cfRule>
  </conditionalFormatting>
  <conditionalFormatting sqref="B542:C542 D542:E542">
    <cfRule type="expression" dxfId="7" priority="2272" stopIfTrue="1">
      <formula>$A542="note"</formula>
    </cfRule>
  </conditionalFormatting>
  <conditionalFormatting sqref="B542:C542 D542:E542">
    <cfRule type="expression" dxfId="8" priority="2273" stopIfTrue="1">
      <formula>$A542="barcode"</formula>
    </cfRule>
  </conditionalFormatting>
  <conditionalFormatting sqref="B542:C542 D542:E542">
    <cfRule type="expression" dxfId="9" priority="2274" stopIfTrue="1">
      <formula>OR($A542="geopoint", $A542="geoshape", $A542="geotrace")</formula>
    </cfRule>
  </conditionalFormatting>
  <conditionalFormatting sqref="B542">
    <cfRule type="expression" dxfId="10" priority="2275" stopIfTrue="1">
      <formula>OR($A542="calculate", $A542="calculate_here")</formula>
    </cfRule>
  </conditionalFormatting>
  <conditionalFormatting sqref="B542:C542 D542:E542">
    <cfRule type="expression" dxfId="11" priority="2276" stopIfTrue="1">
      <formula>OR($A542="date", $A542="datetime", $A542="time")</formula>
    </cfRule>
  </conditionalFormatting>
  <conditionalFormatting sqref="B542:C542 D542:E542">
    <cfRule type="expression" dxfId="12" priority="2277" stopIfTrue="1">
      <formula>$A542="image"</formula>
    </cfRule>
  </conditionalFormatting>
  <conditionalFormatting sqref="B542:C542 D542:E542">
    <cfRule type="expression" dxfId="13" priority="2278" stopIfTrue="1">
      <formula>OR($A542="audio", $A542="video")</formula>
    </cfRule>
  </conditionalFormatting>
  <conditionalFormatting sqref="B542:E542">
    <cfRule type="expression" dxfId="33" priority="2279" stopIfTrue="1">
      <formula>$A542="file"</formula>
    </cfRule>
  </conditionalFormatting>
  <conditionalFormatting sqref="B542:E542">
    <cfRule type="expression" dxfId="34" priority="2280" stopIfTrue="1">
      <formula>$A542="enumerator"</formula>
    </cfRule>
  </conditionalFormatting>
  <conditionalFormatting sqref="B542:E542">
    <cfRule type="expression" dxfId="35" priority="2281" stopIfTrue="1">
      <formula>OR(AND(LEFT($A542, 14)="sensor_stream ", LEN($A542)&gt;14, NOT(ISNUMBER(SEARCH(" ", $A542, 15)))), AND(LEFT($A542, 17)="sensor_statistic ", LEN($A542)&gt;17, NOT(ISNUMBER(SEARCH(" ", $A542, 18)))))</formula>
    </cfRule>
  </conditionalFormatting>
  <conditionalFormatting sqref="B542:E542">
    <cfRule type="expression" dxfId="14" priority="2282" stopIfTrue="1">
      <formula>$A542="comments"</formula>
    </cfRule>
  </conditionalFormatting>
  <conditionalFormatting sqref="B542:E542">
    <cfRule type="expression" dxfId="15" priority="2283" stopIfTrue="1">
      <formula>OR($A542="audio", $A542="video")</formula>
    </cfRule>
  </conditionalFormatting>
  <conditionalFormatting sqref="B542:E542">
    <cfRule type="expression" dxfId="16" priority="2284" stopIfTrue="1">
      <formula>$A542="image"</formula>
    </cfRule>
  </conditionalFormatting>
  <conditionalFormatting sqref="B542:E542">
    <cfRule type="expression" dxfId="17" priority="2285" stopIfTrue="1">
      <formula>OR($A542="date", $A542="datetime", $A542="time")</formula>
    </cfRule>
  </conditionalFormatting>
  <conditionalFormatting sqref="B542:E542">
    <cfRule type="expression" dxfId="18" priority="2286" stopIfTrue="1">
      <formula>OR($A542="calculate", $A542="calculate_here")</formula>
    </cfRule>
  </conditionalFormatting>
  <conditionalFormatting sqref="B542:E542">
    <cfRule type="expression" dxfId="19" priority="2287" stopIfTrue="1">
      <formula>$A542="note"</formula>
    </cfRule>
  </conditionalFormatting>
  <conditionalFormatting sqref="B542:E542">
    <cfRule type="expression" dxfId="20" priority="2288" stopIfTrue="1">
      <formula>$A542="barcode"</formula>
    </cfRule>
  </conditionalFormatting>
  <conditionalFormatting sqref="B542:E542">
    <cfRule type="expression" dxfId="21" priority="2289" stopIfTrue="1">
      <formula>OR($A542="geopoint", $A542="geoshape", $A542="geotrace")</formula>
    </cfRule>
  </conditionalFormatting>
  <conditionalFormatting sqref="B542:E542">
    <cfRule type="expression" dxfId="22" priority="2290" stopIfTrue="1">
      <formula>OR($A542="audio audit", $A542="text audit", $A542="speed violations count", $A542="speed violations list", $A542="speed violations audit")</formula>
    </cfRule>
  </conditionalFormatting>
  <conditionalFormatting sqref="B542:E542">
    <cfRule type="expression" dxfId="23" priority="2291" stopIfTrue="1">
      <formula>OR($A542="username", $A542="phonenumber", $A542="start", $A542="end", $A542="deviceid", $A542="subscriberid", $A542="simserial", $A542="caseid")</formula>
    </cfRule>
  </conditionalFormatting>
  <conditionalFormatting sqref="B542:E542">
    <cfRule type="expression" dxfId="24" priority="2292" stopIfTrue="1">
      <formula>OR(AND(LEFT($A542, 16)="select_multiple ", LEN($A542)&gt;16, NOT(ISNUMBER(SEARCH(" ", $A542, 17)))), AND(LEFT($A542, 11)="select_one ", LEN($A542)&gt;11, NOT(ISNUMBER(SEARCH(" ", $A542, 12)))))</formula>
    </cfRule>
  </conditionalFormatting>
  <conditionalFormatting sqref="B542:E542">
    <cfRule type="expression" dxfId="25" priority="2293" stopIfTrue="1">
      <formula>$A542="decimal"</formula>
    </cfRule>
  </conditionalFormatting>
  <conditionalFormatting sqref="B542:E542">
    <cfRule type="expression" dxfId="26" priority="2294" stopIfTrue="1">
      <formula>$A542="integer"</formula>
    </cfRule>
  </conditionalFormatting>
  <conditionalFormatting sqref="B542:E542">
    <cfRule type="expression" dxfId="27" priority="2295" stopIfTrue="1">
      <formula>$A542="text"</formula>
    </cfRule>
  </conditionalFormatting>
  <conditionalFormatting sqref="B542:E542">
    <cfRule type="expression" dxfId="28" priority="2296" stopIfTrue="1">
      <formula>$A542="end repeat"</formula>
    </cfRule>
  </conditionalFormatting>
  <conditionalFormatting sqref="B542:E542">
    <cfRule type="expression" dxfId="28" priority="2297" stopIfTrue="1">
      <formula>$A542="begin repeat"</formula>
    </cfRule>
  </conditionalFormatting>
  <conditionalFormatting sqref="B542:E542">
    <cfRule type="expression" dxfId="29" priority="2298" stopIfTrue="1">
      <formula>$A542="end group"</formula>
    </cfRule>
  </conditionalFormatting>
  <conditionalFormatting sqref="B542:E542">
    <cfRule type="expression" dxfId="29" priority="2299" stopIfTrue="1">
      <formula>$A542="begin group"</formula>
    </cfRule>
  </conditionalFormatting>
  <conditionalFormatting sqref="B542">
    <cfRule type="expression" dxfId="30" priority="2300" stopIfTrue="1">
      <formula>$A542="comments"</formula>
    </cfRule>
  </conditionalFormatting>
  <conditionalFormatting sqref="B542">
    <cfRule type="expression" dxfId="36" priority="2301" stopIfTrue="1">
      <formula>OR(AND(LEFT($A542, 14)="sensor_stream ", LEN($A542)&gt;14, NOT(ISNUMBER(SEARCH(" ", $A542, 15)))), AND(LEFT($A542, 17)="sensor_statistic ", LEN($A542)&gt;17, NOT(ISNUMBER(SEARCH(" ", $A542, 18)))))</formula>
    </cfRule>
  </conditionalFormatting>
  <conditionalFormatting sqref="B534:C536 D534:E536">
    <cfRule type="expression" dxfId="0" priority="2302" stopIfTrue="1">
      <formula>$A534="begin group"</formula>
    </cfRule>
  </conditionalFormatting>
  <conditionalFormatting sqref="B534:C536 D534:E536">
    <cfRule type="expression" dxfId="1" priority="2303" stopIfTrue="1">
      <formula>$A534="begin repeat"</formula>
    </cfRule>
  </conditionalFormatting>
  <conditionalFormatting sqref="B534:E536">
    <cfRule type="expression" dxfId="31" priority="2304" stopIfTrue="1">
      <formula>$A534="enumerator"</formula>
    </cfRule>
  </conditionalFormatting>
  <conditionalFormatting sqref="B534:E536">
    <cfRule type="expression" dxfId="2" priority="2305" stopIfTrue="1">
      <formula>$A534="text"</formula>
    </cfRule>
  </conditionalFormatting>
  <conditionalFormatting sqref="B534:E536">
    <cfRule type="expression" dxfId="3" priority="2306" stopIfTrue="1">
      <formula>$A534="integer"</formula>
    </cfRule>
  </conditionalFormatting>
  <conditionalFormatting sqref="B534:E536">
    <cfRule type="expression" dxfId="4" priority="2307" stopIfTrue="1">
      <formula>$A534="decimal"</formula>
    </cfRule>
  </conditionalFormatting>
  <conditionalFormatting sqref="B534:C536 D534:E536">
    <cfRule type="expression" dxfId="5" priority="2308" stopIfTrue="1">
      <formula>OR(AND(LEFT($A534, 16)="select_multiple ", LEN($A534)&gt;16, NOT(ISNUMBER(SEARCH(" ", $A534, 17)))), AND(LEFT($A534, 11)="select_one ", LEN($A534)&gt;11, NOT(ISNUMBER(SEARCH(" ", $A534, 12)))))</formula>
    </cfRule>
  </conditionalFormatting>
  <conditionalFormatting sqref="B534:B536">
    <cfRule type="expression" dxfId="6" priority="2309" stopIfTrue="1">
      <formula>OR($A534="audio audit", $A534="text audit", $A534="speed violations count", $A534="speed violations list", $A534="speed violations audit")</formula>
    </cfRule>
  </conditionalFormatting>
  <conditionalFormatting sqref="B534:C536 D534:E536">
    <cfRule type="expression" dxfId="32" priority="2310" stopIfTrue="1">
      <formula>$A534="file"</formula>
    </cfRule>
  </conditionalFormatting>
  <conditionalFormatting sqref="B534:C536 D534:E536">
    <cfRule type="expression" dxfId="7" priority="2311" stopIfTrue="1">
      <formula>$A534="note"</formula>
    </cfRule>
  </conditionalFormatting>
  <conditionalFormatting sqref="B534:C536 D534:E536">
    <cfRule type="expression" dxfId="8" priority="2312" stopIfTrue="1">
      <formula>$A534="barcode"</formula>
    </cfRule>
  </conditionalFormatting>
  <conditionalFormatting sqref="B534:C536 D534:E536">
    <cfRule type="expression" dxfId="9" priority="2313" stopIfTrue="1">
      <formula>OR($A534="geopoint", $A534="geoshape", $A534="geotrace")</formula>
    </cfRule>
  </conditionalFormatting>
  <conditionalFormatting sqref="B534:B536">
    <cfRule type="expression" dxfId="10" priority="2314" stopIfTrue="1">
      <formula>OR($A534="calculate", $A534="calculate_here")</formula>
    </cfRule>
  </conditionalFormatting>
  <conditionalFormatting sqref="B534:C536 D534:E536">
    <cfRule type="expression" dxfId="11" priority="2315" stopIfTrue="1">
      <formula>OR($A534="date", $A534="datetime", $A534="time")</formula>
    </cfRule>
  </conditionalFormatting>
  <conditionalFormatting sqref="B534:C536 D534:E536">
    <cfRule type="expression" dxfId="12" priority="2316" stopIfTrue="1">
      <formula>$A534="image"</formula>
    </cfRule>
  </conditionalFormatting>
  <conditionalFormatting sqref="B534:C536 D534:E536">
    <cfRule type="expression" dxfId="13" priority="2317" stopIfTrue="1">
      <formula>OR($A534="audio", $A534="video")</formula>
    </cfRule>
  </conditionalFormatting>
  <conditionalFormatting sqref="B534:E536">
    <cfRule type="expression" dxfId="33" priority="2318" stopIfTrue="1">
      <formula>$A534="file"</formula>
    </cfRule>
  </conditionalFormatting>
  <conditionalFormatting sqref="B534:E536">
    <cfRule type="expression" dxfId="34" priority="2319" stopIfTrue="1">
      <formula>$A534="enumerator"</formula>
    </cfRule>
  </conditionalFormatting>
  <conditionalFormatting sqref="B534:E536">
    <cfRule type="expression" dxfId="35" priority="2320" stopIfTrue="1">
      <formula>OR(AND(LEFT($A534, 14)="sensor_stream ", LEN($A534)&gt;14, NOT(ISNUMBER(SEARCH(" ", $A534, 15)))), AND(LEFT($A534, 17)="sensor_statistic ", LEN($A534)&gt;17, NOT(ISNUMBER(SEARCH(" ", $A534, 18)))))</formula>
    </cfRule>
  </conditionalFormatting>
  <conditionalFormatting sqref="B534:E536">
    <cfRule type="expression" dxfId="14" priority="2321" stopIfTrue="1">
      <formula>$A534="comments"</formula>
    </cfRule>
  </conditionalFormatting>
  <conditionalFormatting sqref="B534:E536">
    <cfRule type="expression" dxfId="15" priority="2322" stopIfTrue="1">
      <formula>OR($A534="audio", $A534="video")</formula>
    </cfRule>
  </conditionalFormatting>
  <conditionalFormatting sqref="B534:E536">
    <cfRule type="expression" dxfId="16" priority="2323" stopIfTrue="1">
      <formula>$A534="image"</formula>
    </cfRule>
  </conditionalFormatting>
  <conditionalFormatting sqref="B534:E536">
    <cfRule type="expression" dxfId="17" priority="2324" stopIfTrue="1">
      <formula>OR($A534="date", $A534="datetime", $A534="time")</formula>
    </cfRule>
  </conditionalFormatting>
  <conditionalFormatting sqref="B534:E536">
    <cfRule type="expression" dxfId="18" priority="2325" stopIfTrue="1">
      <formula>OR($A534="calculate", $A534="calculate_here")</formula>
    </cfRule>
  </conditionalFormatting>
  <conditionalFormatting sqref="B534:E536">
    <cfRule type="expression" dxfId="19" priority="2326" stopIfTrue="1">
      <formula>$A534="note"</formula>
    </cfRule>
  </conditionalFormatting>
  <conditionalFormatting sqref="B534:E536">
    <cfRule type="expression" dxfId="20" priority="2327" stopIfTrue="1">
      <formula>$A534="barcode"</formula>
    </cfRule>
  </conditionalFormatting>
  <conditionalFormatting sqref="B534:E536">
    <cfRule type="expression" dxfId="21" priority="2328" stopIfTrue="1">
      <formula>OR($A534="geopoint", $A534="geoshape", $A534="geotrace")</formula>
    </cfRule>
  </conditionalFormatting>
  <conditionalFormatting sqref="B534:E536">
    <cfRule type="expression" dxfId="22" priority="2329" stopIfTrue="1">
      <formula>OR($A534="audio audit", $A534="text audit", $A534="speed violations count", $A534="speed violations list", $A534="speed violations audit")</formula>
    </cfRule>
  </conditionalFormatting>
  <conditionalFormatting sqref="B534:E536">
    <cfRule type="expression" dxfId="23" priority="2330" stopIfTrue="1">
      <formula>OR($A534="username", $A534="phonenumber", $A534="start", $A534="end", $A534="deviceid", $A534="subscriberid", $A534="simserial", $A534="caseid")</formula>
    </cfRule>
  </conditionalFormatting>
  <conditionalFormatting sqref="B534:E536">
    <cfRule type="expression" dxfId="24" priority="2331" stopIfTrue="1">
      <formula>OR(AND(LEFT($A534, 16)="select_multiple ", LEN($A534)&gt;16, NOT(ISNUMBER(SEARCH(" ", $A534, 17)))), AND(LEFT($A534, 11)="select_one ", LEN($A534)&gt;11, NOT(ISNUMBER(SEARCH(" ", $A534, 12)))))</formula>
    </cfRule>
  </conditionalFormatting>
  <conditionalFormatting sqref="B534:E536">
    <cfRule type="expression" dxfId="25" priority="2332" stopIfTrue="1">
      <formula>$A534="decimal"</formula>
    </cfRule>
  </conditionalFormatting>
  <conditionalFormatting sqref="B534:E536">
    <cfRule type="expression" dxfId="26" priority="2333" stopIfTrue="1">
      <formula>$A534="integer"</formula>
    </cfRule>
  </conditionalFormatting>
  <conditionalFormatting sqref="B534:E536">
    <cfRule type="expression" dxfId="27" priority="2334" stopIfTrue="1">
      <formula>$A534="text"</formula>
    </cfRule>
  </conditionalFormatting>
  <conditionalFormatting sqref="B534:E536">
    <cfRule type="expression" dxfId="28" priority="2335" stopIfTrue="1">
      <formula>$A534="end repeat"</formula>
    </cfRule>
  </conditionalFormatting>
  <conditionalFormatting sqref="B534:E536">
    <cfRule type="expression" dxfId="28" priority="2336" stopIfTrue="1">
      <formula>$A534="begin repeat"</formula>
    </cfRule>
  </conditionalFormatting>
  <conditionalFormatting sqref="B534:E536">
    <cfRule type="expression" dxfId="29" priority="2337" stopIfTrue="1">
      <formula>$A534="end group"</formula>
    </cfRule>
  </conditionalFormatting>
  <conditionalFormatting sqref="B534:E536">
    <cfRule type="expression" dxfId="29" priority="2338" stopIfTrue="1">
      <formula>$A534="begin group"</formula>
    </cfRule>
  </conditionalFormatting>
  <conditionalFormatting sqref="B534:B536">
    <cfRule type="expression" dxfId="30" priority="2339" stopIfTrue="1">
      <formula>$A534="comments"</formula>
    </cfRule>
  </conditionalFormatting>
  <conditionalFormatting sqref="B534:B536">
    <cfRule type="expression" dxfId="36" priority="2340" stopIfTrue="1">
      <formula>OR(AND(LEFT($A534, 14)="sensor_stream ", LEN($A534)&gt;14, NOT(ISNUMBER(SEARCH(" ", $A534, 15)))), AND(LEFT($A534, 17)="sensor_statistic ", LEN($A534)&gt;17, NOT(ISNUMBER(SEARCH(" ", $A534, 18)))))</formula>
    </cfRule>
  </conditionalFormatting>
  <conditionalFormatting sqref="B530:C531 D530:E531">
    <cfRule type="expression" dxfId="0" priority="2341" stopIfTrue="1">
      <formula>$A530="begin group"</formula>
    </cfRule>
  </conditionalFormatting>
  <conditionalFormatting sqref="B530:C531 D530:E531">
    <cfRule type="expression" dxfId="1" priority="2342" stopIfTrue="1">
      <formula>$A530="begin repeat"</formula>
    </cfRule>
  </conditionalFormatting>
  <conditionalFormatting sqref="B530:E531">
    <cfRule type="expression" dxfId="31" priority="2343" stopIfTrue="1">
      <formula>$A530="enumerator"</formula>
    </cfRule>
  </conditionalFormatting>
  <conditionalFormatting sqref="B530:E531">
    <cfRule type="expression" dxfId="2" priority="2344" stopIfTrue="1">
      <formula>$A530="text"</formula>
    </cfRule>
  </conditionalFormatting>
  <conditionalFormatting sqref="B530:E531">
    <cfRule type="expression" dxfId="3" priority="2345" stopIfTrue="1">
      <formula>$A530="integer"</formula>
    </cfRule>
  </conditionalFormatting>
  <conditionalFormatting sqref="B530:E531">
    <cfRule type="expression" dxfId="4" priority="2346" stopIfTrue="1">
      <formula>$A530="decimal"</formula>
    </cfRule>
  </conditionalFormatting>
  <conditionalFormatting sqref="B530:C531 D530:E531">
    <cfRule type="expression" dxfId="5" priority="2347" stopIfTrue="1">
      <formula>OR(AND(LEFT($A530, 16)="select_multiple ", LEN($A530)&gt;16, NOT(ISNUMBER(SEARCH(" ", $A530, 17)))), AND(LEFT($A530, 11)="select_one ", LEN($A530)&gt;11, NOT(ISNUMBER(SEARCH(" ", $A530, 12)))))</formula>
    </cfRule>
  </conditionalFormatting>
  <conditionalFormatting sqref="B530:B531">
    <cfRule type="expression" dxfId="6" priority="2348" stopIfTrue="1">
      <formula>OR($A530="audio audit", $A530="text audit", $A530="speed violations count", $A530="speed violations list", $A530="speed violations audit")</formula>
    </cfRule>
  </conditionalFormatting>
  <conditionalFormatting sqref="B530:C531 D530:E531">
    <cfRule type="expression" dxfId="32" priority="2349" stopIfTrue="1">
      <formula>$A530="file"</formula>
    </cfRule>
  </conditionalFormatting>
  <conditionalFormatting sqref="B530:C531 D530:E531">
    <cfRule type="expression" dxfId="7" priority="2350" stopIfTrue="1">
      <formula>$A530="note"</formula>
    </cfRule>
  </conditionalFormatting>
  <conditionalFormatting sqref="B530:C531 D530:E531">
    <cfRule type="expression" dxfId="8" priority="2351" stopIfTrue="1">
      <formula>$A530="barcode"</formula>
    </cfRule>
  </conditionalFormatting>
  <conditionalFormatting sqref="B530:C531 D530:E531">
    <cfRule type="expression" dxfId="9" priority="2352" stopIfTrue="1">
      <formula>OR($A530="geopoint", $A530="geoshape", $A530="geotrace")</formula>
    </cfRule>
  </conditionalFormatting>
  <conditionalFormatting sqref="B530:B531">
    <cfRule type="expression" dxfId="10" priority="2353" stopIfTrue="1">
      <formula>OR($A530="calculate", $A530="calculate_here")</formula>
    </cfRule>
  </conditionalFormatting>
  <conditionalFormatting sqref="B530:C531 D530:E531">
    <cfRule type="expression" dxfId="11" priority="2354" stopIfTrue="1">
      <formula>OR($A530="date", $A530="datetime", $A530="time")</formula>
    </cfRule>
  </conditionalFormatting>
  <conditionalFormatting sqref="B530:C531 D530:E531">
    <cfRule type="expression" dxfId="12" priority="2355" stopIfTrue="1">
      <formula>$A530="image"</formula>
    </cfRule>
  </conditionalFormatting>
  <conditionalFormatting sqref="B530:C531 D530:E531">
    <cfRule type="expression" dxfId="13" priority="2356" stopIfTrue="1">
      <formula>OR($A530="audio", $A530="video")</formula>
    </cfRule>
  </conditionalFormatting>
  <conditionalFormatting sqref="B530:E531">
    <cfRule type="expression" dxfId="33" priority="2357" stopIfTrue="1">
      <formula>$A530="file"</formula>
    </cfRule>
  </conditionalFormatting>
  <conditionalFormatting sqref="B530:E531">
    <cfRule type="expression" dxfId="34" priority="2358" stopIfTrue="1">
      <formula>$A530="enumerator"</formula>
    </cfRule>
  </conditionalFormatting>
  <conditionalFormatting sqref="B530:E531">
    <cfRule type="expression" dxfId="35" priority="2359" stopIfTrue="1">
      <formula>OR(AND(LEFT($A530, 14)="sensor_stream ", LEN($A530)&gt;14, NOT(ISNUMBER(SEARCH(" ", $A530, 15)))), AND(LEFT($A530, 17)="sensor_statistic ", LEN($A530)&gt;17, NOT(ISNUMBER(SEARCH(" ", $A530, 18)))))</formula>
    </cfRule>
  </conditionalFormatting>
  <conditionalFormatting sqref="B530:E531">
    <cfRule type="expression" dxfId="14" priority="2360" stopIfTrue="1">
      <formula>$A530="comments"</formula>
    </cfRule>
  </conditionalFormatting>
  <conditionalFormatting sqref="B530:E531">
    <cfRule type="expression" dxfId="15" priority="2361" stopIfTrue="1">
      <formula>OR($A530="audio", $A530="video")</formula>
    </cfRule>
  </conditionalFormatting>
  <conditionalFormatting sqref="B530:E531">
    <cfRule type="expression" dxfId="16" priority="2362" stopIfTrue="1">
      <formula>$A530="image"</formula>
    </cfRule>
  </conditionalFormatting>
  <conditionalFormatting sqref="B530:E531">
    <cfRule type="expression" dxfId="17" priority="2363" stopIfTrue="1">
      <formula>OR($A530="date", $A530="datetime", $A530="time")</formula>
    </cfRule>
  </conditionalFormatting>
  <conditionalFormatting sqref="B530:E531">
    <cfRule type="expression" dxfId="18" priority="2364" stopIfTrue="1">
      <formula>OR($A530="calculate", $A530="calculate_here")</formula>
    </cfRule>
  </conditionalFormatting>
  <conditionalFormatting sqref="B530:E531">
    <cfRule type="expression" dxfId="19" priority="2365" stopIfTrue="1">
      <formula>$A530="note"</formula>
    </cfRule>
  </conditionalFormatting>
  <conditionalFormatting sqref="B530:E531">
    <cfRule type="expression" dxfId="20" priority="2366" stopIfTrue="1">
      <formula>$A530="barcode"</formula>
    </cfRule>
  </conditionalFormatting>
  <conditionalFormatting sqref="B530:E531">
    <cfRule type="expression" dxfId="21" priority="2367" stopIfTrue="1">
      <formula>OR($A530="geopoint", $A530="geoshape", $A530="geotrace")</formula>
    </cfRule>
  </conditionalFormatting>
  <conditionalFormatting sqref="B530:E531">
    <cfRule type="expression" dxfId="22" priority="2368" stopIfTrue="1">
      <formula>OR($A530="audio audit", $A530="text audit", $A530="speed violations count", $A530="speed violations list", $A530="speed violations audit")</formula>
    </cfRule>
  </conditionalFormatting>
  <conditionalFormatting sqref="B530:E531">
    <cfRule type="expression" dxfId="23" priority="2369" stopIfTrue="1">
      <formula>OR($A530="username", $A530="phonenumber", $A530="start", $A530="end", $A530="deviceid", $A530="subscriberid", $A530="simserial", $A530="caseid")</formula>
    </cfRule>
  </conditionalFormatting>
  <conditionalFormatting sqref="B530:E531">
    <cfRule type="expression" dxfId="24" priority="2370" stopIfTrue="1">
      <formula>OR(AND(LEFT($A530, 16)="select_multiple ", LEN($A530)&gt;16, NOT(ISNUMBER(SEARCH(" ", $A530, 17)))), AND(LEFT($A530, 11)="select_one ", LEN($A530)&gt;11, NOT(ISNUMBER(SEARCH(" ", $A530, 12)))))</formula>
    </cfRule>
  </conditionalFormatting>
  <conditionalFormatting sqref="B530:E531">
    <cfRule type="expression" dxfId="25" priority="2371" stopIfTrue="1">
      <formula>$A530="decimal"</formula>
    </cfRule>
  </conditionalFormatting>
  <conditionalFormatting sqref="B530:E531">
    <cfRule type="expression" dxfId="26" priority="2372" stopIfTrue="1">
      <formula>$A530="integer"</formula>
    </cfRule>
  </conditionalFormatting>
  <conditionalFormatting sqref="B530:E531">
    <cfRule type="expression" dxfId="27" priority="2373" stopIfTrue="1">
      <formula>$A530="text"</formula>
    </cfRule>
  </conditionalFormatting>
  <conditionalFormatting sqref="B530:E531">
    <cfRule type="expression" dxfId="28" priority="2374" stopIfTrue="1">
      <formula>$A530="end repeat"</formula>
    </cfRule>
  </conditionalFormatting>
  <conditionalFormatting sqref="B530:E531">
    <cfRule type="expression" dxfId="28" priority="2375" stopIfTrue="1">
      <formula>$A530="begin repeat"</formula>
    </cfRule>
  </conditionalFormatting>
  <conditionalFormatting sqref="B530:E531">
    <cfRule type="expression" dxfId="29" priority="2376" stopIfTrue="1">
      <formula>$A530="end group"</formula>
    </cfRule>
  </conditionalFormatting>
  <conditionalFormatting sqref="B530:E531">
    <cfRule type="expression" dxfId="29" priority="2377" stopIfTrue="1">
      <formula>$A530="begin group"</formula>
    </cfRule>
  </conditionalFormatting>
  <conditionalFormatting sqref="B530:B531">
    <cfRule type="expression" dxfId="30" priority="2378" stopIfTrue="1">
      <formula>$A530="comments"</formula>
    </cfRule>
  </conditionalFormatting>
  <conditionalFormatting sqref="B530:B531">
    <cfRule type="expression" dxfId="36" priority="2379" stopIfTrue="1">
      <formula>OR(AND(LEFT($A530, 14)="sensor_stream ", LEN($A530)&gt;14, NOT(ISNUMBER(SEARCH(" ", $A530, 15)))), AND(LEFT($A530, 17)="sensor_statistic ", LEN($A530)&gt;17, NOT(ISNUMBER(SEARCH(" ", $A530, 18)))))</formula>
    </cfRule>
  </conditionalFormatting>
  <conditionalFormatting sqref="B520:C522 D520:E522">
    <cfRule type="expression" dxfId="0" priority="2380" stopIfTrue="1">
      <formula>$A520="begin group"</formula>
    </cfRule>
  </conditionalFormatting>
  <conditionalFormatting sqref="B520:C522 D520:E522">
    <cfRule type="expression" dxfId="1" priority="2381" stopIfTrue="1">
      <formula>$A520="begin repeat"</formula>
    </cfRule>
  </conditionalFormatting>
  <conditionalFormatting sqref="B520:E522">
    <cfRule type="expression" dxfId="31" priority="2382" stopIfTrue="1">
      <formula>$A520="enumerator"</formula>
    </cfRule>
  </conditionalFormatting>
  <conditionalFormatting sqref="B520:E522">
    <cfRule type="expression" dxfId="2" priority="2383" stopIfTrue="1">
      <formula>$A520="text"</formula>
    </cfRule>
  </conditionalFormatting>
  <conditionalFormatting sqref="B520:E522">
    <cfRule type="expression" dxfId="3" priority="2384" stopIfTrue="1">
      <formula>$A520="integer"</formula>
    </cfRule>
  </conditionalFormatting>
  <conditionalFormatting sqref="B520:E522">
    <cfRule type="expression" dxfId="4" priority="2385" stopIfTrue="1">
      <formula>$A520="decimal"</formula>
    </cfRule>
  </conditionalFormatting>
  <conditionalFormatting sqref="B520:C522 D520:E522">
    <cfRule type="expression" dxfId="5" priority="2386" stopIfTrue="1">
      <formula>OR(AND(LEFT($A520, 16)="select_multiple ", LEN($A520)&gt;16, NOT(ISNUMBER(SEARCH(" ", $A520, 17)))), AND(LEFT($A520, 11)="select_one ", LEN($A520)&gt;11, NOT(ISNUMBER(SEARCH(" ", $A520, 12)))))</formula>
    </cfRule>
  </conditionalFormatting>
  <conditionalFormatting sqref="B520:B522">
    <cfRule type="expression" dxfId="6" priority="2387" stopIfTrue="1">
      <formula>OR($A520="audio audit", $A520="text audit", $A520="speed violations count", $A520="speed violations list", $A520="speed violations audit")</formula>
    </cfRule>
  </conditionalFormatting>
  <conditionalFormatting sqref="B520:C522 D520:E522">
    <cfRule type="expression" dxfId="32" priority="2388" stopIfTrue="1">
      <formula>$A520="file"</formula>
    </cfRule>
  </conditionalFormatting>
  <conditionalFormatting sqref="B520:C522 D520:E522">
    <cfRule type="expression" dxfId="7" priority="2389" stopIfTrue="1">
      <formula>$A520="note"</formula>
    </cfRule>
  </conditionalFormatting>
  <conditionalFormatting sqref="B520:C522 D520:E522">
    <cfRule type="expression" dxfId="8" priority="2390" stopIfTrue="1">
      <formula>$A520="barcode"</formula>
    </cfRule>
  </conditionalFormatting>
  <conditionalFormatting sqref="B520:C522 D520:E522">
    <cfRule type="expression" dxfId="9" priority="2391" stopIfTrue="1">
      <formula>OR($A520="geopoint", $A520="geoshape", $A520="geotrace")</formula>
    </cfRule>
  </conditionalFormatting>
  <conditionalFormatting sqref="B520:B522">
    <cfRule type="expression" dxfId="10" priority="2392" stopIfTrue="1">
      <formula>OR($A520="calculate", $A520="calculate_here")</formula>
    </cfRule>
  </conditionalFormatting>
  <conditionalFormatting sqref="B520:C522 D520:E522">
    <cfRule type="expression" dxfId="11" priority="2393" stopIfTrue="1">
      <formula>OR($A520="date", $A520="datetime", $A520="time")</formula>
    </cfRule>
  </conditionalFormatting>
  <conditionalFormatting sqref="B520:C522 D520:E522">
    <cfRule type="expression" dxfId="12" priority="2394" stopIfTrue="1">
      <formula>$A520="image"</formula>
    </cfRule>
  </conditionalFormatting>
  <conditionalFormatting sqref="B520:C522 D520:E522">
    <cfRule type="expression" dxfId="13" priority="2395" stopIfTrue="1">
      <formula>OR($A520="audio", $A520="video")</formula>
    </cfRule>
  </conditionalFormatting>
  <conditionalFormatting sqref="B520:E522">
    <cfRule type="expression" dxfId="33" priority="2396" stopIfTrue="1">
      <formula>$A520="file"</formula>
    </cfRule>
  </conditionalFormatting>
  <conditionalFormatting sqref="B520:E522">
    <cfRule type="expression" dxfId="34" priority="2397" stopIfTrue="1">
      <formula>$A520="enumerator"</formula>
    </cfRule>
  </conditionalFormatting>
  <conditionalFormatting sqref="B520:E522">
    <cfRule type="expression" dxfId="35" priority="2398" stopIfTrue="1">
      <formula>OR(AND(LEFT($A520, 14)="sensor_stream ", LEN($A520)&gt;14, NOT(ISNUMBER(SEARCH(" ", $A520, 15)))), AND(LEFT($A520, 17)="sensor_statistic ", LEN($A520)&gt;17, NOT(ISNUMBER(SEARCH(" ", $A520, 18)))))</formula>
    </cfRule>
  </conditionalFormatting>
  <conditionalFormatting sqref="B520:E522">
    <cfRule type="expression" dxfId="14" priority="2399" stopIfTrue="1">
      <formula>$A520="comments"</formula>
    </cfRule>
  </conditionalFormatting>
  <conditionalFormatting sqref="B520:E522">
    <cfRule type="expression" dxfId="15" priority="2400" stopIfTrue="1">
      <formula>OR($A520="audio", $A520="video")</formula>
    </cfRule>
  </conditionalFormatting>
  <conditionalFormatting sqref="B520:E522">
    <cfRule type="expression" dxfId="16" priority="2401" stopIfTrue="1">
      <formula>$A520="image"</formula>
    </cfRule>
  </conditionalFormatting>
  <conditionalFormatting sqref="B520:E522">
    <cfRule type="expression" dxfId="17" priority="2402" stopIfTrue="1">
      <formula>OR($A520="date", $A520="datetime", $A520="time")</formula>
    </cfRule>
  </conditionalFormatting>
  <conditionalFormatting sqref="B520:E522">
    <cfRule type="expression" dxfId="18" priority="2403" stopIfTrue="1">
      <formula>OR($A520="calculate", $A520="calculate_here")</formula>
    </cfRule>
  </conditionalFormatting>
  <conditionalFormatting sqref="B520:E522">
    <cfRule type="expression" dxfId="19" priority="2404" stopIfTrue="1">
      <formula>$A520="note"</formula>
    </cfRule>
  </conditionalFormatting>
  <conditionalFormatting sqref="B520:E522">
    <cfRule type="expression" dxfId="20" priority="2405" stopIfTrue="1">
      <formula>$A520="barcode"</formula>
    </cfRule>
  </conditionalFormatting>
  <conditionalFormatting sqref="B520:E522">
    <cfRule type="expression" dxfId="21" priority="2406" stopIfTrue="1">
      <formula>OR($A520="geopoint", $A520="geoshape", $A520="geotrace")</formula>
    </cfRule>
  </conditionalFormatting>
  <conditionalFormatting sqref="B520:E522">
    <cfRule type="expression" dxfId="22" priority="2407" stopIfTrue="1">
      <formula>OR($A520="audio audit", $A520="text audit", $A520="speed violations count", $A520="speed violations list", $A520="speed violations audit")</formula>
    </cfRule>
  </conditionalFormatting>
  <conditionalFormatting sqref="B520:E522">
    <cfRule type="expression" dxfId="23" priority="2408" stopIfTrue="1">
      <formula>OR($A520="username", $A520="phonenumber", $A520="start", $A520="end", $A520="deviceid", $A520="subscriberid", $A520="simserial", $A520="caseid")</formula>
    </cfRule>
  </conditionalFormatting>
  <conditionalFormatting sqref="B520:E522">
    <cfRule type="expression" dxfId="24" priority="2409" stopIfTrue="1">
      <formula>OR(AND(LEFT($A520, 16)="select_multiple ", LEN($A520)&gt;16, NOT(ISNUMBER(SEARCH(" ", $A520, 17)))), AND(LEFT($A520, 11)="select_one ", LEN($A520)&gt;11, NOT(ISNUMBER(SEARCH(" ", $A520, 12)))))</formula>
    </cfRule>
  </conditionalFormatting>
  <conditionalFormatting sqref="B520:E522">
    <cfRule type="expression" dxfId="25" priority="2410" stopIfTrue="1">
      <formula>$A520="decimal"</formula>
    </cfRule>
  </conditionalFormatting>
  <conditionalFormatting sqref="B520:E522">
    <cfRule type="expression" dxfId="26" priority="2411" stopIfTrue="1">
      <formula>$A520="integer"</formula>
    </cfRule>
  </conditionalFormatting>
  <conditionalFormatting sqref="B520:E522">
    <cfRule type="expression" dxfId="27" priority="2412" stopIfTrue="1">
      <formula>$A520="text"</formula>
    </cfRule>
  </conditionalFormatting>
  <conditionalFormatting sqref="B520:E522">
    <cfRule type="expression" dxfId="28" priority="2413" stopIfTrue="1">
      <formula>$A520="end repeat"</formula>
    </cfRule>
  </conditionalFormatting>
  <conditionalFormatting sqref="B520:E522">
    <cfRule type="expression" dxfId="28" priority="2414" stopIfTrue="1">
      <formula>$A520="begin repeat"</formula>
    </cfRule>
  </conditionalFormatting>
  <conditionalFormatting sqref="B520:E522">
    <cfRule type="expression" dxfId="29" priority="2415" stopIfTrue="1">
      <formula>$A520="end group"</formula>
    </cfRule>
  </conditionalFormatting>
  <conditionalFormatting sqref="B520:E522">
    <cfRule type="expression" dxfId="29" priority="2416" stopIfTrue="1">
      <formula>$A520="begin group"</formula>
    </cfRule>
  </conditionalFormatting>
  <conditionalFormatting sqref="B520:B522">
    <cfRule type="expression" dxfId="30" priority="2417" stopIfTrue="1">
      <formula>$A520="comments"</formula>
    </cfRule>
  </conditionalFormatting>
  <conditionalFormatting sqref="B520:B522">
    <cfRule type="expression" dxfId="36" priority="2418" stopIfTrue="1">
      <formula>OR(AND(LEFT($A520, 14)="sensor_stream ", LEN($A520)&gt;14, NOT(ISNUMBER(SEARCH(" ", $A520, 15)))), AND(LEFT($A520, 17)="sensor_statistic ", LEN($A520)&gt;17, NOT(ISNUMBER(SEARCH(" ", $A520, 18)))))</formula>
    </cfRule>
  </conditionalFormatting>
  <conditionalFormatting sqref="B510:C510 D510:E510">
    <cfRule type="expression" dxfId="0" priority="2419" stopIfTrue="1">
      <formula>$A510="begin group"</formula>
    </cfRule>
  </conditionalFormatting>
  <conditionalFormatting sqref="B510:C510 D510:E510">
    <cfRule type="expression" dxfId="1" priority="2420" stopIfTrue="1">
      <formula>$A510="begin repeat"</formula>
    </cfRule>
  </conditionalFormatting>
  <conditionalFormatting sqref="B510:E510">
    <cfRule type="expression" dxfId="31" priority="2421" stopIfTrue="1">
      <formula>$A510="enumerator"</formula>
    </cfRule>
  </conditionalFormatting>
  <conditionalFormatting sqref="B510:E510">
    <cfRule type="expression" dxfId="2" priority="2422" stopIfTrue="1">
      <formula>$A510="text"</formula>
    </cfRule>
  </conditionalFormatting>
  <conditionalFormatting sqref="B510:E510">
    <cfRule type="expression" dxfId="3" priority="2423" stopIfTrue="1">
      <formula>$A510="integer"</formula>
    </cfRule>
  </conditionalFormatting>
  <conditionalFormatting sqref="B510:E510">
    <cfRule type="expression" dxfId="4" priority="2424" stopIfTrue="1">
      <formula>$A510="decimal"</formula>
    </cfRule>
  </conditionalFormatting>
  <conditionalFormatting sqref="B510:C510 D510:E510">
    <cfRule type="expression" dxfId="5" priority="2425" stopIfTrue="1">
      <formula>OR(AND(LEFT($A510, 16)="select_multiple ", LEN($A510)&gt;16, NOT(ISNUMBER(SEARCH(" ", $A510, 17)))), AND(LEFT($A510, 11)="select_one ", LEN($A510)&gt;11, NOT(ISNUMBER(SEARCH(" ", $A510, 12)))))</formula>
    </cfRule>
  </conditionalFormatting>
  <conditionalFormatting sqref="B510">
    <cfRule type="expression" dxfId="6" priority="2426" stopIfTrue="1">
      <formula>OR($A510="audio audit", $A510="text audit", $A510="speed violations count", $A510="speed violations list", $A510="speed violations audit")</formula>
    </cfRule>
  </conditionalFormatting>
  <conditionalFormatting sqref="B510:C510 D510:E510">
    <cfRule type="expression" dxfId="32" priority="2427" stopIfTrue="1">
      <formula>$A510="file"</formula>
    </cfRule>
  </conditionalFormatting>
  <conditionalFormatting sqref="B510:C510 D510:E510">
    <cfRule type="expression" dxfId="7" priority="2428" stopIfTrue="1">
      <formula>$A510="note"</formula>
    </cfRule>
  </conditionalFormatting>
  <conditionalFormatting sqref="B510:C510 D510:E510">
    <cfRule type="expression" dxfId="8" priority="2429" stopIfTrue="1">
      <formula>$A510="barcode"</formula>
    </cfRule>
  </conditionalFormatting>
  <conditionalFormatting sqref="B510:C510 D510:E510">
    <cfRule type="expression" dxfId="9" priority="2430" stopIfTrue="1">
      <formula>OR($A510="geopoint", $A510="geoshape", $A510="geotrace")</formula>
    </cfRule>
  </conditionalFormatting>
  <conditionalFormatting sqref="B510">
    <cfRule type="expression" dxfId="10" priority="2431" stopIfTrue="1">
      <formula>OR($A510="calculate", $A510="calculate_here")</formula>
    </cfRule>
  </conditionalFormatting>
  <conditionalFormatting sqref="B510:C510 D510:E510">
    <cfRule type="expression" dxfId="11" priority="2432" stopIfTrue="1">
      <formula>OR($A510="date", $A510="datetime", $A510="time")</formula>
    </cfRule>
  </conditionalFormatting>
  <conditionalFormatting sqref="B510:C510 D510:E510">
    <cfRule type="expression" dxfId="12" priority="2433" stopIfTrue="1">
      <formula>$A510="image"</formula>
    </cfRule>
  </conditionalFormatting>
  <conditionalFormatting sqref="B510:C510 D510:E510">
    <cfRule type="expression" dxfId="13" priority="2434" stopIfTrue="1">
      <formula>OR($A510="audio", $A510="video")</formula>
    </cfRule>
  </conditionalFormatting>
  <conditionalFormatting sqref="B510:E510">
    <cfRule type="expression" dxfId="33" priority="2435" stopIfTrue="1">
      <formula>$A510="file"</formula>
    </cfRule>
  </conditionalFormatting>
  <conditionalFormatting sqref="B510:E510">
    <cfRule type="expression" dxfId="34" priority="2436" stopIfTrue="1">
      <formula>$A510="enumerator"</formula>
    </cfRule>
  </conditionalFormatting>
  <conditionalFormatting sqref="B510:E510">
    <cfRule type="expression" dxfId="35" priority="2437" stopIfTrue="1">
      <formula>OR(AND(LEFT($A510, 14)="sensor_stream ", LEN($A510)&gt;14, NOT(ISNUMBER(SEARCH(" ", $A510, 15)))), AND(LEFT($A510, 17)="sensor_statistic ", LEN($A510)&gt;17, NOT(ISNUMBER(SEARCH(" ", $A510, 18)))))</formula>
    </cfRule>
  </conditionalFormatting>
  <conditionalFormatting sqref="B510:E510">
    <cfRule type="expression" dxfId="14" priority="2438" stopIfTrue="1">
      <formula>$A510="comments"</formula>
    </cfRule>
  </conditionalFormatting>
  <conditionalFormatting sqref="B510:E510">
    <cfRule type="expression" dxfId="15" priority="2439" stopIfTrue="1">
      <formula>OR($A510="audio", $A510="video")</formula>
    </cfRule>
  </conditionalFormatting>
  <conditionalFormatting sqref="B510:E510">
    <cfRule type="expression" dxfId="16" priority="2440" stopIfTrue="1">
      <formula>$A510="image"</formula>
    </cfRule>
  </conditionalFormatting>
  <conditionalFormatting sqref="B510:E510">
    <cfRule type="expression" dxfId="17" priority="2441" stopIfTrue="1">
      <formula>OR($A510="date", $A510="datetime", $A510="time")</formula>
    </cfRule>
  </conditionalFormatting>
  <conditionalFormatting sqref="B510:E510">
    <cfRule type="expression" dxfId="18" priority="2442" stopIfTrue="1">
      <formula>OR($A510="calculate", $A510="calculate_here")</formula>
    </cfRule>
  </conditionalFormatting>
  <conditionalFormatting sqref="B510:E510">
    <cfRule type="expression" dxfId="19" priority="2443" stopIfTrue="1">
      <formula>$A510="note"</formula>
    </cfRule>
  </conditionalFormatting>
  <conditionalFormatting sqref="B510:E510">
    <cfRule type="expression" dxfId="20" priority="2444" stopIfTrue="1">
      <formula>$A510="barcode"</formula>
    </cfRule>
  </conditionalFormatting>
  <conditionalFormatting sqref="B510:E510">
    <cfRule type="expression" dxfId="21" priority="2445" stopIfTrue="1">
      <formula>OR($A510="geopoint", $A510="geoshape", $A510="geotrace")</formula>
    </cfRule>
  </conditionalFormatting>
  <conditionalFormatting sqref="B510:E510">
    <cfRule type="expression" dxfId="22" priority="2446" stopIfTrue="1">
      <formula>OR($A510="audio audit", $A510="text audit", $A510="speed violations count", $A510="speed violations list", $A510="speed violations audit")</formula>
    </cfRule>
  </conditionalFormatting>
  <conditionalFormatting sqref="B510:E510">
    <cfRule type="expression" dxfId="23" priority="2447" stopIfTrue="1">
      <formula>OR($A510="username", $A510="phonenumber", $A510="start", $A510="end", $A510="deviceid", $A510="subscriberid", $A510="simserial", $A510="caseid")</formula>
    </cfRule>
  </conditionalFormatting>
  <conditionalFormatting sqref="B510:E510">
    <cfRule type="expression" dxfId="24" priority="2448" stopIfTrue="1">
      <formula>OR(AND(LEFT($A510, 16)="select_multiple ", LEN($A510)&gt;16, NOT(ISNUMBER(SEARCH(" ", $A510, 17)))), AND(LEFT($A510, 11)="select_one ", LEN($A510)&gt;11, NOT(ISNUMBER(SEARCH(" ", $A510, 12)))))</formula>
    </cfRule>
  </conditionalFormatting>
  <conditionalFormatting sqref="B510:E510">
    <cfRule type="expression" dxfId="25" priority="2449" stopIfTrue="1">
      <formula>$A510="decimal"</formula>
    </cfRule>
  </conditionalFormatting>
  <conditionalFormatting sqref="B510:E510">
    <cfRule type="expression" dxfId="26" priority="2450" stopIfTrue="1">
      <formula>$A510="integer"</formula>
    </cfRule>
  </conditionalFormatting>
  <conditionalFormatting sqref="B510:E510">
    <cfRule type="expression" dxfId="27" priority="2451" stopIfTrue="1">
      <formula>$A510="text"</formula>
    </cfRule>
  </conditionalFormatting>
  <conditionalFormatting sqref="B510:E510">
    <cfRule type="expression" dxfId="28" priority="2452" stopIfTrue="1">
      <formula>$A510="end repeat"</formula>
    </cfRule>
  </conditionalFormatting>
  <conditionalFormatting sqref="B510:E510">
    <cfRule type="expression" dxfId="28" priority="2453" stopIfTrue="1">
      <formula>$A510="begin repeat"</formula>
    </cfRule>
  </conditionalFormatting>
  <conditionalFormatting sqref="B510:E510">
    <cfRule type="expression" dxfId="29" priority="2454" stopIfTrue="1">
      <formula>$A510="end group"</formula>
    </cfRule>
  </conditionalFormatting>
  <conditionalFormatting sqref="B510:E510">
    <cfRule type="expression" dxfId="29" priority="2455" stopIfTrue="1">
      <formula>$A510="begin group"</formula>
    </cfRule>
  </conditionalFormatting>
  <conditionalFormatting sqref="B510">
    <cfRule type="expression" dxfId="30" priority="2456" stopIfTrue="1">
      <formula>$A510="comments"</formula>
    </cfRule>
  </conditionalFormatting>
  <conditionalFormatting sqref="B510">
    <cfRule type="expression" dxfId="36" priority="2457" stopIfTrue="1">
      <formula>OR(AND(LEFT($A510, 14)="sensor_stream ", LEN($A510)&gt;14, NOT(ISNUMBER(SEARCH(" ", $A510, 15)))), AND(LEFT($A510, 17)="sensor_statistic ", LEN($A510)&gt;17, NOT(ISNUMBER(SEARCH(" ", $A510, 18)))))</formula>
    </cfRule>
  </conditionalFormatting>
  <conditionalFormatting sqref="B503:C503 D503:E503">
    <cfRule type="expression" dxfId="0" priority="2458" stopIfTrue="1">
      <formula>$A503="begin group"</formula>
    </cfRule>
  </conditionalFormatting>
  <conditionalFormatting sqref="B503:C503 D503:E503">
    <cfRule type="expression" dxfId="1" priority="2459" stopIfTrue="1">
      <formula>$A503="begin repeat"</formula>
    </cfRule>
  </conditionalFormatting>
  <conditionalFormatting sqref="B503:E503">
    <cfRule type="expression" dxfId="31" priority="2460" stopIfTrue="1">
      <formula>$A503="enumerator"</formula>
    </cfRule>
  </conditionalFormatting>
  <conditionalFormatting sqref="B503:E503">
    <cfRule type="expression" dxfId="2" priority="2461" stopIfTrue="1">
      <formula>$A503="text"</formula>
    </cfRule>
  </conditionalFormatting>
  <conditionalFormatting sqref="B503:E503">
    <cfRule type="expression" dxfId="3" priority="2462" stopIfTrue="1">
      <formula>$A503="integer"</formula>
    </cfRule>
  </conditionalFormatting>
  <conditionalFormatting sqref="B503:E503">
    <cfRule type="expression" dxfId="4" priority="2463" stopIfTrue="1">
      <formula>$A503="decimal"</formula>
    </cfRule>
  </conditionalFormatting>
  <conditionalFormatting sqref="B503:C503 D503:E503">
    <cfRule type="expression" dxfId="5" priority="2464" stopIfTrue="1">
      <formula>OR(AND(LEFT($A503, 16)="select_multiple ", LEN($A503)&gt;16, NOT(ISNUMBER(SEARCH(" ", $A503, 17)))), AND(LEFT($A503, 11)="select_one ", LEN($A503)&gt;11, NOT(ISNUMBER(SEARCH(" ", $A503, 12)))))</formula>
    </cfRule>
  </conditionalFormatting>
  <conditionalFormatting sqref="B503">
    <cfRule type="expression" dxfId="6" priority="2465" stopIfTrue="1">
      <formula>OR($A503="audio audit", $A503="text audit", $A503="speed violations count", $A503="speed violations list", $A503="speed violations audit")</formula>
    </cfRule>
  </conditionalFormatting>
  <conditionalFormatting sqref="B503:C503 D503:E503">
    <cfRule type="expression" dxfId="32" priority="2466" stopIfTrue="1">
      <formula>$A503="file"</formula>
    </cfRule>
  </conditionalFormatting>
  <conditionalFormatting sqref="B503:C503 D503:E503">
    <cfRule type="expression" dxfId="7" priority="2467" stopIfTrue="1">
      <formula>$A503="note"</formula>
    </cfRule>
  </conditionalFormatting>
  <conditionalFormatting sqref="B503:C503 D503:E503">
    <cfRule type="expression" dxfId="8" priority="2468" stopIfTrue="1">
      <formula>$A503="barcode"</formula>
    </cfRule>
  </conditionalFormatting>
  <conditionalFormatting sqref="B503:C503 D503:E503">
    <cfRule type="expression" dxfId="9" priority="2469" stopIfTrue="1">
      <formula>OR($A503="geopoint", $A503="geoshape", $A503="geotrace")</formula>
    </cfRule>
  </conditionalFormatting>
  <conditionalFormatting sqref="B503">
    <cfRule type="expression" dxfId="10" priority="2470" stopIfTrue="1">
      <formula>OR($A503="calculate", $A503="calculate_here")</formula>
    </cfRule>
  </conditionalFormatting>
  <conditionalFormatting sqref="B503:C503 D503:E503">
    <cfRule type="expression" dxfId="11" priority="2471" stopIfTrue="1">
      <formula>OR($A503="date", $A503="datetime", $A503="time")</formula>
    </cfRule>
  </conditionalFormatting>
  <conditionalFormatting sqref="B503:C503 D503:E503">
    <cfRule type="expression" dxfId="12" priority="2472" stopIfTrue="1">
      <formula>$A503="image"</formula>
    </cfRule>
  </conditionalFormatting>
  <conditionalFormatting sqref="B503:C503 D503:E503">
    <cfRule type="expression" dxfId="13" priority="2473" stopIfTrue="1">
      <formula>OR($A503="audio", $A503="video")</formula>
    </cfRule>
  </conditionalFormatting>
  <conditionalFormatting sqref="B503:E503">
    <cfRule type="expression" dxfId="33" priority="2474" stopIfTrue="1">
      <formula>$A503="file"</formula>
    </cfRule>
  </conditionalFormatting>
  <conditionalFormatting sqref="B503:E503">
    <cfRule type="expression" dxfId="34" priority="2475" stopIfTrue="1">
      <formula>$A503="enumerator"</formula>
    </cfRule>
  </conditionalFormatting>
  <conditionalFormatting sqref="B503:E503">
    <cfRule type="expression" dxfId="35" priority="2476" stopIfTrue="1">
      <formula>OR(AND(LEFT($A503, 14)="sensor_stream ", LEN($A503)&gt;14, NOT(ISNUMBER(SEARCH(" ", $A503, 15)))), AND(LEFT($A503, 17)="sensor_statistic ", LEN($A503)&gt;17, NOT(ISNUMBER(SEARCH(" ", $A503, 18)))))</formula>
    </cfRule>
  </conditionalFormatting>
  <conditionalFormatting sqref="B503:E503">
    <cfRule type="expression" dxfId="14" priority="2477" stopIfTrue="1">
      <formula>$A503="comments"</formula>
    </cfRule>
  </conditionalFormatting>
  <conditionalFormatting sqref="B503:E503">
    <cfRule type="expression" dxfId="15" priority="2478" stopIfTrue="1">
      <formula>OR($A503="audio", $A503="video")</formula>
    </cfRule>
  </conditionalFormatting>
  <conditionalFormatting sqref="B503:E503">
    <cfRule type="expression" dxfId="16" priority="2479" stopIfTrue="1">
      <formula>$A503="image"</formula>
    </cfRule>
  </conditionalFormatting>
  <conditionalFormatting sqref="B503:E503">
    <cfRule type="expression" dxfId="17" priority="2480" stopIfTrue="1">
      <formula>OR($A503="date", $A503="datetime", $A503="time")</formula>
    </cfRule>
  </conditionalFormatting>
  <conditionalFormatting sqref="B503:E503">
    <cfRule type="expression" dxfId="18" priority="2481" stopIfTrue="1">
      <formula>OR($A503="calculate", $A503="calculate_here")</formula>
    </cfRule>
  </conditionalFormatting>
  <conditionalFormatting sqref="B503:E503">
    <cfRule type="expression" dxfId="19" priority="2482" stopIfTrue="1">
      <formula>$A503="note"</formula>
    </cfRule>
  </conditionalFormatting>
  <conditionalFormatting sqref="B503:E503">
    <cfRule type="expression" dxfId="20" priority="2483" stopIfTrue="1">
      <formula>$A503="barcode"</formula>
    </cfRule>
  </conditionalFormatting>
  <conditionalFormatting sqref="B503:E503">
    <cfRule type="expression" dxfId="21" priority="2484" stopIfTrue="1">
      <formula>OR($A503="geopoint", $A503="geoshape", $A503="geotrace")</formula>
    </cfRule>
  </conditionalFormatting>
  <conditionalFormatting sqref="B503:E503">
    <cfRule type="expression" dxfId="22" priority="2485" stopIfTrue="1">
      <formula>OR($A503="audio audit", $A503="text audit", $A503="speed violations count", $A503="speed violations list", $A503="speed violations audit")</formula>
    </cfRule>
  </conditionalFormatting>
  <conditionalFormatting sqref="B503:E503">
    <cfRule type="expression" dxfId="23" priority="2486" stopIfTrue="1">
      <formula>OR($A503="username", $A503="phonenumber", $A503="start", $A503="end", $A503="deviceid", $A503="subscriberid", $A503="simserial", $A503="caseid")</formula>
    </cfRule>
  </conditionalFormatting>
  <conditionalFormatting sqref="B503:E503">
    <cfRule type="expression" dxfId="24" priority="2487" stopIfTrue="1">
      <formula>OR(AND(LEFT($A503, 16)="select_multiple ", LEN($A503)&gt;16, NOT(ISNUMBER(SEARCH(" ", $A503, 17)))), AND(LEFT($A503, 11)="select_one ", LEN($A503)&gt;11, NOT(ISNUMBER(SEARCH(" ", $A503, 12)))))</formula>
    </cfRule>
  </conditionalFormatting>
  <conditionalFormatting sqref="B503:E503">
    <cfRule type="expression" dxfId="25" priority="2488" stopIfTrue="1">
      <formula>$A503="decimal"</formula>
    </cfRule>
  </conditionalFormatting>
  <conditionalFormatting sqref="B503:E503">
    <cfRule type="expression" dxfId="26" priority="2489" stopIfTrue="1">
      <formula>$A503="integer"</formula>
    </cfRule>
  </conditionalFormatting>
  <conditionalFormatting sqref="B503:E503">
    <cfRule type="expression" dxfId="27" priority="2490" stopIfTrue="1">
      <formula>$A503="text"</formula>
    </cfRule>
  </conditionalFormatting>
  <conditionalFormatting sqref="B503:E503">
    <cfRule type="expression" dxfId="28" priority="2491" stopIfTrue="1">
      <formula>$A503="end repeat"</formula>
    </cfRule>
  </conditionalFormatting>
  <conditionalFormatting sqref="B503:E503">
    <cfRule type="expression" dxfId="28" priority="2492" stopIfTrue="1">
      <formula>$A503="begin repeat"</formula>
    </cfRule>
  </conditionalFormatting>
  <conditionalFormatting sqref="B503:E503">
    <cfRule type="expression" dxfId="29" priority="2493" stopIfTrue="1">
      <formula>$A503="end group"</formula>
    </cfRule>
  </conditionalFormatting>
  <conditionalFormatting sqref="B503:E503">
    <cfRule type="expression" dxfId="29" priority="2494" stopIfTrue="1">
      <formula>$A503="begin group"</formula>
    </cfRule>
  </conditionalFormatting>
  <conditionalFormatting sqref="B503">
    <cfRule type="expression" dxfId="30" priority="2495" stopIfTrue="1">
      <formula>$A503="comments"</formula>
    </cfRule>
  </conditionalFormatting>
  <conditionalFormatting sqref="B503">
    <cfRule type="expression" dxfId="36" priority="2496" stopIfTrue="1">
      <formula>OR(AND(LEFT($A503, 14)="sensor_stream ", LEN($A503)&gt;14, NOT(ISNUMBER(SEARCH(" ", $A503, 15)))), AND(LEFT($A503, 17)="sensor_statistic ", LEN($A503)&gt;17, NOT(ISNUMBER(SEARCH(" ", $A503, 18)))))</formula>
    </cfRule>
  </conditionalFormatting>
  <conditionalFormatting sqref="B490:C500 D490:E500">
    <cfRule type="expression" dxfId="0" priority="2497" stopIfTrue="1">
      <formula>$A490="begin group"</formula>
    </cfRule>
  </conditionalFormatting>
  <conditionalFormatting sqref="B490:C500 D490:E500">
    <cfRule type="expression" dxfId="1" priority="2498" stopIfTrue="1">
      <formula>$A490="begin repeat"</formula>
    </cfRule>
  </conditionalFormatting>
  <conditionalFormatting sqref="B490:E500">
    <cfRule type="expression" dxfId="31" priority="2499" stopIfTrue="1">
      <formula>$A490="enumerator"</formula>
    </cfRule>
  </conditionalFormatting>
  <conditionalFormatting sqref="B490:E500">
    <cfRule type="expression" dxfId="2" priority="2500" stopIfTrue="1">
      <formula>$A490="text"</formula>
    </cfRule>
  </conditionalFormatting>
  <conditionalFormatting sqref="B490:E500">
    <cfRule type="expression" dxfId="3" priority="2501" stopIfTrue="1">
      <formula>$A490="integer"</formula>
    </cfRule>
  </conditionalFormatting>
  <conditionalFormatting sqref="B490:E500">
    <cfRule type="expression" dxfId="4" priority="2502" stopIfTrue="1">
      <formula>$A490="decimal"</formula>
    </cfRule>
  </conditionalFormatting>
  <conditionalFormatting sqref="B490:C500 D490:E500">
    <cfRule type="expression" dxfId="5" priority="2503" stopIfTrue="1">
      <formula>OR(AND(LEFT($A490, 16)="select_multiple ", LEN($A490)&gt;16, NOT(ISNUMBER(SEARCH(" ", $A490, 17)))), AND(LEFT($A490, 11)="select_one ", LEN($A490)&gt;11, NOT(ISNUMBER(SEARCH(" ", $A490, 12)))))</formula>
    </cfRule>
  </conditionalFormatting>
  <conditionalFormatting sqref="B490:B500">
    <cfRule type="expression" dxfId="6" priority="2504" stopIfTrue="1">
      <formula>OR($A490="audio audit", $A490="text audit", $A490="speed violations count", $A490="speed violations list", $A490="speed violations audit")</formula>
    </cfRule>
  </conditionalFormatting>
  <conditionalFormatting sqref="B490:C500 D490:E500">
    <cfRule type="expression" dxfId="32" priority="2505" stopIfTrue="1">
      <formula>$A490="file"</formula>
    </cfRule>
  </conditionalFormatting>
  <conditionalFormatting sqref="B490:C500 D490:E500">
    <cfRule type="expression" dxfId="7" priority="2506" stopIfTrue="1">
      <formula>$A490="note"</formula>
    </cfRule>
  </conditionalFormatting>
  <conditionalFormatting sqref="B490:C500 D490:E500">
    <cfRule type="expression" dxfId="8" priority="2507" stopIfTrue="1">
      <formula>$A490="barcode"</formula>
    </cfRule>
  </conditionalFormatting>
  <conditionalFormatting sqref="B490:C500 D490:E500">
    <cfRule type="expression" dxfId="9" priority="2508" stopIfTrue="1">
      <formula>OR($A490="geopoint", $A490="geoshape", $A490="geotrace")</formula>
    </cfRule>
  </conditionalFormatting>
  <conditionalFormatting sqref="B490:B500">
    <cfRule type="expression" dxfId="10" priority="2509" stopIfTrue="1">
      <formula>OR($A490="calculate", $A490="calculate_here")</formula>
    </cfRule>
  </conditionalFormatting>
  <conditionalFormatting sqref="B490:C500 D490:E500">
    <cfRule type="expression" dxfId="11" priority="2510" stopIfTrue="1">
      <formula>OR($A490="date", $A490="datetime", $A490="time")</formula>
    </cfRule>
  </conditionalFormatting>
  <conditionalFormatting sqref="B490:C500 D490:E500">
    <cfRule type="expression" dxfId="12" priority="2511" stopIfTrue="1">
      <formula>$A490="image"</formula>
    </cfRule>
  </conditionalFormatting>
  <conditionalFormatting sqref="B490:C500 D490:E500">
    <cfRule type="expression" dxfId="13" priority="2512" stopIfTrue="1">
      <formula>OR($A490="audio", $A490="video")</formula>
    </cfRule>
  </conditionalFormatting>
  <conditionalFormatting sqref="B490:E500">
    <cfRule type="expression" dxfId="33" priority="2513" stopIfTrue="1">
      <formula>$A490="file"</formula>
    </cfRule>
  </conditionalFormatting>
  <conditionalFormatting sqref="B490:E500">
    <cfRule type="expression" dxfId="34" priority="2514" stopIfTrue="1">
      <formula>$A490="enumerator"</formula>
    </cfRule>
  </conditionalFormatting>
  <conditionalFormatting sqref="B490:E500">
    <cfRule type="expression" dxfId="35" priority="2515" stopIfTrue="1">
      <formula>OR(AND(LEFT($A490, 14)="sensor_stream ", LEN($A490)&gt;14, NOT(ISNUMBER(SEARCH(" ", $A490, 15)))), AND(LEFT($A490, 17)="sensor_statistic ", LEN($A490)&gt;17, NOT(ISNUMBER(SEARCH(" ", $A490, 18)))))</formula>
    </cfRule>
  </conditionalFormatting>
  <conditionalFormatting sqref="B490:E500">
    <cfRule type="expression" dxfId="14" priority="2516" stopIfTrue="1">
      <formula>$A490="comments"</formula>
    </cfRule>
  </conditionalFormatting>
  <conditionalFormatting sqref="B490:E500">
    <cfRule type="expression" dxfId="15" priority="2517" stopIfTrue="1">
      <formula>OR($A490="audio", $A490="video")</formula>
    </cfRule>
  </conditionalFormatting>
  <conditionalFormatting sqref="B490:E500">
    <cfRule type="expression" dxfId="16" priority="2518" stopIfTrue="1">
      <formula>$A490="image"</formula>
    </cfRule>
  </conditionalFormatting>
  <conditionalFormatting sqref="B490:E500">
    <cfRule type="expression" dxfId="17" priority="2519" stopIfTrue="1">
      <formula>OR($A490="date", $A490="datetime", $A490="time")</formula>
    </cfRule>
  </conditionalFormatting>
  <conditionalFormatting sqref="B490:E500">
    <cfRule type="expression" dxfId="18" priority="2520" stopIfTrue="1">
      <formula>OR($A490="calculate", $A490="calculate_here")</formula>
    </cfRule>
  </conditionalFormatting>
  <conditionalFormatting sqref="B490:E500">
    <cfRule type="expression" dxfId="19" priority="2521" stopIfTrue="1">
      <formula>$A490="note"</formula>
    </cfRule>
  </conditionalFormatting>
  <conditionalFormatting sqref="B490:E500">
    <cfRule type="expression" dxfId="20" priority="2522" stopIfTrue="1">
      <formula>$A490="barcode"</formula>
    </cfRule>
  </conditionalFormatting>
  <conditionalFormatting sqref="B490:E500">
    <cfRule type="expression" dxfId="21" priority="2523" stopIfTrue="1">
      <formula>OR($A490="geopoint", $A490="geoshape", $A490="geotrace")</formula>
    </cfRule>
  </conditionalFormatting>
  <conditionalFormatting sqref="B490:E500">
    <cfRule type="expression" dxfId="22" priority="2524" stopIfTrue="1">
      <formula>OR($A490="audio audit", $A490="text audit", $A490="speed violations count", $A490="speed violations list", $A490="speed violations audit")</formula>
    </cfRule>
  </conditionalFormatting>
  <conditionalFormatting sqref="B490:E500">
    <cfRule type="expression" dxfId="23" priority="2525" stopIfTrue="1">
      <formula>OR($A490="username", $A490="phonenumber", $A490="start", $A490="end", $A490="deviceid", $A490="subscriberid", $A490="simserial", $A490="caseid")</formula>
    </cfRule>
  </conditionalFormatting>
  <conditionalFormatting sqref="B490:E500">
    <cfRule type="expression" dxfId="24" priority="2526" stopIfTrue="1">
      <formula>OR(AND(LEFT($A490, 16)="select_multiple ", LEN($A490)&gt;16, NOT(ISNUMBER(SEARCH(" ", $A490, 17)))), AND(LEFT($A490, 11)="select_one ", LEN($A490)&gt;11, NOT(ISNUMBER(SEARCH(" ", $A490, 12)))))</formula>
    </cfRule>
  </conditionalFormatting>
  <conditionalFormatting sqref="B490:E500">
    <cfRule type="expression" dxfId="25" priority="2527" stopIfTrue="1">
      <formula>$A490="decimal"</formula>
    </cfRule>
  </conditionalFormatting>
  <conditionalFormatting sqref="B490:E500">
    <cfRule type="expression" dxfId="26" priority="2528" stopIfTrue="1">
      <formula>$A490="integer"</formula>
    </cfRule>
  </conditionalFormatting>
  <conditionalFormatting sqref="B490:E500">
    <cfRule type="expression" dxfId="27" priority="2529" stopIfTrue="1">
      <formula>$A490="text"</formula>
    </cfRule>
  </conditionalFormatting>
  <conditionalFormatting sqref="B490:E500">
    <cfRule type="expression" dxfId="28" priority="2530" stopIfTrue="1">
      <formula>$A490="end repeat"</formula>
    </cfRule>
  </conditionalFormatting>
  <conditionalFormatting sqref="B490:E500">
    <cfRule type="expression" dxfId="28" priority="2531" stopIfTrue="1">
      <formula>$A490="begin repeat"</formula>
    </cfRule>
  </conditionalFormatting>
  <conditionalFormatting sqref="B490:E500">
    <cfRule type="expression" dxfId="29" priority="2532" stopIfTrue="1">
      <formula>$A490="end group"</formula>
    </cfRule>
  </conditionalFormatting>
  <conditionalFormatting sqref="B490:E500">
    <cfRule type="expression" dxfId="29" priority="2533" stopIfTrue="1">
      <formula>$A490="begin group"</formula>
    </cfRule>
  </conditionalFormatting>
  <conditionalFormatting sqref="B490:B500">
    <cfRule type="expression" dxfId="30" priority="2534" stopIfTrue="1">
      <formula>$A490="comments"</formula>
    </cfRule>
  </conditionalFormatting>
  <conditionalFormatting sqref="B490:B500">
    <cfRule type="expression" dxfId="36" priority="2535" stopIfTrue="1">
      <formula>OR(AND(LEFT($A490, 14)="sensor_stream ", LEN($A490)&gt;14, NOT(ISNUMBER(SEARCH(" ", $A490, 15)))), AND(LEFT($A490, 17)="sensor_statistic ", LEN($A490)&gt;17, NOT(ISNUMBER(SEARCH(" ", $A490, 18)))))</formula>
    </cfRule>
  </conditionalFormatting>
  <conditionalFormatting sqref="B484:C487 D484:E487">
    <cfRule type="expression" dxfId="0" priority="2536" stopIfTrue="1">
      <formula>$A484="begin group"</formula>
    </cfRule>
  </conditionalFormatting>
  <conditionalFormatting sqref="B484:C487 D484:E487">
    <cfRule type="expression" dxfId="1" priority="2537" stopIfTrue="1">
      <formula>$A484="begin repeat"</formula>
    </cfRule>
  </conditionalFormatting>
  <conditionalFormatting sqref="B484:E487">
    <cfRule type="expression" dxfId="31" priority="2538" stopIfTrue="1">
      <formula>$A484="enumerator"</formula>
    </cfRule>
  </conditionalFormatting>
  <conditionalFormatting sqref="B484:E487">
    <cfRule type="expression" dxfId="2" priority="2539" stopIfTrue="1">
      <formula>$A484="text"</formula>
    </cfRule>
  </conditionalFormatting>
  <conditionalFormatting sqref="B484:E487">
    <cfRule type="expression" dxfId="3" priority="2540" stopIfTrue="1">
      <formula>$A484="integer"</formula>
    </cfRule>
  </conditionalFormatting>
  <conditionalFormatting sqref="B484:E487">
    <cfRule type="expression" dxfId="4" priority="2541" stopIfTrue="1">
      <formula>$A484="decimal"</formula>
    </cfRule>
  </conditionalFormatting>
  <conditionalFormatting sqref="B484:C487 D484:E487">
    <cfRule type="expression" dxfId="5" priority="2542" stopIfTrue="1">
      <formula>OR(AND(LEFT($A484, 16)="select_multiple ", LEN($A484)&gt;16, NOT(ISNUMBER(SEARCH(" ", $A484, 17)))), AND(LEFT($A484, 11)="select_one ", LEN($A484)&gt;11, NOT(ISNUMBER(SEARCH(" ", $A484, 12)))))</formula>
    </cfRule>
  </conditionalFormatting>
  <conditionalFormatting sqref="B484:B487">
    <cfRule type="expression" dxfId="6" priority="2543" stopIfTrue="1">
      <formula>OR($A484="audio audit", $A484="text audit", $A484="speed violations count", $A484="speed violations list", $A484="speed violations audit")</formula>
    </cfRule>
  </conditionalFormatting>
  <conditionalFormatting sqref="B484:C487 D484:E487">
    <cfRule type="expression" dxfId="32" priority="2544" stopIfTrue="1">
      <formula>$A484="file"</formula>
    </cfRule>
  </conditionalFormatting>
  <conditionalFormatting sqref="B484:C487 D484:E487">
    <cfRule type="expression" dxfId="7" priority="2545" stopIfTrue="1">
      <formula>$A484="note"</formula>
    </cfRule>
  </conditionalFormatting>
  <conditionalFormatting sqref="B484:C487 D484:E487">
    <cfRule type="expression" dxfId="8" priority="2546" stopIfTrue="1">
      <formula>$A484="barcode"</formula>
    </cfRule>
  </conditionalFormatting>
  <conditionalFormatting sqref="B484:C487 D484:E487">
    <cfRule type="expression" dxfId="9" priority="2547" stopIfTrue="1">
      <formula>OR($A484="geopoint", $A484="geoshape", $A484="geotrace")</formula>
    </cfRule>
  </conditionalFormatting>
  <conditionalFormatting sqref="B484:B487">
    <cfRule type="expression" dxfId="10" priority="2548" stopIfTrue="1">
      <formula>OR($A484="calculate", $A484="calculate_here")</formula>
    </cfRule>
  </conditionalFormatting>
  <conditionalFormatting sqref="B484:C487 D484:E487">
    <cfRule type="expression" dxfId="11" priority="2549" stopIfTrue="1">
      <formula>OR($A484="date", $A484="datetime", $A484="time")</formula>
    </cfRule>
  </conditionalFormatting>
  <conditionalFormatting sqref="B484:C487 D484:E487">
    <cfRule type="expression" dxfId="12" priority="2550" stopIfTrue="1">
      <formula>$A484="image"</formula>
    </cfRule>
  </conditionalFormatting>
  <conditionalFormatting sqref="B484:C487 D484:E487">
    <cfRule type="expression" dxfId="13" priority="2551" stopIfTrue="1">
      <formula>OR($A484="audio", $A484="video")</formula>
    </cfRule>
  </conditionalFormatting>
  <conditionalFormatting sqref="B484:E487">
    <cfRule type="expression" dxfId="33" priority="2552" stopIfTrue="1">
      <formula>$A484="file"</formula>
    </cfRule>
  </conditionalFormatting>
  <conditionalFormatting sqref="B484:E487">
    <cfRule type="expression" dxfId="34" priority="2553" stopIfTrue="1">
      <formula>$A484="enumerator"</formula>
    </cfRule>
  </conditionalFormatting>
  <conditionalFormatting sqref="B484:E487">
    <cfRule type="expression" dxfId="35" priority="2554" stopIfTrue="1">
      <formula>OR(AND(LEFT($A484, 14)="sensor_stream ", LEN($A484)&gt;14, NOT(ISNUMBER(SEARCH(" ", $A484, 15)))), AND(LEFT($A484, 17)="sensor_statistic ", LEN($A484)&gt;17, NOT(ISNUMBER(SEARCH(" ", $A484, 18)))))</formula>
    </cfRule>
  </conditionalFormatting>
  <conditionalFormatting sqref="B484:E487">
    <cfRule type="expression" dxfId="14" priority="2555" stopIfTrue="1">
      <formula>$A484="comments"</formula>
    </cfRule>
  </conditionalFormatting>
  <conditionalFormatting sqref="B484:E487">
    <cfRule type="expression" dxfId="15" priority="2556" stopIfTrue="1">
      <formula>OR($A484="audio", $A484="video")</formula>
    </cfRule>
  </conditionalFormatting>
  <conditionalFormatting sqref="B484:E487">
    <cfRule type="expression" dxfId="16" priority="2557" stopIfTrue="1">
      <formula>$A484="image"</formula>
    </cfRule>
  </conditionalFormatting>
  <conditionalFormatting sqref="B484:E487">
    <cfRule type="expression" dxfId="17" priority="2558" stopIfTrue="1">
      <formula>OR($A484="date", $A484="datetime", $A484="time")</formula>
    </cfRule>
  </conditionalFormatting>
  <conditionalFormatting sqref="B484:E487">
    <cfRule type="expression" dxfId="18" priority="2559" stopIfTrue="1">
      <formula>OR($A484="calculate", $A484="calculate_here")</formula>
    </cfRule>
  </conditionalFormatting>
  <conditionalFormatting sqref="B484:E487">
    <cfRule type="expression" dxfId="19" priority="2560" stopIfTrue="1">
      <formula>$A484="note"</formula>
    </cfRule>
  </conditionalFormatting>
  <conditionalFormatting sqref="B484:E487">
    <cfRule type="expression" dxfId="20" priority="2561" stopIfTrue="1">
      <formula>$A484="barcode"</formula>
    </cfRule>
  </conditionalFormatting>
  <conditionalFormatting sqref="B484:E487">
    <cfRule type="expression" dxfId="21" priority="2562" stopIfTrue="1">
      <formula>OR($A484="geopoint", $A484="geoshape", $A484="geotrace")</formula>
    </cfRule>
  </conditionalFormatting>
  <conditionalFormatting sqref="B484:E487">
    <cfRule type="expression" dxfId="22" priority="2563" stopIfTrue="1">
      <formula>OR($A484="audio audit", $A484="text audit", $A484="speed violations count", $A484="speed violations list", $A484="speed violations audit")</formula>
    </cfRule>
  </conditionalFormatting>
  <conditionalFormatting sqref="B484:E487">
    <cfRule type="expression" dxfId="23" priority="2564" stopIfTrue="1">
      <formula>OR($A484="username", $A484="phonenumber", $A484="start", $A484="end", $A484="deviceid", $A484="subscriberid", $A484="simserial", $A484="caseid")</formula>
    </cfRule>
  </conditionalFormatting>
  <conditionalFormatting sqref="B484:E487">
    <cfRule type="expression" dxfId="24" priority="2565" stopIfTrue="1">
      <formula>OR(AND(LEFT($A484, 16)="select_multiple ", LEN($A484)&gt;16, NOT(ISNUMBER(SEARCH(" ", $A484, 17)))), AND(LEFT($A484, 11)="select_one ", LEN($A484)&gt;11, NOT(ISNUMBER(SEARCH(" ", $A484, 12)))))</formula>
    </cfRule>
  </conditionalFormatting>
  <conditionalFormatting sqref="B484:E487">
    <cfRule type="expression" dxfId="25" priority="2566" stopIfTrue="1">
      <formula>$A484="decimal"</formula>
    </cfRule>
  </conditionalFormatting>
  <conditionalFormatting sqref="B484:E487">
    <cfRule type="expression" dxfId="26" priority="2567" stopIfTrue="1">
      <formula>$A484="integer"</formula>
    </cfRule>
  </conditionalFormatting>
  <conditionalFormatting sqref="B484:E487">
    <cfRule type="expression" dxfId="27" priority="2568" stopIfTrue="1">
      <formula>$A484="text"</formula>
    </cfRule>
  </conditionalFormatting>
  <conditionalFormatting sqref="B484:E487">
    <cfRule type="expression" dxfId="28" priority="2569" stopIfTrue="1">
      <formula>$A484="end repeat"</formula>
    </cfRule>
  </conditionalFormatting>
  <conditionalFormatting sqref="B484:E487">
    <cfRule type="expression" dxfId="28" priority="2570" stopIfTrue="1">
      <formula>$A484="begin repeat"</formula>
    </cfRule>
  </conditionalFormatting>
  <conditionalFormatting sqref="B484:E487">
    <cfRule type="expression" dxfId="29" priority="2571" stopIfTrue="1">
      <formula>$A484="end group"</formula>
    </cfRule>
  </conditionalFormatting>
  <conditionalFormatting sqref="B484:E487">
    <cfRule type="expression" dxfId="29" priority="2572" stopIfTrue="1">
      <formula>$A484="begin group"</formula>
    </cfRule>
  </conditionalFormatting>
  <conditionalFormatting sqref="B484:B487">
    <cfRule type="expression" dxfId="30" priority="2573" stopIfTrue="1">
      <formula>$A484="comments"</formula>
    </cfRule>
  </conditionalFormatting>
  <conditionalFormatting sqref="B484:B487">
    <cfRule type="expression" dxfId="36" priority="2574" stopIfTrue="1">
      <formula>OR(AND(LEFT($A484, 14)="sensor_stream ", LEN($A484)&gt;14, NOT(ISNUMBER(SEARCH(" ", $A484, 15)))), AND(LEFT($A484, 17)="sensor_statistic ", LEN($A484)&gt;17, NOT(ISNUMBER(SEARCH(" ", $A484, 18)))))</formula>
    </cfRule>
  </conditionalFormatting>
  <conditionalFormatting sqref="B478:C481 D478:E481">
    <cfRule type="expression" dxfId="0" priority="2575" stopIfTrue="1">
      <formula>$A478="begin group"</formula>
    </cfRule>
  </conditionalFormatting>
  <conditionalFormatting sqref="B478:C481 D478:E481">
    <cfRule type="expression" dxfId="1" priority="2576" stopIfTrue="1">
      <formula>$A478="begin repeat"</formula>
    </cfRule>
  </conditionalFormatting>
  <conditionalFormatting sqref="B478:E481">
    <cfRule type="expression" dxfId="31" priority="2577" stopIfTrue="1">
      <formula>$A478="enumerator"</formula>
    </cfRule>
  </conditionalFormatting>
  <conditionalFormatting sqref="B478:E481">
    <cfRule type="expression" dxfId="2" priority="2578" stopIfTrue="1">
      <formula>$A478="text"</formula>
    </cfRule>
  </conditionalFormatting>
  <conditionalFormatting sqref="B478:E481">
    <cfRule type="expression" dxfId="3" priority="2579" stopIfTrue="1">
      <formula>$A478="integer"</formula>
    </cfRule>
  </conditionalFormatting>
  <conditionalFormatting sqref="B478:E481">
    <cfRule type="expression" dxfId="4" priority="2580" stopIfTrue="1">
      <formula>$A478="decimal"</formula>
    </cfRule>
  </conditionalFormatting>
  <conditionalFormatting sqref="B478:C481 D478:E481">
    <cfRule type="expression" dxfId="5" priority="2581" stopIfTrue="1">
      <formula>OR(AND(LEFT($A478, 16)="select_multiple ", LEN($A478)&gt;16, NOT(ISNUMBER(SEARCH(" ", $A478, 17)))), AND(LEFT($A478, 11)="select_one ", LEN($A478)&gt;11, NOT(ISNUMBER(SEARCH(" ", $A478, 12)))))</formula>
    </cfRule>
  </conditionalFormatting>
  <conditionalFormatting sqref="B478:B481">
    <cfRule type="expression" dxfId="6" priority="2582" stopIfTrue="1">
      <formula>OR($A478="audio audit", $A478="text audit", $A478="speed violations count", $A478="speed violations list", $A478="speed violations audit")</formula>
    </cfRule>
  </conditionalFormatting>
  <conditionalFormatting sqref="B478:C481 D478:E481">
    <cfRule type="expression" dxfId="32" priority="2583" stopIfTrue="1">
      <formula>$A478="file"</formula>
    </cfRule>
  </conditionalFormatting>
  <conditionalFormatting sqref="B478:C481 D478:E481">
    <cfRule type="expression" dxfId="7" priority="2584" stopIfTrue="1">
      <formula>$A478="note"</formula>
    </cfRule>
  </conditionalFormatting>
  <conditionalFormatting sqref="B478:C481 D478:E481">
    <cfRule type="expression" dxfId="8" priority="2585" stopIfTrue="1">
      <formula>$A478="barcode"</formula>
    </cfRule>
  </conditionalFormatting>
  <conditionalFormatting sqref="B478:C481 D478:E481">
    <cfRule type="expression" dxfId="9" priority="2586" stopIfTrue="1">
      <formula>OR($A478="geopoint", $A478="geoshape", $A478="geotrace")</formula>
    </cfRule>
  </conditionalFormatting>
  <conditionalFormatting sqref="B478:B481">
    <cfRule type="expression" dxfId="10" priority="2587" stopIfTrue="1">
      <formula>OR($A478="calculate", $A478="calculate_here")</formula>
    </cfRule>
  </conditionalFormatting>
  <conditionalFormatting sqref="B478:C481 D478:E481">
    <cfRule type="expression" dxfId="11" priority="2588" stopIfTrue="1">
      <formula>OR($A478="date", $A478="datetime", $A478="time")</formula>
    </cfRule>
  </conditionalFormatting>
  <conditionalFormatting sqref="B478:C481 D478:E481">
    <cfRule type="expression" dxfId="12" priority="2589" stopIfTrue="1">
      <formula>$A478="image"</formula>
    </cfRule>
  </conditionalFormatting>
  <conditionalFormatting sqref="B478:C481 D478:E481">
    <cfRule type="expression" dxfId="13" priority="2590" stopIfTrue="1">
      <formula>OR($A478="audio", $A478="video")</formula>
    </cfRule>
  </conditionalFormatting>
  <conditionalFormatting sqref="B478:E481">
    <cfRule type="expression" dxfId="33" priority="2591" stopIfTrue="1">
      <formula>$A478="file"</formula>
    </cfRule>
  </conditionalFormatting>
  <conditionalFormatting sqref="B478:E481">
    <cfRule type="expression" dxfId="34" priority="2592" stopIfTrue="1">
      <formula>$A478="enumerator"</formula>
    </cfRule>
  </conditionalFormatting>
  <conditionalFormatting sqref="B478:E481">
    <cfRule type="expression" dxfId="35" priority="2593" stopIfTrue="1">
      <formula>OR(AND(LEFT($A478, 14)="sensor_stream ", LEN($A478)&gt;14, NOT(ISNUMBER(SEARCH(" ", $A478, 15)))), AND(LEFT($A478, 17)="sensor_statistic ", LEN($A478)&gt;17, NOT(ISNUMBER(SEARCH(" ", $A478, 18)))))</formula>
    </cfRule>
  </conditionalFormatting>
  <conditionalFormatting sqref="B478:E481">
    <cfRule type="expression" dxfId="14" priority="2594" stopIfTrue="1">
      <formula>$A478="comments"</formula>
    </cfRule>
  </conditionalFormatting>
  <conditionalFormatting sqref="B478:E481">
    <cfRule type="expression" dxfId="15" priority="2595" stopIfTrue="1">
      <formula>OR($A478="audio", $A478="video")</formula>
    </cfRule>
  </conditionalFormatting>
  <conditionalFormatting sqref="B478:E481">
    <cfRule type="expression" dxfId="16" priority="2596" stopIfTrue="1">
      <formula>$A478="image"</formula>
    </cfRule>
  </conditionalFormatting>
  <conditionalFormatting sqref="B478:E481">
    <cfRule type="expression" dxfId="17" priority="2597" stopIfTrue="1">
      <formula>OR($A478="date", $A478="datetime", $A478="time")</formula>
    </cfRule>
  </conditionalFormatting>
  <conditionalFormatting sqref="B478:E481">
    <cfRule type="expression" dxfId="18" priority="2598" stopIfTrue="1">
      <formula>OR($A478="calculate", $A478="calculate_here")</formula>
    </cfRule>
  </conditionalFormatting>
  <conditionalFormatting sqref="B478:E481">
    <cfRule type="expression" dxfId="19" priority="2599" stopIfTrue="1">
      <formula>$A478="note"</formula>
    </cfRule>
  </conditionalFormatting>
  <conditionalFormatting sqref="B478:E481">
    <cfRule type="expression" dxfId="20" priority="2600" stopIfTrue="1">
      <formula>$A478="barcode"</formula>
    </cfRule>
  </conditionalFormatting>
  <conditionalFormatting sqref="B478:E481">
    <cfRule type="expression" dxfId="21" priority="2601" stopIfTrue="1">
      <formula>OR($A478="geopoint", $A478="geoshape", $A478="geotrace")</formula>
    </cfRule>
  </conditionalFormatting>
  <conditionalFormatting sqref="B478:E481">
    <cfRule type="expression" dxfId="22" priority="2602" stopIfTrue="1">
      <formula>OR($A478="audio audit", $A478="text audit", $A478="speed violations count", $A478="speed violations list", $A478="speed violations audit")</formula>
    </cfRule>
  </conditionalFormatting>
  <conditionalFormatting sqref="B478:E481">
    <cfRule type="expression" dxfId="23" priority="2603" stopIfTrue="1">
      <formula>OR($A478="username", $A478="phonenumber", $A478="start", $A478="end", $A478="deviceid", $A478="subscriberid", $A478="simserial", $A478="caseid")</formula>
    </cfRule>
  </conditionalFormatting>
  <conditionalFormatting sqref="B478:E481">
    <cfRule type="expression" dxfId="24" priority="2604" stopIfTrue="1">
      <formula>OR(AND(LEFT($A478, 16)="select_multiple ", LEN($A478)&gt;16, NOT(ISNUMBER(SEARCH(" ", $A478, 17)))), AND(LEFT($A478, 11)="select_one ", LEN($A478)&gt;11, NOT(ISNUMBER(SEARCH(" ", $A478, 12)))))</formula>
    </cfRule>
  </conditionalFormatting>
  <conditionalFormatting sqref="B478:E481">
    <cfRule type="expression" dxfId="25" priority="2605" stopIfTrue="1">
      <formula>$A478="decimal"</formula>
    </cfRule>
  </conditionalFormatting>
  <conditionalFormatting sqref="B478:E481">
    <cfRule type="expression" dxfId="26" priority="2606" stopIfTrue="1">
      <formula>$A478="integer"</formula>
    </cfRule>
  </conditionalFormatting>
  <conditionalFormatting sqref="B478:E481">
    <cfRule type="expression" dxfId="27" priority="2607" stopIfTrue="1">
      <formula>$A478="text"</formula>
    </cfRule>
  </conditionalFormatting>
  <conditionalFormatting sqref="B478:E481">
    <cfRule type="expression" dxfId="28" priority="2608" stopIfTrue="1">
      <formula>$A478="end repeat"</formula>
    </cfRule>
  </conditionalFormatting>
  <conditionalFormatting sqref="B478:E481">
    <cfRule type="expression" dxfId="28" priority="2609" stopIfTrue="1">
      <formula>$A478="begin repeat"</formula>
    </cfRule>
  </conditionalFormatting>
  <conditionalFormatting sqref="B478:E481">
    <cfRule type="expression" dxfId="29" priority="2610" stopIfTrue="1">
      <formula>$A478="end group"</formula>
    </cfRule>
  </conditionalFormatting>
  <conditionalFormatting sqref="B478:E481">
    <cfRule type="expression" dxfId="29" priority="2611" stopIfTrue="1">
      <formula>$A478="begin group"</formula>
    </cfRule>
  </conditionalFormatting>
  <conditionalFormatting sqref="B478:B481">
    <cfRule type="expression" dxfId="30" priority="2612" stopIfTrue="1">
      <formula>$A478="comments"</formula>
    </cfRule>
  </conditionalFormatting>
  <conditionalFormatting sqref="B478:B481">
    <cfRule type="expression" dxfId="36" priority="2613" stopIfTrue="1">
      <formula>OR(AND(LEFT($A478, 14)="sensor_stream ", LEN($A478)&gt;14, NOT(ISNUMBER(SEARCH(" ", $A478, 15)))), AND(LEFT($A478, 17)="sensor_statistic ", LEN($A478)&gt;17, NOT(ISNUMBER(SEARCH(" ", $A478, 18)))))</formula>
    </cfRule>
  </conditionalFormatting>
  <conditionalFormatting sqref="B470:C472 D470:E472">
    <cfRule type="expression" dxfId="0" priority="2614" stopIfTrue="1">
      <formula>$A470="begin group"</formula>
    </cfRule>
  </conditionalFormatting>
  <conditionalFormatting sqref="B470:C472 D470:E472">
    <cfRule type="expression" dxfId="1" priority="2615" stopIfTrue="1">
      <formula>$A470="begin repeat"</formula>
    </cfRule>
  </conditionalFormatting>
  <conditionalFormatting sqref="B470:E472">
    <cfRule type="expression" dxfId="31" priority="2616" stopIfTrue="1">
      <formula>$A470="enumerator"</formula>
    </cfRule>
  </conditionalFormatting>
  <conditionalFormatting sqref="B470:E472">
    <cfRule type="expression" dxfId="2" priority="2617" stopIfTrue="1">
      <formula>$A470="text"</formula>
    </cfRule>
  </conditionalFormatting>
  <conditionalFormatting sqref="B470:E472">
    <cfRule type="expression" dxfId="3" priority="2618" stopIfTrue="1">
      <formula>$A470="integer"</formula>
    </cfRule>
  </conditionalFormatting>
  <conditionalFormatting sqref="B470:E472">
    <cfRule type="expression" dxfId="4" priority="2619" stopIfTrue="1">
      <formula>$A470="decimal"</formula>
    </cfRule>
  </conditionalFormatting>
  <conditionalFormatting sqref="B470:C472 D470:E472">
    <cfRule type="expression" dxfId="5" priority="2620" stopIfTrue="1">
      <formula>OR(AND(LEFT($A470, 16)="select_multiple ", LEN($A470)&gt;16, NOT(ISNUMBER(SEARCH(" ", $A470, 17)))), AND(LEFT($A470, 11)="select_one ", LEN($A470)&gt;11, NOT(ISNUMBER(SEARCH(" ", $A470, 12)))))</formula>
    </cfRule>
  </conditionalFormatting>
  <conditionalFormatting sqref="B470:B472">
    <cfRule type="expression" dxfId="6" priority="2621" stopIfTrue="1">
      <formula>OR($A470="audio audit", $A470="text audit", $A470="speed violations count", $A470="speed violations list", $A470="speed violations audit")</formula>
    </cfRule>
  </conditionalFormatting>
  <conditionalFormatting sqref="B470:C472 D470:E472">
    <cfRule type="expression" dxfId="32" priority="2622" stopIfTrue="1">
      <formula>$A470="file"</formula>
    </cfRule>
  </conditionalFormatting>
  <conditionalFormatting sqref="B470:C472 D470:E472">
    <cfRule type="expression" dxfId="7" priority="2623" stopIfTrue="1">
      <formula>$A470="note"</formula>
    </cfRule>
  </conditionalFormatting>
  <conditionalFormatting sqref="B470:C472 D470:E472">
    <cfRule type="expression" dxfId="8" priority="2624" stopIfTrue="1">
      <formula>$A470="barcode"</formula>
    </cfRule>
  </conditionalFormatting>
  <conditionalFormatting sqref="B470:C472 D470:E472">
    <cfRule type="expression" dxfId="9" priority="2625" stopIfTrue="1">
      <formula>OR($A470="geopoint", $A470="geoshape", $A470="geotrace")</formula>
    </cfRule>
  </conditionalFormatting>
  <conditionalFormatting sqref="B470:B472">
    <cfRule type="expression" dxfId="10" priority="2626" stopIfTrue="1">
      <formula>OR($A470="calculate", $A470="calculate_here")</formula>
    </cfRule>
  </conditionalFormatting>
  <conditionalFormatting sqref="B470:C472 D470:E472">
    <cfRule type="expression" dxfId="11" priority="2627" stopIfTrue="1">
      <formula>OR($A470="date", $A470="datetime", $A470="time")</formula>
    </cfRule>
  </conditionalFormatting>
  <conditionalFormatting sqref="B470:C472 D470:E472">
    <cfRule type="expression" dxfId="12" priority="2628" stopIfTrue="1">
      <formula>$A470="image"</formula>
    </cfRule>
  </conditionalFormatting>
  <conditionalFormatting sqref="B470:C472 D470:E472">
    <cfRule type="expression" dxfId="13" priority="2629" stopIfTrue="1">
      <formula>OR($A470="audio", $A470="video")</formula>
    </cfRule>
  </conditionalFormatting>
  <conditionalFormatting sqref="B470:E472">
    <cfRule type="expression" dxfId="33" priority="2630" stopIfTrue="1">
      <formula>$A470="file"</formula>
    </cfRule>
  </conditionalFormatting>
  <conditionalFormatting sqref="B470:E472">
    <cfRule type="expression" dxfId="34" priority="2631" stopIfTrue="1">
      <formula>$A470="enumerator"</formula>
    </cfRule>
  </conditionalFormatting>
  <conditionalFormatting sqref="B470:E472">
    <cfRule type="expression" dxfId="35" priority="2632" stopIfTrue="1">
      <formula>OR(AND(LEFT($A470, 14)="sensor_stream ", LEN($A470)&gt;14, NOT(ISNUMBER(SEARCH(" ", $A470, 15)))), AND(LEFT($A470, 17)="sensor_statistic ", LEN($A470)&gt;17, NOT(ISNUMBER(SEARCH(" ", $A470, 18)))))</formula>
    </cfRule>
  </conditionalFormatting>
  <conditionalFormatting sqref="B470:E472">
    <cfRule type="expression" dxfId="14" priority="2633" stopIfTrue="1">
      <formula>$A470="comments"</formula>
    </cfRule>
  </conditionalFormatting>
  <conditionalFormatting sqref="B470:E472">
    <cfRule type="expression" dxfId="15" priority="2634" stopIfTrue="1">
      <formula>OR($A470="audio", $A470="video")</formula>
    </cfRule>
  </conditionalFormatting>
  <conditionalFormatting sqref="B470:E472">
    <cfRule type="expression" dxfId="16" priority="2635" stopIfTrue="1">
      <formula>$A470="image"</formula>
    </cfRule>
  </conditionalFormatting>
  <conditionalFormatting sqref="B470:E472">
    <cfRule type="expression" dxfId="17" priority="2636" stopIfTrue="1">
      <formula>OR($A470="date", $A470="datetime", $A470="time")</formula>
    </cfRule>
  </conditionalFormatting>
  <conditionalFormatting sqref="B470:E472">
    <cfRule type="expression" dxfId="18" priority="2637" stopIfTrue="1">
      <formula>OR($A470="calculate", $A470="calculate_here")</formula>
    </cfRule>
  </conditionalFormatting>
  <conditionalFormatting sqref="B470:E472">
    <cfRule type="expression" dxfId="19" priority="2638" stopIfTrue="1">
      <formula>$A470="note"</formula>
    </cfRule>
  </conditionalFormatting>
  <conditionalFormatting sqref="B470:E472">
    <cfRule type="expression" dxfId="20" priority="2639" stopIfTrue="1">
      <formula>$A470="barcode"</formula>
    </cfRule>
  </conditionalFormatting>
  <conditionalFormatting sqref="B470:E472">
    <cfRule type="expression" dxfId="21" priority="2640" stopIfTrue="1">
      <formula>OR($A470="geopoint", $A470="geoshape", $A470="geotrace")</formula>
    </cfRule>
  </conditionalFormatting>
  <conditionalFormatting sqref="B470:E472">
    <cfRule type="expression" dxfId="22" priority="2641" stopIfTrue="1">
      <formula>OR($A470="audio audit", $A470="text audit", $A470="speed violations count", $A470="speed violations list", $A470="speed violations audit")</formula>
    </cfRule>
  </conditionalFormatting>
  <conditionalFormatting sqref="B470:E472">
    <cfRule type="expression" dxfId="23" priority="2642" stopIfTrue="1">
      <formula>OR($A470="username", $A470="phonenumber", $A470="start", $A470="end", $A470="deviceid", $A470="subscriberid", $A470="simserial", $A470="caseid")</formula>
    </cfRule>
  </conditionalFormatting>
  <conditionalFormatting sqref="B470:E472">
    <cfRule type="expression" dxfId="24" priority="2643" stopIfTrue="1">
      <formula>OR(AND(LEFT($A470, 16)="select_multiple ", LEN($A470)&gt;16, NOT(ISNUMBER(SEARCH(" ", $A470, 17)))), AND(LEFT($A470, 11)="select_one ", LEN($A470)&gt;11, NOT(ISNUMBER(SEARCH(" ", $A470, 12)))))</formula>
    </cfRule>
  </conditionalFormatting>
  <conditionalFormatting sqref="B470:E472">
    <cfRule type="expression" dxfId="25" priority="2644" stopIfTrue="1">
      <formula>$A470="decimal"</formula>
    </cfRule>
  </conditionalFormatting>
  <conditionalFormatting sqref="B470:E472">
    <cfRule type="expression" dxfId="26" priority="2645" stopIfTrue="1">
      <formula>$A470="integer"</formula>
    </cfRule>
  </conditionalFormatting>
  <conditionalFormatting sqref="B470:E472">
    <cfRule type="expression" dxfId="27" priority="2646" stopIfTrue="1">
      <formula>$A470="text"</formula>
    </cfRule>
  </conditionalFormatting>
  <conditionalFormatting sqref="B470:E472">
    <cfRule type="expression" dxfId="28" priority="2647" stopIfTrue="1">
      <formula>$A470="end repeat"</formula>
    </cfRule>
  </conditionalFormatting>
  <conditionalFormatting sqref="B470:E472">
    <cfRule type="expression" dxfId="28" priority="2648" stopIfTrue="1">
      <formula>$A470="begin repeat"</formula>
    </cfRule>
  </conditionalFormatting>
  <conditionalFormatting sqref="B470:E472">
    <cfRule type="expression" dxfId="29" priority="2649" stopIfTrue="1">
      <formula>$A470="end group"</formula>
    </cfRule>
  </conditionalFormatting>
  <conditionalFormatting sqref="B470:E472">
    <cfRule type="expression" dxfId="29" priority="2650" stopIfTrue="1">
      <formula>$A470="begin group"</formula>
    </cfRule>
  </conditionalFormatting>
  <conditionalFormatting sqref="B470:B472">
    <cfRule type="expression" dxfId="30" priority="2651" stopIfTrue="1">
      <formula>$A470="comments"</formula>
    </cfRule>
  </conditionalFormatting>
  <conditionalFormatting sqref="B470:B472">
    <cfRule type="expression" dxfId="36" priority="2652" stopIfTrue="1">
      <formula>OR(AND(LEFT($A470, 14)="sensor_stream ", LEN($A470)&gt;14, NOT(ISNUMBER(SEARCH(" ", $A470, 15)))), AND(LEFT($A470, 17)="sensor_statistic ", LEN($A470)&gt;17, NOT(ISNUMBER(SEARCH(" ", $A470, 18)))))</formula>
    </cfRule>
  </conditionalFormatting>
  <conditionalFormatting sqref="B464:C465 D464:E465">
    <cfRule type="expression" dxfId="0" priority="2653" stopIfTrue="1">
      <formula>$A464="begin group"</formula>
    </cfRule>
  </conditionalFormatting>
  <conditionalFormatting sqref="B464:C465 D464:E465">
    <cfRule type="expression" dxfId="1" priority="2654" stopIfTrue="1">
      <formula>$A464="begin repeat"</formula>
    </cfRule>
  </conditionalFormatting>
  <conditionalFormatting sqref="B464:E465">
    <cfRule type="expression" dxfId="31" priority="2655" stopIfTrue="1">
      <formula>$A464="enumerator"</formula>
    </cfRule>
  </conditionalFormatting>
  <conditionalFormatting sqref="B464:E465">
    <cfRule type="expression" dxfId="2" priority="2656" stopIfTrue="1">
      <formula>$A464="text"</formula>
    </cfRule>
  </conditionalFormatting>
  <conditionalFormatting sqref="B464:E465">
    <cfRule type="expression" dxfId="3" priority="2657" stopIfTrue="1">
      <formula>$A464="integer"</formula>
    </cfRule>
  </conditionalFormatting>
  <conditionalFormatting sqref="B464:E465">
    <cfRule type="expression" dxfId="4" priority="2658" stopIfTrue="1">
      <formula>$A464="decimal"</formula>
    </cfRule>
  </conditionalFormatting>
  <conditionalFormatting sqref="B464:C465 D464:E465">
    <cfRule type="expression" dxfId="5" priority="2659" stopIfTrue="1">
      <formula>OR(AND(LEFT($A464, 16)="select_multiple ", LEN($A464)&gt;16, NOT(ISNUMBER(SEARCH(" ", $A464, 17)))), AND(LEFT($A464, 11)="select_one ", LEN($A464)&gt;11, NOT(ISNUMBER(SEARCH(" ", $A464, 12)))))</formula>
    </cfRule>
  </conditionalFormatting>
  <conditionalFormatting sqref="B464:B465">
    <cfRule type="expression" dxfId="6" priority="2660" stopIfTrue="1">
      <formula>OR($A464="audio audit", $A464="text audit", $A464="speed violations count", $A464="speed violations list", $A464="speed violations audit")</formula>
    </cfRule>
  </conditionalFormatting>
  <conditionalFormatting sqref="B464:C465 D464:E465">
    <cfRule type="expression" dxfId="32" priority="2661" stopIfTrue="1">
      <formula>$A464="file"</formula>
    </cfRule>
  </conditionalFormatting>
  <conditionalFormatting sqref="B464:C465 D464:E465">
    <cfRule type="expression" dxfId="7" priority="2662" stopIfTrue="1">
      <formula>$A464="note"</formula>
    </cfRule>
  </conditionalFormatting>
  <conditionalFormatting sqref="B464:C465 D464:E465">
    <cfRule type="expression" dxfId="8" priority="2663" stopIfTrue="1">
      <formula>$A464="barcode"</formula>
    </cfRule>
  </conditionalFormatting>
  <conditionalFormatting sqref="B464:C465 D464:E465">
    <cfRule type="expression" dxfId="9" priority="2664" stopIfTrue="1">
      <formula>OR($A464="geopoint", $A464="geoshape", $A464="geotrace")</formula>
    </cfRule>
  </conditionalFormatting>
  <conditionalFormatting sqref="B464:B465">
    <cfRule type="expression" dxfId="10" priority="2665" stopIfTrue="1">
      <formula>OR($A464="calculate", $A464="calculate_here")</formula>
    </cfRule>
  </conditionalFormatting>
  <conditionalFormatting sqref="B464:C465 D464:E465">
    <cfRule type="expression" dxfId="11" priority="2666" stopIfTrue="1">
      <formula>OR($A464="date", $A464="datetime", $A464="time")</formula>
    </cfRule>
  </conditionalFormatting>
  <conditionalFormatting sqref="B464:C465 D464:E465">
    <cfRule type="expression" dxfId="12" priority="2667" stopIfTrue="1">
      <formula>$A464="image"</formula>
    </cfRule>
  </conditionalFormatting>
  <conditionalFormatting sqref="B464:C465 D464:E465">
    <cfRule type="expression" dxfId="13" priority="2668" stopIfTrue="1">
      <formula>OR($A464="audio", $A464="video")</formula>
    </cfRule>
  </conditionalFormatting>
  <conditionalFormatting sqref="B464:E465">
    <cfRule type="expression" dxfId="33" priority="2669" stopIfTrue="1">
      <formula>$A464="file"</formula>
    </cfRule>
  </conditionalFormatting>
  <conditionalFormatting sqref="B464:E465">
    <cfRule type="expression" dxfId="34" priority="2670" stopIfTrue="1">
      <formula>$A464="enumerator"</formula>
    </cfRule>
  </conditionalFormatting>
  <conditionalFormatting sqref="B464:E465">
    <cfRule type="expression" dxfId="35" priority="2671" stopIfTrue="1">
      <formula>OR(AND(LEFT($A464, 14)="sensor_stream ", LEN($A464)&gt;14, NOT(ISNUMBER(SEARCH(" ", $A464, 15)))), AND(LEFT($A464, 17)="sensor_statistic ", LEN($A464)&gt;17, NOT(ISNUMBER(SEARCH(" ", $A464, 18)))))</formula>
    </cfRule>
  </conditionalFormatting>
  <conditionalFormatting sqref="B464:E465">
    <cfRule type="expression" dxfId="14" priority="2672" stopIfTrue="1">
      <formula>$A464="comments"</formula>
    </cfRule>
  </conditionalFormatting>
  <conditionalFormatting sqref="B464:E465">
    <cfRule type="expression" dxfId="15" priority="2673" stopIfTrue="1">
      <formula>OR($A464="audio", $A464="video")</formula>
    </cfRule>
  </conditionalFormatting>
  <conditionalFormatting sqref="B464:E465">
    <cfRule type="expression" dxfId="16" priority="2674" stopIfTrue="1">
      <formula>$A464="image"</formula>
    </cfRule>
  </conditionalFormatting>
  <conditionalFormatting sqref="B464:E465">
    <cfRule type="expression" dxfId="17" priority="2675" stopIfTrue="1">
      <formula>OR($A464="date", $A464="datetime", $A464="time")</formula>
    </cfRule>
  </conditionalFormatting>
  <conditionalFormatting sqref="B464:E465">
    <cfRule type="expression" dxfId="18" priority="2676" stopIfTrue="1">
      <formula>OR($A464="calculate", $A464="calculate_here")</formula>
    </cfRule>
  </conditionalFormatting>
  <conditionalFormatting sqref="B464:E465">
    <cfRule type="expression" dxfId="19" priority="2677" stopIfTrue="1">
      <formula>$A464="note"</formula>
    </cfRule>
  </conditionalFormatting>
  <conditionalFormatting sqref="B464:E465">
    <cfRule type="expression" dxfId="20" priority="2678" stopIfTrue="1">
      <formula>$A464="barcode"</formula>
    </cfRule>
  </conditionalFormatting>
  <conditionalFormatting sqref="B464:E465">
    <cfRule type="expression" dxfId="21" priority="2679" stopIfTrue="1">
      <formula>OR($A464="geopoint", $A464="geoshape", $A464="geotrace")</formula>
    </cfRule>
  </conditionalFormatting>
  <conditionalFormatting sqref="B464:E465">
    <cfRule type="expression" dxfId="22" priority="2680" stopIfTrue="1">
      <formula>OR($A464="audio audit", $A464="text audit", $A464="speed violations count", $A464="speed violations list", $A464="speed violations audit")</formula>
    </cfRule>
  </conditionalFormatting>
  <conditionalFormatting sqref="B464:E465">
    <cfRule type="expression" dxfId="23" priority="2681" stopIfTrue="1">
      <formula>OR($A464="username", $A464="phonenumber", $A464="start", $A464="end", $A464="deviceid", $A464="subscriberid", $A464="simserial", $A464="caseid")</formula>
    </cfRule>
  </conditionalFormatting>
  <conditionalFormatting sqref="B464:E465">
    <cfRule type="expression" dxfId="24" priority="2682" stopIfTrue="1">
      <formula>OR(AND(LEFT($A464, 16)="select_multiple ", LEN($A464)&gt;16, NOT(ISNUMBER(SEARCH(" ", $A464, 17)))), AND(LEFT($A464, 11)="select_one ", LEN($A464)&gt;11, NOT(ISNUMBER(SEARCH(" ", $A464, 12)))))</formula>
    </cfRule>
  </conditionalFormatting>
  <conditionalFormatting sqref="B464:E465">
    <cfRule type="expression" dxfId="25" priority="2683" stopIfTrue="1">
      <formula>$A464="decimal"</formula>
    </cfRule>
  </conditionalFormatting>
  <conditionalFormatting sqref="B464:E465">
    <cfRule type="expression" dxfId="26" priority="2684" stopIfTrue="1">
      <formula>$A464="integer"</formula>
    </cfRule>
  </conditionalFormatting>
  <conditionalFormatting sqref="B464:E465">
    <cfRule type="expression" dxfId="27" priority="2685" stopIfTrue="1">
      <formula>$A464="text"</formula>
    </cfRule>
  </conditionalFormatting>
  <conditionalFormatting sqref="B464:E465">
    <cfRule type="expression" dxfId="28" priority="2686" stopIfTrue="1">
      <formula>$A464="end repeat"</formula>
    </cfRule>
  </conditionalFormatting>
  <conditionalFormatting sqref="B464:E465">
    <cfRule type="expression" dxfId="28" priority="2687" stopIfTrue="1">
      <formula>$A464="begin repeat"</formula>
    </cfRule>
  </conditionalFormatting>
  <conditionalFormatting sqref="B464:E465">
    <cfRule type="expression" dxfId="29" priority="2688" stopIfTrue="1">
      <formula>$A464="end group"</formula>
    </cfRule>
  </conditionalFormatting>
  <conditionalFormatting sqref="B464:E465">
    <cfRule type="expression" dxfId="29" priority="2689" stopIfTrue="1">
      <formula>$A464="begin group"</formula>
    </cfRule>
  </conditionalFormatting>
  <conditionalFormatting sqref="B464:B465">
    <cfRule type="expression" dxfId="30" priority="2690" stopIfTrue="1">
      <formula>$A464="comments"</formula>
    </cfRule>
  </conditionalFormatting>
  <conditionalFormatting sqref="B464:B465">
    <cfRule type="expression" dxfId="36" priority="2691" stopIfTrue="1">
      <formula>OR(AND(LEFT($A464, 14)="sensor_stream ", LEN($A464)&gt;14, NOT(ISNUMBER(SEARCH(" ", $A464, 15)))), AND(LEFT($A464, 17)="sensor_statistic ", LEN($A464)&gt;17, NOT(ISNUMBER(SEARCH(" ", $A464, 18)))))</formula>
    </cfRule>
  </conditionalFormatting>
  <conditionalFormatting sqref="B458:C462 D458:E462">
    <cfRule type="expression" dxfId="0" priority="2692" stopIfTrue="1">
      <formula>$A458="begin group"</formula>
    </cfRule>
  </conditionalFormatting>
  <conditionalFormatting sqref="B458:C462 D458:E462">
    <cfRule type="expression" dxfId="1" priority="2693" stopIfTrue="1">
      <formula>$A458="begin repeat"</formula>
    </cfRule>
  </conditionalFormatting>
  <conditionalFormatting sqref="B458:E462">
    <cfRule type="expression" dxfId="31" priority="2694" stopIfTrue="1">
      <formula>$A458="enumerator"</formula>
    </cfRule>
  </conditionalFormatting>
  <conditionalFormatting sqref="B458:E462">
    <cfRule type="expression" dxfId="2" priority="2695" stopIfTrue="1">
      <formula>$A458="text"</formula>
    </cfRule>
  </conditionalFormatting>
  <conditionalFormatting sqref="B458:E462">
    <cfRule type="expression" dxfId="3" priority="2696" stopIfTrue="1">
      <formula>$A458="integer"</formula>
    </cfRule>
  </conditionalFormatting>
  <conditionalFormatting sqref="B458:E462">
    <cfRule type="expression" dxfId="4" priority="2697" stopIfTrue="1">
      <formula>$A458="decimal"</formula>
    </cfRule>
  </conditionalFormatting>
  <conditionalFormatting sqref="B458:C462 D458:E462">
    <cfRule type="expression" dxfId="5" priority="2698" stopIfTrue="1">
      <formula>OR(AND(LEFT($A458, 16)="select_multiple ", LEN($A458)&gt;16, NOT(ISNUMBER(SEARCH(" ", $A458, 17)))), AND(LEFT($A458, 11)="select_one ", LEN($A458)&gt;11, NOT(ISNUMBER(SEARCH(" ", $A458, 12)))))</formula>
    </cfRule>
  </conditionalFormatting>
  <conditionalFormatting sqref="B458:B462">
    <cfRule type="expression" dxfId="6" priority="2699" stopIfTrue="1">
      <formula>OR($A458="audio audit", $A458="text audit", $A458="speed violations count", $A458="speed violations list", $A458="speed violations audit")</formula>
    </cfRule>
  </conditionalFormatting>
  <conditionalFormatting sqref="B458:C462 D458:E462">
    <cfRule type="expression" dxfId="32" priority="2700" stopIfTrue="1">
      <formula>$A458="file"</formula>
    </cfRule>
  </conditionalFormatting>
  <conditionalFormatting sqref="B458:C462 D458:E462">
    <cfRule type="expression" dxfId="7" priority="2701" stopIfTrue="1">
      <formula>$A458="note"</formula>
    </cfRule>
  </conditionalFormatting>
  <conditionalFormatting sqref="B458:C462 D458:E462">
    <cfRule type="expression" dxfId="8" priority="2702" stopIfTrue="1">
      <formula>$A458="barcode"</formula>
    </cfRule>
  </conditionalFormatting>
  <conditionalFormatting sqref="B458:C462 D458:E462">
    <cfRule type="expression" dxfId="9" priority="2703" stopIfTrue="1">
      <formula>OR($A458="geopoint", $A458="geoshape", $A458="geotrace")</formula>
    </cfRule>
  </conditionalFormatting>
  <conditionalFormatting sqref="B458:B462">
    <cfRule type="expression" dxfId="10" priority="2704" stopIfTrue="1">
      <formula>OR($A458="calculate", $A458="calculate_here")</formula>
    </cfRule>
  </conditionalFormatting>
  <conditionalFormatting sqref="B458:C462 D458:E462">
    <cfRule type="expression" dxfId="11" priority="2705" stopIfTrue="1">
      <formula>OR($A458="date", $A458="datetime", $A458="time")</formula>
    </cfRule>
  </conditionalFormatting>
  <conditionalFormatting sqref="B458:C462 D458:E462">
    <cfRule type="expression" dxfId="12" priority="2706" stopIfTrue="1">
      <formula>$A458="image"</formula>
    </cfRule>
  </conditionalFormatting>
  <conditionalFormatting sqref="B458:C462 D458:E462">
    <cfRule type="expression" dxfId="13" priority="2707" stopIfTrue="1">
      <formula>OR($A458="audio", $A458="video")</formula>
    </cfRule>
  </conditionalFormatting>
  <conditionalFormatting sqref="B458:E462">
    <cfRule type="expression" dxfId="33" priority="2708" stopIfTrue="1">
      <formula>$A458="file"</formula>
    </cfRule>
  </conditionalFormatting>
  <conditionalFormatting sqref="B458:E462">
    <cfRule type="expression" dxfId="34" priority="2709" stopIfTrue="1">
      <formula>$A458="enumerator"</formula>
    </cfRule>
  </conditionalFormatting>
  <conditionalFormatting sqref="B458:E462">
    <cfRule type="expression" dxfId="35" priority="2710" stopIfTrue="1">
      <formula>OR(AND(LEFT($A458, 14)="sensor_stream ", LEN($A458)&gt;14, NOT(ISNUMBER(SEARCH(" ", $A458, 15)))), AND(LEFT($A458, 17)="sensor_statistic ", LEN($A458)&gt;17, NOT(ISNUMBER(SEARCH(" ", $A458, 18)))))</formula>
    </cfRule>
  </conditionalFormatting>
  <conditionalFormatting sqref="B458:E462">
    <cfRule type="expression" dxfId="14" priority="2711" stopIfTrue="1">
      <formula>$A458="comments"</formula>
    </cfRule>
  </conditionalFormatting>
  <conditionalFormatting sqref="B458:E462">
    <cfRule type="expression" dxfId="15" priority="2712" stopIfTrue="1">
      <formula>OR($A458="audio", $A458="video")</formula>
    </cfRule>
  </conditionalFormatting>
  <conditionalFormatting sqref="B458:E462">
    <cfRule type="expression" dxfId="16" priority="2713" stopIfTrue="1">
      <formula>$A458="image"</formula>
    </cfRule>
  </conditionalFormatting>
  <conditionalFormatting sqref="B458:E462">
    <cfRule type="expression" dxfId="17" priority="2714" stopIfTrue="1">
      <formula>OR($A458="date", $A458="datetime", $A458="time")</formula>
    </cfRule>
  </conditionalFormatting>
  <conditionalFormatting sqref="B458:E462">
    <cfRule type="expression" dxfId="18" priority="2715" stopIfTrue="1">
      <formula>OR($A458="calculate", $A458="calculate_here")</formula>
    </cfRule>
  </conditionalFormatting>
  <conditionalFormatting sqref="B458:E462">
    <cfRule type="expression" dxfId="19" priority="2716" stopIfTrue="1">
      <formula>$A458="note"</formula>
    </cfRule>
  </conditionalFormatting>
  <conditionalFormatting sqref="B458:E462">
    <cfRule type="expression" dxfId="20" priority="2717" stopIfTrue="1">
      <formula>$A458="barcode"</formula>
    </cfRule>
  </conditionalFormatting>
  <conditionalFormatting sqref="B458:E462">
    <cfRule type="expression" dxfId="21" priority="2718" stopIfTrue="1">
      <formula>OR($A458="geopoint", $A458="geoshape", $A458="geotrace")</formula>
    </cfRule>
  </conditionalFormatting>
  <conditionalFormatting sqref="B458:E462">
    <cfRule type="expression" dxfId="22" priority="2719" stopIfTrue="1">
      <formula>OR($A458="audio audit", $A458="text audit", $A458="speed violations count", $A458="speed violations list", $A458="speed violations audit")</formula>
    </cfRule>
  </conditionalFormatting>
  <conditionalFormatting sqref="B458:E462">
    <cfRule type="expression" dxfId="23" priority="2720" stopIfTrue="1">
      <formula>OR($A458="username", $A458="phonenumber", $A458="start", $A458="end", $A458="deviceid", $A458="subscriberid", $A458="simserial", $A458="caseid")</formula>
    </cfRule>
  </conditionalFormatting>
  <conditionalFormatting sqref="B458:E462">
    <cfRule type="expression" dxfId="24" priority="2721" stopIfTrue="1">
      <formula>OR(AND(LEFT($A458, 16)="select_multiple ", LEN($A458)&gt;16, NOT(ISNUMBER(SEARCH(" ", $A458, 17)))), AND(LEFT($A458, 11)="select_one ", LEN($A458)&gt;11, NOT(ISNUMBER(SEARCH(" ", $A458, 12)))))</formula>
    </cfRule>
  </conditionalFormatting>
  <conditionalFormatting sqref="B458:E462">
    <cfRule type="expression" dxfId="25" priority="2722" stopIfTrue="1">
      <formula>$A458="decimal"</formula>
    </cfRule>
  </conditionalFormatting>
  <conditionalFormatting sqref="B458:E462">
    <cfRule type="expression" dxfId="26" priority="2723" stopIfTrue="1">
      <formula>$A458="integer"</formula>
    </cfRule>
  </conditionalFormatting>
  <conditionalFormatting sqref="B458:E462">
    <cfRule type="expression" dxfId="27" priority="2724" stopIfTrue="1">
      <formula>$A458="text"</formula>
    </cfRule>
  </conditionalFormatting>
  <conditionalFormatting sqref="B458:E462">
    <cfRule type="expression" dxfId="28" priority="2725" stopIfTrue="1">
      <formula>$A458="end repeat"</formula>
    </cfRule>
  </conditionalFormatting>
  <conditionalFormatting sqref="B458:E462">
    <cfRule type="expression" dxfId="28" priority="2726" stopIfTrue="1">
      <formula>$A458="begin repeat"</formula>
    </cfRule>
  </conditionalFormatting>
  <conditionalFormatting sqref="B458:E462">
    <cfRule type="expression" dxfId="29" priority="2727" stopIfTrue="1">
      <formula>$A458="end group"</formula>
    </cfRule>
  </conditionalFormatting>
  <conditionalFormatting sqref="B458:E462">
    <cfRule type="expression" dxfId="29" priority="2728" stopIfTrue="1">
      <formula>$A458="begin group"</formula>
    </cfRule>
  </conditionalFormatting>
  <conditionalFormatting sqref="B458:B462">
    <cfRule type="expression" dxfId="30" priority="2729" stopIfTrue="1">
      <formula>$A458="comments"</formula>
    </cfRule>
  </conditionalFormatting>
  <conditionalFormatting sqref="B458:B462">
    <cfRule type="expression" dxfId="36" priority="2730" stopIfTrue="1">
      <formula>OR(AND(LEFT($A458, 14)="sensor_stream ", LEN($A458)&gt;14, NOT(ISNUMBER(SEARCH(" ", $A458, 15)))), AND(LEFT($A458, 17)="sensor_statistic ", LEN($A458)&gt;17, NOT(ISNUMBER(SEARCH(" ", $A458, 18)))))</formula>
    </cfRule>
  </conditionalFormatting>
  <conditionalFormatting sqref="B416:C456 D416:E456">
    <cfRule type="expression" dxfId="0" priority="2731" stopIfTrue="1">
      <formula>$A416="begin group"</formula>
    </cfRule>
  </conditionalFormatting>
  <conditionalFormatting sqref="B416:C456 D416:E456">
    <cfRule type="expression" dxfId="1" priority="2732" stopIfTrue="1">
      <formula>$A416="begin repeat"</formula>
    </cfRule>
  </conditionalFormatting>
  <conditionalFormatting sqref="B416:E456">
    <cfRule type="expression" dxfId="31" priority="2733" stopIfTrue="1">
      <formula>$A416="enumerator"</formula>
    </cfRule>
  </conditionalFormatting>
  <conditionalFormatting sqref="B416:E456">
    <cfRule type="expression" dxfId="2" priority="2734" stopIfTrue="1">
      <formula>$A416="text"</formula>
    </cfRule>
  </conditionalFormatting>
  <conditionalFormatting sqref="B416:E456">
    <cfRule type="expression" dxfId="3" priority="2735" stopIfTrue="1">
      <formula>$A416="integer"</formula>
    </cfRule>
  </conditionalFormatting>
  <conditionalFormatting sqref="B416:E456">
    <cfRule type="expression" dxfId="4" priority="2736" stopIfTrue="1">
      <formula>$A416="decimal"</formula>
    </cfRule>
  </conditionalFormatting>
  <conditionalFormatting sqref="B416:C456 D416:E456">
    <cfRule type="expression" dxfId="5" priority="2737" stopIfTrue="1">
      <formula>OR(AND(LEFT($A416, 16)="select_multiple ", LEN($A416)&gt;16, NOT(ISNUMBER(SEARCH(" ", $A416, 17)))), AND(LEFT($A416, 11)="select_one ", LEN($A416)&gt;11, NOT(ISNUMBER(SEARCH(" ", $A416, 12)))))</formula>
    </cfRule>
  </conditionalFormatting>
  <conditionalFormatting sqref="B416:B456">
    <cfRule type="expression" dxfId="6" priority="2738" stopIfTrue="1">
      <formula>OR($A416="audio audit", $A416="text audit", $A416="speed violations count", $A416="speed violations list", $A416="speed violations audit")</formula>
    </cfRule>
  </conditionalFormatting>
  <conditionalFormatting sqref="B416:C456 D416:E456">
    <cfRule type="expression" dxfId="32" priority="2739" stopIfTrue="1">
      <formula>$A416="file"</formula>
    </cfRule>
  </conditionalFormatting>
  <conditionalFormatting sqref="B416:C456 D416:E456">
    <cfRule type="expression" dxfId="7" priority="2740" stopIfTrue="1">
      <formula>$A416="note"</formula>
    </cfRule>
  </conditionalFormatting>
  <conditionalFormatting sqref="B416:C456 D416:E456">
    <cfRule type="expression" dxfId="8" priority="2741" stopIfTrue="1">
      <formula>$A416="barcode"</formula>
    </cfRule>
  </conditionalFormatting>
  <conditionalFormatting sqref="B416:C456 D416:E456">
    <cfRule type="expression" dxfId="9" priority="2742" stopIfTrue="1">
      <formula>OR($A416="geopoint", $A416="geoshape", $A416="geotrace")</formula>
    </cfRule>
  </conditionalFormatting>
  <conditionalFormatting sqref="B416:B456">
    <cfRule type="expression" dxfId="10" priority="2743" stopIfTrue="1">
      <formula>OR($A416="calculate", $A416="calculate_here")</formula>
    </cfRule>
  </conditionalFormatting>
  <conditionalFormatting sqref="B416:C456 D416:E456">
    <cfRule type="expression" dxfId="11" priority="2744" stopIfTrue="1">
      <formula>OR($A416="date", $A416="datetime", $A416="time")</formula>
    </cfRule>
  </conditionalFormatting>
  <conditionalFormatting sqref="B416:C456 D416:E456">
    <cfRule type="expression" dxfId="12" priority="2745" stopIfTrue="1">
      <formula>$A416="image"</formula>
    </cfRule>
  </conditionalFormatting>
  <conditionalFormatting sqref="B416:C456 D416:E456">
    <cfRule type="expression" dxfId="13" priority="2746" stopIfTrue="1">
      <formula>OR($A416="audio", $A416="video")</formula>
    </cfRule>
  </conditionalFormatting>
  <conditionalFormatting sqref="B416:E456">
    <cfRule type="expression" dxfId="33" priority="2747" stopIfTrue="1">
      <formula>$A416="file"</formula>
    </cfRule>
  </conditionalFormatting>
  <conditionalFormatting sqref="B416:E456">
    <cfRule type="expression" dxfId="34" priority="2748" stopIfTrue="1">
      <formula>$A416="enumerator"</formula>
    </cfRule>
  </conditionalFormatting>
  <conditionalFormatting sqref="B416:E456">
    <cfRule type="expression" dxfId="35" priority="2749" stopIfTrue="1">
      <formula>OR(AND(LEFT($A416, 14)="sensor_stream ", LEN($A416)&gt;14, NOT(ISNUMBER(SEARCH(" ", $A416, 15)))), AND(LEFT($A416, 17)="sensor_statistic ", LEN($A416)&gt;17, NOT(ISNUMBER(SEARCH(" ", $A416, 18)))))</formula>
    </cfRule>
  </conditionalFormatting>
  <conditionalFormatting sqref="B416:E456">
    <cfRule type="expression" dxfId="14" priority="2750" stopIfTrue="1">
      <formula>$A416="comments"</formula>
    </cfRule>
  </conditionalFormatting>
  <conditionalFormatting sqref="B416:E456">
    <cfRule type="expression" dxfId="15" priority="2751" stopIfTrue="1">
      <formula>OR($A416="audio", $A416="video")</formula>
    </cfRule>
  </conditionalFormatting>
  <conditionalFormatting sqref="B416:E456">
    <cfRule type="expression" dxfId="16" priority="2752" stopIfTrue="1">
      <formula>$A416="image"</formula>
    </cfRule>
  </conditionalFormatting>
  <conditionalFormatting sqref="B416:E456">
    <cfRule type="expression" dxfId="17" priority="2753" stopIfTrue="1">
      <formula>OR($A416="date", $A416="datetime", $A416="time")</formula>
    </cfRule>
  </conditionalFormatting>
  <conditionalFormatting sqref="B416:E456">
    <cfRule type="expression" dxfId="18" priority="2754" stopIfTrue="1">
      <formula>OR($A416="calculate", $A416="calculate_here")</formula>
    </cfRule>
  </conditionalFormatting>
  <conditionalFormatting sqref="B416:E456">
    <cfRule type="expression" dxfId="19" priority="2755" stopIfTrue="1">
      <formula>$A416="note"</formula>
    </cfRule>
  </conditionalFormatting>
  <conditionalFormatting sqref="B416:E456">
    <cfRule type="expression" dxfId="20" priority="2756" stopIfTrue="1">
      <formula>$A416="barcode"</formula>
    </cfRule>
  </conditionalFormatting>
  <conditionalFormatting sqref="B416:E456">
    <cfRule type="expression" dxfId="21" priority="2757" stopIfTrue="1">
      <formula>OR($A416="geopoint", $A416="geoshape", $A416="geotrace")</formula>
    </cfRule>
  </conditionalFormatting>
  <conditionalFormatting sqref="B416:E456">
    <cfRule type="expression" dxfId="22" priority="2758" stopIfTrue="1">
      <formula>OR($A416="audio audit", $A416="text audit", $A416="speed violations count", $A416="speed violations list", $A416="speed violations audit")</formula>
    </cfRule>
  </conditionalFormatting>
  <conditionalFormatting sqref="B416:E456">
    <cfRule type="expression" dxfId="23" priority="2759" stopIfTrue="1">
      <formula>OR($A416="username", $A416="phonenumber", $A416="start", $A416="end", $A416="deviceid", $A416="subscriberid", $A416="simserial", $A416="caseid")</formula>
    </cfRule>
  </conditionalFormatting>
  <conditionalFormatting sqref="B416:E456">
    <cfRule type="expression" dxfId="24" priority="2760" stopIfTrue="1">
      <formula>OR(AND(LEFT($A416, 16)="select_multiple ", LEN($A416)&gt;16, NOT(ISNUMBER(SEARCH(" ", $A416, 17)))), AND(LEFT($A416, 11)="select_one ", LEN($A416)&gt;11, NOT(ISNUMBER(SEARCH(" ", $A416, 12)))))</formula>
    </cfRule>
  </conditionalFormatting>
  <conditionalFormatting sqref="B416:E456">
    <cfRule type="expression" dxfId="25" priority="2761" stopIfTrue="1">
      <formula>$A416="decimal"</formula>
    </cfRule>
  </conditionalFormatting>
  <conditionalFormatting sqref="B416:E456">
    <cfRule type="expression" dxfId="26" priority="2762" stopIfTrue="1">
      <formula>$A416="integer"</formula>
    </cfRule>
  </conditionalFormatting>
  <conditionalFormatting sqref="B416:E456">
    <cfRule type="expression" dxfId="27" priority="2763" stopIfTrue="1">
      <formula>$A416="text"</formula>
    </cfRule>
  </conditionalFormatting>
  <conditionalFormatting sqref="B416:E456">
    <cfRule type="expression" dxfId="28" priority="2764" stopIfTrue="1">
      <formula>$A416="end repeat"</formula>
    </cfRule>
  </conditionalFormatting>
  <conditionalFormatting sqref="B416:E456">
    <cfRule type="expression" dxfId="28" priority="2765" stopIfTrue="1">
      <formula>$A416="begin repeat"</formula>
    </cfRule>
  </conditionalFormatting>
  <conditionalFormatting sqref="B416:E456">
    <cfRule type="expression" dxfId="29" priority="2766" stopIfTrue="1">
      <formula>$A416="end group"</formula>
    </cfRule>
  </conditionalFormatting>
  <conditionalFormatting sqref="B416:E456">
    <cfRule type="expression" dxfId="29" priority="2767" stopIfTrue="1">
      <formula>$A416="begin group"</formula>
    </cfRule>
  </conditionalFormatting>
  <conditionalFormatting sqref="B416:B456">
    <cfRule type="expression" dxfId="30" priority="2768" stopIfTrue="1">
      <formula>$A416="comments"</formula>
    </cfRule>
  </conditionalFormatting>
  <conditionalFormatting sqref="B416:B456">
    <cfRule type="expression" dxfId="36" priority="2769" stopIfTrue="1">
      <formula>OR(AND(LEFT($A416, 14)="sensor_stream ", LEN($A416)&gt;14, NOT(ISNUMBER(SEARCH(" ", $A416, 15)))), AND(LEFT($A416, 17)="sensor_statistic ", LEN($A416)&gt;17, NOT(ISNUMBER(SEARCH(" ", $A416, 18)))))</formula>
    </cfRule>
  </conditionalFormatting>
  <conditionalFormatting sqref="B408:C414 D408:E414">
    <cfRule type="expression" dxfId="0" priority="2770" stopIfTrue="1">
      <formula>$A408="begin group"</formula>
    </cfRule>
  </conditionalFormatting>
  <conditionalFormatting sqref="B408:C414 D408:E414">
    <cfRule type="expression" dxfId="1" priority="2771" stopIfTrue="1">
      <formula>$A408="begin repeat"</formula>
    </cfRule>
  </conditionalFormatting>
  <conditionalFormatting sqref="B408:E414">
    <cfRule type="expression" dxfId="31" priority="2772" stopIfTrue="1">
      <formula>$A408="enumerator"</formula>
    </cfRule>
  </conditionalFormatting>
  <conditionalFormatting sqref="B408:E414">
    <cfRule type="expression" dxfId="2" priority="2773" stopIfTrue="1">
      <formula>$A408="text"</formula>
    </cfRule>
  </conditionalFormatting>
  <conditionalFormatting sqref="B408:E414">
    <cfRule type="expression" dxfId="3" priority="2774" stopIfTrue="1">
      <formula>$A408="integer"</formula>
    </cfRule>
  </conditionalFormatting>
  <conditionalFormatting sqref="B408:E414">
    <cfRule type="expression" dxfId="4" priority="2775" stopIfTrue="1">
      <formula>$A408="decimal"</formula>
    </cfRule>
  </conditionalFormatting>
  <conditionalFormatting sqref="B408:C414 D408:E414">
    <cfRule type="expression" dxfId="5" priority="2776" stopIfTrue="1">
      <formula>OR(AND(LEFT($A408, 16)="select_multiple ", LEN($A408)&gt;16, NOT(ISNUMBER(SEARCH(" ", $A408, 17)))), AND(LEFT($A408, 11)="select_one ", LEN($A408)&gt;11, NOT(ISNUMBER(SEARCH(" ", $A408, 12)))))</formula>
    </cfRule>
  </conditionalFormatting>
  <conditionalFormatting sqref="B408:B414">
    <cfRule type="expression" dxfId="6" priority="2777" stopIfTrue="1">
      <formula>OR($A408="audio audit", $A408="text audit", $A408="speed violations count", $A408="speed violations list", $A408="speed violations audit")</formula>
    </cfRule>
  </conditionalFormatting>
  <conditionalFormatting sqref="B408:C414 D408:E414">
    <cfRule type="expression" dxfId="32" priority="2778" stopIfTrue="1">
      <formula>$A408="file"</formula>
    </cfRule>
  </conditionalFormatting>
  <conditionalFormatting sqref="B408:C414 D408:E414">
    <cfRule type="expression" dxfId="7" priority="2779" stopIfTrue="1">
      <formula>$A408="note"</formula>
    </cfRule>
  </conditionalFormatting>
  <conditionalFormatting sqref="B408:C414 D408:E414">
    <cfRule type="expression" dxfId="8" priority="2780" stopIfTrue="1">
      <formula>$A408="barcode"</formula>
    </cfRule>
  </conditionalFormatting>
  <conditionalFormatting sqref="B408:C414 D408:E414">
    <cfRule type="expression" dxfId="9" priority="2781" stopIfTrue="1">
      <formula>OR($A408="geopoint", $A408="geoshape", $A408="geotrace")</formula>
    </cfRule>
  </conditionalFormatting>
  <conditionalFormatting sqref="B408:B414">
    <cfRule type="expression" dxfId="10" priority="2782" stopIfTrue="1">
      <formula>OR($A408="calculate", $A408="calculate_here")</formula>
    </cfRule>
  </conditionalFormatting>
  <conditionalFormatting sqref="B408:C414 D408:E414">
    <cfRule type="expression" dxfId="11" priority="2783" stopIfTrue="1">
      <formula>OR($A408="date", $A408="datetime", $A408="time")</formula>
    </cfRule>
  </conditionalFormatting>
  <conditionalFormatting sqref="B408:C414 D408:E414">
    <cfRule type="expression" dxfId="12" priority="2784" stopIfTrue="1">
      <formula>$A408="image"</formula>
    </cfRule>
  </conditionalFormatting>
  <conditionalFormatting sqref="B408:C414 D408:E414">
    <cfRule type="expression" dxfId="13" priority="2785" stopIfTrue="1">
      <formula>OR($A408="audio", $A408="video")</formula>
    </cfRule>
  </conditionalFormatting>
  <conditionalFormatting sqref="B408:E414">
    <cfRule type="expression" dxfId="33" priority="2786" stopIfTrue="1">
      <formula>$A408="file"</formula>
    </cfRule>
  </conditionalFormatting>
  <conditionalFormatting sqref="B408:E414">
    <cfRule type="expression" dxfId="34" priority="2787" stopIfTrue="1">
      <formula>$A408="enumerator"</formula>
    </cfRule>
  </conditionalFormatting>
  <conditionalFormatting sqref="B408:E414">
    <cfRule type="expression" dxfId="35" priority="2788" stopIfTrue="1">
      <formula>OR(AND(LEFT($A408, 14)="sensor_stream ", LEN($A408)&gt;14, NOT(ISNUMBER(SEARCH(" ", $A408, 15)))), AND(LEFT($A408, 17)="sensor_statistic ", LEN($A408)&gt;17, NOT(ISNUMBER(SEARCH(" ", $A408, 18)))))</formula>
    </cfRule>
  </conditionalFormatting>
  <conditionalFormatting sqref="B408:E414">
    <cfRule type="expression" dxfId="14" priority="2789" stopIfTrue="1">
      <formula>$A408="comments"</formula>
    </cfRule>
  </conditionalFormatting>
  <conditionalFormatting sqref="B408:E414">
    <cfRule type="expression" dxfId="15" priority="2790" stopIfTrue="1">
      <formula>OR($A408="audio", $A408="video")</formula>
    </cfRule>
  </conditionalFormatting>
  <conditionalFormatting sqref="B408:E414">
    <cfRule type="expression" dxfId="16" priority="2791" stopIfTrue="1">
      <formula>$A408="image"</formula>
    </cfRule>
  </conditionalFormatting>
  <conditionalFormatting sqref="B408:E414">
    <cfRule type="expression" dxfId="17" priority="2792" stopIfTrue="1">
      <formula>OR($A408="date", $A408="datetime", $A408="time")</formula>
    </cfRule>
  </conditionalFormatting>
  <conditionalFormatting sqref="B408:E414">
    <cfRule type="expression" dxfId="18" priority="2793" stopIfTrue="1">
      <formula>OR($A408="calculate", $A408="calculate_here")</formula>
    </cfRule>
  </conditionalFormatting>
  <conditionalFormatting sqref="B408:E414">
    <cfRule type="expression" dxfId="19" priority="2794" stopIfTrue="1">
      <formula>$A408="note"</formula>
    </cfRule>
  </conditionalFormatting>
  <conditionalFormatting sqref="B408:E414">
    <cfRule type="expression" dxfId="20" priority="2795" stopIfTrue="1">
      <formula>$A408="barcode"</formula>
    </cfRule>
  </conditionalFormatting>
  <conditionalFormatting sqref="B408:E414">
    <cfRule type="expression" dxfId="21" priority="2796" stopIfTrue="1">
      <formula>OR($A408="geopoint", $A408="geoshape", $A408="geotrace")</formula>
    </cfRule>
  </conditionalFormatting>
  <conditionalFormatting sqref="B408:E414">
    <cfRule type="expression" dxfId="22" priority="2797" stopIfTrue="1">
      <formula>OR($A408="audio audit", $A408="text audit", $A408="speed violations count", $A408="speed violations list", $A408="speed violations audit")</formula>
    </cfRule>
  </conditionalFormatting>
  <conditionalFormatting sqref="B408:E414">
    <cfRule type="expression" dxfId="23" priority="2798" stopIfTrue="1">
      <formula>OR($A408="username", $A408="phonenumber", $A408="start", $A408="end", $A408="deviceid", $A408="subscriberid", $A408="simserial", $A408="caseid")</formula>
    </cfRule>
  </conditionalFormatting>
  <conditionalFormatting sqref="B408:E414">
    <cfRule type="expression" dxfId="24" priority="2799" stopIfTrue="1">
      <formula>OR(AND(LEFT($A408, 16)="select_multiple ", LEN($A408)&gt;16, NOT(ISNUMBER(SEARCH(" ", $A408, 17)))), AND(LEFT($A408, 11)="select_one ", LEN($A408)&gt;11, NOT(ISNUMBER(SEARCH(" ", $A408, 12)))))</formula>
    </cfRule>
  </conditionalFormatting>
  <conditionalFormatting sqref="B408:E414">
    <cfRule type="expression" dxfId="25" priority="2800" stopIfTrue="1">
      <formula>$A408="decimal"</formula>
    </cfRule>
  </conditionalFormatting>
  <conditionalFormatting sqref="B408:E414">
    <cfRule type="expression" dxfId="26" priority="2801" stopIfTrue="1">
      <formula>$A408="integer"</formula>
    </cfRule>
  </conditionalFormatting>
  <conditionalFormatting sqref="B408:E414">
    <cfRule type="expression" dxfId="27" priority="2802" stopIfTrue="1">
      <formula>$A408="text"</formula>
    </cfRule>
  </conditionalFormatting>
  <conditionalFormatting sqref="B408:E414">
    <cfRule type="expression" dxfId="28" priority="2803" stopIfTrue="1">
      <formula>$A408="end repeat"</formula>
    </cfRule>
  </conditionalFormatting>
  <conditionalFormatting sqref="B408:E414">
    <cfRule type="expression" dxfId="28" priority="2804" stopIfTrue="1">
      <formula>$A408="begin repeat"</formula>
    </cfRule>
  </conditionalFormatting>
  <conditionalFormatting sqref="B408:E414">
    <cfRule type="expression" dxfId="29" priority="2805" stopIfTrue="1">
      <formula>$A408="end group"</formula>
    </cfRule>
  </conditionalFormatting>
  <conditionalFormatting sqref="B408:E414">
    <cfRule type="expression" dxfId="29" priority="2806" stopIfTrue="1">
      <formula>$A408="begin group"</formula>
    </cfRule>
  </conditionalFormatting>
  <conditionalFormatting sqref="B408:B414">
    <cfRule type="expression" dxfId="30" priority="2807" stopIfTrue="1">
      <formula>$A408="comments"</formula>
    </cfRule>
  </conditionalFormatting>
  <conditionalFormatting sqref="B408:B414">
    <cfRule type="expression" dxfId="36" priority="2808" stopIfTrue="1">
      <formula>OR(AND(LEFT($A408, 14)="sensor_stream ", LEN($A408)&gt;14, NOT(ISNUMBER(SEARCH(" ", $A408, 15)))), AND(LEFT($A408, 17)="sensor_statistic ", LEN($A408)&gt;17, NOT(ISNUMBER(SEARCH(" ", $A408, 18)))))</formula>
    </cfRule>
  </conditionalFormatting>
  <conditionalFormatting sqref="B406:C406 D406:E406">
    <cfRule type="expression" dxfId="0" priority="2809" stopIfTrue="1">
      <formula>$A406="begin group"</formula>
    </cfRule>
  </conditionalFormatting>
  <conditionalFormatting sqref="B406:C406 D406:E406">
    <cfRule type="expression" dxfId="1" priority="2810" stopIfTrue="1">
      <formula>$A406="begin repeat"</formula>
    </cfRule>
  </conditionalFormatting>
  <conditionalFormatting sqref="B406:E406">
    <cfRule type="expression" dxfId="31" priority="2811" stopIfTrue="1">
      <formula>$A406="enumerator"</formula>
    </cfRule>
  </conditionalFormatting>
  <conditionalFormatting sqref="B406:E406">
    <cfRule type="expression" dxfId="2" priority="2812" stopIfTrue="1">
      <formula>$A406="text"</formula>
    </cfRule>
  </conditionalFormatting>
  <conditionalFormatting sqref="B406:E406">
    <cfRule type="expression" dxfId="3" priority="2813" stopIfTrue="1">
      <formula>$A406="integer"</formula>
    </cfRule>
  </conditionalFormatting>
  <conditionalFormatting sqref="B406:E406">
    <cfRule type="expression" dxfId="4" priority="2814" stopIfTrue="1">
      <formula>$A406="decimal"</formula>
    </cfRule>
  </conditionalFormatting>
  <conditionalFormatting sqref="B406:C406 D406:E406">
    <cfRule type="expression" dxfId="5" priority="2815" stopIfTrue="1">
      <formula>OR(AND(LEFT($A406, 16)="select_multiple ", LEN($A406)&gt;16, NOT(ISNUMBER(SEARCH(" ", $A406, 17)))), AND(LEFT($A406, 11)="select_one ", LEN($A406)&gt;11, NOT(ISNUMBER(SEARCH(" ", $A406, 12)))))</formula>
    </cfRule>
  </conditionalFormatting>
  <conditionalFormatting sqref="B406">
    <cfRule type="expression" dxfId="6" priority="2816" stopIfTrue="1">
      <formula>OR($A406="audio audit", $A406="text audit", $A406="speed violations count", $A406="speed violations list", $A406="speed violations audit")</formula>
    </cfRule>
  </conditionalFormatting>
  <conditionalFormatting sqref="B406:C406 D406:E406">
    <cfRule type="expression" dxfId="32" priority="2817" stopIfTrue="1">
      <formula>$A406="file"</formula>
    </cfRule>
  </conditionalFormatting>
  <conditionalFormatting sqref="B406:C406 D406:E406">
    <cfRule type="expression" dxfId="7" priority="2818" stopIfTrue="1">
      <formula>$A406="note"</formula>
    </cfRule>
  </conditionalFormatting>
  <conditionalFormatting sqref="B406:C406 D406:E406">
    <cfRule type="expression" dxfId="8" priority="2819" stopIfTrue="1">
      <formula>$A406="barcode"</formula>
    </cfRule>
  </conditionalFormatting>
  <conditionalFormatting sqref="B406:C406 D406:E406">
    <cfRule type="expression" dxfId="9" priority="2820" stopIfTrue="1">
      <formula>OR($A406="geopoint", $A406="geoshape", $A406="geotrace")</formula>
    </cfRule>
  </conditionalFormatting>
  <conditionalFormatting sqref="B406">
    <cfRule type="expression" dxfId="10" priority="2821" stopIfTrue="1">
      <formula>OR($A406="calculate", $A406="calculate_here")</formula>
    </cfRule>
  </conditionalFormatting>
  <conditionalFormatting sqref="B406:C406 D406:E406">
    <cfRule type="expression" dxfId="11" priority="2822" stopIfTrue="1">
      <formula>OR($A406="date", $A406="datetime", $A406="time")</formula>
    </cfRule>
  </conditionalFormatting>
  <conditionalFormatting sqref="B406:C406 D406:E406">
    <cfRule type="expression" dxfId="12" priority="2823" stopIfTrue="1">
      <formula>$A406="image"</formula>
    </cfRule>
  </conditionalFormatting>
  <conditionalFormatting sqref="B406:C406 D406:E406">
    <cfRule type="expression" dxfId="13" priority="2824" stopIfTrue="1">
      <formula>OR($A406="audio", $A406="video")</formula>
    </cfRule>
  </conditionalFormatting>
  <conditionalFormatting sqref="B406:E406">
    <cfRule type="expression" dxfId="33" priority="2825" stopIfTrue="1">
      <formula>$A406="file"</formula>
    </cfRule>
  </conditionalFormatting>
  <conditionalFormatting sqref="B406:E406">
    <cfRule type="expression" dxfId="34" priority="2826" stopIfTrue="1">
      <formula>$A406="enumerator"</formula>
    </cfRule>
  </conditionalFormatting>
  <conditionalFormatting sqref="B406:E406">
    <cfRule type="expression" dxfId="35" priority="2827" stopIfTrue="1">
      <formula>OR(AND(LEFT($A406, 14)="sensor_stream ", LEN($A406)&gt;14, NOT(ISNUMBER(SEARCH(" ", $A406, 15)))), AND(LEFT($A406, 17)="sensor_statistic ", LEN($A406)&gt;17, NOT(ISNUMBER(SEARCH(" ", $A406, 18)))))</formula>
    </cfRule>
  </conditionalFormatting>
  <conditionalFormatting sqref="B406:E406">
    <cfRule type="expression" dxfId="14" priority="2828" stopIfTrue="1">
      <formula>$A406="comments"</formula>
    </cfRule>
  </conditionalFormatting>
  <conditionalFormatting sqref="B406:E406">
    <cfRule type="expression" dxfId="15" priority="2829" stopIfTrue="1">
      <formula>OR($A406="audio", $A406="video")</formula>
    </cfRule>
  </conditionalFormatting>
  <conditionalFormatting sqref="B406:E406">
    <cfRule type="expression" dxfId="16" priority="2830" stopIfTrue="1">
      <formula>$A406="image"</formula>
    </cfRule>
  </conditionalFormatting>
  <conditionalFormatting sqref="B406:E406">
    <cfRule type="expression" dxfId="17" priority="2831" stopIfTrue="1">
      <formula>OR($A406="date", $A406="datetime", $A406="time")</formula>
    </cfRule>
  </conditionalFormatting>
  <conditionalFormatting sqref="B406:E406">
    <cfRule type="expression" dxfId="18" priority="2832" stopIfTrue="1">
      <formula>OR($A406="calculate", $A406="calculate_here")</formula>
    </cfRule>
  </conditionalFormatting>
  <conditionalFormatting sqref="B406:E406">
    <cfRule type="expression" dxfId="19" priority="2833" stopIfTrue="1">
      <formula>$A406="note"</formula>
    </cfRule>
  </conditionalFormatting>
  <conditionalFormatting sqref="B406:E406">
    <cfRule type="expression" dxfId="20" priority="2834" stopIfTrue="1">
      <formula>$A406="barcode"</formula>
    </cfRule>
  </conditionalFormatting>
  <conditionalFormatting sqref="B406:E406">
    <cfRule type="expression" dxfId="21" priority="2835" stopIfTrue="1">
      <formula>OR($A406="geopoint", $A406="geoshape", $A406="geotrace")</formula>
    </cfRule>
  </conditionalFormatting>
  <conditionalFormatting sqref="B406:E406">
    <cfRule type="expression" dxfId="22" priority="2836" stopIfTrue="1">
      <formula>OR($A406="audio audit", $A406="text audit", $A406="speed violations count", $A406="speed violations list", $A406="speed violations audit")</formula>
    </cfRule>
  </conditionalFormatting>
  <conditionalFormatting sqref="B406:E406">
    <cfRule type="expression" dxfId="23" priority="2837" stopIfTrue="1">
      <formula>OR($A406="username", $A406="phonenumber", $A406="start", $A406="end", $A406="deviceid", $A406="subscriberid", $A406="simserial", $A406="caseid")</formula>
    </cfRule>
  </conditionalFormatting>
  <conditionalFormatting sqref="B406:E406">
    <cfRule type="expression" dxfId="24" priority="2838" stopIfTrue="1">
      <formula>OR(AND(LEFT($A406, 16)="select_multiple ", LEN($A406)&gt;16, NOT(ISNUMBER(SEARCH(" ", $A406, 17)))), AND(LEFT($A406, 11)="select_one ", LEN($A406)&gt;11, NOT(ISNUMBER(SEARCH(" ", $A406, 12)))))</formula>
    </cfRule>
  </conditionalFormatting>
  <conditionalFormatting sqref="B406:E406">
    <cfRule type="expression" dxfId="25" priority="2839" stopIfTrue="1">
      <formula>$A406="decimal"</formula>
    </cfRule>
  </conditionalFormatting>
  <conditionalFormatting sqref="B406:E406">
    <cfRule type="expression" dxfId="26" priority="2840" stopIfTrue="1">
      <formula>$A406="integer"</formula>
    </cfRule>
  </conditionalFormatting>
  <conditionalFormatting sqref="B406:E406">
    <cfRule type="expression" dxfId="27" priority="2841" stopIfTrue="1">
      <formula>$A406="text"</formula>
    </cfRule>
  </conditionalFormatting>
  <conditionalFormatting sqref="B406:E406">
    <cfRule type="expression" dxfId="28" priority="2842" stopIfTrue="1">
      <formula>$A406="end repeat"</formula>
    </cfRule>
  </conditionalFormatting>
  <conditionalFormatting sqref="B406:E406">
    <cfRule type="expression" dxfId="28" priority="2843" stopIfTrue="1">
      <formula>$A406="begin repeat"</formula>
    </cfRule>
  </conditionalFormatting>
  <conditionalFormatting sqref="B406:E406">
    <cfRule type="expression" dxfId="29" priority="2844" stopIfTrue="1">
      <formula>$A406="end group"</formula>
    </cfRule>
  </conditionalFormatting>
  <conditionalFormatting sqref="B406:E406">
    <cfRule type="expression" dxfId="29" priority="2845" stopIfTrue="1">
      <formula>$A406="begin group"</formula>
    </cfRule>
  </conditionalFormatting>
  <conditionalFormatting sqref="B406">
    <cfRule type="expression" dxfId="30" priority="2846" stopIfTrue="1">
      <formula>$A406="comments"</formula>
    </cfRule>
  </conditionalFormatting>
  <conditionalFormatting sqref="B406">
    <cfRule type="expression" dxfId="36" priority="2847" stopIfTrue="1">
      <formula>OR(AND(LEFT($A406, 14)="sensor_stream ", LEN($A406)&gt;14, NOT(ISNUMBER(SEARCH(" ", $A406, 15)))), AND(LEFT($A406, 17)="sensor_statistic ", LEN($A406)&gt;17, NOT(ISNUMBER(SEARCH(" ", $A406, 18)))))</formula>
    </cfRule>
  </conditionalFormatting>
  <conditionalFormatting sqref="B399:C402 D399:E402">
    <cfRule type="expression" dxfId="0" priority="2848" stopIfTrue="1">
      <formula>$A399="begin group"</formula>
    </cfRule>
  </conditionalFormatting>
  <conditionalFormatting sqref="B399:C402 D399:E402">
    <cfRule type="expression" dxfId="1" priority="2849" stopIfTrue="1">
      <formula>$A399="begin repeat"</formula>
    </cfRule>
  </conditionalFormatting>
  <conditionalFormatting sqref="B399:E402">
    <cfRule type="expression" dxfId="31" priority="2850" stopIfTrue="1">
      <formula>$A399="enumerator"</formula>
    </cfRule>
  </conditionalFormatting>
  <conditionalFormatting sqref="B399:E402">
    <cfRule type="expression" dxfId="2" priority="2851" stopIfTrue="1">
      <formula>$A399="text"</formula>
    </cfRule>
  </conditionalFormatting>
  <conditionalFormatting sqref="B399:E402">
    <cfRule type="expression" dxfId="3" priority="2852" stopIfTrue="1">
      <formula>$A399="integer"</formula>
    </cfRule>
  </conditionalFormatting>
  <conditionalFormatting sqref="B399:E402">
    <cfRule type="expression" dxfId="4" priority="2853" stopIfTrue="1">
      <formula>$A399="decimal"</formula>
    </cfRule>
  </conditionalFormatting>
  <conditionalFormatting sqref="B399:C402 D399:E402">
    <cfRule type="expression" dxfId="5" priority="2854" stopIfTrue="1">
      <formula>OR(AND(LEFT($A399, 16)="select_multiple ", LEN($A399)&gt;16, NOT(ISNUMBER(SEARCH(" ", $A399, 17)))), AND(LEFT($A399, 11)="select_one ", LEN($A399)&gt;11, NOT(ISNUMBER(SEARCH(" ", $A399, 12)))))</formula>
    </cfRule>
  </conditionalFormatting>
  <conditionalFormatting sqref="B399:B402">
    <cfRule type="expression" dxfId="6" priority="2855" stopIfTrue="1">
      <formula>OR($A399="audio audit", $A399="text audit", $A399="speed violations count", $A399="speed violations list", $A399="speed violations audit")</formula>
    </cfRule>
  </conditionalFormatting>
  <conditionalFormatting sqref="B399:C402 D399:E402">
    <cfRule type="expression" dxfId="32" priority="2856" stopIfTrue="1">
      <formula>$A399="file"</formula>
    </cfRule>
  </conditionalFormatting>
  <conditionalFormatting sqref="B399:C402 D399:E402">
    <cfRule type="expression" dxfId="7" priority="2857" stopIfTrue="1">
      <formula>$A399="note"</formula>
    </cfRule>
  </conditionalFormatting>
  <conditionalFormatting sqref="B399:C402 D399:E402">
    <cfRule type="expression" dxfId="8" priority="2858" stopIfTrue="1">
      <formula>$A399="barcode"</formula>
    </cfRule>
  </conditionalFormatting>
  <conditionalFormatting sqref="B399:C402 D399:E402">
    <cfRule type="expression" dxfId="9" priority="2859" stopIfTrue="1">
      <formula>OR($A399="geopoint", $A399="geoshape", $A399="geotrace")</formula>
    </cfRule>
  </conditionalFormatting>
  <conditionalFormatting sqref="B399:B402">
    <cfRule type="expression" dxfId="10" priority="2860" stopIfTrue="1">
      <formula>OR($A399="calculate", $A399="calculate_here")</formula>
    </cfRule>
  </conditionalFormatting>
  <conditionalFormatting sqref="B399:C402 D399:E402">
    <cfRule type="expression" dxfId="11" priority="2861" stopIfTrue="1">
      <formula>OR($A399="date", $A399="datetime", $A399="time")</formula>
    </cfRule>
  </conditionalFormatting>
  <conditionalFormatting sqref="B399:C402 D399:E402">
    <cfRule type="expression" dxfId="12" priority="2862" stopIfTrue="1">
      <formula>$A399="image"</formula>
    </cfRule>
  </conditionalFormatting>
  <conditionalFormatting sqref="B399:C402 D399:E402">
    <cfRule type="expression" dxfId="13" priority="2863" stopIfTrue="1">
      <formula>OR($A399="audio", $A399="video")</formula>
    </cfRule>
  </conditionalFormatting>
  <conditionalFormatting sqref="B399:E402">
    <cfRule type="expression" dxfId="33" priority="2864" stopIfTrue="1">
      <formula>$A399="file"</formula>
    </cfRule>
  </conditionalFormatting>
  <conditionalFormatting sqref="B399:E402">
    <cfRule type="expression" dxfId="34" priority="2865" stopIfTrue="1">
      <formula>$A399="enumerator"</formula>
    </cfRule>
  </conditionalFormatting>
  <conditionalFormatting sqref="B399:E402">
    <cfRule type="expression" dxfId="35" priority="2866" stopIfTrue="1">
      <formula>OR(AND(LEFT($A399, 14)="sensor_stream ", LEN($A399)&gt;14, NOT(ISNUMBER(SEARCH(" ", $A399, 15)))), AND(LEFT($A399, 17)="sensor_statistic ", LEN($A399)&gt;17, NOT(ISNUMBER(SEARCH(" ", $A399, 18)))))</formula>
    </cfRule>
  </conditionalFormatting>
  <conditionalFormatting sqref="B399:E402">
    <cfRule type="expression" dxfId="14" priority="2867" stopIfTrue="1">
      <formula>$A399="comments"</formula>
    </cfRule>
  </conditionalFormatting>
  <conditionalFormatting sqref="B399:E402">
    <cfRule type="expression" dxfId="15" priority="2868" stopIfTrue="1">
      <formula>OR($A399="audio", $A399="video")</formula>
    </cfRule>
  </conditionalFormatting>
  <conditionalFormatting sqref="B399:E402">
    <cfRule type="expression" dxfId="16" priority="2869" stopIfTrue="1">
      <formula>$A399="image"</formula>
    </cfRule>
  </conditionalFormatting>
  <conditionalFormatting sqref="B399:E402">
    <cfRule type="expression" dxfId="17" priority="2870" stopIfTrue="1">
      <formula>OR($A399="date", $A399="datetime", $A399="time")</formula>
    </cfRule>
  </conditionalFormatting>
  <conditionalFormatting sqref="B399:E402">
    <cfRule type="expression" dxfId="18" priority="2871" stopIfTrue="1">
      <formula>OR($A399="calculate", $A399="calculate_here")</formula>
    </cfRule>
  </conditionalFormatting>
  <conditionalFormatting sqref="B399:E402">
    <cfRule type="expression" dxfId="19" priority="2872" stopIfTrue="1">
      <formula>$A399="note"</formula>
    </cfRule>
  </conditionalFormatting>
  <conditionalFormatting sqref="B399:E402">
    <cfRule type="expression" dxfId="20" priority="2873" stopIfTrue="1">
      <formula>$A399="barcode"</formula>
    </cfRule>
  </conditionalFormatting>
  <conditionalFormatting sqref="B399:E402">
    <cfRule type="expression" dxfId="21" priority="2874" stopIfTrue="1">
      <formula>OR($A399="geopoint", $A399="geoshape", $A399="geotrace")</formula>
    </cfRule>
  </conditionalFormatting>
  <conditionalFormatting sqref="B399:E402">
    <cfRule type="expression" dxfId="22" priority="2875" stopIfTrue="1">
      <formula>OR($A399="audio audit", $A399="text audit", $A399="speed violations count", $A399="speed violations list", $A399="speed violations audit")</formula>
    </cfRule>
  </conditionalFormatting>
  <conditionalFormatting sqref="B399:E402">
    <cfRule type="expression" dxfId="23" priority="2876" stopIfTrue="1">
      <formula>OR($A399="username", $A399="phonenumber", $A399="start", $A399="end", $A399="deviceid", $A399="subscriberid", $A399="simserial", $A399="caseid")</formula>
    </cfRule>
  </conditionalFormatting>
  <conditionalFormatting sqref="B399:E402">
    <cfRule type="expression" dxfId="24" priority="2877" stopIfTrue="1">
      <formula>OR(AND(LEFT($A399, 16)="select_multiple ", LEN($A399)&gt;16, NOT(ISNUMBER(SEARCH(" ", $A399, 17)))), AND(LEFT($A399, 11)="select_one ", LEN($A399)&gt;11, NOT(ISNUMBER(SEARCH(" ", $A399, 12)))))</formula>
    </cfRule>
  </conditionalFormatting>
  <conditionalFormatting sqref="B399:E402">
    <cfRule type="expression" dxfId="25" priority="2878" stopIfTrue="1">
      <formula>$A399="decimal"</formula>
    </cfRule>
  </conditionalFormatting>
  <conditionalFormatting sqref="B399:E402">
    <cfRule type="expression" dxfId="26" priority="2879" stopIfTrue="1">
      <formula>$A399="integer"</formula>
    </cfRule>
  </conditionalFormatting>
  <conditionalFormatting sqref="B399:E402">
    <cfRule type="expression" dxfId="27" priority="2880" stopIfTrue="1">
      <formula>$A399="text"</formula>
    </cfRule>
  </conditionalFormatting>
  <conditionalFormatting sqref="B399:E402">
    <cfRule type="expression" dxfId="28" priority="2881" stopIfTrue="1">
      <formula>$A399="end repeat"</formula>
    </cfRule>
  </conditionalFormatting>
  <conditionalFormatting sqref="B399:E402">
    <cfRule type="expression" dxfId="28" priority="2882" stopIfTrue="1">
      <formula>$A399="begin repeat"</formula>
    </cfRule>
  </conditionalFormatting>
  <conditionalFormatting sqref="B399:E402">
    <cfRule type="expression" dxfId="29" priority="2883" stopIfTrue="1">
      <formula>$A399="end group"</formula>
    </cfRule>
  </conditionalFormatting>
  <conditionalFormatting sqref="B399:E402">
    <cfRule type="expression" dxfId="29" priority="2884" stopIfTrue="1">
      <formula>$A399="begin group"</formula>
    </cfRule>
  </conditionalFormatting>
  <conditionalFormatting sqref="B399:B402">
    <cfRule type="expression" dxfId="30" priority="2885" stopIfTrue="1">
      <formula>$A399="comments"</formula>
    </cfRule>
  </conditionalFormatting>
  <conditionalFormatting sqref="B399:B402">
    <cfRule type="expression" dxfId="36" priority="2886" stopIfTrue="1">
      <formula>OR(AND(LEFT($A399, 14)="sensor_stream ", LEN($A399)&gt;14, NOT(ISNUMBER(SEARCH(" ", $A399, 15)))), AND(LEFT($A399, 17)="sensor_statistic ", LEN($A399)&gt;17, NOT(ISNUMBER(SEARCH(" ", $A399, 18)))))</formula>
    </cfRule>
  </conditionalFormatting>
  <conditionalFormatting sqref="B392:C396 D392:E396">
    <cfRule type="expression" dxfId="0" priority="2887" stopIfTrue="1">
      <formula>$A392="begin group"</formula>
    </cfRule>
  </conditionalFormatting>
  <conditionalFormatting sqref="B392:C396 D392:E396">
    <cfRule type="expression" dxfId="1" priority="2888" stopIfTrue="1">
      <formula>$A392="begin repeat"</formula>
    </cfRule>
  </conditionalFormatting>
  <conditionalFormatting sqref="B392:E396">
    <cfRule type="expression" dxfId="31" priority="2889" stopIfTrue="1">
      <formula>$A392="enumerator"</formula>
    </cfRule>
  </conditionalFormatting>
  <conditionalFormatting sqref="B392:E396">
    <cfRule type="expression" dxfId="2" priority="2890" stopIfTrue="1">
      <formula>$A392="text"</formula>
    </cfRule>
  </conditionalFormatting>
  <conditionalFormatting sqref="B392:E396">
    <cfRule type="expression" dxfId="3" priority="2891" stopIfTrue="1">
      <formula>$A392="integer"</formula>
    </cfRule>
  </conditionalFormatting>
  <conditionalFormatting sqref="B392:E396">
    <cfRule type="expression" dxfId="4" priority="2892" stopIfTrue="1">
      <formula>$A392="decimal"</formula>
    </cfRule>
  </conditionalFormatting>
  <conditionalFormatting sqref="B392:C396 D392:E396">
    <cfRule type="expression" dxfId="5" priority="2893" stopIfTrue="1">
      <formula>OR(AND(LEFT($A392, 16)="select_multiple ", LEN($A392)&gt;16, NOT(ISNUMBER(SEARCH(" ", $A392, 17)))), AND(LEFT($A392, 11)="select_one ", LEN($A392)&gt;11, NOT(ISNUMBER(SEARCH(" ", $A392, 12)))))</formula>
    </cfRule>
  </conditionalFormatting>
  <conditionalFormatting sqref="B392:B396">
    <cfRule type="expression" dxfId="6" priority="2894" stopIfTrue="1">
      <formula>OR($A392="audio audit", $A392="text audit", $A392="speed violations count", $A392="speed violations list", $A392="speed violations audit")</formula>
    </cfRule>
  </conditionalFormatting>
  <conditionalFormatting sqref="B392:C396 D392:E396">
    <cfRule type="expression" dxfId="32" priority="2895" stopIfTrue="1">
      <formula>$A392="file"</formula>
    </cfRule>
  </conditionalFormatting>
  <conditionalFormatting sqref="B392:C396 D392:E396">
    <cfRule type="expression" dxfId="7" priority="2896" stopIfTrue="1">
      <formula>$A392="note"</formula>
    </cfRule>
  </conditionalFormatting>
  <conditionalFormatting sqref="B392:C396 D392:E396">
    <cfRule type="expression" dxfId="8" priority="2897" stopIfTrue="1">
      <formula>$A392="barcode"</formula>
    </cfRule>
  </conditionalFormatting>
  <conditionalFormatting sqref="B392:C396 D392:E396">
    <cfRule type="expression" dxfId="9" priority="2898" stopIfTrue="1">
      <formula>OR($A392="geopoint", $A392="geoshape", $A392="geotrace")</formula>
    </cfRule>
  </conditionalFormatting>
  <conditionalFormatting sqref="B392:B396">
    <cfRule type="expression" dxfId="10" priority="2899" stopIfTrue="1">
      <formula>OR($A392="calculate", $A392="calculate_here")</formula>
    </cfRule>
  </conditionalFormatting>
  <conditionalFormatting sqref="B392:C396 D392:E396">
    <cfRule type="expression" dxfId="11" priority="2900" stopIfTrue="1">
      <formula>OR($A392="date", $A392="datetime", $A392="time")</formula>
    </cfRule>
  </conditionalFormatting>
  <conditionalFormatting sqref="B392:C396 D392:E396">
    <cfRule type="expression" dxfId="12" priority="2901" stopIfTrue="1">
      <formula>$A392="image"</formula>
    </cfRule>
  </conditionalFormatting>
  <conditionalFormatting sqref="B392:C396 D392:E396">
    <cfRule type="expression" dxfId="13" priority="2902" stopIfTrue="1">
      <formula>OR($A392="audio", $A392="video")</formula>
    </cfRule>
  </conditionalFormatting>
  <conditionalFormatting sqref="B392:E396">
    <cfRule type="expression" dxfId="33" priority="2903" stopIfTrue="1">
      <formula>$A392="file"</formula>
    </cfRule>
  </conditionalFormatting>
  <conditionalFormatting sqref="B392:E396">
    <cfRule type="expression" dxfId="34" priority="2904" stopIfTrue="1">
      <formula>$A392="enumerator"</formula>
    </cfRule>
  </conditionalFormatting>
  <conditionalFormatting sqref="B392:E396">
    <cfRule type="expression" dxfId="35" priority="2905" stopIfTrue="1">
      <formula>OR(AND(LEFT($A392, 14)="sensor_stream ", LEN($A392)&gt;14, NOT(ISNUMBER(SEARCH(" ", $A392, 15)))), AND(LEFT($A392, 17)="sensor_statistic ", LEN($A392)&gt;17, NOT(ISNUMBER(SEARCH(" ", $A392, 18)))))</formula>
    </cfRule>
  </conditionalFormatting>
  <conditionalFormatting sqref="B392:E396">
    <cfRule type="expression" dxfId="14" priority="2906" stopIfTrue="1">
      <formula>$A392="comments"</formula>
    </cfRule>
  </conditionalFormatting>
  <conditionalFormatting sqref="B392:E396">
    <cfRule type="expression" dxfId="15" priority="2907" stopIfTrue="1">
      <formula>OR($A392="audio", $A392="video")</formula>
    </cfRule>
  </conditionalFormatting>
  <conditionalFormatting sqref="B392:E396">
    <cfRule type="expression" dxfId="16" priority="2908" stopIfTrue="1">
      <formula>$A392="image"</formula>
    </cfRule>
  </conditionalFormatting>
  <conditionalFormatting sqref="B392:E396">
    <cfRule type="expression" dxfId="17" priority="2909" stopIfTrue="1">
      <formula>OR($A392="date", $A392="datetime", $A392="time")</formula>
    </cfRule>
  </conditionalFormatting>
  <conditionalFormatting sqref="B392:E396">
    <cfRule type="expression" dxfId="18" priority="2910" stopIfTrue="1">
      <formula>OR($A392="calculate", $A392="calculate_here")</formula>
    </cfRule>
  </conditionalFormatting>
  <conditionalFormatting sqref="B392:E396">
    <cfRule type="expression" dxfId="19" priority="2911" stopIfTrue="1">
      <formula>$A392="note"</formula>
    </cfRule>
  </conditionalFormatting>
  <conditionalFormatting sqref="B392:E396">
    <cfRule type="expression" dxfId="20" priority="2912" stopIfTrue="1">
      <formula>$A392="barcode"</formula>
    </cfRule>
  </conditionalFormatting>
  <conditionalFormatting sqref="B392:E396">
    <cfRule type="expression" dxfId="21" priority="2913" stopIfTrue="1">
      <formula>OR($A392="geopoint", $A392="geoshape", $A392="geotrace")</formula>
    </cfRule>
  </conditionalFormatting>
  <conditionalFormatting sqref="B392:E396">
    <cfRule type="expression" dxfId="22" priority="2914" stopIfTrue="1">
      <formula>OR($A392="audio audit", $A392="text audit", $A392="speed violations count", $A392="speed violations list", $A392="speed violations audit")</formula>
    </cfRule>
  </conditionalFormatting>
  <conditionalFormatting sqref="B392:E396">
    <cfRule type="expression" dxfId="23" priority="2915" stopIfTrue="1">
      <formula>OR($A392="username", $A392="phonenumber", $A392="start", $A392="end", $A392="deviceid", $A392="subscriberid", $A392="simserial", $A392="caseid")</formula>
    </cfRule>
  </conditionalFormatting>
  <conditionalFormatting sqref="B392:E396">
    <cfRule type="expression" dxfId="24" priority="2916" stopIfTrue="1">
      <formula>OR(AND(LEFT($A392, 16)="select_multiple ", LEN($A392)&gt;16, NOT(ISNUMBER(SEARCH(" ", $A392, 17)))), AND(LEFT($A392, 11)="select_one ", LEN($A392)&gt;11, NOT(ISNUMBER(SEARCH(" ", $A392, 12)))))</formula>
    </cfRule>
  </conditionalFormatting>
  <conditionalFormatting sqref="B392:E396">
    <cfRule type="expression" dxfId="25" priority="2917" stopIfTrue="1">
      <formula>$A392="decimal"</formula>
    </cfRule>
  </conditionalFormatting>
  <conditionalFormatting sqref="B392:E396">
    <cfRule type="expression" dxfId="26" priority="2918" stopIfTrue="1">
      <formula>$A392="integer"</formula>
    </cfRule>
  </conditionalFormatting>
  <conditionalFormatting sqref="B392:E396">
    <cfRule type="expression" dxfId="27" priority="2919" stopIfTrue="1">
      <formula>$A392="text"</formula>
    </cfRule>
  </conditionalFormatting>
  <conditionalFormatting sqref="B392:E396">
    <cfRule type="expression" dxfId="28" priority="2920" stopIfTrue="1">
      <formula>$A392="end repeat"</formula>
    </cfRule>
  </conditionalFormatting>
  <conditionalFormatting sqref="B392:E396">
    <cfRule type="expression" dxfId="28" priority="2921" stopIfTrue="1">
      <formula>$A392="begin repeat"</formula>
    </cfRule>
  </conditionalFormatting>
  <conditionalFormatting sqref="B392:E396">
    <cfRule type="expression" dxfId="29" priority="2922" stopIfTrue="1">
      <formula>$A392="end group"</formula>
    </cfRule>
  </conditionalFormatting>
  <conditionalFormatting sqref="B392:E396">
    <cfRule type="expression" dxfId="29" priority="2923" stopIfTrue="1">
      <formula>$A392="begin group"</formula>
    </cfRule>
  </conditionalFormatting>
  <conditionalFormatting sqref="B392:B396">
    <cfRule type="expression" dxfId="30" priority="2924" stopIfTrue="1">
      <formula>$A392="comments"</formula>
    </cfRule>
  </conditionalFormatting>
  <conditionalFormatting sqref="B392:B396">
    <cfRule type="expression" dxfId="36" priority="2925" stopIfTrue="1">
      <formula>OR(AND(LEFT($A392, 14)="sensor_stream ", LEN($A392)&gt;14, NOT(ISNUMBER(SEARCH(" ", $A392, 15)))), AND(LEFT($A392, 17)="sensor_statistic ", LEN($A392)&gt;17, NOT(ISNUMBER(SEARCH(" ", $A392, 18)))))</formula>
    </cfRule>
  </conditionalFormatting>
  <conditionalFormatting sqref="B387:C388 D387:E388">
    <cfRule type="expression" dxfId="0" priority="2926" stopIfTrue="1">
      <formula>$A387="begin group"</formula>
    </cfRule>
  </conditionalFormatting>
  <conditionalFormatting sqref="B387:C388 D387:E388">
    <cfRule type="expression" dxfId="1" priority="2927" stopIfTrue="1">
      <formula>$A387="begin repeat"</formula>
    </cfRule>
  </conditionalFormatting>
  <conditionalFormatting sqref="B387:E388">
    <cfRule type="expression" dxfId="31" priority="2928" stopIfTrue="1">
      <formula>$A387="enumerator"</formula>
    </cfRule>
  </conditionalFormatting>
  <conditionalFormatting sqref="B387:E388">
    <cfRule type="expression" dxfId="2" priority="2929" stopIfTrue="1">
      <formula>$A387="text"</formula>
    </cfRule>
  </conditionalFormatting>
  <conditionalFormatting sqref="B387:E388">
    <cfRule type="expression" dxfId="3" priority="2930" stopIfTrue="1">
      <formula>$A387="integer"</formula>
    </cfRule>
  </conditionalFormatting>
  <conditionalFormatting sqref="B387:E388">
    <cfRule type="expression" dxfId="4" priority="2931" stopIfTrue="1">
      <formula>$A387="decimal"</formula>
    </cfRule>
  </conditionalFormatting>
  <conditionalFormatting sqref="B387:C388 D387:E388">
    <cfRule type="expression" dxfId="5" priority="2932" stopIfTrue="1">
      <formula>OR(AND(LEFT($A387, 16)="select_multiple ", LEN($A387)&gt;16, NOT(ISNUMBER(SEARCH(" ", $A387, 17)))), AND(LEFT($A387, 11)="select_one ", LEN($A387)&gt;11, NOT(ISNUMBER(SEARCH(" ", $A387, 12)))))</formula>
    </cfRule>
  </conditionalFormatting>
  <conditionalFormatting sqref="B387:B388">
    <cfRule type="expression" dxfId="6" priority="2933" stopIfTrue="1">
      <formula>OR($A387="audio audit", $A387="text audit", $A387="speed violations count", $A387="speed violations list", $A387="speed violations audit")</formula>
    </cfRule>
  </conditionalFormatting>
  <conditionalFormatting sqref="B387:C388 D387:E388">
    <cfRule type="expression" dxfId="32" priority="2934" stopIfTrue="1">
      <formula>$A387="file"</formula>
    </cfRule>
  </conditionalFormatting>
  <conditionalFormatting sqref="B387:C388 D387:E388">
    <cfRule type="expression" dxfId="7" priority="2935" stopIfTrue="1">
      <formula>$A387="note"</formula>
    </cfRule>
  </conditionalFormatting>
  <conditionalFormatting sqref="B387:C388 D387:E388">
    <cfRule type="expression" dxfId="8" priority="2936" stopIfTrue="1">
      <formula>$A387="barcode"</formula>
    </cfRule>
  </conditionalFormatting>
  <conditionalFormatting sqref="B387:C388 D387:E388">
    <cfRule type="expression" dxfId="9" priority="2937" stopIfTrue="1">
      <formula>OR($A387="geopoint", $A387="geoshape", $A387="geotrace")</formula>
    </cfRule>
  </conditionalFormatting>
  <conditionalFormatting sqref="B387:B388">
    <cfRule type="expression" dxfId="10" priority="2938" stopIfTrue="1">
      <formula>OR($A387="calculate", $A387="calculate_here")</formula>
    </cfRule>
  </conditionalFormatting>
  <conditionalFormatting sqref="B387:C388 D387:E388">
    <cfRule type="expression" dxfId="11" priority="2939" stopIfTrue="1">
      <formula>OR($A387="date", $A387="datetime", $A387="time")</formula>
    </cfRule>
  </conditionalFormatting>
  <conditionalFormatting sqref="B387:C388 D387:E388">
    <cfRule type="expression" dxfId="12" priority="2940" stopIfTrue="1">
      <formula>$A387="image"</formula>
    </cfRule>
  </conditionalFormatting>
  <conditionalFormatting sqref="B387:C388 D387:E388">
    <cfRule type="expression" dxfId="13" priority="2941" stopIfTrue="1">
      <formula>OR($A387="audio", $A387="video")</formula>
    </cfRule>
  </conditionalFormatting>
  <conditionalFormatting sqref="B387:E388">
    <cfRule type="expression" dxfId="33" priority="2942" stopIfTrue="1">
      <formula>$A387="file"</formula>
    </cfRule>
  </conditionalFormatting>
  <conditionalFormatting sqref="B387:E388">
    <cfRule type="expression" dxfId="34" priority="2943" stopIfTrue="1">
      <formula>$A387="enumerator"</formula>
    </cfRule>
  </conditionalFormatting>
  <conditionalFormatting sqref="B387:E388">
    <cfRule type="expression" dxfId="35" priority="2944" stopIfTrue="1">
      <formula>OR(AND(LEFT($A387, 14)="sensor_stream ", LEN($A387)&gt;14, NOT(ISNUMBER(SEARCH(" ", $A387, 15)))), AND(LEFT($A387, 17)="sensor_statistic ", LEN($A387)&gt;17, NOT(ISNUMBER(SEARCH(" ", $A387, 18)))))</formula>
    </cfRule>
  </conditionalFormatting>
  <conditionalFormatting sqref="B387:E388">
    <cfRule type="expression" dxfId="14" priority="2945" stopIfTrue="1">
      <formula>$A387="comments"</formula>
    </cfRule>
  </conditionalFormatting>
  <conditionalFormatting sqref="B387:E388">
    <cfRule type="expression" dxfId="15" priority="2946" stopIfTrue="1">
      <formula>OR($A387="audio", $A387="video")</formula>
    </cfRule>
  </conditionalFormatting>
  <conditionalFormatting sqref="B387:E388">
    <cfRule type="expression" dxfId="16" priority="2947" stopIfTrue="1">
      <formula>$A387="image"</formula>
    </cfRule>
  </conditionalFormatting>
  <conditionalFormatting sqref="B387:E388">
    <cfRule type="expression" dxfId="17" priority="2948" stopIfTrue="1">
      <formula>OR($A387="date", $A387="datetime", $A387="time")</formula>
    </cfRule>
  </conditionalFormatting>
  <conditionalFormatting sqref="B387:E388">
    <cfRule type="expression" dxfId="18" priority="2949" stopIfTrue="1">
      <formula>OR($A387="calculate", $A387="calculate_here")</formula>
    </cfRule>
  </conditionalFormatting>
  <conditionalFormatting sqref="B387:E388">
    <cfRule type="expression" dxfId="19" priority="2950" stopIfTrue="1">
      <formula>$A387="note"</formula>
    </cfRule>
  </conditionalFormatting>
  <conditionalFormatting sqref="B387:E388">
    <cfRule type="expression" dxfId="20" priority="2951" stopIfTrue="1">
      <formula>$A387="barcode"</formula>
    </cfRule>
  </conditionalFormatting>
  <conditionalFormatting sqref="B387:E388">
    <cfRule type="expression" dxfId="21" priority="2952" stopIfTrue="1">
      <formula>OR($A387="geopoint", $A387="geoshape", $A387="geotrace")</formula>
    </cfRule>
  </conditionalFormatting>
  <conditionalFormatting sqref="B387:E388">
    <cfRule type="expression" dxfId="22" priority="2953" stopIfTrue="1">
      <formula>OR($A387="audio audit", $A387="text audit", $A387="speed violations count", $A387="speed violations list", $A387="speed violations audit")</formula>
    </cfRule>
  </conditionalFormatting>
  <conditionalFormatting sqref="B387:E388">
    <cfRule type="expression" dxfId="23" priority="2954" stopIfTrue="1">
      <formula>OR($A387="username", $A387="phonenumber", $A387="start", $A387="end", $A387="deviceid", $A387="subscriberid", $A387="simserial", $A387="caseid")</formula>
    </cfRule>
  </conditionalFormatting>
  <conditionalFormatting sqref="B387:E388">
    <cfRule type="expression" dxfId="24" priority="2955" stopIfTrue="1">
      <formula>OR(AND(LEFT($A387, 16)="select_multiple ", LEN($A387)&gt;16, NOT(ISNUMBER(SEARCH(" ", $A387, 17)))), AND(LEFT($A387, 11)="select_one ", LEN($A387)&gt;11, NOT(ISNUMBER(SEARCH(" ", $A387, 12)))))</formula>
    </cfRule>
  </conditionalFormatting>
  <conditionalFormatting sqref="B387:E388">
    <cfRule type="expression" dxfId="25" priority="2956" stopIfTrue="1">
      <formula>$A387="decimal"</formula>
    </cfRule>
  </conditionalFormatting>
  <conditionalFormatting sqref="B387:E388">
    <cfRule type="expression" dxfId="26" priority="2957" stopIfTrue="1">
      <formula>$A387="integer"</formula>
    </cfRule>
  </conditionalFormatting>
  <conditionalFormatting sqref="B387:E388">
    <cfRule type="expression" dxfId="27" priority="2958" stopIfTrue="1">
      <formula>$A387="text"</formula>
    </cfRule>
  </conditionalFormatting>
  <conditionalFormatting sqref="B387:E388">
    <cfRule type="expression" dxfId="28" priority="2959" stopIfTrue="1">
      <formula>$A387="end repeat"</formula>
    </cfRule>
  </conditionalFormatting>
  <conditionalFormatting sqref="B387:E388">
    <cfRule type="expression" dxfId="28" priority="2960" stopIfTrue="1">
      <formula>$A387="begin repeat"</formula>
    </cfRule>
  </conditionalFormatting>
  <conditionalFormatting sqref="B387:E388">
    <cfRule type="expression" dxfId="29" priority="2961" stopIfTrue="1">
      <formula>$A387="end group"</formula>
    </cfRule>
  </conditionalFormatting>
  <conditionalFormatting sqref="B387:E388">
    <cfRule type="expression" dxfId="29" priority="2962" stopIfTrue="1">
      <formula>$A387="begin group"</formula>
    </cfRule>
  </conditionalFormatting>
  <conditionalFormatting sqref="B387:B388">
    <cfRule type="expression" dxfId="30" priority="2963" stopIfTrue="1">
      <formula>$A387="comments"</formula>
    </cfRule>
  </conditionalFormatting>
  <conditionalFormatting sqref="B387:B388">
    <cfRule type="expression" dxfId="36" priority="2964" stopIfTrue="1">
      <formula>OR(AND(LEFT($A387, 14)="sensor_stream ", LEN($A387)&gt;14, NOT(ISNUMBER(SEARCH(" ", $A387, 15)))), AND(LEFT($A387, 17)="sensor_statistic ", LEN($A387)&gt;17, NOT(ISNUMBER(SEARCH(" ", $A387, 18)))))</formula>
    </cfRule>
  </conditionalFormatting>
  <conditionalFormatting sqref="B379:C383 D379:E383">
    <cfRule type="expression" dxfId="0" priority="2965" stopIfTrue="1">
      <formula>$A379="begin group"</formula>
    </cfRule>
  </conditionalFormatting>
  <conditionalFormatting sqref="B379:C383 D379:E383">
    <cfRule type="expression" dxfId="1" priority="2966" stopIfTrue="1">
      <formula>$A379="begin repeat"</formula>
    </cfRule>
  </conditionalFormatting>
  <conditionalFormatting sqref="B379:E383">
    <cfRule type="expression" dxfId="31" priority="2967" stopIfTrue="1">
      <formula>$A379="enumerator"</formula>
    </cfRule>
  </conditionalFormatting>
  <conditionalFormatting sqref="B379:E383">
    <cfRule type="expression" dxfId="2" priority="2968" stopIfTrue="1">
      <formula>$A379="text"</formula>
    </cfRule>
  </conditionalFormatting>
  <conditionalFormatting sqref="B379:E383">
    <cfRule type="expression" dxfId="3" priority="2969" stopIfTrue="1">
      <formula>$A379="integer"</formula>
    </cfRule>
  </conditionalFormatting>
  <conditionalFormatting sqref="B379:E383">
    <cfRule type="expression" dxfId="4" priority="2970" stopIfTrue="1">
      <formula>$A379="decimal"</formula>
    </cfRule>
  </conditionalFormatting>
  <conditionalFormatting sqref="B379:C383 D379:E383">
    <cfRule type="expression" dxfId="5" priority="2971" stopIfTrue="1">
      <formula>OR(AND(LEFT($A379, 16)="select_multiple ", LEN($A379)&gt;16, NOT(ISNUMBER(SEARCH(" ", $A379, 17)))), AND(LEFT($A379, 11)="select_one ", LEN($A379)&gt;11, NOT(ISNUMBER(SEARCH(" ", $A379, 12)))))</formula>
    </cfRule>
  </conditionalFormatting>
  <conditionalFormatting sqref="B379:B383">
    <cfRule type="expression" dxfId="6" priority="2972" stopIfTrue="1">
      <formula>OR($A379="audio audit", $A379="text audit", $A379="speed violations count", $A379="speed violations list", $A379="speed violations audit")</formula>
    </cfRule>
  </conditionalFormatting>
  <conditionalFormatting sqref="B379:C383 D379:E383">
    <cfRule type="expression" dxfId="32" priority="2973" stopIfTrue="1">
      <formula>$A379="file"</formula>
    </cfRule>
  </conditionalFormatting>
  <conditionalFormatting sqref="B379:C383 D379:E383">
    <cfRule type="expression" dxfId="7" priority="2974" stopIfTrue="1">
      <formula>$A379="note"</formula>
    </cfRule>
  </conditionalFormatting>
  <conditionalFormatting sqref="B379:C383 D379:E383">
    <cfRule type="expression" dxfId="8" priority="2975" stopIfTrue="1">
      <formula>$A379="barcode"</formula>
    </cfRule>
  </conditionalFormatting>
  <conditionalFormatting sqref="B379:C383 D379:E383">
    <cfRule type="expression" dxfId="9" priority="2976" stopIfTrue="1">
      <formula>OR($A379="geopoint", $A379="geoshape", $A379="geotrace")</formula>
    </cfRule>
  </conditionalFormatting>
  <conditionalFormatting sqref="B379:B383">
    <cfRule type="expression" dxfId="10" priority="2977" stopIfTrue="1">
      <formula>OR($A379="calculate", $A379="calculate_here")</formula>
    </cfRule>
  </conditionalFormatting>
  <conditionalFormatting sqref="B379:C383 D379:E383">
    <cfRule type="expression" dxfId="11" priority="2978" stopIfTrue="1">
      <formula>OR($A379="date", $A379="datetime", $A379="time")</formula>
    </cfRule>
  </conditionalFormatting>
  <conditionalFormatting sqref="B379:C383 D379:E383">
    <cfRule type="expression" dxfId="12" priority="2979" stopIfTrue="1">
      <formula>$A379="image"</formula>
    </cfRule>
  </conditionalFormatting>
  <conditionalFormatting sqref="B379:C383 D379:E383">
    <cfRule type="expression" dxfId="13" priority="2980" stopIfTrue="1">
      <formula>OR($A379="audio", $A379="video")</formula>
    </cfRule>
  </conditionalFormatting>
  <conditionalFormatting sqref="B379:E383">
    <cfRule type="expression" dxfId="33" priority="2981" stopIfTrue="1">
      <formula>$A379="file"</formula>
    </cfRule>
  </conditionalFormatting>
  <conditionalFormatting sqref="B379:E383">
    <cfRule type="expression" dxfId="34" priority="2982" stopIfTrue="1">
      <formula>$A379="enumerator"</formula>
    </cfRule>
  </conditionalFormatting>
  <conditionalFormatting sqref="B379:E383">
    <cfRule type="expression" dxfId="35" priority="2983" stopIfTrue="1">
      <formula>OR(AND(LEFT($A379, 14)="sensor_stream ", LEN($A379)&gt;14, NOT(ISNUMBER(SEARCH(" ", $A379, 15)))), AND(LEFT($A379, 17)="sensor_statistic ", LEN($A379)&gt;17, NOT(ISNUMBER(SEARCH(" ", $A379, 18)))))</formula>
    </cfRule>
  </conditionalFormatting>
  <conditionalFormatting sqref="B379:E383">
    <cfRule type="expression" dxfId="14" priority="2984" stopIfTrue="1">
      <formula>$A379="comments"</formula>
    </cfRule>
  </conditionalFormatting>
  <conditionalFormatting sqref="B379:E383">
    <cfRule type="expression" dxfId="15" priority="2985" stopIfTrue="1">
      <formula>OR($A379="audio", $A379="video")</formula>
    </cfRule>
  </conditionalFormatting>
  <conditionalFormatting sqref="B379:E383">
    <cfRule type="expression" dxfId="16" priority="2986" stopIfTrue="1">
      <formula>$A379="image"</formula>
    </cfRule>
  </conditionalFormatting>
  <conditionalFormatting sqref="B379:E383">
    <cfRule type="expression" dxfId="17" priority="2987" stopIfTrue="1">
      <formula>OR($A379="date", $A379="datetime", $A379="time")</formula>
    </cfRule>
  </conditionalFormatting>
  <conditionalFormatting sqref="B379:E383">
    <cfRule type="expression" dxfId="18" priority="2988" stopIfTrue="1">
      <formula>OR($A379="calculate", $A379="calculate_here")</formula>
    </cfRule>
  </conditionalFormatting>
  <conditionalFormatting sqref="B379:E383">
    <cfRule type="expression" dxfId="19" priority="2989" stopIfTrue="1">
      <formula>$A379="note"</formula>
    </cfRule>
  </conditionalFormatting>
  <conditionalFormatting sqref="B379:E383">
    <cfRule type="expression" dxfId="20" priority="2990" stopIfTrue="1">
      <formula>$A379="barcode"</formula>
    </cfRule>
  </conditionalFormatting>
  <conditionalFormatting sqref="B379:E383">
    <cfRule type="expression" dxfId="21" priority="2991" stopIfTrue="1">
      <formula>OR($A379="geopoint", $A379="geoshape", $A379="geotrace")</formula>
    </cfRule>
  </conditionalFormatting>
  <conditionalFormatting sqref="B379:E383">
    <cfRule type="expression" dxfId="22" priority="2992" stopIfTrue="1">
      <formula>OR($A379="audio audit", $A379="text audit", $A379="speed violations count", $A379="speed violations list", $A379="speed violations audit")</formula>
    </cfRule>
  </conditionalFormatting>
  <conditionalFormatting sqref="B379:E383">
    <cfRule type="expression" dxfId="23" priority="2993" stopIfTrue="1">
      <formula>OR($A379="username", $A379="phonenumber", $A379="start", $A379="end", $A379="deviceid", $A379="subscriberid", $A379="simserial", $A379="caseid")</formula>
    </cfRule>
  </conditionalFormatting>
  <conditionalFormatting sqref="B379:E383">
    <cfRule type="expression" dxfId="24" priority="2994" stopIfTrue="1">
      <formula>OR(AND(LEFT($A379, 16)="select_multiple ", LEN($A379)&gt;16, NOT(ISNUMBER(SEARCH(" ", $A379, 17)))), AND(LEFT($A379, 11)="select_one ", LEN($A379)&gt;11, NOT(ISNUMBER(SEARCH(" ", $A379, 12)))))</formula>
    </cfRule>
  </conditionalFormatting>
  <conditionalFormatting sqref="B379:E383">
    <cfRule type="expression" dxfId="25" priority="2995" stopIfTrue="1">
      <formula>$A379="decimal"</formula>
    </cfRule>
  </conditionalFormatting>
  <conditionalFormatting sqref="B379:E383">
    <cfRule type="expression" dxfId="26" priority="2996" stopIfTrue="1">
      <formula>$A379="integer"</formula>
    </cfRule>
  </conditionalFormatting>
  <conditionalFormatting sqref="B379:E383">
    <cfRule type="expression" dxfId="27" priority="2997" stopIfTrue="1">
      <formula>$A379="text"</formula>
    </cfRule>
  </conditionalFormatting>
  <conditionalFormatting sqref="B379:E383">
    <cfRule type="expression" dxfId="28" priority="2998" stopIfTrue="1">
      <formula>$A379="end repeat"</formula>
    </cfRule>
  </conditionalFormatting>
  <conditionalFormatting sqref="B379:E383">
    <cfRule type="expression" dxfId="28" priority="2999" stopIfTrue="1">
      <formula>$A379="begin repeat"</formula>
    </cfRule>
  </conditionalFormatting>
  <conditionalFormatting sqref="B379:E383">
    <cfRule type="expression" dxfId="29" priority="3000" stopIfTrue="1">
      <formula>$A379="end group"</formula>
    </cfRule>
  </conditionalFormatting>
  <conditionalFormatting sqref="B379:E383">
    <cfRule type="expression" dxfId="29" priority="3001" stopIfTrue="1">
      <formula>$A379="begin group"</formula>
    </cfRule>
  </conditionalFormatting>
  <conditionalFormatting sqref="B379:B383">
    <cfRule type="expression" dxfId="30" priority="3002" stopIfTrue="1">
      <formula>$A379="comments"</formula>
    </cfRule>
  </conditionalFormatting>
  <conditionalFormatting sqref="B379:B383">
    <cfRule type="expression" dxfId="36" priority="3003" stopIfTrue="1">
      <formula>OR(AND(LEFT($A379, 14)="sensor_stream ", LEN($A379)&gt;14, NOT(ISNUMBER(SEARCH(" ", $A379, 15)))), AND(LEFT($A379, 17)="sensor_statistic ", LEN($A379)&gt;17, NOT(ISNUMBER(SEARCH(" ", $A379, 18)))))</formula>
    </cfRule>
  </conditionalFormatting>
  <conditionalFormatting sqref="B376:C376 D376:E376">
    <cfRule type="expression" dxfId="0" priority="3004" stopIfTrue="1">
      <formula>$A376="begin group"</formula>
    </cfRule>
  </conditionalFormatting>
  <conditionalFormatting sqref="B376:C376 D376:E376">
    <cfRule type="expression" dxfId="1" priority="3005" stopIfTrue="1">
      <formula>$A376="begin repeat"</formula>
    </cfRule>
  </conditionalFormatting>
  <conditionalFormatting sqref="B376:E376">
    <cfRule type="expression" dxfId="31" priority="3006" stopIfTrue="1">
      <formula>$A376="enumerator"</formula>
    </cfRule>
  </conditionalFormatting>
  <conditionalFormatting sqref="B376:E376">
    <cfRule type="expression" dxfId="2" priority="3007" stopIfTrue="1">
      <formula>$A376="text"</formula>
    </cfRule>
  </conditionalFormatting>
  <conditionalFormatting sqref="B376:E376">
    <cfRule type="expression" dxfId="3" priority="3008" stopIfTrue="1">
      <formula>$A376="integer"</formula>
    </cfRule>
  </conditionalFormatting>
  <conditionalFormatting sqref="B376:E376">
    <cfRule type="expression" dxfId="4" priority="3009" stopIfTrue="1">
      <formula>$A376="decimal"</formula>
    </cfRule>
  </conditionalFormatting>
  <conditionalFormatting sqref="B376:C376 D376:E376">
    <cfRule type="expression" dxfId="5" priority="3010" stopIfTrue="1">
      <formula>OR(AND(LEFT($A376, 16)="select_multiple ", LEN($A376)&gt;16, NOT(ISNUMBER(SEARCH(" ", $A376, 17)))), AND(LEFT($A376, 11)="select_one ", LEN($A376)&gt;11, NOT(ISNUMBER(SEARCH(" ", $A376, 12)))))</formula>
    </cfRule>
  </conditionalFormatting>
  <conditionalFormatting sqref="B376">
    <cfRule type="expression" dxfId="6" priority="3011" stopIfTrue="1">
      <formula>OR($A376="audio audit", $A376="text audit", $A376="speed violations count", $A376="speed violations list", $A376="speed violations audit")</formula>
    </cfRule>
  </conditionalFormatting>
  <conditionalFormatting sqref="B376:C376 D376:E376">
    <cfRule type="expression" dxfId="32" priority="3012" stopIfTrue="1">
      <formula>$A376="file"</formula>
    </cfRule>
  </conditionalFormatting>
  <conditionalFormatting sqref="B376:C376 D376:E376">
    <cfRule type="expression" dxfId="7" priority="3013" stopIfTrue="1">
      <formula>$A376="note"</formula>
    </cfRule>
  </conditionalFormatting>
  <conditionalFormatting sqref="B376:C376 D376:E376">
    <cfRule type="expression" dxfId="8" priority="3014" stopIfTrue="1">
      <formula>$A376="barcode"</formula>
    </cfRule>
  </conditionalFormatting>
  <conditionalFormatting sqref="B376:C376 D376:E376">
    <cfRule type="expression" dxfId="9" priority="3015" stopIfTrue="1">
      <formula>OR($A376="geopoint", $A376="geoshape", $A376="geotrace")</formula>
    </cfRule>
  </conditionalFormatting>
  <conditionalFormatting sqref="B376">
    <cfRule type="expression" dxfId="10" priority="3016" stopIfTrue="1">
      <formula>OR($A376="calculate", $A376="calculate_here")</formula>
    </cfRule>
  </conditionalFormatting>
  <conditionalFormatting sqref="B376:C376 D376:E376">
    <cfRule type="expression" dxfId="11" priority="3017" stopIfTrue="1">
      <formula>OR($A376="date", $A376="datetime", $A376="time")</formula>
    </cfRule>
  </conditionalFormatting>
  <conditionalFormatting sqref="B376:C376 D376:E376">
    <cfRule type="expression" dxfId="12" priority="3018" stopIfTrue="1">
      <formula>$A376="image"</formula>
    </cfRule>
  </conditionalFormatting>
  <conditionalFormatting sqref="B376:C376 D376:E376">
    <cfRule type="expression" dxfId="13" priority="3019" stopIfTrue="1">
      <formula>OR($A376="audio", $A376="video")</formula>
    </cfRule>
  </conditionalFormatting>
  <conditionalFormatting sqref="B376:E376">
    <cfRule type="expression" dxfId="33" priority="3020" stopIfTrue="1">
      <formula>$A376="file"</formula>
    </cfRule>
  </conditionalFormatting>
  <conditionalFormatting sqref="B376:E376">
    <cfRule type="expression" dxfId="34" priority="3021" stopIfTrue="1">
      <formula>$A376="enumerator"</formula>
    </cfRule>
  </conditionalFormatting>
  <conditionalFormatting sqref="B376:E376">
    <cfRule type="expression" dxfId="35" priority="3022" stopIfTrue="1">
      <formula>OR(AND(LEFT($A376, 14)="sensor_stream ", LEN($A376)&gt;14, NOT(ISNUMBER(SEARCH(" ", $A376, 15)))), AND(LEFT($A376, 17)="sensor_statistic ", LEN($A376)&gt;17, NOT(ISNUMBER(SEARCH(" ", $A376, 18)))))</formula>
    </cfRule>
  </conditionalFormatting>
  <conditionalFormatting sqref="B376:E376">
    <cfRule type="expression" dxfId="14" priority="3023" stopIfTrue="1">
      <formula>$A376="comments"</formula>
    </cfRule>
  </conditionalFormatting>
  <conditionalFormatting sqref="B376:E376">
    <cfRule type="expression" dxfId="15" priority="3024" stopIfTrue="1">
      <formula>OR($A376="audio", $A376="video")</formula>
    </cfRule>
  </conditionalFormatting>
  <conditionalFormatting sqref="B376:E376">
    <cfRule type="expression" dxfId="16" priority="3025" stopIfTrue="1">
      <formula>$A376="image"</formula>
    </cfRule>
  </conditionalFormatting>
  <conditionalFormatting sqref="B376:E376">
    <cfRule type="expression" dxfId="17" priority="3026" stopIfTrue="1">
      <formula>OR($A376="date", $A376="datetime", $A376="time")</formula>
    </cfRule>
  </conditionalFormatting>
  <conditionalFormatting sqref="B376:E376">
    <cfRule type="expression" dxfId="18" priority="3027" stopIfTrue="1">
      <formula>OR($A376="calculate", $A376="calculate_here")</formula>
    </cfRule>
  </conditionalFormatting>
  <conditionalFormatting sqref="B376:E376">
    <cfRule type="expression" dxfId="19" priority="3028" stopIfTrue="1">
      <formula>$A376="note"</formula>
    </cfRule>
  </conditionalFormatting>
  <conditionalFormatting sqref="B376:E376">
    <cfRule type="expression" dxfId="20" priority="3029" stopIfTrue="1">
      <formula>$A376="barcode"</formula>
    </cfRule>
  </conditionalFormatting>
  <conditionalFormatting sqref="B376:E376">
    <cfRule type="expression" dxfId="21" priority="3030" stopIfTrue="1">
      <formula>OR($A376="geopoint", $A376="geoshape", $A376="geotrace")</formula>
    </cfRule>
  </conditionalFormatting>
  <conditionalFormatting sqref="B376:E376">
    <cfRule type="expression" dxfId="22" priority="3031" stopIfTrue="1">
      <formula>OR($A376="audio audit", $A376="text audit", $A376="speed violations count", $A376="speed violations list", $A376="speed violations audit")</formula>
    </cfRule>
  </conditionalFormatting>
  <conditionalFormatting sqref="B376:E376">
    <cfRule type="expression" dxfId="23" priority="3032" stopIfTrue="1">
      <formula>OR($A376="username", $A376="phonenumber", $A376="start", $A376="end", $A376="deviceid", $A376="subscriberid", $A376="simserial", $A376="caseid")</formula>
    </cfRule>
  </conditionalFormatting>
  <conditionalFormatting sqref="B376:E376">
    <cfRule type="expression" dxfId="24" priority="3033" stopIfTrue="1">
      <formula>OR(AND(LEFT($A376, 16)="select_multiple ", LEN($A376)&gt;16, NOT(ISNUMBER(SEARCH(" ", $A376, 17)))), AND(LEFT($A376, 11)="select_one ", LEN($A376)&gt;11, NOT(ISNUMBER(SEARCH(" ", $A376, 12)))))</formula>
    </cfRule>
  </conditionalFormatting>
  <conditionalFormatting sqref="B376:E376">
    <cfRule type="expression" dxfId="25" priority="3034" stopIfTrue="1">
      <formula>$A376="decimal"</formula>
    </cfRule>
  </conditionalFormatting>
  <conditionalFormatting sqref="B376:E376">
    <cfRule type="expression" dxfId="26" priority="3035" stopIfTrue="1">
      <formula>$A376="integer"</formula>
    </cfRule>
  </conditionalFormatting>
  <conditionalFormatting sqref="B376:E376">
    <cfRule type="expression" dxfId="27" priority="3036" stopIfTrue="1">
      <formula>$A376="text"</formula>
    </cfRule>
  </conditionalFormatting>
  <conditionalFormatting sqref="B376:E376">
    <cfRule type="expression" dxfId="28" priority="3037" stopIfTrue="1">
      <formula>$A376="end repeat"</formula>
    </cfRule>
  </conditionalFormatting>
  <conditionalFormatting sqref="B376:E376">
    <cfRule type="expression" dxfId="28" priority="3038" stopIfTrue="1">
      <formula>$A376="begin repeat"</formula>
    </cfRule>
  </conditionalFormatting>
  <conditionalFormatting sqref="B376:E376">
    <cfRule type="expression" dxfId="29" priority="3039" stopIfTrue="1">
      <formula>$A376="end group"</formula>
    </cfRule>
  </conditionalFormatting>
  <conditionalFormatting sqref="B376:E376">
    <cfRule type="expression" dxfId="29" priority="3040" stopIfTrue="1">
      <formula>$A376="begin group"</formula>
    </cfRule>
  </conditionalFormatting>
  <conditionalFormatting sqref="B376">
    <cfRule type="expression" dxfId="30" priority="3041" stopIfTrue="1">
      <formula>$A376="comments"</formula>
    </cfRule>
  </conditionalFormatting>
  <conditionalFormatting sqref="B376">
    <cfRule type="expression" dxfId="36" priority="3042" stopIfTrue="1">
      <formula>OR(AND(LEFT($A376, 14)="sensor_stream ", LEN($A376)&gt;14, NOT(ISNUMBER(SEARCH(" ", $A376, 15)))), AND(LEFT($A376, 17)="sensor_statistic ", LEN($A376)&gt;17, NOT(ISNUMBER(SEARCH(" ", $A376, 18)))))</formula>
    </cfRule>
  </conditionalFormatting>
  <conditionalFormatting sqref="B373:C373 D373:E373">
    <cfRule type="expression" dxfId="0" priority="3043" stopIfTrue="1">
      <formula>$A373="begin group"</formula>
    </cfRule>
  </conditionalFormatting>
  <conditionalFormatting sqref="B373:C373 D373:E373">
    <cfRule type="expression" dxfId="1" priority="3044" stopIfTrue="1">
      <formula>$A373="begin repeat"</formula>
    </cfRule>
  </conditionalFormatting>
  <conditionalFormatting sqref="B373:E373">
    <cfRule type="expression" dxfId="31" priority="3045" stopIfTrue="1">
      <formula>$A373="enumerator"</formula>
    </cfRule>
  </conditionalFormatting>
  <conditionalFormatting sqref="B373:E373">
    <cfRule type="expression" dxfId="2" priority="3046" stopIfTrue="1">
      <formula>$A373="text"</formula>
    </cfRule>
  </conditionalFormatting>
  <conditionalFormatting sqref="B373:E373">
    <cfRule type="expression" dxfId="3" priority="3047" stopIfTrue="1">
      <formula>$A373="integer"</formula>
    </cfRule>
  </conditionalFormatting>
  <conditionalFormatting sqref="B373:E373">
    <cfRule type="expression" dxfId="4" priority="3048" stopIfTrue="1">
      <formula>$A373="decimal"</formula>
    </cfRule>
  </conditionalFormatting>
  <conditionalFormatting sqref="B373:C373 D373:E373">
    <cfRule type="expression" dxfId="5" priority="3049" stopIfTrue="1">
      <formula>OR(AND(LEFT($A373, 16)="select_multiple ", LEN($A373)&gt;16, NOT(ISNUMBER(SEARCH(" ", $A373, 17)))), AND(LEFT($A373, 11)="select_one ", LEN($A373)&gt;11, NOT(ISNUMBER(SEARCH(" ", $A373, 12)))))</formula>
    </cfRule>
  </conditionalFormatting>
  <conditionalFormatting sqref="B373">
    <cfRule type="expression" dxfId="6" priority="3050" stopIfTrue="1">
      <formula>OR($A373="audio audit", $A373="text audit", $A373="speed violations count", $A373="speed violations list", $A373="speed violations audit")</formula>
    </cfRule>
  </conditionalFormatting>
  <conditionalFormatting sqref="B373:C373 D373:E373">
    <cfRule type="expression" dxfId="32" priority="3051" stopIfTrue="1">
      <formula>$A373="file"</formula>
    </cfRule>
  </conditionalFormatting>
  <conditionalFormatting sqref="B373:C373 D373:E373">
    <cfRule type="expression" dxfId="7" priority="3052" stopIfTrue="1">
      <formula>$A373="note"</formula>
    </cfRule>
  </conditionalFormatting>
  <conditionalFormatting sqref="B373:C373 D373:E373">
    <cfRule type="expression" dxfId="8" priority="3053" stopIfTrue="1">
      <formula>$A373="barcode"</formula>
    </cfRule>
  </conditionalFormatting>
  <conditionalFormatting sqref="B373:C373 D373:E373">
    <cfRule type="expression" dxfId="9" priority="3054" stopIfTrue="1">
      <formula>OR($A373="geopoint", $A373="geoshape", $A373="geotrace")</formula>
    </cfRule>
  </conditionalFormatting>
  <conditionalFormatting sqref="B373">
    <cfRule type="expression" dxfId="10" priority="3055" stopIfTrue="1">
      <formula>OR($A373="calculate", $A373="calculate_here")</formula>
    </cfRule>
  </conditionalFormatting>
  <conditionalFormatting sqref="B373:C373 D373:E373">
    <cfRule type="expression" dxfId="11" priority="3056" stopIfTrue="1">
      <formula>OR($A373="date", $A373="datetime", $A373="time")</formula>
    </cfRule>
  </conditionalFormatting>
  <conditionalFormatting sqref="B373:C373 D373:E373">
    <cfRule type="expression" dxfId="12" priority="3057" stopIfTrue="1">
      <formula>$A373="image"</formula>
    </cfRule>
  </conditionalFormatting>
  <conditionalFormatting sqref="B373:C373 D373:E373">
    <cfRule type="expression" dxfId="13" priority="3058" stopIfTrue="1">
      <formula>OR($A373="audio", $A373="video")</formula>
    </cfRule>
  </conditionalFormatting>
  <conditionalFormatting sqref="B373:E373">
    <cfRule type="expression" dxfId="33" priority="3059" stopIfTrue="1">
      <formula>$A373="file"</formula>
    </cfRule>
  </conditionalFormatting>
  <conditionalFormatting sqref="B373:E373">
    <cfRule type="expression" dxfId="34" priority="3060" stopIfTrue="1">
      <formula>$A373="enumerator"</formula>
    </cfRule>
  </conditionalFormatting>
  <conditionalFormatting sqref="B373:E373">
    <cfRule type="expression" dxfId="35" priority="3061" stopIfTrue="1">
      <formula>OR(AND(LEFT($A373, 14)="sensor_stream ", LEN($A373)&gt;14, NOT(ISNUMBER(SEARCH(" ", $A373, 15)))), AND(LEFT($A373, 17)="sensor_statistic ", LEN($A373)&gt;17, NOT(ISNUMBER(SEARCH(" ", $A373, 18)))))</formula>
    </cfRule>
  </conditionalFormatting>
  <conditionalFormatting sqref="B373:E373">
    <cfRule type="expression" dxfId="14" priority="3062" stopIfTrue="1">
      <formula>$A373="comments"</formula>
    </cfRule>
  </conditionalFormatting>
  <conditionalFormatting sqref="B373:E373">
    <cfRule type="expression" dxfId="15" priority="3063" stopIfTrue="1">
      <formula>OR($A373="audio", $A373="video")</formula>
    </cfRule>
  </conditionalFormatting>
  <conditionalFormatting sqref="B373:E373">
    <cfRule type="expression" dxfId="16" priority="3064" stopIfTrue="1">
      <formula>$A373="image"</formula>
    </cfRule>
  </conditionalFormatting>
  <conditionalFormatting sqref="B373:E373">
    <cfRule type="expression" dxfId="17" priority="3065" stopIfTrue="1">
      <formula>OR($A373="date", $A373="datetime", $A373="time")</formula>
    </cfRule>
  </conditionalFormatting>
  <conditionalFormatting sqref="B373:E373">
    <cfRule type="expression" dxfId="18" priority="3066" stopIfTrue="1">
      <formula>OR($A373="calculate", $A373="calculate_here")</formula>
    </cfRule>
  </conditionalFormatting>
  <conditionalFormatting sqref="B373:E373">
    <cfRule type="expression" dxfId="19" priority="3067" stopIfTrue="1">
      <formula>$A373="note"</formula>
    </cfRule>
  </conditionalFormatting>
  <conditionalFormatting sqref="B373:E373">
    <cfRule type="expression" dxfId="20" priority="3068" stopIfTrue="1">
      <formula>$A373="barcode"</formula>
    </cfRule>
  </conditionalFormatting>
  <conditionalFormatting sqref="B373:E373">
    <cfRule type="expression" dxfId="21" priority="3069" stopIfTrue="1">
      <formula>OR($A373="geopoint", $A373="geoshape", $A373="geotrace")</formula>
    </cfRule>
  </conditionalFormatting>
  <conditionalFormatting sqref="B373:E373">
    <cfRule type="expression" dxfId="22" priority="3070" stopIfTrue="1">
      <formula>OR($A373="audio audit", $A373="text audit", $A373="speed violations count", $A373="speed violations list", $A373="speed violations audit")</formula>
    </cfRule>
  </conditionalFormatting>
  <conditionalFormatting sqref="B373:E373">
    <cfRule type="expression" dxfId="23" priority="3071" stopIfTrue="1">
      <formula>OR($A373="username", $A373="phonenumber", $A373="start", $A373="end", $A373="deviceid", $A373="subscriberid", $A373="simserial", $A373="caseid")</formula>
    </cfRule>
  </conditionalFormatting>
  <conditionalFormatting sqref="B373:E373">
    <cfRule type="expression" dxfId="24" priority="3072" stopIfTrue="1">
      <formula>OR(AND(LEFT($A373, 16)="select_multiple ", LEN($A373)&gt;16, NOT(ISNUMBER(SEARCH(" ", $A373, 17)))), AND(LEFT($A373, 11)="select_one ", LEN($A373)&gt;11, NOT(ISNUMBER(SEARCH(" ", $A373, 12)))))</formula>
    </cfRule>
  </conditionalFormatting>
  <conditionalFormatting sqref="B373:E373">
    <cfRule type="expression" dxfId="25" priority="3073" stopIfTrue="1">
      <formula>$A373="decimal"</formula>
    </cfRule>
  </conditionalFormatting>
  <conditionalFormatting sqref="B373:E373">
    <cfRule type="expression" dxfId="26" priority="3074" stopIfTrue="1">
      <formula>$A373="integer"</formula>
    </cfRule>
  </conditionalFormatting>
  <conditionalFormatting sqref="B373:E373">
    <cfRule type="expression" dxfId="27" priority="3075" stopIfTrue="1">
      <formula>$A373="text"</formula>
    </cfRule>
  </conditionalFormatting>
  <conditionalFormatting sqref="B373:E373">
    <cfRule type="expression" dxfId="28" priority="3076" stopIfTrue="1">
      <formula>$A373="end repeat"</formula>
    </cfRule>
  </conditionalFormatting>
  <conditionalFormatting sqref="B373:E373">
    <cfRule type="expression" dxfId="28" priority="3077" stopIfTrue="1">
      <formula>$A373="begin repeat"</formula>
    </cfRule>
  </conditionalFormatting>
  <conditionalFormatting sqref="B373:E373">
    <cfRule type="expression" dxfId="29" priority="3078" stopIfTrue="1">
      <formula>$A373="end group"</formula>
    </cfRule>
  </conditionalFormatting>
  <conditionalFormatting sqref="B373:E373">
    <cfRule type="expression" dxfId="29" priority="3079" stopIfTrue="1">
      <formula>$A373="begin group"</formula>
    </cfRule>
  </conditionalFormatting>
  <conditionalFormatting sqref="B373">
    <cfRule type="expression" dxfId="30" priority="3080" stopIfTrue="1">
      <formula>$A373="comments"</formula>
    </cfRule>
  </conditionalFormatting>
  <conditionalFormatting sqref="B373">
    <cfRule type="expression" dxfId="36" priority="3081" stopIfTrue="1">
      <formula>OR(AND(LEFT($A373, 14)="sensor_stream ", LEN($A373)&gt;14, NOT(ISNUMBER(SEARCH(" ", $A373, 15)))), AND(LEFT($A373, 17)="sensor_statistic ", LEN($A373)&gt;17, NOT(ISNUMBER(SEARCH(" ", $A373, 18)))))</formula>
    </cfRule>
  </conditionalFormatting>
  <conditionalFormatting sqref="B371:C371 D371:E371">
    <cfRule type="expression" dxfId="0" priority="3082" stopIfTrue="1">
      <formula>$A371="begin group"</formula>
    </cfRule>
  </conditionalFormatting>
  <conditionalFormatting sqref="B371:C371 D371:E371">
    <cfRule type="expression" dxfId="1" priority="3083" stopIfTrue="1">
      <formula>$A371="begin repeat"</formula>
    </cfRule>
  </conditionalFormatting>
  <conditionalFormatting sqref="B371:E371">
    <cfRule type="expression" dxfId="31" priority="3084" stopIfTrue="1">
      <formula>$A371="enumerator"</formula>
    </cfRule>
  </conditionalFormatting>
  <conditionalFormatting sqref="B371:E371">
    <cfRule type="expression" dxfId="2" priority="3085" stopIfTrue="1">
      <formula>$A371="text"</formula>
    </cfRule>
  </conditionalFormatting>
  <conditionalFormatting sqref="B371:E371">
    <cfRule type="expression" dxfId="3" priority="3086" stopIfTrue="1">
      <formula>$A371="integer"</formula>
    </cfRule>
  </conditionalFormatting>
  <conditionalFormatting sqref="B371:E371">
    <cfRule type="expression" dxfId="4" priority="3087" stopIfTrue="1">
      <formula>$A371="decimal"</formula>
    </cfRule>
  </conditionalFormatting>
  <conditionalFormatting sqref="B371:C371 D371:E371">
    <cfRule type="expression" dxfId="5" priority="3088" stopIfTrue="1">
      <formula>OR(AND(LEFT($A371, 16)="select_multiple ", LEN($A371)&gt;16, NOT(ISNUMBER(SEARCH(" ", $A371, 17)))), AND(LEFT($A371, 11)="select_one ", LEN($A371)&gt;11, NOT(ISNUMBER(SEARCH(" ", $A371, 12)))))</formula>
    </cfRule>
  </conditionalFormatting>
  <conditionalFormatting sqref="B371">
    <cfRule type="expression" dxfId="6" priority="3089" stopIfTrue="1">
      <formula>OR($A371="audio audit", $A371="text audit", $A371="speed violations count", $A371="speed violations list", $A371="speed violations audit")</formula>
    </cfRule>
  </conditionalFormatting>
  <conditionalFormatting sqref="B371:C371 D371:E371">
    <cfRule type="expression" dxfId="32" priority="3090" stopIfTrue="1">
      <formula>$A371="file"</formula>
    </cfRule>
  </conditionalFormatting>
  <conditionalFormatting sqref="B371:C371 D371:E371">
    <cfRule type="expression" dxfId="7" priority="3091" stopIfTrue="1">
      <formula>$A371="note"</formula>
    </cfRule>
  </conditionalFormatting>
  <conditionalFormatting sqref="B371:C371 D371:E371">
    <cfRule type="expression" dxfId="8" priority="3092" stopIfTrue="1">
      <formula>$A371="barcode"</formula>
    </cfRule>
  </conditionalFormatting>
  <conditionalFormatting sqref="B371:C371 D371:E371">
    <cfRule type="expression" dxfId="9" priority="3093" stopIfTrue="1">
      <formula>OR($A371="geopoint", $A371="geoshape", $A371="geotrace")</formula>
    </cfRule>
  </conditionalFormatting>
  <conditionalFormatting sqref="B371">
    <cfRule type="expression" dxfId="10" priority="3094" stopIfTrue="1">
      <formula>OR($A371="calculate", $A371="calculate_here")</formula>
    </cfRule>
  </conditionalFormatting>
  <conditionalFormatting sqref="B371:C371 D371:E371">
    <cfRule type="expression" dxfId="11" priority="3095" stopIfTrue="1">
      <formula>OR($A371="date", $A371="datetime", $A371="time")</formula>
    </cfRule>
  </conditionalFormatting>
  <conditionalFormatting sqref="B371:C371 D371:E371">
    <cfRule type="expression" dxfId="12" priority="3096" stopIfTrue="1">
      <formula>$A371="image"</formula>
    </cfRule>
  </conditionalFormatting>
  <conditionalFormatting sqref="B371:C371 D371:E371">
    <cfRule type="expression" dxfId="13" priority="3097" stopIfTrue="1">
      <formula>OR($A371="audio", $A371="video")</formula>
    </cfRule>
  </conditionalFormatting>
  <conditionalFormatting sqref="B371:E371">
    <cfRule type="expression" dxfId="33" priority="3098" stopIfTrue="1">
      <formula>$A371="file"</formula>
    </cfRule>
  </conditionalFormatting>
  <conditionalFormatting sqref="B371:E371">
    <cfRule type="expression" dxfId="34" priority="3099" stopIfTrue="1">
      <formula>$A371="enumerator"</formula>
    </cfRule>
  </conditionalFormatting>
  <conditionalFormatting sqref="B371:E371">
    <cfRule type="expression" dxfId="35" priority="3100" stopIfTrue="1">
      <formula>OR(AND(LEFT($A371, 14)="sensor_stream ", LEN($A371)&gt;14, NOT(ISNUMBER(SEARCH(" ", $A371, 15)))), AND(LEFT($A371, 17)="sensor_statistic ", LEN($A371)&gt;17, NOT(ISNUMBER(SEARCH(" ", $A371, 18)))))</formula>
    </cfRule>
  </conditionalFormatting>
  <conditionalFormatting sqref="B371:E371">
    <cfRule type="expression" dxfId="14" priority="3101" stopIfTrue="1">
      <formula>$A371="comments"</formula>
    </cfRule>
  </conditionalFormatting>
  <conditionalFormatting sqref="B371:E371">
    <cfRule type="expression" dxfId="15" priority="3102" stopIfTrue="1">
      <formula>OR($A371="audio", $A371="video")</formula>
    </cfRule>
  </conditionalFormatting>
  <conditionalFormatting sqref="B371:E371">
    <cfRule type="expression" dxfId="16" priority="3103" stopIfTrue="1">
      <formula>$A371="image"</formula>
    </cfRule>
  </conditionalFormatting>
  <conditionalFormatting sqref="B371:E371">
    <cfRule type="expression" dxfId="17" priority="3104" stopIfTrue="1">
      <formula>OR($A371="date", $A371="datetime", $A371="time")</formula>
    </cfRule>
  </conditionalFormatting>
  <conditionalFormatting sqref="B371:E371">
    <cfRule type="expression" dxfId="18" priority="3105" stopIfTrue="1">
      <formula>OR($A371="calculate", $A371="calculate_here")</formula>
    </cfRule>
  </conditionalFormatting>
  <conditionalFormatting sqref="B371:E371">
    <cfRule type="expression" dxfId="19" priority="3106" stopIfTrue="1">
      <formula>$A371="note"</formula>
    </cfRule>
  </conditionalFormatting>
  <conditionalFormatting sqref="B371:E371">
    <cfRule type="expression" dxfId="20" priority="3107" stopIfTrue="1">
      <formula>$A371="barcode"</formula>
    </cfRule>
  </conditionalFormatting>
  <conditionalFormatting sqref="B371:E371">
    <cfRule type="expression" dxfId="21" priority="3108" stopIfTrue="1">
      <formula>OR($A371="geopoint", $A371="geoshape", $A371="geotrace")</formula>
    </cfRule>
  </conditionalFormatting>
  <conditionalFormatting sqref="B371:E371">
    <cfRule type="expression" dxfId="22" priority="3109" stopIfTrue="1">
      <formula>OR($A371="audio audit", $A371="text audit", $A371="speed violations count", $A371="speed violations list", $A371="speed violations audit")</formula>
    </cfRule>
  </conditionalFormatting>
  <conditionalFormatting sqref="B371:E371">
    <cfRule type="expression" dxfId="23" priority="3110" stopIfTrue="1">
      <formula>OR($A371="username", $A371="phonenumber", $A371="start", $A371="end", $A371="deviceid", $A371="subscriberid", $A371="simserial", $A371="caseid")</formula>
    </cfRule>
  </conditionalFormatting>
  <conditionalFormatting sqref="B371:E371">
    <cfRule type="expression" dxfId="24" priority="3111" stopIfTrue="1">
      <formula>OR(AND(LEFT($A371, 16)="select_multiple ", LEN($A371)&gt;16, NOT(ISNUMBER(SEARCH(" ", $A371, 17)))), AND(LEFT($A371, 11)="select_one ", LEN($A371)&gt;11, NOT(ISNUMBER(SEARCH(" ", $A371, 12)))))</formula>
    </cfRule>
  </conditionalFormatting>
  <conditionalFormatting sqref="B371:E371">
    <cfRule type="expression" dxfId="25" priority="3112" stopIfTrue="1">
      <formula>$A371="decimal"</formula>
    </cfRule>
  </conditionalFormatting>
  <conditionalFormatting sqref="B371:E371">
    <cfRule type="expression" dxfId="26" priority="3113" stopIfTrue="1">
      <formula>$A371="integer"</formula>
    </cfRule>
  </conditionalFormatting>
  <conditionalFormatting sqref="B371:E371">
    <cfRule type="expression" dxfId="27" priority="3114" stopIfTrue="1">
      <formula>$A371="text"</formula>
    </cfRule>
  </conditionalFormatting>
  <conditionalFormatting sqref="B371:E371">
    <cfRule type="expression" dxfId="28" priority="3115" stopIfTrue="1">
      <formula>$A371="end repeat"</formula>
    </cfRule>
  </conditionalFormatting>
  <conditionalFormatting sqref="B371:E371">
    <cfRule type="expression" dxfId="28" priority="3116" stopIfTrue="1">
      <formula>$A371="begin repeat"</formula>
    </cfRule>
  </conditionalFormatting>
  <conditionalFormatting sqref="B371:E371">
    <cfRule type="expression" dxfId="29" priority="3117" stopIfTrue="1">
      <formula>$A371="end group"</formula>
    </cfRule>
  </conditionalFormatting>
  <conditionalFormatting sqref="B371:E371">
    <cfRule type="expression" dxfId="29" priority="3118" stopIfTrue="1">
      <formula>$A371="begin group"</formula>
    </cfRule>
  </conditionalFormatting>
  <conditionalFormatting sqref="B371">
    <cfRule type="expression" dxfId="30" priority="3119" stopIfTrue="1">
      <formula>$A371="comments"</formula>
    </cfRule>
  </conditionalFormatting>
  <conditionalFormatting sqref="B371">
    <cfRule type="expression" dxfId="36" priority="3120" stopIfTrue="1">
      <formula>OR(AND(LEFT($A371, 14)="sensor_stream ", LEN($A371)&gt;14, NOT(ISNUMBER(SEARCH(" ", $A371, 15)))), AND(LEFT($A371, 17)="sensor_statistic ", LEN($A371)&gt;17, NOT(ISNUMBER(SEARCH(" ", $A371, 18)))))</formula>
    </cfRule>
  </conditionalFormatting>
  <conditionalFormatting sqref="B368:C368 D368:E368">
    <cfRule type="expression" dxfId="0" priority="3121" stopIfTrue="1">
      <formula>$A368="begin group"</formula>
    </cfRule>
  </conditionalFormatting>
  <conditionalFormatting sqref="B368:C368 D368:E368">
    <cfRule type="expression" dxfId="1" priority="3122" stopIfTrue="1">
      <formula>$A368="begin repeat"</formula>
    </cfRule>
  </conditionalFormatting>
  <conditionalFormatting sqref="B368:E368">
    <cfRule type="expression" dxfId="31" priority="3123" stopIfTrue="1">
      <formula>$A368="enumerator"</formula>
    </cfRule>
  </conditionalFormatting>
  <conditionalFormatting sqref="B368:E368">
    <cfRule type="expression" dxfId="2" priority="3124" stopIfTrue="1">
      <formula>$A368="text"</formula>
    </cfRule>
  </conditionalFormatting>
  <conditionalFormatting sqref="B368:E368">
    <cfRule type="expression" dxfId="3" priority="3125" stopIfTrue="1">
      <formula>$A368="integer"</formula>
    </cfRule>
  </conditionalFormatting>
  <conditionalFormatting sqref="B368:E368">
    <cfRule type="expression" dxfId="4" priority="3126" stopIfTrue="1">
      <formula>$A368="decimal"</formula>
    </cfRule>
  </conditionalFormatting>
  <conditionalFormatting sqref="B368:C368 D368:E368">
    <cfRule type="expression" dxfId="5" priority="3127" stopIfTrue="1">
      <formula>OR(AND(LEFT($A368, 16)="select_multiple ", LEN($A368)&gt;16, NOT(ISNUMBER(SEARCH(" ", $A368, 17)))), AND(LEFT($A368, 11)="select_one ", LEN($A368)&gt;11, NOT(ISNUMBER(SEARCH(" ", $A368, 12)))))</formula>
    </cfRule>
  </conditionalFormatting>
  <conditionalFormatting sqref="B368">
    <cfRule type="expression" dxfId="6" priority="3128" stopIfTrue="1">
      <formula>OR($A368="audio audit", $A368="text audit", $A368="speed violations count", $A368="speed violations list", $A368="speed violations audit")</formula>
    </cfRule>
  </conditionalFormatting>
  <conditionalFormatting sqref="B368:C368 D368:E368">
    <cfRule type="expression" dxfId="32" priority="3129" stopIfTrue="1">
      <formula>$A368="file"</formula>
    </cfRule>
  </conditionalFormatting>
  <conditionalFormatting sqref="B368:C368 D368:E368">
    <cfRule type="expression" dxfId="7" priority="3130" stopIfTrue="1">
      <formula>$A368="note"</formula>
    </cfRule>
  </conditionalFormatting>
  <conditionalFormatting sqref="B368:C368 D368:E368">
    <cfRule type="expression" dxfId="8" priority="3131" stopIfTrue="1">
      <formula>$A368="barcode"</formula>
    </cfRule>
  </conditionalFormatting>
  <conditionalFormatting sqref="B368:C368 D368:E368">
    <cfRule type="expression" dxfId="9" priority="3132" stopIfTrue="1">
      <formula>OR($A368="geopoint", $A368="geoshape", $A368="geotrace")</formula>
    </cfRule>
  </conditionalFormatting>
  <conditionalFormatting sqref="B368">
    <cfRule type="expression" dxfId="10" priority="3133" stopIfTrue="1">
      <formula>OR($A368="calculate", $A368="calculate_here")</formula>
    </cfRule>
  </conditionalFormatting>
  <conditionalFormatting sqref="B368:C368 D368:E368">
    <cfRule type="expression" dxfId="11" priority="3134" stopIfTrue="1">
      <formula>OR($A368="date", $A368="datetime", $A368="time")</formula>
    </cfRule>
  </conditionalFormatting>
  <conditionalFormatting sqref="B368:C368 D368:E368">
    <cfRule type="expression" dxfId="12" priority="3135" stopIfTrue="1">
      <formula>$A368="image"</formula>
    </cfRule>
  </conditionalFormatting>
  <conditionalFormatting sqref="B368:C368 D368:E368">
    <cfRule type="expression" dxfId="13" priority="3136" stopIfTrue="1">
      <formula>OR($A368="audio", $A368="video")</formula>
    </cfRule>
  </conditionalFormatting>
  <conditionalFormatting sqref="B368:E368">
    <cfRule type="expression" dxfId="33" priority="3137" stopIfTrue="1">
      <formula>$A368="file"</formula>
    </cfRule>
  </conditionalFormatting>
  <conditionalFormatting sqref="B368:E368">
    <cfRule type="expression" dxfId="34" priority="3138" stopIfTrue="1">
      <formula>$A368="enumerator"</formula>
    </cfRule>
  </conditionalFormatting>
  <conditionalFormatting sqref="B368:E368">
    <cfRule type="expression" dxfId="35" priority="3139" stopIfTrue="1">
      <formula>OR(AND(LEFT($A368, 14)="sensor_stream ", LEN($A368)&gt;14, NOT(ISNUMBER(SEARCH(" ", $A368, 15)))), AND(LEFT($A368, 17)="sensor_statistic ", LEN($A368)&gt;17, NOT(ISNUMBER(SEARCH(" ", $A368, 18)))))</formula>
    </cfRule>
  </conditionalFormatting>
  <conditionalFormatting sqref="B368:E368">
    <cfRule type="expression" dxfId="14" priority="3140" stopIfTrue="1">
      <formula>$A368="comments"</formula>
    </cfRule>
  </conditionalFormatting>
  <conditionalFormatting sqref="B368:E368">
    <cfRule type="expression" dxfId="15" priority="3141" stopIfTrue="1">
      <formula>OR($A368="audio", $A368="video")</formula>
    </cfRule>
  </conditionalFormatting>
  <conditionalFormatting sqref="B368:E368">
    <cfRule type="expression" dxfId="16" priority="3142" stopIfTrue="1">
      <formula>$A368="image"</formula>
    </cfRule>
  </conditionalFormatting>
  <conditionalFormatting sqref="B368:E368">
    <cfRule type="expression" dxfId="17" priority="3143" stopIfTrue="1">
      <formula>OR($A368="date", $A368="datetime", $A368="time")</formula>
    </cfRule>
  </conditionalFormatting>
  <conditionalFormatting sqref="B368:E368">
    <cfRule type="expression" dxfId="18" priority="3144" stopIfTrue="1">
      <formula>OR($A368="calculate", $A368="calculate_here")</formula>
    </cfRule>
  </conditionalFormatting>
  <conditionalFormatting sqref="B368:E368">
    <cfRule type="expression" dxfId="19" priority="3145" stopIfTrue="1">
      <formula>$A368="note"</formula>
    </cfRule>
  </conditionalFormatting>
  <conditionalFormatting sqref="B368:E368">
    <cfRule type="expression" dxfId="20" priority="3146" stopIfTrue="1">
      <formula>$A368="barcode"</formula>
    </cfRule>
  </conditionalFormatting>
  <conditionalFormatting sqref="B368:E368">
    <cfRule type="expression" dxfId="21" priority="3147" stopIfTrue="1">
      <formula>OR($A368="geopoint", $A368="geoshape", $A368="geotrace")</formula>
    </cfRule>
  </conditionalFormatting>
  <conditionalFormatting sqref="B368:E368">
    <cfRule type="expression" dxfId="22" priority="3148" stopIfTrue="1">
      <formula>OR($A368="audio audit", $A368="text audit", $A368="speed violations count", $A368="speed violations list", $A368="speed violations audit")</formula>
    </cfRule>
  </conditionalFormatting>
  <conditionalFormatting sqref="B368:E368">
    <cfRule type="expression" dxfId="23" priority="3149" stopIfTrue="1">
      <formula>OR($A368="username", $A368="phonenumber", $A368="start", $A368="end", $A368="deviceid", $A368="subscriberid", $A368="simserial", $A368="caseid")</formula>
    </cfRule>
  </conditionalFormatting>
  <conditionalFormatting sqref="B368:E368">
    <cfRule type="expression" dxfId="24" priority="3150" stopIfTrue="1">
      <formula>OR(AND(LEFT($A368, 16)="select_multiple ", LEN($A368)&gt;16, NOT(ISNUMBER(SEARCH(" ", $A368, 17)))), AND(LEFT($A368, 11)="select_one ", LEN($A368)&gt;11, NOT(ISNUMBER(SEARCH(" ", $A368, 12)))))</formula>
    </cfRule>
  </conditionalFormatting>
  <conditionalFormatting sqref="B368:E368">
    <cfRule type="expression" dxfId="25" priority="3151" stopIfTrue="1">
      <formula>$A368="decimal"</formula>
    </cfRule>
  </conditionalFormatting>
  <conditionalFormatting sqref="B368:E368">
    <cfRule type="expression" dxfId="26" priority="3152" stopIfTrue="1">
      <formula>$A368="integer"</formula>
    </cfRule>
  </conditionalFormatting>
  <conditionalFormatting sqref="B368:E368">
    <cfRule type="expression" dxfId="27" priority="3153" stopIfTrue="1">
      <formula>$A368="text"</formula>
    </cfRule>
  </conditionalFormatting>
  <conditionalFormatting sqref="B368:E368">
    <cfRule type="expression" dxfId="28" priority="3154" stopIfTrue="1">
      <formula>$A368="end repeat"</formula>
    </cfRule>
  </conditionalFormatting>
  <conditionalFormatting sqref="B368:E368">
    <cfRule type="expression" dxfId="28" priority="3155" stopIfTrue="1">
      <formula>$A368="begin repeat"</formula>
    </cfRule>
  </conditionalFormatting>
  <conditionalFormatting sqref="B368:E368">
    <cfRule type="expression" dxfId="29" priority="3156" stopIfTrue="1">
      <formula>$A368="end group"</formula>
    </cfRule>
  </conditionalFormatting>
  <conditionalFormatting sqref="B368:E368">
    <cfRule type="expression" dxfId="29" priority="3157" stopIfTrue="1">
      <formula>$A368="begin group"</formula>
    </cfRule>
  </conditionalFormatting>
  <conditionalFormatting sqref="B368">
    <cfRule type="expression" dxfId="30" priority="3158" stopIfTrue="1">
      <formula>$A368="comments"</formula>
    </cfRule>
  </conditionalFormatting>
  <conditionalFormatting sqref="B368">
    <cfRule type="expression" dxfId="36" priority="3159" stopIfTrue="1">
      <formula>OR(AND(LEFT($A368, 14)="sensor_stream ", LEN($A368)&gt;14, NOT(ISNUMBER(SEARCH(" ", $A368, 15)))), AND(LEFT($A368, 17)="sensor_statistic ", LEN($A368)&gt;17, NOT(ISNUMBER(SEARCH(" ", $A368, 18)))))</formula>
    </cfRule>
  </conditionalFormatting>
  <conditionalFormatting sqref="B355:C365 D355:E365">
    <cfRule type="expression" dxfId="0" priority="3160" stopIfTrue="1">
      <formula>$A355="begin group"</formula>
    </cfRule>
  </conditionalFormatting>
  <conditionalFormatting sqref="B355:C365 D355:E365">
    <cfRule type="expression" dxfId="1" priority="3161" stopIfTrue="1">
      <formula>$A355="begin repeat"</formula>
    </cfRule>
  </conditionalFormatting>
  <conditionalFormatting sqref="B355:E365">
    <cfRule type="expression" dxfId="31" priority="3162" stopIfTrue="1">
      <formula>$A355="enumerator"</formula>
    </cfRule>
  </conditionalFormatting>
  <conditionalFormatting sqref="B355:E365">
    <cfRule type="expression" dxfId="2" priority="3163" stopIfTrue="1">
      <formula>$A355="text"</formula>
    </cfRule>
  </conditionalFormatting>
  <conditionalFormatting sqref="B355:E365">
    <cfRule type="expression" dxfId="3" priority="3164" stopIfTrue="1">
      <formula>$A355="integer"</formula>
    </cfRule>
  </conditionalFormatting>
  <conditionalFormatting sqref="B355:E365">
    <cfRule type="expression" dxfId="4" priority="3165" stopIfTrue="1">
      <formula>$A355="decimal"</formula>
    </cfRule>
  </conditionalFormatting>
  <conditionalFormatting sqref="B355:C365 D355:E365">
    <cfRule type="expression" dxfId="5" priority="3166" stopIfTrue="1">
      <formula>OR(AND(LEFT($A355, 16)="select_multiple ", LEN($A355)&gt;16, NOT(ISNUMBER(SEARCH(" ", $A355, 17)))), AND(LEFT($A355, 11)="select_one ", LEN($A355)&gt;11, NOT(ISNUMBER(SEARCH(" ", $A355, 12)))))</formula>
    </cfRule>
  </conditionalFormatting>
  <conditionalFormatting sqref="B355:B365">
    <cfRule type="expression" dxfId="6" priority="3167" stopIfTrue="1">
      <formula>OR($A355="audio audit", $A355="text audit", $A355="speed violations count", $A355="speed violations list", $A355="speed violations audit")</formula>
    </cfRule>
  </conditionalFormatting>
  <conditionalFormatting sqref="B355:C365 D355:E365">
    <cfRule type="expression" dxfId="32" priority="3168" stopIfTrue="1">
      <formula>$A355="file"</formula>
    </cfRule>
  </conditionalFormatting>
  <conditionalFormatting sqref="B355:C365 D355:E365">
    <cfRule type="expression" dxfId="7" priority="3169" stopIfTrue="1">
      <formula>$A355="note"</formula>
    </cfRule>
  </conditionalFormatting>
  <conditionalFormatting sqref="B355:C365 D355:E365">
    <cfRule type="expression" dxfId="8" priority="3170" stopIfTrue="1">
      <formula>$A355="barcode"</formula>
    </cfRule>
  </conditionalFormatting>
  <conditionalFormatting sqref="B355:C365 D355:E365">
    <cfRule type="expression" dxfId="9" priority="3171" stopIfTrue="1">
      <formula>OR($A355="geopoint", $A355="geoshape", $A355="geotrace")</formula>
    </cfRule>
  </conditionalFormatting>
  <conditionalFormatting sqref="B355:B365">
    <cfRule type="expression" dxfId="10" priority="3172" stopIfTrue="1">
      <formula>OR($A355="calculate", $A355="calculate_here")</formula>
    </cfRule>
  </conditionalFormatting>
  <conditionalFormatting sqref="B355:C365 D355:E365">
    <cfRule type="expression" dxfId="11" priority="3173" stopIfTrue="1">
      <formula>OR($A355="date", $A355="datetime", $A355="time")</formula>
    </cfRule>
  </conditionalFormatting>
  <conditionalFormatting sqref="B355:C365 D355:E365">
    <cfRule type="expression" dxfId="12" priority="3174" stopIfTrue="1">
      <formula>$A355="image"</formula>
    </cfRule>
  </conditionalFormatting>
  <conditionalFormatting sqref="B355:C365 D355:E365">
    <cfRule type="expression" dxfId="13" priority="3175" stopIfTrue="1">
      <formula>OR($A355="audio", $A355="video")</formula>
    </cfRule>
  </conditionalFormatting>
  <conditionalFormatting sqref="B355:E365">
    <cfRule type="expression" dxfId="33" priority="3176" stopIfTrue="1">
      <formula>$A355="file"</formula>
    </cfRule>
  </conditionalFormatting>
  <conditionalFormatting sqref="B355:E365">
    <cfRule type="expression" dxfId="34" priority="3177" stopIfTrue="1">
      <formula>$A355="enumerator"</formula>
    </cfRule>
  </conditionalFormatting>
  <conditionalFormatting sqref="B355:E365">
    <cfRule type="expression" dxfId="35" priority="3178" stopIfTrue="1">
      <formula>OR(AND(LEFT($A355, 14)="sensor_stream ", LEN($A355)&gt;14, NOT(ISNUMBER(SEARCH(" ", $A355, 15)))), AND(LEFT($A355, 17)="sensor_statistic ", LEN($A355)&gt;17, NOT(ISNUMBER(SEARCH(" ", $A355, 18)))))</formula>
    </cfRule>
  </conditionalFormatting>
  <conditionalFormatting sqref="B355:E365">
    <cfRule type="expression" dxfId="14" priority="3179" stopIfTrue="1">
      <formula>$A355="comments"</formula>
    </cfRule>
  </conditionalFormatting>
  <conditionalFormatting sqref="B355:E365">
    <cfRule type="expression" dxfId="15" priority="3180" stopIfTrue="1">
      <formula>OR($A355="audio", $A355="video")</formula>
    </cfRule>
  </conditionalFormatting>
  <conditionalFormatting sqref="B355:E365">
    <cfRule type="expression" dxfId="16" priority="3181" stopIfTrue="1">
      <formula>$A355="image"</formula>
    </cfRule>
  </conditionalFormatting>
  <conditionalFormatting sqref="B355:E365">
    <cfRule type="expression" dxfId="17" priority="3182" stopIfTrue="1">
      <formula>OR($A355="date", $A355="datetime", $A355="time")</formula>
    </cfRule>
  </conditionalFormatting>
  <conditionalFormatting sqref="B355:E365">
    <cfRule type="expression" dxfId="18" priority="3183" stopIfTrue="1">
      <formula>OR($A355="calculate", $A355="calculate_here")</formula>
    </cfRule>
  </conditionalFormatting>
  <conditionalFormatting sqref="B355:E365">
    <cfRule type="expression" dxfId="19" priority="3184" stopIfTrue="1">
      <formula>$A355="note"</formula>
    </cfRule>
  </conditionalFormatting>
  <conditionalFormatting sqref="B355:E365">
    <cfRule type="expression" dxfId="20" priority="3185" stopIfTrue="1">
      <formula>$A355="barcode"</formula>
    </cfRule>
  </conditionalFormatting>
  <conditionalFormatting sqref="B355:E365">
    <cfRule type="expression" dxfId="21" priority="3186" stopIfTrue="1">
      <formula>OR($A355="geopoint", $A355="geoshape", $A355="geotrace")</formula>
    </cfRule>
  </conditionalFormatting>
  <conditionalFormatting sqref="B355:E365">
    <cfRule type="expression" dxfId="22" priority="3187" stopIfTrue="1">
      <formula>OR($A355="audio audit", $A355="text audit", $A355="speed violations count", $A355="speed violations list", $A355="speed violations audit")</formula>
    </cfRule>
  </conditionalFormatting>
  <conditionalFormatting sqref="B355:E365">
    <cfRule type="expression" dxfId="23" priority="3188" stopIfTrue="1">
      <formula>OR($A355="username", $A355="phonenumber", $A355="start", $A355="end", $A355="deviceid", $A355="subscriberid", $A355="simserial", $A355="caseid")</formula>
    </cfRule>
  </conditionalFormatting>
  <conditionalFormatting sqref="B355:E365">
    <cfRule type="expression" dxfId="24" priority="3189" stopIfTrue="1">
      <formula>OR(AND(LEFT($A355, 16)="select_multiple ", LEN($A355)&gt;16, NOT(ISNUMBER(SEARCH(" ", $A355, 17)))), AND(LEFT($A355, 11)="select_one ", LEN($A355)&gt;11, NOT(ISNUMBER(SEARCH(" ", $A355, 12)))))</formula>
    </cfRule>
  </conditionalFormatting>
  <conditionalFormatting sqref="B355:E365">
    <cfRule type="expression" dxfId="25" priority="3190" stopIfTrue="1">
      <formula>$A355="decimal"</formula>
    </cfRule>
  </conditionalFormatting>
  <conditionalFormatting sqref="B355:E365">
    <cfRule type="expression" dxfId="26" priority="3191" stopIfTrue="1">
      <formula>$A355="integer"</formula>
    </cfRule>
  </conditionalFormatting>
  <conditionalFormatting sqref="B355:E365">
    <cfRule type="expression" dxfId="27" priority="3192" stopIfTrue="1">
      <formula>$A355="text"</formula>
    </cfRule>
  </conditionalFormatting>
  <conditionalFormatting sqref="B355:E365">
    <cfRule type="expression" dxfId="28" priority="3193" stopIfTrue="1">
      <formula>$A355="end repeat"</formula>
    </cfRule>
  </conditionalFormatting>
  <conditionalFormatting sqref="B355:E365">
    <cfRule type="expression" dxfId="28" priority="3194" stopIfTrue="1">
      <formula>$A355="begin repeat"</formula>
    </cfRule>
  </conditionalFormatting>
  <conditionalFormatting sqref="B355:E365">
    <cfRule type="expression" dxfId="29" priority="3195" stopIfTrue="1">
      <formula>$A355="end group"</formula>
    </cfRule>
  </conditionalFormatting>
  <conditionalFormatting sqref="B355:E365">
    <cfRule type="expression" dxfId="29" priority="3196" stopIfTrue="1">
      <formula>$A355="begin group"</formula>
    </cfRule>
  </conditionalFormatting>
  <conditionalFormatting sqref="B355:B365">
    <cfRule type="expression" dxfId="30" priority="3197" stopIfTrue="1">
      <formula>$A355="comments"</formula>
    </cfRule>
  </conditionalFormatting>
  <conditionalFormatting sqref="B355:B365">
    <cfRule type="expression" dxfId="36" priority="3198" stopIfTrue="1">
      <formula>OR(AND(LEFT($A355, 14)="sensor_stream ", LEN($A355)&gt;14, NOT(ISNUMBER(SEARCH(" ", $A355, 15)))), AND(LEFT($A355, 17)="sensor_statistic ", LEN($A355)&gt;17, NOT(ISNUMBER(SEARCH(" ", $A355, 18)))))</formula>
    </cfRule>
  </conditionalFormatting>
  <conditionalFormatting sqref="B348:C352 D348:E352">
    <cfRule type="expression" dxfId="0" priority="3199" stopIfTrue="1">
      <formula>$A348="begin group"</formula>
    </cfRule>
  </conditionalFormatting>
  <conditionalFormatting sqref="B348:C352 D348:E352">
    <cfRule type="expression" dxfId="1" priority="3200" stopIfTrue="1">
      <formula>$A348="begin repeat"</formula>
    </cfRule>
  </conditionalFormatting>
  <conditionalFormatting sqref="B348:E352">
    <cfRule type="expression" dxfId="31" priority="3201" stopIfTrue="1">
      <formula>$A348="enumerator"</formula>
    </cfRule>
  </conditionalFormatting>
  <conditionalFormatting sqref="B348:E352">
    <cfRule type="expression" dxfId="2" priority="3202" stopIfTrue="1">
      <formula>$A348="text"</formula>
    </cfRule>
  </conditionalFormatting>
  <conditionalFormatting sqref="B348:E352">
    <cfRule type="expression" dxfId="3" priority="3203" stopIfTrue="1">
      <formula>$A348="integer"</formula>
    </cfRule>
  </conditionalFormatting>
  <conditionalFormatting sqref="B348:E352">
    <cfRule type="expression" dxfId="4" priority="3204" stopIfTrue="1">
      <formula>$A348="decimal"</formula>
    </cfRule>
  </conditionalFormatting>
  <conditionalFormatting sqref="B348:C352 D348:E352">
    <cfRule type="expression" dxfId="5" priority="3205" stopIfTrue="1">
      <formula>OR(AND(LEFT($A348, 16)="select_multiple ", LEN($A348)&gt;16, NOT(ISNUMBER(SEARCH(" ", $A348, 17)))), AND(LEFT($A348, 11)="select_one ", LEN($A348)&gt;11, NOT(ISNUMBER(SEARCH(" ", $A348, 12)))))</formula>
    </cfRule>
  </conditionalFormatting>
  <conditionalFormatting sqref="B348:B352">
    <cfRule type="expression" dxfId="6" priority="3206" stopIfTrue="1">
      <formula>OR($A348="audio audit", $A348="text audit", $A348="speed violations count", $A348="speed violations list", $A348="speed violations audit")</formula>
    </cfRule>
  </conditionalFormatting>
  <conditionalFormatting sqref="B348:C352 D348:E352">
    <cfRule type="expression" dxfId="32" priority="3207" stopIfTrue="1">
      <formula>$A348="file"</formula>
    </cfRule>
  </conditionalFormatting>
  <conditionalFormatting sqref="B348:C352 D348:E352">
    <cfRule type="expression" dxfId="7" priority="3208" stopIfTrue="1">
      <formula>$A348="note"</formula>
    </cfRule>
  </conditionalFormatting>
  <conditionalFormatting sqref="B348:C352 D348:E352">
    <cfRule type="expression" dxfId="8" priority="3209" stopIfTrue="1">
      <formula>$A348="barcode"</formula>
    </cfRule>
  </conditionalFormatting>
  <conditionalFormatting sqref="B348:C352 D348:E352">
    <cfRule type="expression" dxfId="9" priority="3210" stopIfTrue="1">
      <formula>OR($A348="geopoint", $A348="geoshape", $A348="geotrace")</formula>
    </cfRule>
  </conditionalFormatting>
  <conditionalFormatting sqref="B348:B352">
    <cfRule type="expression" dxfId="10" priority="3211" stopIfTrue="1">
      <formula>OR($A348="calculate", $A348="calculate_here")</formula>
    </cfRule>
  </conditionalFormatting>
  <conditionalFormatting sqref="B348:C352 D348:E352">
    <cfRule type="expression" dxfId="11" priority="3212" stopIfTrue="1">
      <formula>OR($A348="date", $A348="datetime", $A348="time")</formula>
    </cfRule>
  </conditionalFormatting>
  <conditionalFormatting sqref="B348:C352 D348:E352">
    <cfRule type="expression" dxfId="12" priority="3213" stopIfTrue="1">
      <formula>$A348="image"</formula>
    </cfRule>
  </conditionalFormatting>
  <conditionalFormatting sqref="B348:C352 D348:E352">
    <cfRule type="expression" dxfId="13" priority="3214" stopIfTrue="1">
      <formula>OR($A348="audio", $A348="video")</formula>
    </cfRule>
  </conditionalFormatting>
  <conditionalFormatting sqref="B348:E352">
    <cfRule type="expression" dxfId="33" priority="3215" stopIfTrue="1">
      <formula>$A348="file"</formula>
    </cfRule>
  </conditionalFormatting>
  <conditionalFormatting sqref="B348:E352">
    <cfRule type="expression" dxfId="34" priority="3216" stopIfTrue="1">
      <formula>$A348="enumerator"</formula>
    </cfRule>
  </conditionalFormatting>
  <conditionalFormatting sqref="B348:E352">
    <cfRule type="expression" dxfId="35" priority="3217" stopIfTrue="1">
      <formula>OR(AND(LEFT($A348, 14)="sensor_stream ", LEN($A348)&gt;14, NOT(ISNUMBER(SEARCH(" ", $A348, 15)))), AND(LEFT($A348, 17)="sensor_statistic ", LEN($A348)&gt;17, NOT(ISNUMBER(SEARCH(" ", $A348, 18)))))</formula>
    </cfRule>
  </conditionalFormatting>
  <conditionalFormatting sqref="B348:E352">
    <cfRule type="expression" dxfId="14" priority="3218" stopIfTrue="1">
      <formula>$A348="comments"</formula>
    </cfRule>
  </conditionalFormatting>
  <conditionalFormatting sqref="B348:E352">
    <cfRule type="expression" dxfId="15" priority="3219" stopIfTrue="1">
      <formula>OR($A348="audio", $A348="video")</formula>
    </cfRule>
  </conditionalFormatting>
  <conditionalFormatting sqref="B348:E352">
    <cfRule type="expression" dxfId="16" priority="3220" stopIfTrue="1">
      <formula>$A348="image"</formula>
    </cfRule>
  </conditionalFormatting>
  <conditionalFormatting sqref="B348:E352">
    <cfRule type="expression" dxfId="17" priority="3221" stopIfTrue="1">
      <formula>OR($A348="date", $A348="datetime", $A348="time")</formula>
    </cfRule>
  </conditionalFormatting>
  <conditionalFormatting sqref="B348:E352">
    <cfRule type="expression" dxfId="18" priority="3222" stopIfTrue="1">
      <formula>OR($A348="calculate", $A348="calculate_here")</formula>
    </cfRule>
  </conditionalFormatting>
  <conditionalFormatting sqref="B348:E352">
    <cfRule type="expression" dxfId="19" priority="3223" stopIfTrue="1">
      <formula>$A348="note"</formula>
    </cfRule>
  </conditionalFormatting>
  <conditionalFormatting sqref="B348:E352">
    <cfRule type="expression" dxfId="20" priority="3224" stopIfTrue="1">
      <formula>$A348="barcode"</formula>
    </cfRule>
  </conditionalFormatting>
  <conditionalFormatting sqref="B348:E352">
    <cfRule type="expression" dxfId="21" priority="3225" stopIfTrue="1">
      <formula>OR($A348="geopoint", $A348="geoshape", $A348="geotrace")</formula>
    </cfRule>
  </conditionalFormatting>
  <conditionalFormatting sqref="B348:E352">
    <cfRule type="expression" dxfId="22" priority="3226" stopIfTrue="1">
      <formula>OR($A348="audio audit", $A348="text audit", $A348="speed violations count", $A348="speed violations list", $A348="speed violations audit")</formula>
    </cfRule>
  </conditionalFormatting>
  <conditionalFormatting sqref="B348:E352">
    <cfRule type="expression" dxfId="23" priority="3227" stopIfTrue="1">
      <formula>OR($A348="username", $A348="phonenumber", $A348="start", $A348="end", $A348="deviceid", $A348="subscriberid", $A348="simserial", $A348="caseid")</formula>
    </cfRule>
  </conditionalFormatting>
  <conditionalFormatting sqref="B348:E352">
    <cfRule type="expression" dxfId="24" priority="3228" stopIfTrue="1">
      <formula>OR(AND(LEFT($A348, 16)="select_multiple ", LEN($A348)&gt;16, NOT(ISNUMBER(SEARCH(" ", $A348, 17)))), AND(LEFT($A348, 11)="select_one ", LEN($A348)&gt;11, NOT(ISNUMBER(SEARCH(" ", $A348, 12)))))</formula>
    </cfRule>
  </conditionalFormatting>
  <conditionalFormatting sqref="B348:E352">
    <cfRule type="expression" dxfId="25" priority="3229" stopIfTrue="1">
      <formula>$A348="decimal"</formula>
    </cfRule>
  </conditionalFormatting>
  <conditionalFormatting sqref="B348:E352">
    <cfRule type="expression" dxfId="26" priority="3230" stopIfTrue="1">
      <formula>$A348="integer"</formula>
    </cfRule>
  </conditionalFormatting>
  <conditionalFormatting sqref="B348:E352">
    <cfRule type="expression" dxfId="27" priority="3231" stopIfTrue="1">
      <formula>$A348="text"</formula>
    </cfRule>
  </conditionalFormatting>
  <conditionalFormatting sqref="B348:E352">
    <cfRule type="expression" dxfId="28" priority="3232" stopIfTrue="1">
      <formula>$A348="end repeat"</formula>
    </cfRule>
  </conditionalFormatting>
  <conditionalFormatting sqref="B348:E352">
    <cfRule type="expression" dxfId="28" priority="3233" stopIfTrue="1">
      <formula>$A348="begin repeat"</formula>
    </cfRule>
  </conditionalFormatting>
  <conditionalFormatting sqref="B348:E352">
    <cfRule type="expression" dxfId="29" priority="3234" stopIfTrue="1">
      <formula>$A348="end group"</formula>
    </cfRule>
  </conditionalFormatting>
  <conditionalFormatting sqref="B348:E352">
    <cfRule type="expression" dxfId="29" priority="3235" stopIfTrue="1">
      <formula>$A348="begin group"</formula>
    </cfRule>
  </conditionalFormatting>
  <conditionalFormatting sqref="B348:B352">
    <cfRule type="expression" dxfId="30" priority="3236" stopIfTrue="1">
      <formula>$A348="comments"</formula>
    </cfRule>
  </conditionalFormatting>
  <conditionalFormatting sqref="B348:B352">
    <cfRule type="expression" dxfId="36" priority="3237" stopIfTrue="1">
      <formula>OR(AND(LEFT($A348, 14)="sensor_stream ", LEN($A348)&gt;14, NOT(ISNUMBER(SEARCH(" ", $A348, 15)))), AND(LEFT($A348, 17)="sensor_statistic ", LEN($A348)&gt;17, NOT(ISNUMBER(SEARCH(" ", $A348, 18)))))</formula>
    </cfRule>
  </conditionalFormatting>
  <conditionalFormatting sqref="B341:C345 D341:E345">
    <cfRule type="expression" dxfId="0" priority="3238" stopIfTrue="1">
      <formula>$A341="begin group"</formula>
    </cfRule>
  </conditionalFormatting>
  <conditionalFormatting sqref="B341:C345 D341:E345">
    <cfRule type="expression" dxfId="1" priority="3239" stopIfTrue="1">
      <formula>$A341="begin repeat"</formula>
    </cfRule>
  </conditionalFormatting>
  <conditionalFormatting sqref="B341:E345">
    <cfRule type="expression" dxfId="31" priority="3240" stopIfTrue="1">
      <formula>$A341="enumerator"</formula>
    </cfRule>
  </conditionalFormatting>
  <conditionalFormatting sqref="B341:E345">
    <cfRule type="expression" dxfId="2" priority="3241" stopIfTrue="1">
      <formula>$A341="text"</formula>
    </cfRule>
  </conditionalFormatting>
  <conditionalFormatting sqref="B341:E345">
    <cfRule type="expression" dxfId="3" priority="3242" stopIfTrue="1">
      <formula>$A341="integer"</formula>
    </cfRule>
  </conditionalFormatting>
  <conditionalFormatting sqref="B341:E345">
    <cfRule type="expression" dxfId="4" priority="3243" stopIfTrue="1">
      <formula>$A341="decimal"</formula>
    </cfRule>
  </conditionalFormatting>
  <conditionalFormatting sqref="B341:C345 D341:E345">
    <cfRule type="expression" dxfId="5" priority="3244" stopIfTrue="1">
      <formula>OR(AND(LEFT($A341, 16)="select_multiple ", LEN($A341)&gt;16, NOT(ISNUMBER(SEARCH(" ", $A341, 17)))), AND(LEFT($A341, 11)="select_one ", LEN($A341)&gt;11, NOT(ISNUMBER(SEARCH(" ", $A341, 12)))))</formula>
    </cfRule>
  </conditionalFormatting>
  <conditionalFormatting sqref="B341:B345">
    <cfRule type="expression" dxfId="6" priority="3245" stopIfTrue="1">
      <formula>OR($A341="audio audit", $A341="text audit", $A341="speed violations count", $A341="speed violations list", $A341="speed violations audit")</formula>
    </cfRule>
  </conditionalFormatting>
  <conditionalFormatting sqref="B341:C345 D341:E345">
    <cfRule type="expression" dxfId="32" priority="3246" stopIfTrue="1">
      <formula>$A341="file"</formula>
    </cfRule>
  </conditionalFormatting>
  <conditionalFormatting sqref="B341:C345 D341:E345">
    <cfRule type="expression" dxfId="7" priority="3247" stopIfTrue="1">
      <formula>$A341="note"</formula>
    </cfRule>
  </conditionalFormatting>
  <conditionalFormatting sqref="B341:C345 D341:E345">
    <cfRule type="expression" dxfId="8" priority="3248" stopIfTrue="1">
      <formula>$A341="barcode"</formula>
    </cfRule>
  </conditionalFormatting>
  <conditionalFormatting sqref="B341:C345 D341:E345">
    <cfRule type="expression" dxfId="9" priority="3249" stopIfTrue="1">
      <formula>OR($A341="geopoint", $A341="geoshape", $A341="geotrace")</formula>
    </cfRule>
  </conditionalFormatting>
  <conditionalFormatting sqref="B341:B345">
    <cfRule type="expression" dxfId="10" priority="3250" stopIfTrue="1">
      <formula>OR($A341="calculate", $A341="calculate_here")</formula>
    </cfRule>
  </conditionalFormatting>
  <conditionalFormatting sqref="B341:C345 D341:E345">
    <cfRule type="expression" dxfId="11" priority="3251" stopIfTrue="1">
      <formula>OR($A341="date", $A341="datetime", $A341="time")</formula>
    </cfRule>
  </conditionalFormatting>
  <conditionalFormatting sqref="B341:C345 D341:E345">
    <cfRule type="expression" dxfId="12" priority="3252" stopIfTrue="1">
      <formula>$A341="image"</formula>
    </cfRule>
  </conditionalFormatting>
  <conditionalFormatting sqref="B341:C345 D341:E345">
    <cfRule type="expression" dxfId="13" priority="3253" stopIfTrue="1">
      <formula>OR($A341="audio", $A341="video")</formula>
    </cfRule>
  </conditionalFormatting>
  <conditionalFormatting sqref="B341:E345">
    <cfRule type="expression" dxfId="33" priority="3254" stopIfTrue="1">
      <formula>$A341="file"</formula>
    </cfRule>
  </conditionalFormatting>
  <conditionalFormatting sqref="B341:E345">
    <cfRule type="expression" dxfId="34" priority="3255" stopIfTrue="1">
      <formula>$A341="enumerator"</formula>
    </cfRule>
  </conditionalFormatting>
  <conditionalFormatting sqref="B341:E345">
    <cfRule type="expression" dxfId="35" priority="3256" stopIfTrue="1">
      <formula>OR(AND(LEFT($A341, 14)="sensor_stream ", LEN($A341)&gt;14, NOT(ISNUMBER(SEARCH(" ", $A341, 15)))), AND(LEFT($A341, 17)="sensor_statistic ", LEN($A341)&gt;17, NOT(ISNUMBER(SEARCH(" ", $A341, 18)))))</formula>
    </cfRule>
  </conditionalFormatting>
  <conditionalFormatting sqref="B341:E345">
    <cfRule type="expression" dxfId="14" priority="3257" stopIfTrue="1">
      <formula>$A341="comments"</formula>
    </cfRule>
  </conditionalFormatting>
  <conditionalFormatting sqref="B341:E345">
    <cfRule type="expression" dxfId="15" priority="3258" stopIfTrue="1">
      <formula>OR($A341="audio", $A341="video")</formula>
    </cfRule>
  </conditionalFormatting>
  <conditionalFormatting sqref="B341:E345">
    <cfRule type="expression" dxfId="16" priority="3259" stopIfTrue="1">
      <formula>$A341="image"</formula>
    </cfRule>
  </conditionalFormatting>
  <conditionalFormatting sqref="B341:E345">
    <cfRule type="expression" dxfId="17" priority="3260" stopIfTrue="1">
      <formula>OR($A341="date", $A341="datetime", $A341="time")</formula>
    </cfRule>
  </conditionalFormatting>
  <conditionalFormatting sqref="B341:E345">
    <cfRule type="expression" dxfId="18" priority="3261" stopIfTrue="1">
      <formula>OR($A341="calculate", $A341="calculate_here")</formula>
    </cfRule>
  </conditionalFormatting>
  <conditionalFormatting sqref="B341:E345">
    <cfRule type="expression" dxfId="19" priority="3262" stopIfTrue="1">
      <formula>$A341="note"</formula>
    </cfRule>
  </conditionalFormatting>
  <conditionalFormatting sqref="B341:E345">
    <cfRule type="expression" dxfId="20" priority="3263" stopIfTrue="1">
      <formula>$A341="barcode"</formula>
    </cfRule>
  </conditionalFormatting>
  <conditionalFormatting sqref="B341:E345">
    <cfRule type="expression" dxfId="21" priority="3264" stopIfTrue="1">
      <formula>OR($A341="geopoint", $A341="geoshape", $A341="geotrace")</formula>
    </cfRule>
  </conditionalFormatting>
  <conditionalFormatting sqref="B341:E345">
    <cfRule type="expression" dxfId="22" priority="3265" stopIfTrue="1">
      <formula>OR($A341="audio audit", $A341="text audit", $A341="speed violations count", $A341="speed violations list", $A341="speed violations audit")</formula>
    </cfRule>
  </conditionalFormatting>
  <conditionalFormatting sqref="B341:E345">
    <cfRule type="expression" dxfId="23" priority="3266" stopIfTrue="1">
      <formula>OR($A341="username", $A341="phonenumber", $A341="start", $A341="end", $A341="deviceid", $A341="subscriberid", $A341="simserial", $A341="caseid")</formula>
    </cfRule>
  </conditionalFormatting>
  <conditionalFormatting sqref="B341:E345">
    <cfRule type="expression" dxfId="24" priority="3267" stopIfTrue="1">
      <formula>OR(AND(LEFT($A341, 16)="select_multiple ", LEN($A341)&gt;16, NOT(ISNUMBER(SEARCH(" ", $A341, 17)))), AND(LEFT($A341, 11)="select_one ", LEN($A341)&gt;11, NOT(ISNUMBER(SEARCH(" ", $A341, 12)))))</formula>
    </cfRule>
  </conditionalFormatting>
  <conditionalFormatting sqref="B341:E345">
    <cfRule type="expression" dxfId="25" priority="3268" stopIfTrue="1">
      <formula>$A341="decimal"</formula>
    </cfRule>
  </conditionalFormatting>
  <conditionalFormatting sqref="B341:E345">
    <cfRule type="expression" dxfId="26" priority="3269" stopIfTrue="1">
      <formula>$A341="integer"</formula>
    </cfRule>
  </conditionalFormatting>
  <conditionalFormatting sqref="B341:E345">
    <cfRule type="expression" dxfId="27" priority="3270" stopIfTrue="1">
      <formula>$A341="text"</formula>
    </cfRule>
  </conditionalFormatting>
  <conditionalFormatting sqref="B341:E345">
    <cfRule type="expression" dxfId="28" priority="3271" stopIfTrue="1">
      <formula>$A341="end repeat"</formula>
    </cfRule>
  </conditionalFormatting>
  <conditionalFormatting sqref="B341:E345">
    <cfRule type="expression" dxfId="28" priority="3272" stopIfTrue="1">
      <formula>$A341="begin repeat"</formula>
    </cfRule>
  </conditionalFormatting>
  <conditionalFormatting sqref="B341:E345">
    <cfRule type="expression" dxfId="29" priority="3273" stopIfTrue="1">
      <formula>$A341="end group"</formula>
    </cfRule>
  </conditionalFormatting>
  <conditionalFormatting sqref="B341:E345">
    <cfRule type="expression" dxfId="29" priority="3274" stopIfTrue="1">
      <formula>$A341="begin group"</formula>
    </cfRule>
  </conditionalFormatting>
  <conditionalFormatting sqref="B341:B345">
    <cfRule type="expression" dxfId="30" priority="3275" stopIfTrue="1">
      <formula>$A341="comments"</formula>
    </cfRule>
  </conditionalFormatting>
  <conditionalFormatting sqref="B341:B345">
    <cfRule type="expression" dxfId="36" priority="3276" stopIfTrue="1">
      <formula>OR(AND(LEFT($A341, 14)="sensor_stream ", LEN($A341)&gt;14, NOT(ISNUMBER(SEARCH(" ", $A341, 15)))), AND(LEFT($A341, 17)="sensor_statistic ", LEN($A341)&gt;17, NOT(ISNUMBER(SEARCH(" ", $A341, 18)))))</formula>
    </cfRule>
  </conditionalFormatting>
  <conditionalFormatting sqref="B336:C338 D336:E338">
    <cfRule type="expression" dxfId="0" priority="3277" stopIfTrue="1">
      <formula>$A336="begin group"</formula>
    </cfRule>
  </conditionalFormatting>
  <conditionalFormatting sqref="B336:C338 D336:E338">
    <cfRule type="expression" dxfId="1" priority="3278" stopIfTrue="1">
      <formula>$A336="begin repeat"</formula>
    </cfRule>
  </conditionalFormatting>
  <conditionalFormatting sqref="B336:E338">
    <cfRule type="expression" dxfId="31" priority="3279" stopIfTrue="1">
      <formula>$A336="enumerator"</formula>
    </cfRule>
  </conditionalFormatting>
  <conditionalFormatting sqref="B336:E338">
    <cfRule type="expression" dxfId="2" priority="3280" stopIfTrue="1">
      <formula>$A336="text"</formula>
    </cfRule>
  </conditionalFormatting>
  <conditionalFormatting sqref="B336:E338">
    <cfRule type="expression" dxfId="3" priority="3281" stopIfTrue="1">
      <formula>$A336="integer"</formula>
    </cfRule>
  </conditionalFormatting>
  <conditionalFormatting sqref="B336:E338">
    <cfRule type="expression" dxfId="4" priority="3282" stopIfTrue="1">
      <formula>$A336="decimal"</formula>
    </cfRule>
  </conditionalFormatting>
  <conditionalFormatting sqref="B336:C338 D336:E338">
    <cfRule type="expression" dxfId="5" priority="3283" stopIfTrue="1">
      <formula>OR(AND(LEFT($A336, 16)="select_multiple ", LEN($A336)&gt;16, NOT(ISNUMBER(SEARCH(" ", $A336, 17)))), AND(LEFT($A336, 11)="select_one ", LEN($A336)&gt;11, NOT(ISNUMBER(SEARCH(" ", $A336, 12)))))</formula>
    </cfRule>
  </conditionalFormatting>
  <conditionalFormatting sqref="B336:B338">
    <cfRule type="expression" dxfId="6" priority="3284" stopIfTrue="1">
      <formula>OR($A336="audio audit", $A336="text audit", $A336="speed violations count", $A336="speed violations list", $A336="speed violations audit")</formula>
    </cfRule>
  </conditionalFormatting>
  <conditionalFormatting sqref="B336:C338 D336:E338">
    <cfRule type="expression" dxfId="32" priority="3285" stopIfTrue="1">
      <formula>$A336="file"</formula>
    </cfRule>
  </conditionalFormatting>
  <conditionalFormatting sqref="B336:C338 D336:E338">
    <cfRule type="expression" dxfId="7" priority="3286" stopIfTrue="1">
      <formula>$A336="note"</formula>
    </cfRule>
  </conditionalFormatting>
  <conditionalFormatting sqref="B336:C338 D336:E338">
    <cfRule type="expression" dxfId="8" priority="3287" stopIfTrue="1">
      <formula>$A336="barcode"</formula>
    </cfRule>
  </conditionalFormatting>
  <conditionalFormatting sqref="B336:C338 D336:E338">
    <cfRule type="expression" dxfId="9" priority="3288" stopIfTrue="1">
      <formula>OR($A336="geopoint", $A336="geoshape", $A336="geotrace")</formula>
    </cfRule>
  </conditionalFormatting>
  <conditionalFormatting sqref="B336:B338">
    <cfRule type="expression" dxfId="10" priority="3289" stopIfTrue="1">
      <formula>OR($A336="calculate", $A336="calculate_here")</formula>
    </cfRule>
  </conditionalFormatting>
  <conditionalFormatting sqref="B336:C338 D336:E338">
    <cfRule type="expression" dxfId="11" priority="3290" stopIfTrue="1">
      <formula>OR($A336="date", $A336="datetime", $A336="time")</formula>
    </cfRule>
  </conditionalFormatting>
  <conditionalFormatting sqref="B336:C338 D336:E338">
    <cfRule type="expression" dxfId="12" priority="3291" stopIfTrue="1">
      <formula>$A336="image"</formula>
    </cfRule>
  </conditionalFormatting>
  <conditionalFormatting sqref="B336:C338 D336:E338">
    <cfRule type="expression" dxfId="13" priority="3292" stopIfTrue="1">
      <formula>OR($A336="audio", $A336="video")</formula>
    </cfRule>
  </conditionalFormatting>
  <conditionalFormatting sqref="B336:E338">
    <cfRule type="expression" dxfId="33" priority="3293" stopIfTrue="1">
      <formula>$A336="file"</formula>
    </cfRule>
  </conditionalFormatting>
  <conditionalFormatting sqref="B336:E338">
    <cfRule type="expression" dxfId="34" priority="3294" stopIfTrue="1">
      <formula>$A336="enumerator"</formula>
    </cfRule>
  </conditionalFormatting>
  <conditionalFormatting sqref="B336:E338">
    <cfRule type="expression" dxfId="35" priority="3295" stopIfTrue="1">
      <formula>OR(AND(LEFT($A336, 14)="sensor_stream ", LEN($A336)&gt;14, NOT(ISNUMBER(SEARCH(" ", $A336, 15)))), AND(LEFT($A336, 17)="sensor_statistic ", LEN($A336)&gt;17, NOT(ISNUMBER(SEARCH(" ", $A336, 18)))))</formula>
    </cfRule>
  </conditionalFormatting>
  <conditionalFormatting sqref="B336:E338">
    <cfRule type="expression" dxfId="14" priority="3296" stopIfTrue="1">
      <formula>$A336="comments"</formula>
    </cfRule>
  </conditionalFormatting>
  <conditionalFormatting sqref="B336:E338">
    <cfRule type="expression" dxfId="15" priority="3297" stopIfTrue="1">
      <formula>OR($A336="audio", $A336="video")</formula>
    </cfRule>
  </conditionalFormatting>
  <conditionalFormatting sqref="B336:E338">
    <cfRule type="expression" dxfId="16" priority="3298" stopIfTrue="1">
      <formula>$A336="image"</formula>
    </cfRule>
  </conditionalFormatting>
  <conditionalFormatting sqref="B336:E338">
    <cfRule type="expression" dxfId="17" priority="3299" stopIfTrue="1">
      <formula>OR($A336="date", $A336="datetime", $A336="time")</formula>
    </cfRule>
  </conditionalFormatting>
  <conditionalFormatting sqref="B336:E338">
    <cfRule type="expression" dxfId="18" priority="3300" stopIfTrue="1">
      <formula>OR($A336="calculate", $A336="calculate_here")</formula>
    </cfRule>
  </conditionalFormatting>
  <conditionalFormatting sqref="B336:E338">
    <cfRule type="expression" dxfId="19" priority="3301" stopIfTrue="1">
      <formula>$A336="note"</formula>
    </cfRule>
  </conditionalFormatting>
  <conditionalFormatting sqref="B336:E338">
    <cfRule type="expression" dxfId="20" priority="3302" stopIfTrue="1">
      <formula>$A336="barcode"</formula>
    </cfRule>
  </conditionalFormatting>
  <conditionalFormatting sqref="B336:E338">
    <cfRule type="expression" dxfId="21" priority="3303" stopIfTrue="1">
      <formula>OR($A336="geopoint", $A336="geoshape", $A336="geotrace")</formula>
    </cfRule>
  </conditionalFormatting>
  <conditionalFormatting sqref="B336:E338">
    <cfRule type="expression" dxfId="22" priority="3304" stopIfTrue="1">
      <formula>OR($A336="audio audit", $A336="text audit", $A336="speed violations count", $A336="speed violations list", $A336="speed violations audit")</formula>
    </cfRule>
  </conditionalFormatting>
  <conditionalFormatting sqref="B336:E338">
    <cfRule type="expression" dxfId="23" priority="3305" stopIfTrue="1">
      <formula>OR($A336="username", $A336="phonenumber", $A336="start", $A336="end", $A336="deviceid", $A336="subscriberid", $A336="simserial", $A336="caseid")</formula>
    </cfRule>
  </conditionalFormatting>
  <conditionalFormatting sqref="B336:E338">
    <cfRule type="expression" dxfId="24" priority="3306" stopIfTrue="1">
      <formula>OR(AND(LEFT($A336, 16)="select_multiple ", LEN($A336)&gt;16, NOT(ISNUMBER(SEARCH(" ", $A336, 17)))), AND(LEFT($A336, 11)="select_one ", LEN($A336)&gt;11, NOT(ISNUMBER(SEARCH(" ", $A336, 12)))))</formula>
    </cfRule>
  </conditionalFormatting>
  <conditionalFormatting sqref="B336:E338">
    <cfRule type="expression" dxfId="25" priority="3307" stopIfTrue="1">
      <formula>$A336="decimal"</formula>
    </cfRule>
  </conditionalFormatting>
  <conditionalFormatting sqref="B336:E338">
    <cfRule type="expression" dxfId="26" priority="3308" stopIfTrue="1">
      <formula>$A336="integer"</formula>
    </cfRule>
  </conditionalFormatting>
  <conditionalFormatting sqref="B336:E338">
    <cfRule type="expression" dxfId="27" priority="3309" stopIfTrue="1">
      <formula>$A336="text"</formula>
    </cfRule>
  </conditionalFormatting>
  <conditionalFormatting sqref="B336:E338">
    <cfRule type="expression" dxfId="28" priority="3310" stopIfTrue="1">
      <formula>$A336="end repeat"</formula>
    </cfRule>
  </conditionalFormatting>
  <conditionalFormatting sqref="B336:E338">
    <cfRule type="expression" dxfId="28" priority="3311" stopIfTrue="1">
      <formula>$A336="begin repeat"</formula>
    </cfRule>
  </conditionalFormatting>
  <conditionalFormatting sqref="B336:E338">
    <cfRule type="expression" dxfId="29" priority="3312" stopIfTrue="1">
      <formula>$A336="end group"</formula>
    </cfRule>
  </conditionalFormatting>
  <conditionalFormatting sqref="B336:E338">
    <cfRule type="expression" dxfId="29" priority="3313" stopIfTrue="1">
      <formula>$A336="begin group"</formula>
    </cfRule>
  </conditionalFormatting>
  <conditionalFormatting sqref="B336:B338">
    <cfRule type="expression" dxfId="30" priority="3314" stopIfTrue="1">
      <formula>$A336="comments"</formula>
    </cfRule>
  </conditionalFormatting>
  <conditionalFormatting sqref="B336:B338">
    <cfRule type="expression" dxfId="36" priority="3315" stopIfTrue="1">
      <formula>OR(AND(LEFT($A336, 14)="sensor_stream ", LEN($A336)&gt;14, NOT(ISNUMBER(SEARCH(" ", $A336, 15)))), AND(LEFT($A336, 17)="sensor_statistic ", LEN($A336)&gt;17, NOT(ISNUMBER(SEARCH(" ", $A336, 18)))))</formula>
    </cfRule>
  </conditionalFormatting>
  <conditionalFormatting sqref="B322:C333 D322:E333">
    <cfRule type="expression" dxfId="0" priority="3316" stopIfTrue="1">
      <formula>$A322="begin group"</formula>
    </cfRule>
  </conditionalFormatting>
  <conditionalFormatting sqref="B322:C333 D322:E333">
    <cfRule type="expression" dxfId="1" priority="3317" stopIfTrue="1">
      <formula>$A322="begin repeat"</formula>
    </cfRule>
  </conditionalFormatting>
  <conditionalFormatting sqref="B322:E333">
    <cfRule type="expression" dxfId="31" priority="3318" stopIfTrue="1">
      <formula>$A322="enumerator"</formula>
    </cfRule>
  </conditionalFormatting>
  <conditionalFormatting sqref="B322:E333">
    <cfRule type="expression" dxfId="2" priority="3319" stopIfTrue="1">
      <formula>$A322="text"</formula>
    </cfRule>
  </conditionalFormatting>
  <conditionalFormatting sqref="B322:E333">
    <cfRule type="expression" dxfId="3" priority="3320" stopIfTrue="1">
      <formula>$A322="integer"</formula>
    </cfRule>
  </conditionalFormatting>
  <conditionalFormatting sqref="B322:E333">
    <cfRule type="expression" dxfId="4" priority="3321" stopIfTrue="1">
      <formula>$A322="decimal"</formula>
    </cfRule>
  </conditionalFormatting>
  <conditionalFormatting sqref="B322:C333 D322:E333">
    <cfRule type="expression" dxfId="5" priority="3322" stopIfTrue="1">
      <formula>OR(AND(LEFT($A322, 16)="select_multiple ", LEN($A322)&gt;16, NOT(ISNUMBER(SEARCH(" ", $A322, 17)))), AND(LEFT($A322, 11)="select_one ", LEN($A322)&gt;11, NOT(ISNUMBER(SEARCH(" ", $A322, 12)))))</formula>
    </cfRule>
  </conditionalFormatting>
  <conditionalFormatting sqref="B322:B333">
    <cfRule type="expression" dxfId="6" priority="3323" stopIfTrue="1">
      <formula>OR($A322="audio audit", $A322="text audit", $A322="speed violations count", $A322="speed violations list", $A322="speed violations audit")</formula>
    </cfRule>
  </conditionalFormatting>
  <conditionalFormatting sqref="B322:C333 D322:E333">
    <cfRule type="expression" dxfId="32" priority="3324" stopIfTrue="1">
      <formula>$A322="file"</formula>
    </cfRule>
  </conditionalFormatting>
  <conditionalFormatting sqref="B322:C333 D322:E333">
    <cfRule type="expression" dxfId="7" priority="3325" stopIfTrue="1">
      <formula>$A322="note"</formula>
    </cfRule>
  </conditionalFormatting>
  <conditionalFormatting sqref="B322:C333 D322:E333">
    <cfRule type="expression" dxfId="8" priority="3326" stopIfTrue="1">
      <formula>$A322="barcode"</formula>
    </cfRule>
  </conditionalFormatting>
  <conditionalFormatting sqref="B322:C333 D322:E333">
    <cfRule type="expression" dxfId="9" priority="3327" stopIfTrue="1">
      <formula>OR($A322="geopoint", $A322="geoshape", $A322="geotrace")</formula>
    </cfRule>
  </conditionalFormatting>
  <conditionalFormatting sqref="B322:B333">
    <cfRule type="expression" dxfId="10" priority="3328" stopIfTrue="1">
      <formula>OR($A322="calculate", $A322="calculate_here")</formula>
    </cfRule>
  </conditionalFormatting>
  <conditionalFormatting sqref="B322:C333 D322:E333">
    <cfRule type="expression" dxfId="11" priority="3329" stopIfTrue="1">
      <formula>OR($A322="date", $A322="datetime", $A322="time")</formula>
    </cfRule>
  </conditionalFormatting>
  <conditionalFormatting sqref="B322:C333 D322:E333">
    <cfRule type="expression" dxfId="12" priority="3330" stopIfTrue="1">
      <formula>$A322="image"</formula>
    </cfRule>
  </conditionalFormatting>
  <conditionalFormatting sqref="B322:C333 D322:E333">
    <cfRule type="expression" dxfId="13" priority="3331" stopIfTrue="1">
      <formula>OR($A322="audio", $A322="video")</formula>
    </cfRule>
  </conditionalFormatting>
  <conditionalFormatting sqref="B322:E333">
    <cfRule type="expression" dxfId="33" priority="3332" stopIfTrue="1">
      <formula>$A322="file"</formula>
    </cfRule>
  </conditionalFormatting>
  <conditionalFormatting sqref="B322:E333">
    <cfRule type="expression" dxfId="34" priority="3333" stopIfTrue="1">
      <formula>$A322="enumerator"</formula>
    </cfRule>
  </conditionalFormatting>
  <conditionalFormatting sqref="B322:E333">
    <cfRule type="expression" dxfId="35" priority="3334" stopIfTrue="1">
      <formula>OR(AND(LEFT($A322, 14)="sensor_stream ", LEN($A322)&gt;14, NOT(ISNUMBER(SEARCH(" ", $A322, 15)))), AND(LEFT($A322, 17)="sensor_statistic ", LEN($A322)&gt;17, NOT(ISNUMBER(SEARCH(" ", $A322, 18)))))</formula>
    </cfRule>
  </conditionalFormatting>
  <conditionalFormatting sqref="B322:E333">
    <cfRule type="expression" dxfId="14" priority="3335" stopIfTrue="1">
      <formula>$A322="comments"</formula>
    </cfRule>
  </conditionalFormatting>
  <conditionalFormatting sqref="B322:E333">
    <cfRule type="expression" dxfId="15" priority="3336" stopIfTrue="1">
      <formula>OR($A322="audio", $A322="video")</formula>
    </cfRule>
  </conditionalFormatting>
  <conditionalFormatting sqref="B322:E333">
    <cfRule type="expression" dxfId="16" priority="3337" stopIfTrue="1">
      <formula>$A322="image"</formula>
    </cfRule>
  </conditionalFormatting>
  <conditionalFormatting sqref="B322:E333">
    <cfRule type="expression" dxfId="17" priority="3338" stopIfTrue="1">
      <formula>OR($A322="date", $A322="datetime", $A322="time")</formula>
    </cfRule>
  </conditionalFormatting>
  <conditionalFormatting sqref="B322:E333">
    <cfRule type="expression" dxfId="18" priority="3339" stopIfTrue="1">
      <formula>OR($A322="calculate", $A322="calculate_here")</formula>
    </cfRule>
  </conditionalFormatting>
  <conditionalFormatting sqref="B322:E333">
    <cfRule type="expression" dxfId="19" priority="3340" stopIfTrue="1">
      <formula>$A322="note"</formula>
    </cfRule>
  </conditionalFormatting>
  <conditionalFormatting sqref="B322:E333">
    <cfRule type="expression" dxfId="20" priority="3341" stopIfTrue="1">
      <formula>$A322="barcode"</formula>
    </cfRule>
  </conditionalFormatting>
  <conditionalFormatting sqref="B322:E333">
    <cfRule type="expression" dxfId="21" priority="3342" stopIfTrue="1">
      <formula>OR($A322="geopoint", $A322="geoshape", $A322="geotrace")</formula>
    </cfRule>
  </conditionalFormatting>
  <conditionalFormatting sqref="B322:E333">
    <cfRule type="expression" dxfId="22" priority="3343" stopIfTrue="1">
      <formula>OR($A322="audio audit", $A322="text audit", $A322="speed violations count", $A322="speed violations list", $A322="speed violations audit")</formula>
    </cfRule>
  </conditionalFormatting>
  <conditionalFormatting sqref="B322:E333">
    <cfRule type="expression" dxfId="23" priority="3344" stopIfTrue="1">
      <formula>OR($A322="username", $A322="phonenumber", $A322="start", $A322="end", $A322="deviceid", $A322="subscriberid", $A322="simserial", $A322="caseid")</formula>
    </cfRule>
  </conditionalFormatting>
  <conditionalFormatting sqref="B322:E333">
    <cfRule type="expression" dxfId="24" priority="3345" stopIfTrue="1">
      <formula>OR(AND(LEFT($A322, 16)="select_multiple ", LEN($A322)&gt;16, NOT(ISNUMBER(SEARCH(" ", $A322, 17)))), AND(LEFT($A322, 11)="select_one ", LEN($A322)&gt;11, NOT(ISNUMBER(SEARCH(" ", $A322, 12)))))</formula>
    </cfRule>
  </conditionalFormatting>
  <conditionalFormatting sqref="B322:E333">
    <cfRule type="expression" dxfId="25" priority="3346" stopIfTrue="1">
      <formula>$A322="decimal"</formula>
    </cfRule>
  </conditionalFormatting>
  <conditionalFormatting sqref="B322:E333">
    <cfRule type="expression" dxfId="26" priority="3347" stopIfTrue="1">
      <formula>$A322="integer"</formula>
    </cfRule>
  </conditionalFormatting>
  <conditionalFormatting sqref="B322:E333">
    <cfRule type="expression" dxfId="27" priority="3348" stopIfTrue="1">
      <formula>$A322="text"</formula>
    </cfRule>
  </conditionalFormatting>
  <conditionalFormatting sqref="B322:E333">
    <cfRule type="expression" dxfId="28" priority="3349" stopIfTrue="1">
      <formula>$A322="end repeat"</formula>
    </cfRule>
  </conditionalFormatting>
  <conditionalFormatting sqref="B322:E333">
    <cfRule type="expression" dxfId="28" priority="3350" stopIfTrue="1">
      <formula>$A322="begin repeat"</formula>
    </cfRule>
  </conditionalFormatting>
  <conditionalFormatting sqref="B322:E333">
    <cfRule type="expression" dxfId="29" priority="3351" stopIfTrue="1">
      <formula>$A322="end group"</formula>
    </cfRule>
  </conditionalFormatting>
  <conditionalFormatting sqref="B322:E333">
    <cfRule type="expression" dxfId="29" priority="3352" stopIfTrue="1">
      <formula>$A322="begin group"</formula>
    </cfRule>
  </conditionalFormatting>
  <conditionalFormatting sqref="B322:B333">
    <cfRule type="expression" dxfId="30" priority="3353" stopIfTrue="1">
      <formula>$A322="comments"</formula>
    </cfRule>
  </conditionalFormatting>
  <conditionalFormatting sqref="B322:B333">
    <cfRule type="expression" dxfId="36" priority="3354" stopIfTrue="1">
      <formula>OR(AND(LEFT($A322, 14)="sensor_stream ", LEN($A322)&gt;14, NOT(ISNUMBER(SEARCH(" ", $A322, 15)))), AND(LEFT($A322, 17)="sensor_statistic ", LEN($A322)&gt;17, NOT(ISNUMBER(SEARCH(" ", $A322, 18)))))</formula>
    </cfRule>
  </conditionalFormatting>
  <conditionalFormatting sqref="B319:C319 D319:E319">
    <cfRule type="expression" dxfId="0" priority="3355" stopIfTrue="1">
      <formula>$A319="begin group"</formula>
    </cfRule>
  </conditionalFormatting>
  <conditionalFormatting sqref="B319:C319 D319:E319">
    <cfRule type="expression" dxfId="1" priority="3356" stopIfTrue="1">
      <formula>$A319="begin repeat"</formula>
    </cfRule>
  </conditionalFormatting>
  <conditionalFormatting sqref="B319:E319">
    <cfRule type="expression" dxfId="31" priority="3357" stopIfTrue="1">
      <formula>$A319="enumerator"</formula>
    </cfRule>
  </conditionalFormatting>
  <conditionalFormatting sqref="B319:E319">
    <cfRule type="expression" dxfId="2" priority="3358" stopIfTrue="1">
      <formula>$A319="text"</formula>
    </cfRule>
  </conditionalFormatting>
  <conditionalFormatting sqref="B319:E319">
    <cfRule type="expression" dxfId="3" priority="3359" stopIfTrue="1">
      <formula>$A319="integer"</formula>
    </cfRule>
  </conditionalFormatting>
  <conditionalFormatting sqref="B319:E319">
    <cfRule type="expression" dxfId="4" priority="3360" stopIfTrue="1">
      <formula>$A319="decimal"</formula>
    </cfRule>
  </conditionalFormatting>
  <conditionalFormatting sqref="B319:C319 D319:E319">
    <cfRule type="expression" dxfId="5" priority="3361" stopIfTrue="1">
      <formula>OR(AND(LEFT($A319, 16)="select_multiple ", LEN($A319)&gt;16, NOT(ISNUMBER(SEARCH(" ", $A319, 17)))), AND(LEFT($A319, 11)="select_one ", LEN($A319)&gt;11, NOT(ISNUMBER(SEARCH(" ", $A319, 12)))))</formula>
    </cfRule>
  </conditionalFormatting>
  <conditionalFormatting sqref="B319">
    <cfRule type="expression" dxfId="6" priority="3362" stopIfTrue="1">
      <formula>OR($A319="audio audit", $A319="text audit", $A319="speed violations count", $A319="speed violations list", $A319="speed violations audit")</formula>
    </cfRule>
  </conditionalFormatting>
  <conditionalFormatting sqref="B319:C319 D319:E319">
    <cfRule type="expression" dxfId="32" priority="3363" stopIfTrue="1">
      <formula>$A319="file"</formula>
    </cfRule>
  </conditionalFormatting>
  <conditionalFormatting sqref="B319:C319 D319:E319">
    <cfRule type="expression" dxfId="7" priority="3364" stopIfTrue="1">
      <formula>$A319="note"</formula>
    </cfRule>
  </conditionalFormatting>
  <conditionalFormatting sqref="B319:C319 D319:E319">
    <cfRule type="expression" dxfId="8" priority="3365" stopIfTrue="1">
      <formula>$A319="barcode"</formula>
    </cfRule>
  </conditionalFormatting>
  <conditionalFormatting sqref="B319:C319 D319:E319">
    <cfRule type="expression" dxfId="9" priority="3366" stopIfTrue="1">
      <formula>OR($A319="geopoint", $A319="geoshape", $A319="geotrace")</formula>
    </cfRule>
  </conditionalFormatting>
  <conditionalFormatting sqref="B319">
    <cfRule type="expression" dxfId="10" priority="3367" stopIfTrue="1">
      <formula>OR($A319="calculate", $A319="calculate_here")</formula>
    </cfRule>
  </conditionalFormatting>
  <conditionalFormatting sqref="B319:C319 D319:E319">
    <cfRule type="expression" dxfId="11" priority="3368" stopIfTrue="1">
      <formula>OR($A319="date", $A319="datetime", $A319="time")</formula>
    </cfRule>
  </conditionalFormatting>
  <conditionalFormatting sqref="B319:C319 D319:E319">
    <cfRule type="expression" dxfId="12" priority="3369" stopIfTrue="1">
      <formula>$A319="image"</formula>
    </cfRule>
  </conditionalFormatting>
  <conditionalFormatting sqref="B319:C319 D319:E319">
    <cfRule type="expression" dxfId="13" priority="3370" stopIfTrue="1">
      <formula>OR($A319="audio", $A319="video")</formula>
    </cfRule>
  </conditionalFormatting>
  <conditionalFormatting sqref="B319:E319">
    <cfRule type="expression" dxfId="33" priority="3371" stopIfTrue="1">
      <formula>$A319="file"</formula>
    </cfRule>
  </conditionalFormatting>
  <conditionalFormatting sqref="B319:E319">
    <cfRule type="expression" dxfId="34" priority="3372" stopIfTrue="1">
      <formula>$A319="enumerator"</formula>
    </cfRule>
  </conditionalFormatting>
  <conditionalFormatting sqref="B319:E319">
    <cfRule type="expression" dxfId="35" priority="3373" stopIfTrue="1">
      <formula>OR(AND(LEFT($A319, 14)="sensor_stream ", LEN($A319)&gt;14, NOT(ISNUMBER(SEARCH(" ", $A319, 15)))), AND(LEFT($A319, 17)="sensor_statistic ", LEN($A319)&gt;17, NOT(ISNUMBER(SEARCH(" ", $A319, 18)))))</formula>
    </cfRule>
  </conditionalFormatting>
  <conditionalFormatting sqref="B319:E319">
    <cfRule type="expression" dxfId="14" priority="3374" stopIfTrue="1">
      <formula>$A319="comments"</formula>
    </cfRule>
  </conditionalFormatting>
  <conditionalFormatting sqref="B319:E319">
    <cfRule type="expression" dxfId="15" priority="3375" stopIfTrue="1">
      <formula>OR($A319="audio", $A319="video")</formula>
    </cfRule>
  </conditionalFormatting>
  <conditionalFormatting sqref="B319:E319">
    <cfRule type="expression" dxfId="16" priority="3376" stopIfTrue="1">
      <formula>$A319="image"</formula>
    </cfRule>
  </conditionalFormatting>
  <conditionalFormatting sqref="B319:E319">
    <cfRule type="expression" dxfId="17" priority="3377" stopIfTrue="1">
      <formula>OR($A319="date", $A319="datetime", $A319="time")</formula>
    </cfRule>
  </conditionalFormatting>
  <conditionalFormatting sqref="B319:E319">
    <cfRule type="expression" dxfId="18" priority="3378" stopIfTrue="1">
      <formula>OR($A319="calculate", $A319="calculate_here")</formula>
    </cfRule>
  </conditionalFormatting>
  <conditionalFormatting sqref="B319:E319">
    <cfRule type="expression" dxfId="19" priority="3379" stopIfTrue="1">
      <formula>$A319="note"</formula>
    </cfRule>
  </conditionalFormatting>
  <conditionalFormatting sqref="B319:E319">
    <cfRule type="expression" dxfId="20" priority="3380" stopIfTrue="1">
      <formula>$A319="barcode"</formula>
    </cfRule>
  </conditionalFormatting>
  <conditionalFormatting sqref="B319:E319">
    <cfRule type="expression" dxfId="21" priority="3381" stopIfTrue="1">
      <formula>OR($A319="geopoint", $A319="geoshape", $A319="geotrace")</formula>
    </cfRule>
  </conditionalFormatting>
  <conditionalFormatting sqref="B319:E319">
    <cfRule type="expression" dxfId="22" priority="3382" stopIfTrue="1">
      <formula>OR($A319="audio audit", $A319="text audit", $A319="speed violations count", $A319="speed violations list", $A319="speed violations audit")</formula>
    </cfRule>
  </conditionalFormatting>
  <conditionalFormatting sqref="B319:E319">
    <cfRule type="expression" dxfId="23" priority="3383" stopIfTrue="1">
      <formula>OR($A319="username", $A319="phonenumber", $A319="start", $A319="end", $A319="deviceid", $A319="subscriberid", $A319="simserial", $A319="caseid")</formula>
    </cfRule>
  </conditionalFormatting>
  <conditionalFormatting sqref="B319:E319">
    <cfRule type="expression" dxfId="24" priority="3384" stopIfTrue="1">
      <formula>OR(AND(LEFT($A319, 16)="select_multiple ", LEN($A319)&gt;16, NOT(ISNUMBER(SEARCH(" ", $A319, 17)))), AND(LEFT($A319, 11)="select_one ", LEN($A319)&gt;11, NOT(ISNUMBER(SEARCH(" ", $A319, 12)))))</formula>
    </cfRule>
  </conditionalFormatting>
  <conditionalFormatting sqref="B319:E319">
    <cfRule type="expression" dxfId="25" priority="3385" stopIfTrue="1">
      <formula>$A319="decimal"</formula>
    </cfRule>
  </conditionalFormatting>
  <conditionalFormatting sqref="B319:E319">
    <cfRule type="expression" dxfId="26" priority="3386" stopIfTrue="1">
      <formula>$A319="integer"</formula>
    </cfRule>
  </conditionalFormatting>
  <conditionalFormatting sqref="B319:E319">
    <cfRule type="expression" dxfId="27" priority="3387" stopIfTrue="1">
      <formula>$A319="text"</formula>
    </cfRule>
  </conditionalFormatting>
  <conditionalFormatting sqref="B319:E319">
    <cfRule type="expression" dxfId="28" priority="3388" stopIfTrue="1">
      <formula>$A319="end repeat"</formula>
    </cfRule>
  </conditionalFormatting>
  <conditionalFormatting sqref="B319:E319">
    <cfRule type="expression" dxfId="28" priority="3389" stopIfTrue="1">
      <formula>$A319="begin repeat"</formula>
    </cfRule>
  </conditionalFormatting>
  <conditionalFormatting sqref="B319:E319">
    <cfRule type="expression" dxfId="29" priority="3390" stopIfTrue="1">
      <formula>$A319="end group"</formula>
    </cfRule>
  </conditionalFormatting>
  <conditionalFormatting sqref="B319:E319">
    <cfRule type="expression" dxfId="29" priority="3391" stopIfTrue="1">
      <formula>$A319="begin group"</formula>
    </cfRule>
  </conditionalFormatting>
  <conditionalFormatting sqref="B319">
    <cfRule type="expression" dxfId="30" priority="3392" stopIfTrue="1">
      <formula>$A319="comments"</formula>
    </cfRule>
  </conditionalFormatting>
  <conditionalFormatting sqref="B319">
    <cfRule type="expression" dxfId="36" priority="3393" stopIfTrue="1">
      <formula>OR(AND(LEFT($A319, 14)="sensor_stream ", LEN($A319)&gt;14, NOT(ISNUMBER(SEARCH(" ", $A319, 15)))), AND(LEFT($A319, 17)="sensor_statistic ", LEN($A319)&gt;17, NOT(ISNUMBER(SEARCH(" ", $A319, 18)))))</formula>
    </cfRule>
  </conditionalFormatting>
  <conditionalFormatting sqref="B315:C317 D315:E317">
    <cfRule type="expression" dxfId="0" priority="3394" stopIfTrue="1">
      <formula>$A315="begin group"</formula>
    </cfRule>
  </conditionalFormatting>
  <conditionalFormatting sqref="B315:C317 D315:E317">
    <cfRule type="expression" dxfId="1" priority="3395" stopIfTrue="1">
      <formula>$A315="begin repeat"</formula>
    </cfRule>
  </conditionalFormatting>
  <conditionalFormatting sqref="B315:E317">
    <cfRule type="expression" dxfId="31" priority="3396" stopIfTrue="1">
      <formula>$A315="enumerator"</formula>
    </cfRule>
  </conditionalFormatting>
  <conditionalFormatting sqref="B315:E317">
    <cfRule type="expression" dxfId="2" priority="3397" stopIfTrue="1">
      <formula>$A315="text"</formula>
    </cfRule>
  </conditionalFormatting>
  <conditionalFormatting sqref="B315:E317">
    <cfRule type="expression" dxfId="3" priority="3398" stopIfTrue="1">
      <formula>$A315="integer"</formula>
    </cfRule>
  </conditionalFormatting>
  <conditionalFormatting sqref="B315:E317">
    <cfRule type="expression" dxfId="4" priority="3399" stopIfTrue="1">
      <formula>$A315="decimal"</formula>
    </cfRule>
  </conditionalFormatting>
  <conditionalFormatting sqref="B315:C317 D315:E317">
    <cfRule type="expression" dxfId="5" priority="3400" stopIfTrue="1">
      <formula>OR(AND(LEFT($A315, 16)="select_multiple ", LEN($A315)&gt;16, NOT(ISNUMBER(SEARCH(" ", $A315, 17)))), AND(LEFT($A315, 11)="select_one ", LEN($A315)&gt;11, NOT(ISNUMBER(SEARCH(" ", $A315, 12)))))</formula>
    </cfRule>
  </conditionalFormatting>
  <conditionalFormatting sqref="B315:B317">
    <cfRule type="expression" dxfId="6" priority="3401" stopIfTrue="1">
      <formula>OR($A315="audio audit", $A315="text audit", $A315="speed violations count", $A315="speed violations list", $A315="speed violations audit")</formula>
    </cfRule>
  </conditionalFormatting>
  <conditionalFormatting sqref="B315:C317 D315:E317">
    <cfRule type="expression" dxfId="32" priority="3402" stopIfTrue="1">
      <formula>$A315="file"</formula>
    </cfRule>
  </conditionalFormatting>
  <conditionalFormatting sqref="B315:C317 D315:E317">
    <cfRule type="expression" dxfId="7" priority="3403" stopIfTrue="1">
      <formula>$A315="note"</formula>
    </cfRule>
  </conditionalFormatting>
  <conditionalFormatting sqref="B315:C317 D315:E317">
    <cfRule type="expression" dxfId="8" priority="3404" stopIfTrue="1">
      <formula>$A315="barcode"</formula>
    </cfRule>
  </conditionalFormatting>
  <conditionalFormatting sqref="B315:C317 D315:E317">
    <cfRule type="expression" dxfId="9" priority="3405" stopIfTrue="1">
      <formula>OR($A315="geopoint", $A315="geoshape", $A315="geotrace")</formula>
    </cfRule>
  </conditionalFormatting>
  <conditionalFormatting sqref="B315:B317">
    <cfRule type="expression" dxfId="10" priority="3406" stopIfTrue="1">
      <formula>OR($A315="calculate", $A315="calculate_here")</formula>
    </cfRule>
  </conditionalFormatting>
  <conditionalFormatting sqref="B315:C317 D315:E317">
    <cfRule type="expression" dxfId="11" priority="3407" stopIfTrue="1">
      <formula>OR($A315="date", $A315="datetime", $A315="time")</formula>
    </cfRule>
  </conditionalFormatting>
  <conditionalFormatting sqref="B315:C317 D315:E317">
    <cfRule type="expression" dxfId="12" priority="3408" stopIfTrue="1">
      <formula>$A315="image"</formula>
    </cfRule>
  </conditionalFormatting>
  <conditionalFormatting sqref="B315:C317 D315:E317">
    <cfRule type="expression" dxfId="13" priority="3409" stopIfTrue="1">
      <formula>OR($A315="audio", $A315="video")</formula>
    </cfRule>
  </conditionalFormatting>
  <conditionalFormatting sqref="B315:E317">
    <cfRule type="expression" dxfId="33" priority="3410" stopIfTrue="1">
      <formula>$A315="file"</formula>
    </cfRule>
  </conditionalFormatting>
  <conditionalFormatting sqref="B315:E317">
    <cfRule type="expression" dxfId="34" priority="3411" stopIfTrue="1">
      <formula>$A315="enumerator"</formula>
    </cfRule>
  </conditionalFormatting>
  <conditionalFormatting sqref="B315:E317">
    <cfRule type="expression" dxfId="35" priority="3412" stopIfTrue="1">
      <formula>OR(AND(LEFT($A315, 14)="sensor_stream ", LEN($A315)&gt;14, NOT(ISNUMBER(SEARCH(" ", $A315, 15)))), AND(LEFT($A315, 17)="sensor_statistic ", LEN($A315)&gt;17, NOT(ISNUMBER(SEARCH(" ", $A315, 18)))))</formula>
    </cfRule>
  </conditionalFormatting>
  <conditionalFormatting sqref="B315:E317">
    <cfRule type="expression" dxfId="14" priority="3413" stopIfTrue="1">
      <formula>$A315="comments"</formula>
    </cfRule>
  </conditionalFormatting>
  <conditionalFormatting sqref="B315:E317">
    <cfRule type="expression" dxfId="15" priority="3414" stopIfTrue="1">
      <formula>OR($A315="audio", $A315="video")</formula>
    </cfRule>
  </conditionalFormatting>
  <conditionalFormatting sqref="B315:E317">
    <cfRule type="expression" dxfId="16" priority="3415" stopIfTrue="1">
      <formula>$A315="image"</formula>
    </cfRule>
  </conditionalFormatting>
  <conditionalFormatting sqref="B315:E317">
    <cfRule type="expression" dxfId="17" priority="3416" stopIfTrue="1">
      <formula>OR($A315="date", $A315="datetime", $A315="time")</formula>
    </cfRule>
  </conditionalFormatting>
  <conditionalFormatting sqref="B315:E317">
    <cfRule type="expression" dxfId="18" priority="3417" stopIfTrue="1">
      <formula>OR($A315="calculate", $A315="calculate_here")</formula>
    </cfRule>
  </conditionalFormatting>
  <conditionalFormatting sqref="B315:E317">
    <cfRule type="expression" dxfId="19" priority="3418" stopIfTrue="1">
      <formula>$A315="note"</formula>
    </cfRule>
  </conditionalFormatting>
  <conditionalFormatting sqref="B315:E317">
    <cfRule type="expression" dxfId="20" priority="3419" stopIfTrue="1">
      <formula>$A315="barcode"</formula>
    </cfRule>
  </conditionalFormatting>
  <conditionalFormatting sqref="B315:E317">
    <cfRule type="expression" dxfId="21" priority="3420" stopIfTrue="1">
      <formula>OR($A315="geopoint", $A315="geoshape", $A315="geotrace")</formula>
    </cfRule>
  </conditionalFormatting>
  <conditionalFormatting sqref="B315:E317">
    <cfRule type="expression" dxfId="22" priority="3421" stopIfTrue="1">
      <formula>OR($A315="audio audit", $A315="text audit", $A315="speed violations count", $A315="speed violations list", $A315="speed violations audit")</formula>
    </cfRule>
  </conditionalFormatting>
  <conditionalFormatting sqref="B315:E317">
    <cfRule type="expression" dxfId="23" priority="3422" stopIfTrue="1">
      <formula>OR($A315="username", $A315="phonenumber", $A315="start", $A315="end", $A315="deviceid", $A315="subscriberid", $A315="simserial", $A315="caseid")</formula>
    </cfRule>
  </conditionalFormatting>
  <conditionalFormatting sqref="B315:E317">
    <cfRule type="expression" dxfId="24" priority="3423" stopIfTrue="1">
      <formula>OR(AND(LEFT($A315, 16)="select_multiple ", LEN($A315)&gt;16, NOT(ISNUMBER(SEARCH(" ", $A315, 17)))), AND(LEFT($A315, 11)="select_one ", LEN($A315)&gt;11, NOT(ISNUMBER(SEARCH(" ", $A315, 12)))))</formula>
    </cfRule>
  </conditionalFormatting>
  <conditionalFormatting sqref="B315:E317">
    <cfRule type="expression" dxfId="25" priority="3424" stopIfTrue="1">
      <formula>$A315="decimal"</formula>
    </cfRule>
  </conditionalFormatting>
  <conditionalFormatting sqref="B315:E317">
    <cfRule type="expression" dxfId="26" priority="3425" stopIfTrue="1">
      <formula>$A315="integer"</formula>
    </cfRule>
  </conditionalFormatting>
  <conditionalFormatting sqref="B315:E317">
    <cfRule type="expression" dxfId="27" priority="3426" stopIfTrue="1">
      <formula>$A315="text"</formula>
    </cfRule>
  </conditionalFormatting>
  <conditionalFormatting sqref="B315:E317">
    <cfRule type="expression" dxfId="28" priority="3427" stopIfTrue="1">
      <formula>$A315="end repeat"</formula>
    </cfRule>
  </conditionalFormatting>
  <conditionalFormatting sqref="B315:E317">
    <cfRule type="expression" dxfId="28" priority="3428" stopIfTrue="1">
      <formula>$A315="begin repeat"</formula>
    </cfRule>
  </conditionalFormatting>
  <conditionalFormatting sqref="B315:E317">
    <cfRule type="expression" dxfId="29" priority="3429" stopIfTrue="1">
      <formula>$A315="end group"</formula>
    </cfRule>
  </conditionalFormatting>
  <conditionalFormatting sqref="B315:E317">
    <cfRule type="expression" dxfId="29" priority="3430" stopIfTrue="1">
      <formula>$A315="begin group"</formula>
    </cfRule>
  </conditionalFormatting>
  <conditionalFormatting sqref="B315:B317">
    <cfRule type="expression" dxfId="30" priority="3431" stopIfTrue="1">
      <formula>$A315="comments"</formula>
    </cfRule>
  </conditionalFormatting>
  <conditionalFormatting sqref="B315:B317">
    <cfRule type="expression" dxfId="36" priority="3432" stopIfTrue="1">
      <formula>OR(AND(LEFT($A315, 14)="sensor_stream ", LEN($A315)&gt;14, NOT(ISNUMBER(SEARCH(" ", $A315, 15)))), AND(LEFT($A315, 17)="sensor_statistic ", LEN($A315)&gt;17, NOT(ISNUMBER(SEARCH(" ", $A315, 18)))))</formula>
    </cfRule>
  </conditionalFormatting>
  <conditionalFormatting sqref="B305:C312 D305:E312">
    <cfRule type="expression" dxfId="0" priority="3433" stopIfTrue="1">
      <formula>$A305="begin group"</formula>
    </cfRule>
  </conditionalFormatting>
  <conditionalFormatting sqref="B305:C312 D305:E312">
    <cfRule type="expression" dxfId="1" priority="3434" stopIfTrue="1">
      <formula>$A305="begin repeat"</formula>
    </cfRule>
  </conditionalFormatting>
  <conditionalFormatting sqref="B305:E312">
    <cfRule type="expression" dxfId="31" priority="3435" stopIfTrue="1">
      <formula>$A305="enumerator"</formula>
    </cfRule>
  </conditionalFormatting>
  <conditionalFormatting sqref="B305:E312">
    <cfRule type="expression" dxfId="2" priority="3436" stopIfTrue="1">
      <formula>$A305="text"</formula>
    </cfRule>
  </conditionalFormatting>
  <conditionalFormatting sqref="B305:E312">
    <cfRule type="expression" dxfId="3" priority="3437" stopIfTrue="1">
      <formula>$A305="integer"</formula>
    </cfRule>
  </conditionalFormatting>
  <conditionalFormatting sqref="B305:E312">
    <cfRule type="expression" dxfId="4" priority="3438" stopIfTrue="1">
      <formula>$A305="decimal"</formula>
    </cfRule>
  </conditionalFormatting>
  <conditionalFormatting sqref="B305:C312 D305:E312">
    <cfRule type="expression" dxfId="5" priority="3439" stopIfTrue="1">
      <formula>OR(AND(LEFT($A305, 16)="select_multiple ", LEN($A305)&gt;16, NOT(ISNUMBER(SEARCH(" ", $A305, 17)))), AND(LEFT($A305, 11)="select_one ", LEN($A305)&gt;11, NOT(ISNUMBER(SEARCH(" ", $A305, 12)))))</formula>
    </cfRule>
  </conditionalFormatting>
  <conditionalFormatting sqref="B305:B312">
    <cfRule type="expression" dxfId="6" priority="3440" stopIfTrue="1">
      <formula>OR($A305="audio audit", $A305="text audit", $A305="speed violations count", $A305="speed violations list", $A305="speed violations audit")</formula>
    </cfRule>
  </conditionalFormatting>
  <conditionalFormatting sqref="B305:C312 D305:E312">
    <cfRule type="expression" dxfId="32" priority="3441" stopIfTrue="1">
      <formula>$A305="file"</formula>
    </cfRule>
  </conditionalFormatting>
  <conditionalFormatting sqref="B305:C312 D305:E312">
    <cfRule type="expression" dxfId="7" priority="3442" stopIfTrue="1">
      <formula>$A305="note"</formula>
    </cfRule>
  </conditionalFormatting>
  <conditionalFormatting sqref="B305:C312 D305:E312">
    <cfRule type="expression" dxfId="8" priority="3443" stopIfTrue="1">
      <formula>$A305="barcode"</formula>
    </cfRule>
  </conditionalFormatting>
  <conditionalFormatting sqref="B305:C312 D305:E312">
    <cfRule type="expression" dxfId="9" priority="3444" stopIfTrue="1">
      <formula>OR($A305="geopoint", $A305="geoshape", $A305="geotrace")</formula>
    </cfRule>
  </conditionalFormatting>
  <conditionalFormatting sqref="B305:B312">
    <cfRule type="expression" dxfId="10" priority="3445" stopIfTrue="1">
      <formula>OR($A305="calculate", $A305="calculate_here")</formula>
    </cfRule>
  </conditionalFormatting>
  <conditionalFormatting sqref="B305:C312 D305:E312">
    <cfRule type="expression" dxfId="11" priority="3446" stopIfTrue="1">
      <formula>OR($A305="date", $A305="datetime", $A305="time")</formula>
    </cfRule>
  </conditionalFormatting>
  <conditionalFormatting sqref="B305:C312 D305:E312">
    <cfRule type="expression" dxfId="12" priority="3447" stopIfTrue="1">
      <formula>$A305="image"</formula>
    </cfRule>
  </conditionalFormatting>
  <conditionalFormatting sqref="B305:C312 D305:E312">
    <cfRule type="expression" dxfId="13" priority="3448" stopIfTrue="1">
      <formula>OR($A305="audio", $A305="video")</formula>
    </cfRule>
  </conditionalFormatting>
  <conditionalFormatting sqref="B305:E312">
    <cfRule type="expression" dxfId="33" priority="3449" stopIfTrue="1">
      <formula>$A305="file"</formula>
    </cfRule>
  </conditionalFormatting>
  <conditionalFormatting sqref="B305:E312">
    <cfRule type="expression" dxfId="34" priority="3450" stopIfTrue="1">
      <formula>$A305="enumerator"</formula>
    </cfRule>
  </conditionalFormatting>
  <conditionalFormatting sqref="B305:E312">
    <cfRule type="expression" dxfId="35" priority="3451" stopIfTrue="1">
      <formula>OR(AND(LEFT($A305, 14)="sensor_stream ", LEN($A305)&gt;14, NOT(ISNUMBER(SEARCH(" ", $A305, 15)))), AND(LEFT($A305, 17)="sensor_statistic ", LEN($A305)&gt;17, NOT(ISNUMBER(SEARCH(" ", $A305, 18)))))</formula>
    </cfRule>
  </conditionalFormatting>
  <conditionalFormatting sqref="B305:E312">
    <cfRule type="expression" dxfId="14" priority="3452" stopIfTrue="1">
      <formula>$A305="comments"</formula>
    </cfRule>
  </conditionalFormatting>
  <conditionalFormatting sqref="B305:E312">
    <cfRule type="expression" dxfId="15" priority="3453" stopIfTrue="1">
      <formula>OR($A305="audio", $A305="video")</formula>
    </cfRule>
  </conditionalFormatting>
  <conditionalFormatting sqref="B305:E312">
    <cfRule type="expression" dxfId="16" priority="3454" stopIfTrue="1">
      <formula>$A305="image"</formula>
    </cfRule>
  </conditionalFormatting>
  <conditionalFormatting sqref="B305:E312">
    <cfRule type="expression" dxfId="17" priority="3455" stopIfTrue="1">
      <formula>OR($A305="date", $A305="datetime", $A305="time")</formula>
    </cfRule>
  </conditionalFormatting>
  <conditionalFormatting sqref="B305:E312">
    <cfRule type="expression" dxfId="18" priority="3456" stopIfTrue="1">
      <formula>OR($A305="calculate", $A305="calculate_here")</formula>
    </cfRule>
  </conditionalFormatting>
  <conditionalFormatting sqref="B305:E312">
    <cfRule type="expression" dxfId="19" priority="3457" stopIfTrue="1">
      <formula>$A305="note"</formula>
    </cfRule>
  </conditionalFormatting>
  <conditionalFormatting sqref="B305:E312">
    <cfRule type="expression" dxfId="20" priority="3458" stopIfTrue="1">
      <formula>$A305="barcode"</formula>
    </cfRule>
  </conditionalFormatting>
  <conditionalFormatting sqref="B305:E312">
    <cfRule type="expression" dxfId="21" priority="3459" stopIfTrue="1">
      <formula>OR($A305="geopoint", $A305="geoshape", $A305="geotrace")</formula>
    </cfRule>
  </conditionalFormatting>
  <conditionalFormatting sqref="B305:E312">
    <cfRule type="expression" dxfId="22" priority="3460" stopIfTrue="1">
      <formula>OR($A305="audio audit", $A305="text audit", $A305="speed violations count", $A305="speed violations list", $A305="speed violations audit")</formula>
    </cfRule>
  </conditionalFormatting>
  <conditionalFormatting sqref="B305:E312">
    <cfRule type="expression" dxfId="23" priority="3461" stopIfTrue="1">
      <formula>OR($A305="username", $A305="phonenumber", $A305="start", $A305="end", $A305="deviceid", $A305="subscriberid", $A305="simserial", $A305="caseid")</formula>
    </cfRule>
  </conditionalFormatting>
  <conditionalFormatting sqref="B305:E312">
    <cfRule type="expression" dxfId="24" priority="3462" stopIfTrue="1">
      <formula>OR(AND(LEFT($A305, 16)="select_multiple ", LEN($A305)&gt;16, NOT(ISNUMBER(SEARCH(" ", $A305, 17)))), AND(LEFT($A305, 11)="select_one ", LEN($A305)&gt;11, NOT(ISNUMBER(SEARCH(" ", $A305, 12)))))</formula>
    </cfRule>
  </conditionalFormatting>
  <conditionalFormatting sqref="B305:E312">
    <cfRule type="expression" dxfId="25" priority="3463" stopIfTrue="1">
      <formula>$A305="decimal"</formula>
    </cfRule>
  </conditionalFormatting>
  <conditionalFormatting sqref="B305:E312">
    <cfRule type="expression" dxfId="26" priority="3464" stopIfTrue="1">
      <formula>$A305="integer"</formula>
    </cfRule>
  </conditionalFormatting>
  <conditionalFormatting sqref="B305:E312">
    <cfRule type="expression" dxfId="27" priority="3465" stopIfTrue="1">
      <formula>$A305="text"</formula>
    </cfRule>
  </conditionalFormatting>
  <conditionalFormatting sqref="B305:E312">
    <cfRule type="expression" dxfId="28" priority="3466" stopIfTrue="1">
      <formula>$A305="end repeat"</formula>
    </cfRule>
  </conditionalFormatting>
  <conditionalFormatting sqref="B305:E312">
    <cfRule type="expression" dxfId="28" priority="3467" stopIfTrue="1">
      <formula>$A305="begin repeat"</formula>
    </cfRule>
  </conditionalFormatting>
  <conditionalFormatting sqref="B305:E312">
    <cfRule type="expression" dxfId="29" priority="3468" stopIfTrue="1">
      <formula>$A305="end group"</formula>
    </cfRule>
  </conditionalFormatting>
  <conditionalFormatting sqref="B305:E312">
    <cfRule type="expression" dxfId="29" priority="3469" stopIfTrue="1">
      <formula>$A305="begin group"</formula>
    </cfRule>
  </conditionalFormatting>
  <conditionalFormatting sqref="B305:B312">
    <cfRule type="expression" dxfId="30" priority="3470" stopIfTrue="1">
      <formula>$A305="comments"</formula>
    </cfRule>
  </conditionalFormatting>
  <conditionalFormatting sqref="B305:B312">
    <cfRule type="expression" dxfId="36" priority="3471" stopIfTrue="1">
      <formula>OR(AND(LEFT($A305, 14)="sensor_stream ", LEN($A305)&gt;14, NOT(ISNUMBER(SEARCH(" ", $A305, 15)))), AND(LEFT($A305, 17)="sensor_statistic ", LEN($A305)&gt;17, NOT(ISNUMBER(SEARCH(" ", $A305, 18)))))</formula>
    </cfRule>
  </conditionalFormatting>
  <conditionalFormatting sqref="B292:C302 D292:E302">
    <cfRule type="expression" dxfId="0" priority="3472" stopIfTrue="1">
      <formula>$A292="begin group"</formula>
    </cfRule>
  </conditionalFormatting>
  <conditionalFormatting sqref="B292:C302 D292:E302">
    <cfRule type="expression" dxfId="1" priority="3473" stopIfTrue="1">
      <formula>$A292="begin repeat"</formula>
    </cfRule>
  </conditionalFormatting>
  <conditionalFormatting sqref="B292:E302">
    <cfRule type="expression" dxfId="31" priority="3474" stopIfTrue="1">
      <formula>$A292="enumerator"</formula>
    </cfRule>
  </conditionalFormatting>
  <conditionalFormatting sqref="B292:E302">
    <cfRule type="expression" dxfId="2" priority="3475" stopIfTrue="1">
      <formula>$A292="text"</formula>
    </cfRule>
  </conditionalFormatting>
  <conditionalFormatting sqref="B292:E302">
    <cfRule type="expression" dxfId="3" priority="3476" stopIfTrue="1">
      <formula>$A292="integer"</formula>
    </cfRule>
  </conditionalFormatting>
  <conditionalFormatting sqref="B292:E302">
    <cfRule type="expression" dxfId="4" priority="3477" stopIfTrue="1">
      <formula>$A292="decimal"</formula>
    </cfRule>
  </conditionalFormatting>
  <conditionalFormatting sqref="B292:C302 D292:E302">
    <cfRule type="expression" dxfId="5" priority="3478" stopIfTrue="1">
      <formula>OR(AND(LEFT($A292, 16)="select_multiple ", LEN($A292)&gt;16, NOT(ISNUMBER(SEARCH(" ", $A292, 17)))), AND(LEFT($A292, 11)="select_one ", LEN($A292)&gt;11, NOT(ISNUMBER(SEARCH(" ", $A292, 12)))))</formula>
    </cfRule>
  </conditionalFormatting>
  <conditionalFormatting sqref="B292:B302">
    <cfRule type="expression" dxfId="6" priority="3479" stopIfTrue="1">
      <formula>OR($A292="audio audit", $A292="text audit", $A292="speed violations count", $A292="speed violations list", $A292="speed violations audit")</formula>
    </cfRule>
  </conditionalFormatting>
  <conditionalFormatting sqref="B292:C302 D292:E302">
    <cfRule type="expression" dxfId="32" priority="3480" stopIfTrue="1">
      <formula>$A292="file"</formula>
    </cfRule>
  </conditionalFormatting>
  <conditionalFormatting sqref="B292:C302 D292:E302">
    <cfRule type="expression" dxfId="7" priority="3481" stopIfTrue="1">
      <formula>$A292="note"</formula>
    </cfRule>
  </conditionalFormatting>
  <conditionalFormatting sqref="B292:C302 D292:E302">
    <cfRule type="expression" dxfId="8" priority="3482" stopIfTrue="1">
      <formula>$A292="barcode"</formula>
    </cfRule>
  </conditionalFormatting>
  <conditionalFormatting sqref="B292:C302 D292:E302">
    <cfRule type="expression" dxfId="9" priority="3483" stopIfTrue="1">
      <formula>OR($A292="geopoint", $A292="geoshape", $A292="geotrace")</formula>
    </cfRule>
  </conditionalFormatting>
  <conditionalFormatting sqref="B292:B302">
    <cfRule type="expression" dxfId="10" priority="3484" stopIfTrue="1">
      <formula>OR($A292="calculate", $A292="calculate_here")</formula>
    </cfRule>
  </conditionalFormatting>
  <conditionalFormatting sqref="B292:C302 D292:E302">
    <cfRule type="expression" dxfId="11" priority="3485" stopIfTrue="1">
      <formula>OR($A292="date", $A292="datetime", $A292="time")</formula>
    </cfRule>
  </conditionalFormatting>
  <conditionalFormatting sqref="B292:C302 D292:E302">
    <cfRule type="expression" dxfId="12" priority="3486" stopIfTrue="1">
      <formula>$A292="image"</formula>
    </cfRule>
  </conditionalFormatting>
  <conditionalFormatting sqref="B292:C302 D292:E302">
    <cfRule type="expression" dxfId="13" priority="3487" stopIfTrue="1">
      <formula>OR($A292="audio", $A292="video")</formula>
    </cfRule>
  </conditionalFormatting>
  <conditionalFormatting sqref="B292:E302">
    <cfRule type="expression" dxfId="33" priority="3488" stopIfTrue="1">
      <formula>$A292="file"</formula>
    </cfRule>
  </conditionalFormatting>
  <conditionalFormatting sqref="B292:E302">
    <cfRule type="expression" dxfId="34" priority="3489" stopIfTrue="1">
      <formula>$A292="enumerator"</formula>
    </cfRule>
  </conditionalFormatting>
  <conditionalFormatting sqref="B292:E302">
    <cfRule type="expression" dxfId="35" priority="3490" stopIfTrue="1">
      <formula>OR(AND(LEFT($A292, 14)="sensor_stream ", LEN($A292)&gt;14, NOT(ISNUMBER(SEARCH(" ", $A292, 15)))), AND(LEFT($A292, 17)="sensor_statistic ", LEN($A292)&gt;17, NOT(ISNUMBER(SEARCH(" ", $A292, 18)))))</formula>
    </cfRule>
  </conditionalFormatting>
  <conditionalFormatting sqref="B292:E302">
    <cfRule type="expression" dxfId="14" priority="3491" stopIfTrue="1">
      <formula>$A292="comments"</formula>
    </cfRule>
  </conditionalFormatting>
  <conditionalFormatting sqref="B292:E302">
    <cfRule type="expression" dxfId="15" priority="3492" stopIfTrue="1">
      <formula>OR($A292="audio", $A292="video")</formula>
    </cfRule>
  </conditionalFormatting>
  <conditionalFormatting sqref="B292:E302">
    <cfRule type="expression" dxfId="16" priority="3493" stopIfTrue="1">
      <formula>$A292="image"</formula>
    </cfRule>
  </conditionalFormatting>
  <conditionalFormatting sqref="B292:E302">
    <cfRule type="expression" dxfId="17" priority="3494" stopIfTrue="1">
      <formula>OR($A292="date", $A292="datetime", $A292="time")</formula>
    </cfRule>
  </conditionalFormatting>
  <conditionalFormatting sqref="B292:E302">
    <cfRule type="expression" dxfId="18" priority="3495" stopIfTrue="1">
      <formula>OR($A292="calculate", $A292="calculate_here")</formula>
    </cfRule>
  </conditionalFormatting>
  <conditionalFormatting sqref="B292:E302">
    <cfRule type="expression" dxfId="19" priority="3496" stopIfTrue="1">
      <formula>$A292="note"</formula>
    </cfRule>
  </conditionalFormatting>
  <conditionalFormatting sqref="B292:E302">
    <cfRule type="expression" dxfId="20" priority="3497" stopIfTrue="1">
      <formula>$A292="barcode"</formula>
    </cfRule>
  </conditionalFormatting>
  <conditionalFormatting sqref="B292:E302">
    <cfRule type="expression" dxfId="21" priority="3498" stopIfTrue="1">
      <formula>OR($A292="geopoint", $A292="geoshape", $A292="geotrace")</formula>
    </cfRule>
  </conditionalFormatting>
  <conditionalFormatting sqref="B292:E302">
    <cfRule type="expression" dxfId="22" priority="3499" stopIfTrue="1">
      <formula>OR($A292="audio audit", $A292="text audit", $A292="speed violations count", $A292="speed violations list", $A292="speed violations audit")</formula>
    </cfRule>
  </conditionalFormatting>
  <conditionalFormatting sqref="B292:E302">
    <cfRule type="expression" dxfId="23" priority="3500" stopIfTrue="1">
      <formula>OR($A292="username", $A292="phonenumber", $A292="start", $A292="end", $A292="deviceid", $A292="subscriberid", $A292="simserial", $A292="caseid")</formula>
    </cfRule>
  </conditionalFormatting>
  <conditionalFormatting sqref="B292:E302">
    <cfRule type="expression" dxfId="24" priority="3501" stopIfTrue="1">
      <formula>OR(AND(LEFT($A292, 16)="select_multiple ", LEN($A292)&gt;16, NOT(ISNUMBER(SEARCH(" ", $A292, 17)))), AND(LEFT($A292, 11)="select_one ", LEN($A292)&gt;11, NOT(ISNUMBER(SEARCH(" ", $A292, 12)))))</formula>
    </cfRule>
  </conditionalFormatting>
  <conditionalFormatting sqref="B292:E302">
    <cfRule type="expression" dxfId="25" priority="3502" stopIfTrue="1">
      <formula>$A292="decimal"</formula>
    </cfRule>
  </conditionalFormatting>
  <conditionalFormatting sqref="B292:E302">
    <cfRule type="expression" dxfId="26" priority="3503" stopIfTrue="1">
      <formula>$A292="integer"</formula>
    </cfRule>
  </conditionalFormatting>
  <conditionalFormatting sqref="B292:E302">
    <cfRule type="expression" dxfId="27" priority="3504" stopIfTrue="1">
      <formula>$A292="text"</formula>
    </cfRule>
  </conditionalFormatting>
  <conditionalFormatting sqref="B292:E302">
    <cfRule type="expression" dxfId="28" priority="3505" stopIfTrue="1">
      <formula>$A292="end repeat"</formula>
    </cfRule>
  </conditionalFormatting>
  <conditionalFormatting sqref="B292:E302">
    <cfRule type="expression" dxfId="28" priority="3506" stopIfTrue="1">
      <formula>$A292="begin repeat"</formula>
    </cfRule>
  </conditionalFormatting>
  <conditionalFormatting sqref="B292:E302">
    <cfRule type="expression" dxfId="29" priority="3507" stopIfTrue="1">
      <formula>$A292="end group"</formula>
    </cfRule>
  </conditionalFormatting>
  <conditionalFormatting sqref="B292:E302">
    <cfRule type="expression" dxfId="29" priority="3508" stopIfTrue="1">
      <formula>$A292="begin group"</formula>
    </cfRule>
  </conditionalFormatting>
  <conditionalFormatting sqref="B292:B302">
    <cfRule type="expression" dxfId="30" priority="3509" stopIfTrue="1">
      <formula>$A292="comments"</formula>
    </cfRule>
  </conditionalFormatting>
  <conditionalFormatting sqref="B292:B302">
    <cfRule type="expression" dxfId="36" priority="3510" stopIfTrue="1">
      <formula>OR(AND(LEFT($A292, 14)="sensor_stream ", LEN($A292)&gt;14, NOT(ISNUMBER(SEARCH(" ", $A292, 15)))), AND(LEFT($A292, 17)="sensor_statistic ", LEN($A292)&gt;17, NOT(ISNUMBER(SEARCH(" ", $A292, 18)))))</formula>
    </cfRule>
  </conditionalFormatting>
  <conditionalFormatting sqref="B284:C285 D284:E285">
    <cfRule type="expression" dxfId="0" priority="3511" stopIfTrue="1">
      <formula>$A284="begin group"</formula>
    </cfRule>
  </conditionalFormatting>
  <conditionalFormatting sqref="B284:C285 D284:E285">
    <cfRule type="expression" dxfId="1" priority="3512" stopIfTrue="1">
      <formula>$A284="begin repeat"</formula>
    </cfRule>
  </conditionalFormatting>
  <conditionalFormatting sqref="B284:E285">
    <cfRule type="expression" dxfId="31" priority="3513" stopIfTrue="1">
      <formula>$A284="enumerator"</formula>
    </cfRule>
  </conditionalFormatting>
  <conditionalFormatting sqref="B284:E285">
    <cfRule type="expression" dxfId="2" priority="3514" stopIfTrue="1">
      <formula>$A284="text"</formula>
    </cfRule>
  </conditionalFormatting>
  <conditionalFormatting sqref="B284:E285">
    <cfRule type="expression" dxfId="3" priority="3515" stopIfTrue="1">
      <formula>$A284="integer"</formula>
    </cfRule>
  </conditionalFormatting>
  <conditionalFormatting sqref="B284:E285">
    <cfRule type="expression" dxfId="4" priority="3516" stopIfTrue="1">
      <formula>$A284="decimal"</formula>
    </cfRule>
  </conditionalFormatting>
  <conditionalFormatting sqref="B284:C285 D284:E285">
    <cfRule type="expression" dxfId="5" priority="3517" stopIfTrue="1">
      <formula>OR(AND(LEFT($A284, 16)="select_multiple ", LEN($A284)&gt;16, NOT(ISNUMBER(SEARCH(" ", $A284, 17)))), AND(LEFT($A284, 11)="select_one ", LEN($A284)&gt;11, NOT(ISNUMBER(SEARCH(" ", $A284, 12)))))</formula>
    </cfRule>
  </conditionalFormatting>
  <conditionalFormatting sqref="B284:B285">
    <cfRule type="expression" dxfId="6" priority="3518" stopIfTrue="1">
      <formula>OR($A284="audio audit", $A284="text audit", $A284="speed violations count", $A284="speed violations list", $A284="speed violations audit")</formula>
    </cfRule>
  </conditionalFormatting>
  <conditionalFormatting sqref="B284:C285 D284:E285">
    <cfRule type="expression" dxfId="32" priority="3519" stopIfTrue="1">
      <formula>$A284="file"</formula>
    </cfRule>
  </conditionalFormatting>
  <conditionalFormatting sqref="B284:C285 D284:E285">
    <cfRule type="expression" dxfId="7" priority="3520" stopIfTrue="1">
      <formula>$A284="note"</formula>
    </cfRule>
  </conditionalFormatting>
  <conditionalFormatting sqref="B284:C285 D284:E285">
    <cfRule type="expression" dxfId="8" priority="3521" stopIfTrue="1">
      <formula>$A284="barcode"</formula>
    </cfRule>
  </conditionalFormatting>
  <conditionalFormatting sqref="B284:C285 D284:E285">
    <cfRule type="expression" dxfId="9" priority="3522" stopIfTrue="1">
      <formula>OR($A284="geopoint", $A284="geoshape", $A284="geotrace")</formula>
    </cfRule>
  </conditionalFormatting>
  <conditionalFormatting sqref="B284:B285">
    <cfRule type="expression" dxfId="10" priority="3523" stopIfTrue="1">
      <formula>OR($A284="calculate", $A284="calculate_here")</formula>
    </cfRule>
  </conditionalFormatting>
  <conditionalFormatting sqref="B284:C285 D284:E285">
    <cfRule type="expression" dxfId="11" priority="3524" stopIfTrue="1">
      <formula>OR($A284="date", $A284="datetime", $A284="time")</formula>
    </cfRule>
  </conditionalFormatting>
  <conditionalFormatting sqref="B284:C285 D284:E285">
    <cfRule type="expression" dxfId="12" priority="3525" stopIfTrue="1">
      <formula>$A284="image"</formula>
    </cfRule>
  </conditionalFormatting>
  <conditionalFormatting sqref="B284:C285 D284:E285">
    <cfRule type="expression" dxfId="13" priority="3526" stopIfTrue="1">
      <formula>OR($A284="audio", $A284="video")</formula>
    </cfRule>
  </conditionalFormatting>
  <conditionalFormatting sqref="B284:E285">
    <cfRule type="expression" dxfId="33" priority="3527" stopIfTrue="1">
      <formula>$A284="file"</formula>
    </cfRule>
  </conditionalFormatting>
  <conditionalFormatting sqref="B284:E285">
    <cfRule type="expression" dxfId="34" priority="3528" stopIfTrue="1">
      <formula>$A284="enumerator"</formula>
    </cfRule>
  </conditionalFormatting>
  <conditionalFormatting sqref="B284:E285">
    <cfRule type="expression" dxfId="35" priority="3529" stopIfTrue="1">
      <formula>OR(AND(LEFT($A284, 14)="sensor_stream ", LEN($A284)&gt;14, NOT(ISNUMBER(SEARCH(" ", $A284, 15)))), AND(LEFT($A284, 17)="sensor_statistic ", LEN($A284)&gt;17, NOT(ISNUMBER(SEARCH(" ", $A284, 18)))))</formula>
    </cfRule>
  </conditionalFormatting>
  <conditionalFormatting sqref="B284:E285">
    <cfRule type="expression" dxfId="14" priority="3530" stopIfTrue="1">
      <formula>$A284="comments"</formula>
    </cfRule>
  </conditionalFormatting>
  <conditionalFormatting sqref="B284:E285">
    <cfRule type="expression" dxfId="15" priority="3531" stopIfTrue="1">
      <formula>OR($A284="audio", $A284="video")</formula>
    </cfRule>
  </conditionalFormatting>
  <conditionalFormatting sqref="B284:E285">
    <cfRule type="expression" dxfId="16" priority="3532" stopIfTrue="1">
      <formula>$A284="image"</formula>
    </cfRule>
  </conditionalFormatting>
  <conditionalFormatting sqref="B284:E285">
    <cfRule type="expression" dxfId="17" priority="3533" stopIfTrue="1">
      <formula>OR($A284="date", $A284="datetime", $A284="time")</formula>
    </cfRule>
  </conditionalFormatting>
  <conditionalFormatting sqref="B284:E285">
    <cfRule type="expression" dxfId="18" priority="3534" stopIfTrue="1">
      <formula>OR($A284="calculate", $A284="calculate_here")</formula>
    </cfRule>
  </conditionalFormatting>
  <conditionalFormatting sqref="B284:E285">
    <cfRule type="expression" dxfId="19" priority="3535" stopIfTrue="1">
      <formula>$A284="note"</formula>
    </cfRule>
  </conditionalFormatting>
  <conditionalFormatting sqref="B284:E285">
    <cfRule type="expression" dxfId="20" priority="3536" stopIfTrue="1">
      <formula>$A284="barcode"</formula>
    </cfRule>
  </conditionalFormatting>
  <conditionalFormatting sqref="B284:E285">
    <cfRule type="expression" dxfId="21" priority="3537" stopIfTrue="1">
      <formula>OR($A284="geopoint", $A284="geoshape", $A284="geotrace")</formula>
    </cfRule>
  </conditionalFormatting>
  <conditionalFormatting sqref="B284:E285">
    <cfRule type="expression" dxfId="22" priority="3538" stopIfTrue="1">
      <formula>OR($A284="audio audit", $A284="text audit", $A284="speed violations count", $A284="speed violations list", $A284="speed violations audit")</formula>
    </cfRule>
  </conditionalFormatting>
  <conditionalFormatting sqref="B284:E285">
    <cfRule type="expression" dxfId="23" priority="3539" stopIfTrue="1">
      <formula>OR($A284="username", $A284="phonenumber", $A284="start", $A284="end", $A284="deviceid", $A284="subscriberid", $A284="simserial", $A284="caseid")</formula>
    </cfRule>
  </conditionalFormatting>
  <conditionalFormatting sqref="B284:E285">
    <cfRule type="expression" dxfId="24" priority="3540" stopIfTrue="1">
      <formula>OR(AND(LEFT($A284, 16)="select_multiple ", LEN($A284)&gt;16, NOT(ISNUMBER(SEARCH(" ", $A284, 17)))), AND(LEFT($A284, 11)="select_one ", LEN($A284)&gt;11, NOT(ISNUMBER(SEARCH(" ", $A284, 12)))))</formula>
    </cfRule>
  </conditionalFormatting>
  <conditionalFormatting sqref="B284:E285">
    <cfRule type="expression" dxfId="25" priority="3541" stopIfTrue="1">
      <formula>$A284="decimal"</formula>
    </cfRule>
  </conditionalFormatting>
  <conditionalFormatting sqref="B284:E285">
    <cfRule type="expression" dxfId="26" priority="3542" stopIfTrue="1">
      <formula>$A284="integer"</formula>
    </cfRule>
  </conditionalFormatting>
  <conditionalFormatting sqref="B284:E285">
    <cfRule type="expression" dxfId="27" priority="3543" stopIfTrue="1">
      <formula>$A284="text"</formula>
    </cfRule>
  </conditionalFormatting>
  <conditionalFormatting sqref="B284:E285">
    <cfRule type="expression" dxfId="28" priority="3544" stopIfTrue="1">
      <formula>$A284="end repeat"</formula>
    </cfRule>
  </conditionalFormatting>
  <conditionalFormatting sqref="B284:E285">
    <cfRule type="expression" dxfId="28" priority="3545" stopIfTrue="1">
      <formula>$A284="begin repeat"</formula>
    </cfRule>
  </conditionalFormatting>
  <conditionalFormatting sqref="B284:E285">
    <cfRule type="expression" dxfId="29" priority="3546" stopIfTrue="1">
      <formula>$A284="end group"</formula>
    </cfRule>
  </conditionalFormatting>
  <conditionalFormatting sqref="B284:E285">
    <cfRule type="expression" dxfId="29" priority="3547" stopIfTrue="1">
      <formula>$A284="begin group"</formula>
    </cfRule>
  </conditionalFormatting>
  <conditionalFormatting sqref="B284:B285">
    <cfRule type="expression" dxfId="30" priority="3548" stopIfTrue="1">
      <formula>$A284="comments"</formula>
    </cfRule>
  </conditionalFormatting>
  <conditionalFormatting sqref="B284:B285">
    <cfRule type="expression" dxfId="36" priority="3549" stopIfTrue="1">
      <formula>OR(AND(LEFT($A284, 14)="sensor_stream ", LEN($A284)&gt;14, NOT(ISNUMBER(SEARCH(" ", $A284, 15)))), AND(LEFT($A284, 17)="sensor_statistic ", LEN($A284)&gt;17, NOT(ISNUMBER(SEARCH(" ", $A284, 18)))))</formula>
    </cfRule>
  </conditionalFormatting>
  <conditionalFormatting sqref="B279:C281 D279:E281">
    <cfRule type="expression" dxfId="0" priority="3550" stopIfTrue="1">
      <formula>$A279="begin group"</formula>
    </cfRule>
  </conditionalFormatting>
  <conditionalFormatting sqref="B279:C281 D279:E281">
    <cfRule type="expression" dxfId="1" priority="3551" stopIfTrue="1">
      <formula>$A279="begin repeat"</formula>
    </cfRule>
  </conditionalFormatting>
  <conditionalFormatting sqref="B279:E281">
    <cfRule type="expression" dxfId="31" priority="3552" stopIfTrue="1">
      <formula>$A279="enumerator"</formula>
    </cfRule>
  </conditionalFormatting>
  <conditionalFormatting sqref="B279:E281">
    <cfRule type="expression" dxfId="2" priority="3553" stopIfTrue="1">
      <formula>$A279="text"</formula>
    </cfRule>
  </conditionalFormatting>
  <conditionalFormatting sqref="B279:E281">
    <cfRule type="expression" dxfId="3" priority="3554" stopIfTrue="1">
      <formula>$A279="integer"</formula>
    </cfRule>
  </conditionalFormatting>
  <conditionalFormatting sqref="B279:E281">
    <cfRule type="expression" dxfId="4" priority="3555" stopIfTrue="1">
      <formula>$A279="decimal"</formula>
    </cfRule>
  </conditionalFormatting>
  <conditionalFormatting sqref="B279:C281 D279:E281">
    <cfRule type="expression" dxfId="5" priority="3556" stopIfTrue="1">
      <formula>OR(AND(LEFT($A279, 16)="select_multiple ", LEN($A279)&gt;16, NOT(ISNUMBER(SEARCH(" ", $A279, 17)))), AND(LEFT($A279, 11)="select_one ", LEN($A279)&gt;11, NOT(ISNUMBER(SEARCH(" ", $A279, 12)))))</formula>
    </cfRule>
  </conditionalFormatting>
  <conditionalFormatting sqref="B279:B281">
    <cfRule type="expression" dxfId="6" priority="3557" stopIfTrue="1">
      <formula>OR($A279="audio audit", $A279="text audit", $A279="speed violations count", $A279="speed violations list", $A279="speed violations audit")</formula>
    </cfRule>
  </conditionalFormatting>
  <conditionalFormatting sqref="B279:C281 D279:E281">
    <cfRule type="expression" dxfId="32" priority="3558" stopIfTrue="1">
      <formula>$A279="file"</formula>
    </cfRule>
  </conditionalFormatting>
  <conditionalFormatting sqref="B279:C281 D279:E281">
    <cfRule type="expression" dxfId="7" priority="3559" stopIfTrue="1">
      <formula>$A279="note"</formula>
    </cfRule>
  </conditionalFormatting>
  <conditionalFormatting sqref="B279:C281 D279:E281">
    <cfRule type="expression" dxfId="8" priority="3560" stopIfTrue="1">
      <formula>$A279="barcode"</formula>
    </cfRule>
  </conditionalFormatting>
  <conditionalFormatting sqref="B279:C281 D279:E281">
    <cfRule type="expression" dxfId="9" priority="3561" stopIfTrue="1">
      <formula>OR($A279="geopoint", $A279="geoshape", $A279="geotrace")</formula>
    </cfRule>
  </conditionalFormatting>
  <conditionalFormatting sqref="B279:B281">
    <cfRule type="expression" dxfId="10" priority="3562" stopIfTrue="1">
      <formula>OR($A279="calculate", $A279="calculate_here")</formula>
    </cfRule>
  </conditionalFormatting>
  <conditionalFormatting sqref="B279:C281 D279:E281">
    <cfRule type="expression" dxfId="11" priority="3563" stopIfTrue="1">
      <formula>OR($A279="date", $A279="datetime", $A279="time")</formula>
    </cfRule>
  </conditionalFormatting>
  <conditionalFormatting sqref="B279:C281 D279:E281">
    <cfRule type="expression" dxfId="12" priority="3564" stopIfTrue="1">
      <formula>$A279="image"</formula>
    </cfRule>
  </conditionalFormatting>
  <conditionalFormatting sqref="B279:C281 D279:E281">
    <cfRule type="expression" dxfId="13" priority="3565" stopIfTrue="1">
      <formula>OR($A279="audio", $A279="video")</formula>
    </cfRule>
  </conditionalFormatting>
  <conditionalFormatting sqref="B279:E281">
    <cfRule type="expression" dxfId="33" priority="3566" stopIfTrue="1">
      <formula>$A279="file"</formula>
    </cfRule>
  </conditionalFormatting>
  <conditionalFormatting sqref="B279:E281">
    <cfRule type="expression" dxfId="34" priority="3567" stopIfTrue="1">
      <formula>$A279="enumerator"</formula>
    </cfRule>
  </conditionalFormatting>
  <conditionalFormatting sqref="B279:E281">
    <cfRule type="expression" dxfId="35" priority="3568" stopIfTrue="1">
      <formula>OR(AND(LEFT($A279, 14)="sensor_stream ", LEN($A279)&gt;14, NOT(ISNUMBER(SEARCH(" ", $A279, 15)))), AND(LEFT($A279, 17)="sensor_statistic ", LEN($A279)&gt;17, NOT(ISNUMBER(SEARCH(" ", $A279, 18)))))</formula>
    </cfRule>
  </conditionalFormatting>
  <conditionalFormatting sqref="B279:E281">
    <cfRule type="expression" dxfId="14" priority="3569" stopIfTrue="1">
      <formula>$A279="comments"</formula>
    </cfRule>
  </conditionalFormatting>
  <conditionalFormatting sqref="B279:E281">
    <cfRule type="expression" dxfId="15" priority="3570" stopIfTrue="1">
      <formula>OR($A279="audio", $A279="video")</formula>
    </cfRule>
  </conditionalFormatting>
  <conditionalFormatting sqref="B279:E281">
    <cfRule type="expression" dxfId="16" priority="3571" stopIfTrue="1">
      <formula>$A279="image"</formula>
    </cfRule>
  </conditionalFormatting>
  <conditionalFormatting sqref="B279:E281">
    <cfRule type="expression" dxfId="17" priority="3572" stopIfTrue="1">
      <formula>OR($A279="date", $A279="datetime", $A279="time")</formula>
    </cfRule>
  </conditionalFormatting>
  <conditionalFormatting sqref="B279:E281">
    <cfRule type="expression" dxfId="18" priority="3573" stopIfTrue="1">
      <formula>OR($A279="calculate", $A279="calculate_here")</formula>
    </cfRule>
  </conditionalFormatting>
  <conditionalFormatting sqref="B279:E281">
    <cfRule type="expression" dxfId="19" priority="3574" stopIfTrue="1">
      <formula>$A279="note"</formula>
    </cfRule>
  </conditionalFormatting>
  <conditionalFormatting sqref="B279:E281">
    <cfRule type="expression" dxfId="20" priority="3575" stopIfTrue="1">
      <formula>$A279="barcode"</formula>
    </cfRule>
  </conditionalFormatting>
  <conditionalFormatting sqref="B279:E281">
    <cfRule type="expression" dxfId="21" priority="3576" stopIfTrue="1">
      <formula>OR($A279="geopoint", $A279="geoshape", $A279="geotrace")</formula>
    </cfRule>
  </conditionalFormatting>
  <conditionalFormatting sqref="B279:E281">
    <cfRule type="expression" dxfId="22" priority="3577" stopIfTrue="1">
      <formula>OR($A279="audio audit", $A279="text audit", $A279="speed violations count", $A279="speed violations list", $A279="speed violations audit")</formula>
    </cfRule>
  </conditionalFormatting>
  <conditionalFormatting sqref="B279:E281">
    <cfRule type="expression" dxfId="23" priority="3578" stopIfTrue="1">
      <formula>OR($A279="username", $A279="phonenumber", $A279="start", $A279="end", $A279="deviceid", $A279="subscriberid", $A279="simserial", $A279="caseid")</formula>
    </cfRule>
  </conditionalFormatting>
  <conditionalFormatting sqref="B279:E281">
    <cfRule type="expression" dxfId="24" priority="3579" stopIfTrue="1">
      <formula>OR(AND(LEFT($A279, 16)="select_multiple ", LEN($A279)&gt;16, NOT(ISNUMBER(SEARCH(" ", $A279, 17)))), AND(LEFT($A279, 11)="select_one ", LEN($A279)&gt;11, NOT(ISNUMBER(SEARCH(" ", $A279, 12)))))</formula>
    </cfRule>
  </conditionalFormatting>
  <conditionalFormatting sqref="B279:E281">
    <cfRule type="expression" dxfId="25" priority="3580" stopIfTrue="1">
      <formula>$A279="decimal"</formula>
    </cfRule>
  </conditionalFormatting>
  <conditionalFormatting sqref="B279:E281">
    <cfRule type="expression" dxfId="26" priority="3581" stopIfTrue="1">
      <formula>$A279="integer"</formula>
    </cfRule>
  </conditionalFormatting>
  <conditionalFormatting sqref="B279:E281">
    <cfRule type="expression" dxfId="27" priority="3582" stopIfTrue="1">
      <formula>$A279="text"</formula>
    </cfRule>
  </conditionalFormatting>
  <conditionalFormatting sqref="B279:E281">
    <cfRule type="expression" dxfId="28" priority="3583" stopIfTrue="1">
      <formula>$A279="end repeat"</formula>
    </cfRule>
  </conditionalFormatting>
  <conditionalFormatting sqref="B279:E281">
    <cfRule type="expression" dxfId="28" priority="3584" stopIfTrue="1">
      <formula>$A279="begin repeat"</formula>
    </cfRule>
  </conditionalFormatting>
  <conditionalFormatting sqref="B279:E281">
    <cfRule type="expression" dxfId="29" priority="3585" stopIfTrue="1">
      <formula>$A279="end group"</formula>
    </cfRule>
  </conditionalFormatting>
  <conditionalFormatting sqref="B279:E281">
    <cfRule type="expression" dxfId="29" priority="3586" stopIfTrue="1">
      <formula>$A279="begin group"</formula>
    </cfRule>
  </conditionalFormatting>
  <conditionalFormatting sqref="B279:B281">
    <cfRule type="expression" dxfId="30" priority="3587" stopIfTrue="1">
      <formula>$A279="comments"</formula>
    </cfRule>
  </conditionalFormatting>
  <conditionalFormatting sqref="B279:B281">
    <cfRule type="expression" dxfId="36" priority="3588" stopIfTrue="1">
      <formula>OR(AND(LEFT($A279, 14)="sensor_stream ", LEN($A279)&gt;14, NOT(ISNUMBER(SEARCH(" ", $A279, 15)))), AND(LEFT($A279, 17)="sensor_statistic ", LEN($A279)&gt;17, NOT(ISNUMBER(SEARCH(" ", $A279, 18)))))</formula>
    </cfRule>
  </conditionalFormatting>
  <conditionalFormatting sqref="B259:C275 D259:E275">
    <cfRule type="expression" dxfId="0" priority="3589" stopIfTrue="1">
      <formula>$A259="begin group"</formula>
    </cfRule>
  </conditionalFormatting>
  <conditionalFormatting sqref="B259:C275 D259:E275">
    <cfRule type="expression" dxfId="1" priority="3590" stopIfTrue="1">
      <formula>$A259="begin repeat"</formula>
    </cfRule>
  </conditionalFormatting>
  <conditionalFormatting sqref="B259:E275">
    <cfRule type="expression" dxfId="31" priority="3591" stopIfTrue="1">
      <formula>$A259="enumerator"</formula>
    </cfRule>
  </conditionalFormatting>
  <conditionalFormatting sqref="B259:E275">
    <cfRule type="expression" dxfId="2" priority="3592" stopIfTrue="1">
      <formula>$A259="text"</formula>
    </cfRule>
  </conditionalFormatting>
  <conditionalFormatting sqref="B259:E275">
    <cfRule type="expression" dxfId="3" priority="3593" stopIfTrue="1">
      <formula>$A259="integer"</formula>
    </cfRule>
  </conditionalFormatting>
  <conditionalFormatting sqref="B259:E275">
    <cfRule type="expression" dxfId="4" priority="3594" stopIfTrue="1">
      <formula>$A259="decimal"</formula>
    </cfRule>
  </conditionalFormatting>
  <conditionalFormatting sqref="B259:C275 D259:E275">
    <cfRule type="expression" dxfId="5" priority="3595" stopIfTrue="1">
      <formula>OR(AND(LEFT($A259, 16)="select_multiple ", LEN($A259)&gt;16, NOT(ISNUMBER(SEARCH(" ", $A259, 17)))), AND(LEFT($A259, 11)="select_one ", LEN($A259)&gt;11, NOT(ISNUMBER(SEARCH(" ", $A259, 12)))))</formula>
    </cfRule>
  </conditionalFormatting>
  <conditionalFormatting sqref="B259:B275">
    <cfRule type="expression" dxfId="6" priority="3596" stopIfTrue="1">
      <formula>OR($A259="audio audit", $A259="text audit", $A259="speed violations count", $A259="speed violations list", $A259="speed violations audit")</formula>
    </cfRule>
  </conditionalFormatting>
  <conditionalFormatting sqref="B259:C275 D259:E275">
    <cfRule type="expression" dxfId="32" priority="3597" stopIfTrue="1">
      <formula>$A259="file"</formula>
    </cfRule>
  </conditionalFormatting>
  <conditionalFormatting sqref="B259:C275 D259:E275">
    <cfRule type="expression" dxfId="7" priority="3598" stopIfTrue="1">
      <formula>$A259="note"</formula>
    </cfRule>
  </conditionalFormatting>
  <conditionalFormatting sqref="B259:C275 D259:E275">
    <cfRule type="expression" dxfId="8" priority="3599" stopIfTrue="1">
      <formula>$A259="barcode"</formula>
    </cfRule>
  </conditionalFormatting>
  <conditionalFormatting sqref="B259:C275 D259:E275">
    <cfRule type="expression" dxfId="9" priority="3600" stopIfTrue="1">
      <formula>OR($A259="geopoint", $A259="geoshape", $A259="geotrace")</formula>
    </cfRule>
  </conditionalFormatting>
  <conditionalFormatting sqref="B259:B275">
    <cfRule type="expression" dxfId="10" priority="3601" stopIfTrue="1">
      <formula>OR($A259="calculate", $A259="calculate_here")</formula>
    </cfRule>
  </conditionalFormatting>
  <conditionalFormatting sqref="B259:C275 D259:E275">
    <cfRule type="expression" dxfId="11" priority="3602" stopIfTrue="1">
      <formula>OR($A259="date", $A259="datetime", $A259="time")</formula>
    </cfRule>
  </conditionalFormatting>
  <conditionalFormatting sqref="B259:C275 D259:E275">
    <cfRule type="expression" dxfId="12" priority="3603" stopIfTrue="1">
      <formula>$A259="image"</formula>
    </cfRule>
  </conditionalFormatting>
  <conditionalFormatting sqref="B259:C275 D259:E275">
    <cfRule type="expression" dxfId="13" priority="3604" stopIfTrue="1">
      <formula>OR($A259="audio", $A259="video")</formula>
    </cfRule>
  </conditionalFormatting>
  <conditionalFormatting sqref="B259:E275">
    <cfRule type="expression" dxfId="33" priority="3605" stopIfTrue="1">
      <formula>$A259="file"</formula>
    </cfRule>
  </conditionalFormatting>
  <conditionalFormatting sqref="B259:E275">
    <cfRule type="expression" dxfId="34" priority="3606" stopIfTrue="1">
      <formula>$A259="enumerator"</formula>
    </cfRule>
  </conditionalFormatting>
  <conditionalFormatting sqref="B259:E275">
    <cfRule type="expression" dxfId="35" priority="3607" stopIfTrue="1">
      <formula>OR(AND(LEFT($A259, 14)="sensor_stream ", LEN($A259)&gt;14, NOT(ISNUMBER(SEARCH(" ", $A259, 15)))), AND(LEFT($A259, 17)="sensor_statistic ", LEN($A259)&gt;17, NOT(ISNUMBER(SEARCH(" ", $A259, 18)))))</formula>
    </cfRule>
  </conditionalFormatting>
  <conditionalFormatting sqref="B259:E275">
    <cfRule type="expression" dxfId="14" priority="3608" stopIfTrue="1">
      <formula>$A259="comments"</formula>
    </cfRule>
  </conditionalFormatting>
  <conditionalFormatting sqref="B259:E275">
    <cfRule type="expression" dxfId="15" priority="3609" stopIfTrue="1">
      <formula>OR($A259="audio", $A259="video")</formula>
    </cfRule>
  </conditionalFormatting>
  <conditionalFormatting sqref="B259:E275">
    <cfRule type="expression" dxfId="16" priority="3610" stopIfTrue="1">
      <formula>$A259="image"</formula>
    </cfRule>
  </conditionalFormatting>
  <conditionalFormatting sqref="B259:E275">
    <cfRule type="expression" dxfId="17" priority="3611" stopIfTrue="1">
      <formula>OR($A259="date", $A259="datetime", $A259="time")</formula>
    </cfRule>
  </conditionalFormatting>
  <conditionalFormatting sqref="B259:E275">
    <cfRule type="expression" dxfId="18" priority="3612" stopIfTrue="1">
      <formula>OR($A259="calculate", $A259="calculate_here")</formula>
    </cfRule>
  </conditionalFormatting>
  <conditionalFormatting sqref="B259:E275">
    <cfRule type="expression" dxfId="19" priority="3613" stopIfTrue="1">
      <formula>$A259="note"</formula>
    </cfRule>
  </conditionalFormatting>
  <conditionalFormatting sqref="B259:E275">
    <cfRule type="expression" dxfId="20" priority="3614" stopIfTrue="1">
      <formula>$A259="barcode"</formula>
    </cfRule>
  </conditionalFormatting>
  <conditionalFormatting sqref="B259:E275">
    <cfRule type="expression" dxfId="21" priority="3615" stopIfTrue="1">
      <formula>OR($A259="geopoint", $A259="geoshape", $A259="geotrace")</formula>
    </cfRule>
  </conditionalFormatting>
  <conditionalFormatting sqref="B259:E275">
    <cfRule type="expression" dxfId="22" priority="3616" stopIfTrue="1">
      <formula>OR($A259="audio audit", $A259="text audit", $A259="speed violations count", $A259="speed violations list", $A259="speed violations audit")</formula>
    </cfRule>
  </conditionalFormatting>
  <conditionalFormatting sqref="B259:E275">
    <cfRule type="expression" dxfId="23" priority="3617" stopIfTrue="1">
      <formula>OR($A259="username", $A259="phonenumber", $A259="start", $A259="end", $A259="deviceid", $A259="subscriberid", $A259="simserial", $A259="caseid")</formula>
    </cfRule>
  </conditionalFormatting>
  <conditionalFormatting sqref="B259:E275">
    <cfRule type="expression" dxfId="24" priority="3618" stopIfTrue="1">
      <formula>OR(AND(LEFT($A259, 16)="select_multiple ", LEN($A259)&gt;16, NOT(ISNUMBER(SEARCH(" ", $A259, 17)))), AND(LEFT($A259, 11)="select_one ", LEN($A259)&gt;11, NOT(ISNUMBER(SEARCH(" ", $A259, 12)))))</formula>
    </cfRule>
  </conditionalFormatting>
  <conditionalFormatting sqref="B259:E275">
    <cfRule type="expression" dxfId="25" priority="3619" stopIfTrue="1">
      <formula>$A259="decimal"</formula>
    </cfRule>
  </conditionalFormatting>
  <conditionalFormatting sqref="B259:E275">
    <cfRule type="expression" dxfId="26" priority="3620" stopIfTrue="1">
      <formula>$A259="integer"</formula>
    </cfRule>
  </conditionalFormatting>
  <conditionalFormatting sqref="B259:E275">
    <cfRule type="expression" dxfId="27" priority="3621" stopIfTrue="1">
      <formula>$A259="text"</formula>
    </cfRule>
  </conditionalFormatting>
  <conditionalFormatting sqref="B259:E275">
    <cfRule type="expression" dxfId="28" priority="3622" stopIfTrue="1">
      <formula>$A259="end repeat"</formula>
    </cfRule>
  </conditionalFormatting>
  <conditionalFormatting sqref="B259:E275">
    <cfRule type="expression" dxfId="28" priority="3623" stopIfTrue="1">
      <formula>$A259="begin repeat"</formula>
    </cfRule>
  </conditionalFormatting>
  <conditionalFormatting sqref="B259:E275">
    <cfRule type="expression" dxfId="29" priority="3624" stopIfTrue="1">
      <formula>$A259="end group"</formula>
    </cfRule>
  </conditionalFormatting>
  <conditionalFormatting sqref="B259:E275">
    <cfRule type="expression" dxfId="29" priority="3625" stopIfTrue="1">
      <formula>$A259="begin group"</formula>
    </cfRule>
  </conditionalFormatting>
  <conditionalFormatting sqref="B259:B275">
    <cfRule type="expression" dxfId="30" priority="3626" stopIfTrue="1">
      <formula>$A259="comments"</formula>
    </cfRule>
  </conditionalFormatting>
  <conditionalFormatting sqref="B259:B275">
    <cfRule type="expression" dxfId="36" priority="3627" stopIfTrue="1">
      <formula>OR(AND(LEFT($A259, 14)="sensor_stream ", LEN($A259)&gt;14, NOT(ISNUMBER(SEARCH(" ", $A259, 15)))), AND(LEFT($A259, 17)="sensor_statistic ", LEN($A259)&gt;17, NOT(ISNUMBER(SEARCH(" ", $A259, 18)))))</formula>
    </cfRule>
  </conditionalFormatting>
  <conditionalFormatting sqref="B257:C257 D257:E257">
    <cfRule type="expression" dxfId="0" priority="3628" stopIfTrue="1">
      <formula>$A257="begin group"</formula>
    </cfRule>
  </conditionalFormatting>
  <conditionalFormatting sqref="B257:C257 D257:E257">
    <cfRule type="expression" dxfId="1" priority="3629" stopIfTrue="1">
      <formula>$A257="begin repeat"</formula>
    </cfRule>
  </conditionalFormatting>
  <conditionalFormatting sqref="B257:E257">
    <cfRule type="expression" dxfId="31" priority="3630" stopIfTrue="1">
      <formula>$A257="enumerator"</formula>
    </cfRule>
  </conditionalFormatting>
  <conditionalFormatting sqref="B257:E257">
    <cfRule type="expression" dxfId="2" priority="3631" stopIfTrue="1">
      <formula>$A257="text"</formula>
    </cfRule>
  </conditionalFormatting>
  <conditionalFormatting sqref="B257:E257">
    <cfRule type="expression" dxfId="3" priority="3632" stopIfTrue="1">
      <formula>$A257="integer"</formula>
    </cfRule>
  </conditionalFormatting>
  <conditionalFormatting sqref="B257:E257">
    <cfRule type="expression" dxfId="4" priority="3633" stopIfTrue="1">
      <formula>$A257="decimal"</formula>
    </cfRule>
  </conditionalFormatting>
  <conditionalFormatting sqref="B257:C257 D257:E257">
    <cfRule type="expression" dxfId="5" priority="3634" stopIfTrue="1">
      <formula>OR(AND(LEFT($A257, 16)="select_multiple ", LEN($A257)&gt;16, NOT(ISNUMBER(SEARCH(" ", $A257, 17)))), AND(LEFT($A257, 11)="select_one ", LEN($A257)&gt;11, NOT(ISNUMBER(SEARCH(" ", $A257, 12)))))</formula>
    </cfRule>
  </conditionalFormatting>
  <conditionalFormatting sqref="B257">
    <cfRule type="expression" dxfId="6" priority="3635" stopIfTrue="1">
      <formula>OR($A257="audio audit", $A257="text audit", $A257="speed violations count", $A257="speed violations list", $A257="speed violations audit")</formula>
    </cfRule>
  </conditionalFormatting>
  <conditionalFormatting sqref="B257:C257 D257:E257">
    <cfRule type="expression" dxfId="32" priority="3636" stopIfTrue="1">
      <formula>$A257="file"</formula>
    </cfRule>
  </conditionalFormatting>
  <conditionalFormatting sqref="B257:C257 D257:E257">
    <cfRule type="expression" dxfId="7" priority="3637" stopIfTrue="1">
      <formula>$A257="note"</formula>
    </cfRule>
  </conditionalFormatting>
  <conditionalFormatting sqref="B257:C257 D257:E257">
    <cfRule type="expression" dxfId="8" priority="3638" stopIfTrue="1">
      <formula>$A257="barcode"</formula>
    </cfRule>
  </conditionalFormatting>
  <conditionalFormatting sqref="B257:C257 D257:E257">
    <cfRule type="expression" dxfId="9" priority="3639" stopIfTrue="1">
      <formula>OR($A257="geopoint", $A257="geoshape", $A257="geotrace")</formula>
    </cfRule>
  </conditionalFormatting>
  <conditionalFormatting sqref="B257">
    <cfRule type="expression" dxfId="10" priority="3640" stopIfTrue="1">
      <formula>OR($A257="calculate", $A257="calculate_here")</formula>
    </cfRule>
  </conditionalFormatting>
  <conditionalFormatting sqref="B257:C257 D257:E257">
    <cfRule type="expression" dxfId="11" priority="3641" stopIfTrue="1">
      <formula>OR($A257="date", $A257="datetime", $A257="time")</formula>
    </cfRule>
  </conditionalFormatting>
  <conditionalFormatting sqref="B257:C257 D257:E257">
    <cfRule type="expression" dxfId="12" priority="3642" stopIfTrue="1">
      <formula>$A257="image"</formula>
    </cfRule>
  </conditionalFormatting>
  <conditionalFormatting sqref="B257:C257 D257:E257">
    <cfRule type="expression" dxfId="13" priority="3643" stopIfTrue="1">
      <formula>OR($A257="audio", $A257="video")</formula>
    </cfRule>
  </conditionalFormatting>
  <conditionalFormatting sqref="B257:E257">
    <cfRule type="expression" dxfId="33" priority="3644" stopIfTrue="1">
      <formula>$A257="file"</formula>
    </cfRule>
  </conditionalFormatting>
  <conditionalFormatting sqref="B257:E257">
    <cfRule type="expression" dxfId="34" priority="3645" stopIfTrue="1">
      <formula>$A257="enumerator"</formula>
    </cfRule>
  </conditionalFormatting>
  <conditionalFormatting sqref="B257:E257">
    <cfRule type="expression" dxfId="35" priority="3646" stopIfTrue="1">
      <formula>OR(AND(LEFT($A257, 14)="sensor_stream ", LEN($A257)&gt;14, NOT(ISNUMBER(SEARCH(" ", $A257, 15)))), AND(LEFT($A257, 17)="sensor_statistic ", LEN($A257)&gt;17, NOT(ISNUMBER(SEARCH(" ", $A257, 18)))))</formula>
    </cfRule>
  </conditionalFormatting>
  <conditionalFormatting sqref="B257:E257">
    <cfRule type="expression" dxfId="14" priority="3647" stopIfTrue="1">
      <formula>$A257="comments"</formula>
    </cfRule>
  </conditionalFormatting>
  <conditionalFormatting sqref="B257:E257">
    <cfRule type="expression" dxfId="15" priority="3648" stopIfTrue="1">
      <formula>OR($A257="audio", $A257="video")</formula>
    </cfRule>
  </conditionalFormatting>
  <conditionalFormatting sqref="B257:E257">
    <cfRule type="expression" dxfId="16" priority="3649" stopIfTrue="1">
      <formula>$A257="image"</formula>
    </cfRule>
  </conditionalFormatting>
  <conditionalFormatting sqref="B257:E257">
    <cfRule type="expression" dxfId="17" priority="3650" stopIfTrue="1">
      <formula>OR($A257="date", $A257="datetime", $A257="time")</formula>
    </cfRule>
  </conditionalFormatting>
  <conditionalFormatting sqref="B257:E257">
    <cfRule type="expression" dxfId="18" priority="3651" stopIfTrue="1">
      <formula>OR($A257="calculate", $A257="calculate_here")</formula>
    </cfRule>
  </conditionalFormatting>
  <conditionalFormatting sqref="B257:E257">
    <cfRule type="expression" dxfId="19" priority="3652" stopIfTrue="1">
      <formula>$A257="note"</formula>
    </cfRule>
  </conditionalFormatting>
  <conditionalFormatting sqref="B257:E257">
    <cfRule type="expression" dxfId="20" priority="3653" stopIfTrue="1">
      <formula>$A257="barcode"</formula>
    </cfRule>
  </conditionalFormatting>
  <conditionalFormatting sqref="B257:E257">
    <cfRule type="expression" dxfId="21" priority="3654" stopIfTrue="1">
      <formula>OR($A257="geopoint", $A257="geoshape", $A257="geotrace")</formula>
    </cfRule>
  </conditionalFormatting>
  <conditionalFormatting sqref="B257:E257">
    <cfRule type="expression" dxfId="22" priority="3655" stopIfTrue="1">
      <formula>OR($A257="audio audit", $A257="text audit", $A257="speed violations count", $A257="speed violations list", $A257="speed violations audit")</formula>
    </cfRule>
  </conditionalFormatting>
  <conditionalFormatting sqref="B257:E257">
    <cfRule type="expression" dxfId="23" priority="3656" stopIfTrue="1">
      <formula>OR($A257="username", $A257="phonenumber", $A257="start", $A257="end", $A257="deviceid", $A257="subscriberid", $A257="simserial", $A257="caseid")</formula>
    </cfRule>
  </conditionalFormatting>
  <conditionalFormatting sqref="B257:E257">
    <cfRule type="expression" dxfId="24" priority="3657" stopIfTrue="1">
      <formula>OR(AND(LEFT($A257, 16)="select_multiple ", LEN($A257)&gt;16, NOT(ISNUMBER(SEARCH(" ", $A257, 17)))), AND(LEFT($A257, 11)="select_one ", LEN($A257)&gt;11, NOT(ISNUMBER(SEARCH(" ", $A257, 12)))))</formula>
    </cfRule>
  </conditionalFormatting>
  <conditionalFormatting sqref="B257:E257">
    <cfRule type="expression" dxfId="25" priority="3658" stopIfTrue="1">
      <formula>$A257="decimal"</formula>
    </cfRule>
  </conditionalFormatting>
  <conditionalFormatting sqref="B257:E257">
    <cfRule type="expression" dxfId="26" priority="3659" stopIfTrue="1">
      <formula>$A257="integer"</formula>
    </cfRule>
  </conditionalFormatting>
  <conditionalFormatting sqref="B257:E257">
    <cfRule type="expression" dxfId="27" priority="3660" stopIfTrue="1">
      <formula>$A257="text"</formula>
    </cfRule>
  </conditionalFormatting>
  <conditionalFormatting sqref="B257:E257">
    <cfRule type="expression" dxfId="28" priority="3661" stopIfTrue="1">
      <formula>$A257="end repeat"</formula>
    </cfRule>
  </conditionalFormatting>
  <conditionalFormatting sqref="B257:E257">
    <cfRule type="expression" dxfId="28" priority="3662" stopIfTrue="1">
      <formula>$A257="begin repeat"</formula>
    </cfRule>
  </conditionalFormatting>
  <conditionalFormatting sqref="B257:E257">
    <cfRule type="expression" dxfId="29" priority="3663" stopIfTrue="1">
      <formula>$A257="end group"</formula>
    </cfRule>
  </conditionalFormatting>
  <conditionalFormatting sqref="B257:E257">
    <cfRule type="expression" dxfId="29" priority="3664" stopIfTrue="1">
      <formula>$A257="begin group"</formula>
    </cfRule>
  </conditionalFormatting>
  <conditionalFormatting sqref="B257">
    <cfRule type="expression" dxfId="30" priority="3665" stopIfTrue="1">
      <formula>$A257="comments"</formula>
    </cfRule>
  </conditionalFormatting>
  <conditionalFormatting sqref="B257">
    <cfRule type="expression" dxfId="36" priority="3666" stopIfTrue="1">
      <formula>OR(AND(LEFT($A257, 14)="sensor_stream ", LEN($A257)&gt;14, NOT(ISNUMBER(SEARCH(" ", $A257, 15)))), AND(LEFT($A257, 17)="sensor_statistic ", LEN($A257)&gt;17, NOT(ISNUMBER(SEARCH(" ", $A257, 18)))))</formula>
    </cfRule>
  </conditionalFormatting>
  <conditionalFormatting sqref="B235:C247 D235:E247">
    <cfRule type="expression" dxfId="0" priority="3667" stopIfTrue="1">
      <formula>$A235="begin group"</formula>
    </cfRule>
  </conditionalFormatting>
  <conditionalFormatting sqref="B235:C247 D235:E247">
    <cfRule type="expression" dxfId="1" priority="3668" stopIfTrue="1">
      <formula>$A235="begin repeat"</formula>
    </cfRule>
  </conditionalFormatting>
  <conditionalFormatting sqref="B235:E247">
    <cfRule type="expression" dxfId="31" priority="3669" stopIfTrue="1">
      <formula>$A235="enumerator"</formula>
    </cfRule>
  </conditionalFormatting>
  <conditionalFormatting sqref="B235:E247">
    <cfRule type="expression" dxfId="2" priority="3670" stopIfTrue="1">
      <formula>$A235="text"</formula>
    </cfRule>
  </conditionalFormatting>
  <conditionalFormatting sqref="B235:E247">
    <cfRule type="expression" dxfId="3" priority="3671" stopIfTrue="1">
      <formula>$A235="integer"</formula>
    </cfRule>
  </conditionalFormatting>
  <conditionalFormatting sqref="B235:E247">
    <cfRule type="expression" dxfId="4" priority="3672" stopIfTrue="1">
      <formula>$A235="decimal"</formula>
    </cfRule>
  </conditionalFormatting>
  <conditionalFormatting sqref="B235:C247 D235:E247">
    <cfRule type="expression" dxfId="5" priority="3673" stopIfTrue="1">
      <formula>OR(AND(LEFT($A235, 16)="select_multiple ", LEN($A235)&gt;16, NOT(ISNUMBER(SEARCH(" ", $A235, 17)))), AND(LEFT($A235, 11)="select_one ", LEN($A235)&gt;11, NOT(ISNUMBER(SEARCH(" ", $A235, 12)))))</formula>
    </cfRule>
  </conditionalFormatting>
  <conditionalFormatting sqref="B235:B247">
    <cfRule type="expression" dxfId="6" priority="3674" stopIfTrue="1">
      <formula>OR($A235="audio audit", $A235="text audit", $A235="speed violations count", $A235="speed violations list", $A235="speed violations audit")</formula>
    </cfRule>
  </conditionalFormatting>
  <conditionalFormatting sqref="B235:C247 D235:E247">
    <cfRule type="expression" dxfId="32" priority="3675" stopIfTrue="1">
      <formula>$A235="file"</formula>
    </cfRule>
  </conditionalFormatting>
  <conditionalFormatting sqref="B235:C247 D235:E247">
    <cfRule type="expression" dxfId="7" priority="3676" stopIfTrue="1">
      <formula>$A235="note"</formula>
    </cfRule>
  </conditionalFormatting>
  <conditionalFormatting sqref="B235:C247 D235:E247">
    <cfRule type="expression" dxfId="8" priority="3677" stopIfTrue="1">
      <formula>$A235="barcode"</formula>
    </cfRule>
  </conditionalFormatting>
  <conditionalFormatting sqref="B235:C247 D235:E247">
    <cfRule type="expression" dxfId="9" priority="3678" stopIfTrue="1">
      <formula>OR($A235="geopoint", $A235="geoshape", $A235="geotrace")</formula>
    </cfRule>
  </conditionalFormatting>
  <conditionalFormatting sqref="B235:B247">
    <cfRule type="expression" dxfId="10" priority="3679" stopIfTrue="1">
      <formula>OR($A235="calculate", $A235="calculate_here")</formula>
    </cfRule>
  </conditionalFormatting>
  <conditionalFormatting sqref="B235:C247 D235:E247">
    <cfRule type="expression" dxfId="11" priority="3680" stopIfTrue="1">
      <formula>OR($A235="date", $A235="datetime", $A235="time")</formula>
    </cfRule>
  </conditionalFormatting>
  <conditionalFormatting sqref="B235:C247 D235:E247">
    <cfRule type="expression" dxfId="12" priority="3681" stopIfTrue="1">
      <formula>$A235="image"</formula>
    </cfRule>
  </conditionalFormatting>
  <conditionalFormatting sqref="B235:C247 D235:E247">
    <cfRule type="expression" dxfId="13" priority="3682" stopIfTrue="1">
      <formula>OR($A235="audio", $A235="video")</formula>
    </cfRule>
  </conditionalFormatting>
  <conditionalFormatting sqref="B235:E247">
    <cfRule type="expression" dxfId="33" priority="3683" stopIfTrue="1">
      <formula>$A235="file"</formula>
    </cfRule>
  </conditionalFormatting>
  <conditionalFormatting sqref="B235:E247">
    <cfRule type="expression" dxfId="34" priority="3684" stopIfTrue="1">
      <formula>$A235="enumerator"</formula>
    </cfRule>
  </conditionalFormatting>
  <conditionalFormatting sqref="B235:E247">
    <cfRule type="expression" dxfId="35" priority="3685" stopIfTrue="1">
      <formula>OR(AND(LEFT($A235, 14)="sensor_stream ", LEN($A235)&gt;14, NOT(ISNUMBER(SEARCH(" ", $A235, 15)))), AND(LEFT($A235, 17)="sensor_statistic ", LEN($A235)&gt;17, NOT(ISNUMBER(SEARCH(" ", $A235, 18)))))</formula>
    </cfRule>
  </conditionalFormatting>
  <conditionalFormatting sqref="B235:E247">
    <cfRule type="expression" dxfId="14" priority="3686" stopIfTrue="1">
      <formula>$A235="comments"</formula>
    </cfRule>
  </conditionalFormatting>
  <conditionalFormatting sqref="B235:E247">
    <cfRule type="expression" dxfId="15" priority="3687" stopIfTrue="1">
      <formula>OR($A235="audio", $A235="video")</formula>
    </cfRule>
  </conditionalFormatting>
  <conditionalFormatting sqref="B235:E247">
    <cfRule type="expression" dxfId="16" priority="3688" stopIfTrue="1">
      <formula>$A235="image"</formula>
    </cfRule>
  </conditionalFormatting>
  <conditionalFormatting sqref="B235:E247">
    <cfRule type="expression" dxfId="17" priority="3689" stopIfTrue="1">
      <formula>OR($A235="date", $A235="datetime", $A235="time")</formula>
    </cfRule>
  </conditionalFormatting>
  <conditionalFormatting sqref="B235:E247">
    <cfRule type="expression" dxfId="18" priority="3690" stopIfTrue="1">
      <formula>OR($A235="calculate", $A235="calculate_here")</formula>
    </cfRule>
  </conditionalFormatting>
  <conditionalFormatting sqref="B235:E247">
    <cfRule type="expression" dxfId="19" priority="3691" stopIfTrue="1">
      <formula>$A235="note"</formula>
    </cfRule>
  </conditionalFormatting>
  <conditionalFormatting sqref="B235:E247">
    <cfRule type="expression" dxfId="20" priority="3692" stopIfTrue="1">
      <formula>$A235="barcode"</formula>
    </cfRule>
  </conditionalFormatting>
  <conditionalFormatting sqref="B235:E247">
    <cfRule type="expression" dxfId="21" priority="3693" stopIfTrue="1">
      <formula>OR($A235="geopoint", $A235="geoshape", $A235="geotrace")</formula>
    </cfRule>
  </conditionalFormatting>
  <conditionalFormatting sqref="B235:E247">
    <cfRule type="expression" dxfId="22" priority="3694" stopIfTrue="1">
      <formula>OR($A235="audio audit", $A235="text audit", $A235="speed violations count", $A235="speed violations list", $A235="speed violations audit")</formula>
    </cfRule>
  </conditionalFormatting>
  <conditionalFormatting sqref="B235:E247">
    <cfRule type="expression" dxfId="23" priority="3695" stopIfTrue="1">
      <formula>OR($A235="username", $A235="phonenumber", $A235="start", $A235="end", $A235="deviceid", $A235="subscriberid", $A235="simserial", $A235="caseid")</formula>
    </cfRule>
  </conditionalFormatting>
  <conditionalFormatting sqref="B235:E247">
    <cfRule type="expression" dxfId="24" priority="3696" stopIfTrue="1">
      <formula>OR(AND(LEFT($A235, 16)="select_multiple ", LEN($A235)&gt;16, NOT(ISNUMBER(SEARCH(" ", $A235, 17)))), AND(LEFT($A235, 11)="select_one ", LEN($A235)&gt;11, NOT(ISNUMBER(SEARCH(" ", $A235, 12)))))</formula>
    </cfRule>
  </conditionalFormatting>
  <conditionalFormatting sqref="B235:E247">
    <cfRule type="expression" dxfId="25" priority="3697" stopIfTrue="1">
      <formula>$A235="decimal"</formula>
    </cfRule>
  </conditionalFormatting>
  <conditionalFormatting sqref="B235:E247">
    <cfRule type="expression" dxfId="26" priority="3698" stopIfTrue="1">
      <formula>$A235="integer"</formula>
    </cfRule>
  </conditionalFormatting>
  <conditionalFormatting sqref="B235:E247">
    <cfRule type="expression" dxfId="27" priority="3699" stopIfTrue="1">
      <formula>$A235="text"</formula>
    </cfRule>
  </conditionalFormatting>
  <conditionalFormatting sqref="B235:E247">
    <cfRule type="expression" dxfId="28" priority="3700" stopIfTrue="1">
      <formula>$A235="end repeat"</formula>
    </cfRule>
  </conditionalFormatting>
  <conditionalFormatting sqref="B235:E247">
    <cfRule type="expression" dxfId="28" priority="3701" stopIfTrue="1">
      <formula>$A235="begin repeat"</formula>
    </cfRule>
  </conditionalFormatting>
  <conditionalFormatting sqref="B235:E247">
    <cfRule type="expression" dxfId="29" priority="3702" stopIfTrue="1">
      <formula>$A235="end group"</formula>
    </cfRule>
  </conditionalFormatting>
  <conditionalFormatting sqref="B235:E247">
    <cfRule type="expression" dxfId="29" priority="3703" stopIfTrue="1">
      <formula>$A235="begin group"</formula>
    </cfRule>
  </conditionalFormatting>
  <conditionalFormatting sqref="B235:B247">
    <cfRule type="expression" dxfId="30" priority="3704" stopIfTrue="1">
      <formula>$A235="comments"</formula>
    </cfRule>
  </conditionalFormatting>
  <conditionalFormatting sqref="B235:B247">
    <cfRule type="expression" dxfId="36" priority="3705" stopIfTrue="1">
      <formula>OR(AND(LEFT($A235, 14)="sensor_stream ", LEN($A235)&gt;14, NOT(ISNUMBER(SEARCH(" ", $A235, 15)))), AND(LEFT($A235, 17)="sensor_statistic ", LEN($A235)&gt;17, NOT(ISNUMBER(SEARCH(" ", $A235, 18)))))</formula>
    </cfRule>
  </conditionalFormatting>
  <conditionalFormatting sqref="B221:C228 D221:E228">
    <cfRule type="expression" dxfId="0" priority="3706" stopIfTrue="1">
      <formula>$A221="begin group"</formula>
    </cfRule>
  </conditionalFormatting>
  <conditionalFormatting sqref="B221:C228 D221:E228">
    <cfRule type="expression" dxfId="1" priority="3707" stopIfTrue="1">
      <formula>$A221="begin repeat"</formula>
    </cfRule>
  </conditionalFormatting>
  <conditionalFormatting sqref="B221:E228">
    <cfRule type="expression" dxfId="31" priority="3708" stopIfTrue="1">
      <formula>$A221="enumerator"</formula>
    </cfRule>
  </conditionalFormatting>
  <conditionalFormatting sqref="B221:E228">
    <cfRule type="expression" dxfId="2" priority="3709" stopIfTrue="1">
      <formula>$A221="text"</formula>
    </cfRule>
  </conditionalFormatting>
  <conditionalFormatting sqref="B221:E228">
    <cfRule type="expression" dxfId="3" priority="3710" stopIfTrue="1">
      <formula>$A221="integer"</formula>
    </cfRule>
  </conditionalFormatting>
  <conditionalFormatting sqref="B221:E228">
    <cfRule type="expression" dxfId="4" priority="3711" stopIfTrue="1">
      <formula>$A221="decimal"</formula>
    </cfRule>
  </conditionalFormatting>
  <conditionalFormatting sqref="B221:C228 D221:E228">
    <cfRule type="expression" dxfId="5" priority="3712" stopIfTrue="1">
      <formula>OR(AND(LEFT($A221, 16)="select_multiple ", LEN($A221)&gt;16, NOT(ISNUMBER(SEARCH(" ", $A221, 17)))), AND(LEFT($A221, 11)="select_one ", LEN($A221)&gt;11, NOT(ISNUMBER(SEARCH(" ", $A221, 12)))))</formula>
    </cfRule>
  </conditionalFormatting>
  <conditionalFormatting sqref="B221:B228">
    <cfRule type="expression" dxfId="6" priority="3713" stopIfTrue="1">
      <formula>OR($A221="audio audit", $A221="text audit", $A221="speed violations count", $A221="speed violations list", $A221="speed violations audit")</formula>
    </cfRule>
  </conditionalFormatting>
  <conditionalFormatting sqref="B221:C228 D221:E228">
    <cfRule type="expression" dxfId="32" priority="3714" stopIfTrue="1">
      <formula>$A221="file"</formula>
    </cfRule>
  </conditionalFormatting>
  <conditionalFormatting sqref="B221:C228 D221:E228">
    <cfRule type="expression" dxfId="7" priority="3715" stopIfTrue="1">
      <formula>$A221="note"</formula>
    </cfRule>
  </conditionalFormatting>
  <conditionalFormatting sqref="B221:C228 D221:E228">
    <cfRule type="expression" dxfId="8" priority="3716" stopIfTrue="1">
      <formula>$A221="barcode"</formula>
    </cfRule>
  </conditionalFormatting>
  <conditionalFormatting sqref="B221:C228 D221:E228">
    <cfRule type="expression" dxfId="9" priority="3717" stopIfTrue="1">
      <formula>OR($A221="geopoint", $A221="geoshape", $A221="geotrace")</formula>
    </cfRule>
  </conditionalFormatting>
  <conditionalFormatting sqref="B221:B228">
    <cfRule type="expression" dxfId="10" priority="3718" stopIfTrue="1">
      <formula>OR($A221="calculate", $A221="calculate_here")</formula>
    </cfRule>
  </conditionalFormatting>
  <conditionalFormatting sqref="B221:C228 D221:E228">
    <cfRule type="expression" dxfId="11" priority="3719" stopIfTrue="1">
      <formula>OR($A221="date", $A221="datetime", $A221="time")</formula>
    </cfRule>
  </conditionalFormatting>
  <conditionalFormatting sqref="B221:C228 D221:E228">
    <cfRule type="expression" dxfId="12" priority="3720" stopIfTrue="1">
      <formula>$A221="image"</formula>
    </cfRule>
  </conditionalFormatting>
  <conditionalFormatting sqref="B221:C228 D221:E228">
    <cfRule type="expression" dxfId="13" priority="3721" stopIfTrue="1">
      <formula>OR($A221="audio", $A221="video")</formula>
    </cfRule>
  </conditionalFormatting>
  <conditionalFormatting sqref="B221:E228">
    <cfRule type="expression" dxfId="33" priority="3722" stopIfTrue="1">
      <formula>$A221="file"</formula>
    </cfRule>
  </conditionalFormatting>
  <conditionalFormatting sqref="B221:E228">
    <cfRule type="expression" dxfId="34" priority="3723" stopIfTrue="1">
      <formula>$A221="enumerator"</formula>
    </cfRule>
  </conditionalFormatting>
  <conditionalFormatting sqref="B221:E228">
    <cfRule type="expression" dxfId="35" priority="3724" stopIfTrue="1">
      <formula>OR(AND(LEFT($A221, 14)="sensor_stream ", LEN($A221)&gt;14, NOT(ISNUMBER(SEARCH(" ", $A221, 15)))), AND(LEFT($A221, 17)="sensor_statistic ", LEN($A221)&gt;17, NOT(ISNUMBER(SEARCH(" ", $A221, 18)))))</formula>
    </cfRule>
  </conditionalFormatting>
  <conditionalFormatting sqref="B221:E228">
    <cfRule type="expression" dxfId="14" priority="3725" stopIfTrue="1">
      <formula>$A221="comments"</formula>
    </cfRule>
  </conditionalFormatting>
  <conditionalFormatting sqref="B221:E228">
    <cfRule type="expression" dxfId="15" priority="3726" stopIfTrue="1">
      <formula>OR($A221="audio", $A221="video")</formula>
    </cfRule>
  </conditionalFormatting>
  <conditionalFormatting sqref="B221:E228">
    <cfRule type="expression" dxfId="16" priority="3727" stopIfTrue="1">
      <formula>$A221="image"</formula>
    </cfRule>
  </conditionalFormatting>
  <conditionalFormatting sqref="B221:E228">
    <cfRule type="expression" dxfId="17" priority="3728" stopIfTrue="1">
      <formula>OR($A221="date", $A221="datetime", $A221="time")</formula>
    </cfRule>
  </conditionalFormatting>
  <conditionalFormatting sqref="B221:E228">
    <cfRule type="expression" dxfId="18" priority="3729" stopIfTrue="1">
      <formula>OR($A221="calculate", $A221="calculate_here")</formula>
    </cfRule>
  </conditionalFormatting>
  <conditionalFormatting sqref="B221:E228">
    <cfRule type="expression" dxfId="19" priority="3730" stopIfTrue="1">
      <formula>$A221="note"</formula>
    </cfRule>
  </conditionalFormatting>
  <conditionalFormatting sqref="B221:E228">
    <cfRule type="expression" dxfId="20" priority="3731" stopIfTrue="1">
      <formula>$A221="barcode"</formula>
    </cfRule>
  </conditionalFormatting>
  <conditionalFormatting sqref="B221:E228">
    <cfRule type="expression" dxfId="21" priority="3732" stopIfTrue="1">
      <formula>OR($A221="geopoint", $A221="geoshape", $A221="geotrace")</formula>
    </cfRule>
  </conditionalFormatting>
  <conditionalFormatting sqref="B221:E228">
    <cfRule type="expression" dxfId="22" priority="3733" stopIfTrue="1">
      <formula>OR($A221="audio audit", $A221="text audit", $A221="speed violations count", $A221="speed violations list", $A221="speed violations audit")</formula>
    </cfRule>
  </conditionalFormatting>
  <conditionalFormatting sqref="B221:E228">
    <cfRule type="expression" dxfId="23" priority="3734" stopIfTrue="1">
      <formula>OR($A221="username", $A221="phonenumber", $A221="start", $A221="end", $A221="deviceid", $A221="subscriberid", $A221="simserial", $A221="caseid")</formula>
    </cfRule>
  </conditionalFormatting>
  <conditionalFormatting sqref="B221:E228">
    <cfRule type="expression" dxfId="24" priority="3735" stopIfTrue="1">
      <formula>OR(AND(LEFT($A221, 16)="select_multiple ", LEN($A221)&gt;16, NOT(ISNUMBER(SEARCH(" ", $A221, 17)))), AND(LEFT($A221, 11)="select_one ", LEN($A221)&gt;11, NOT(ISNUMBER(SEARCH(" ", $A221, 12)))))</formula>
    </cfRule>
  </conditionalFormatting>
  <conditionalFormatting sqref="B221:E228">
    <cfRule type="expression" dxfId="25" priority="3736" stopIfTrue="1">
      <formula>$A221="decimal"</formula>
    </cfRule>
  </conditionalFormatting>
  <conditionalFormatting sqref="B221:E228">
    <cfRule type="expression" dxfId="26" priority="3737" stopIfTrue="1">
      <formula>$A221="integer"</formula>
    </cfRule>
  </conditionalFormatting>
  <conditionalFormatting sqref="B221:E228">
    <cfRule type="expression" dxfId="27" priority="3738" stopIfTrue="1">
      <formula>$A221="text"</formula>
    </cfRule>
  </conditionalFormatting>
  <conditionalFormatting sqref="B221:E228">
    <cfRule type="expression" dxfId="28" priority="3739" stopIfTrue="1">
      <formula>$A221="end repeat"</formula>
    </cfRule>
  </conditionalFormatting>
  <conditionalFormatting sqref="B221:E228">
    <cfRule type="expression" dxfId="28" priority="3740" stopIfTrue="1">
      <formula>$A221="begin repeat"</formula>
    </cfRule>
  </conditionalFormatting>
  <conditionalFormatting sqref="B221:E228">
    <cfRule type="expression" dxfId="29" priority="3741" stopIfTrue="1">
      <formula>$A221="end group"</formula>
    </cfRule>
  </conditionalFormatting>
  <conditionalFormatting sqref="B221:E228">
    <cfRule type="expression" dxfId="29" priority="3742" stopIfTrue="1">
      <formula>$A221="begin group"</formula>
    </cfRule>
  </conditionalFormatting>
  <conditionalFormatting sqref="B221:B228">
    <cfRule type="expression" dxfId="30" priority="3743" stopIfTrue="1">
      <formula>$A221="comments"</formula>
    </cfRule>
  </conditionalFormatting>
  <conditionalFormatting sqref="B221:B228">
    <cfRule type="expression" dxfId="36" priority="3744" stopIfTrue="1">
      <formula>OR(AND(LEFT($A221, 14)="sensor_stream ", LEN($A221)&gt;14, NOT(ISNUMBER(SEARCH(" ", $A221, 15)))), AND(LEFT($A221, 17)="sensor_statistic ", LEN($A221)&gt;17, NOT(ISNUMBER(SEARCH(" ", $A221, 18)))))</formula>
    </cfRule>
  </conditionalFormatting>
  <conditionalFormatting sqref="B208:C217 D208:E217">
    <cfRule type="expression" dxfId="0" priority="3745" stopIfTrue="1">
      <formula>$A208="begin group"</formula>
    </cfRule>
  </conditionalFormatting>
  <conditionalFormatting sqref="B208:C217 D208:E217">
    <cfRule type="expression" dxfId="1" priority="3746" stopIfTrue="1">
      <formula>$A208="begin repeat"</formula>
    </cfRule>
  </conditionalFormatting>
  <conditionalFormatting sqref="B208:E217">
    <cfRule type="expression" dxfId="31" priority="3747" stopIfTrue="1">
      <formula>$A208="enumerator"</formula>
    </cfRule>
  </conditionalFormatting>
  <conditionalFormatting sqref="B208:E217">
    <cfRule type="expression" dxfId="2" priority="3748" stopIfTrue="1">
      <formula>$A208="text"</formula>
    </cfRule>
  </conditionalFormatting>
  <conditionalFormatting sqref="B208:E217">
    <cfRule type="expression" dxfId="3" priority="3749" stopIfTrue="1">
      <formula>$A208="integer"</formula>
    </cfRule>
  </conditionalFormatting>
  <conditionalFormatting sqref="B208:E217">
    <cfRule type="expression" dxfId="4" priority="3750" stopIfTrue="1">
      <formula>$A208="decimal"</formula>
    </cfRule>
  </conditionalFormatting>
  <conditionalFormatting sqref="B208:C217 D208:E217">
    <cfRule type="expression" dxfId="5" priority="3751" stopIfTrue="1">
      <formula>OR(AND(LEFT($A208, 16)="select_multiple ", LEN($A208)&gt;16, NOT(ISNUMBER(SEARCH(" ", $A208, 17)))), AND(LEFT($A208, 11)="select_one ", LEN($A208)&gt;11, NOT(ISNUMBER(SEARCH(" ", $A208, 12)))))</formula>
    </cfRule>
  </conditionalFormatting>
  <conditionalFormatting sqref="B208:B217">
    <cfRule type="expression" dxfId="6" priority="3752" stopIfTrue="1">
      <formula>OR($A208="audio audit", $A208="text audit", $A208="speed violations count", $A208="speed violations list", $A208="speed violations audit")</formula>
    </cfRule>
  </conditionalFormatting>
  <conditionalFormatting sqref="B208:C217 D208:E217">
    <cfRule type="expression" dxfId="32" priority="3753" stopIfTrue="1">
      <formula>$A208="file"</formula>
    </cfRule>
  </conditionalFormatting>
  <conditionalFormatting sqref="B208:C217 D208:E217">
    <cfRule type="expression" dxfId="7" priority="3754" stopIfTrue="1">
      <formula>$A208="note"</formula>
    </cfRule>
  </conditionalFormatting>
  <conditionalFormatting sqref="B208:C217 D208:E217">
    <cfRule type="expression" dxfId="8" priority="3755" stopIfTrue="1">
      <formula>$A208="barcode"</formula>
    </cfRule>
  </conditionalFormatting>
  <conditionalFormatting sqref="B208:C217 D208:E217">
    <cfRule type="expression" dxfId="9" priority="3756" stopIfTrue="1">
      <formula>OR($A208="geopoint", $A208="geoshape", $A208="geotrace")</formula>
    </cfRule>
  </conditionalFormatting>
  <conditionalFormatting sqref="B208:B217">
    <cfRule type="expression" dxfId="10" priority="3757" stopIfTrue="1">
      <formula>OR($A208="calculate", $A208="calculate_here")</formula>
    </cfRule>
  </conditionalFormatting>
  <conditionalFormatting sqref="B208:C217 D208:E217">
    <cfRule type="expression" dxfId="11" priority="3758" stopIfTrue="1">
      <formula>OR($A208="date", $A208="datetime", $A208="time")</formula>
    </cfRule>
  </conditionalFormatting>
  <conditionalFormatting sqref="B208:C217 D208:E217">
    <cfRule type="expression" dxfId="12" priority="3759" stopIfTrue="1">
      <formula>$A208="image"</formula>
    </cfRule>
  </conditionalFormatting>
  <conditionalFormatting sqref="B208:C217 D208:E217">
    <cfRule type="expression" dxfId="13" priority="3760" stopIfTrue="1">
      <formula>OR($A208="audio", $A208="video")</formula>
    </cfRule>
  </conditionalFormatting>
  <conditionalFormatting sqref="B208:E217">
    <cfRule type="expression" dxfId="33" priority="3761" stopIfTrue="1">
      <formula>$A208="file"</formula>
    </cfRule>
  </conditionalFormatting>
  <conditionalFormatting sqref="B208:E217">
    <cfRule type="expression" dxfId="34" priority="3762" stopIfTrue="1">
      <formula>$A208="enumerator"</formula>
    </cfRule>
  </conditionalFormatting>
  <conditionalFormatting sqref="B208:E217">
    <cfRule type="expression" dxfId="35" priority="3763" stopIfTrue="1">
      <formula>OR(AND(LEFT($A208, 14)="sensor_stream ", LEN($A208)&gt;14, NOT(ISNUMBER(SEARCH(" ", $A208, 15)))), AND(LEFT($A208, 17)="sensor_statistic ", LEN($A208)&gt;17, NOT(ISNUMBER(SEARCH(" ", $A208, 18)))))</formula>
    </cfRule>
  </conditionalFormatting>
  <conditionalFormatting sqref="B208:E217">
    <cfRule type="expression" dxfId="14" priority="3764" stopIfTrue="1">
      <formula>$A208="comments"</formula>
    </cfRule>
  </conditionalFormatting>
  <conditionalFormatting sqref="B208:E217">
    <cfRule type="expression" dxfId="15" priority="3765" stopIfTrue="1">
      <formula>OR($A208="audio", $A208="video")</formula>
    </cfRule>
  </conditionalFormatting>
  <conditionalFormatting sqref="B208:E217">
    <cfRule type="expression" dxfId="16" priority="3766" stopIfTrue="1">
      <formula>$A208="image"</formula>
    </cfRule>
  </conditionalFormatting>
  <conditionalFormatting sqref="B208:E217">
    <cfRule type="expression" dxfId="17" priority="3767" stopIfTrue="1">
      <formula>OR($A208="date", $A208="datetime", $A208="time")</formula>
    </cfRule>
  </conditionalFormatting>
  <conditionalFormatting sqref="B208:E217">
    <cfRule type="expression" dxfId="18" priority="3768" stopIfTrue="1">
      <formula>OR($A208="calculate", $A208="calculate_here")</formula>
    </cfRule>
  </conditionalFormatting>
  <conditionalFormatting sqref="B208:E217">
    <cfRule type="expression" dxfId="19" priority="3769" stopIfTrue="1">
      <formula>$A208="note"</formula>
    </cfRule>
  </conditionalFormatting>
  <conditionalFormatting sqref="B208:E217">
    <cfRule type="expression" dxfId="20" priority="3770" stopIfTrue="1">
      <formula>$A208="barcode"</formula>
    </cfRule>
  </conditionalFormatting>
  <conditionalFormatting sqref="B208:E217">
    <cfRule type="expression" dxfId="21" priority="3771" stopIfTrue="1">
      <formula>OR($A208="geopoint", $A208="geoshape", $A208="geotrace")</formula>
    </cfRule>
  </conditionalFormatting>
  <conditionalFormatting sqref="B208:E217">
    <cfRule type="expression" dxfId="22" priority="3772" stopIfTrue="1">
      <formula>OR($A208="audio audit", $A208="text audit", $A208="speed violations count", $A208="speed violations list", $A208="speed violations audit")</formula>
    </cfRule>
  </conditionalFormatting>
  <conditionalFormatting sqref="B208:E217">
    <cfRule type="expression" dxfId="23" priority="3773" stopIfTrue="1">
      <formula>OR($A208="username", $A208="phonenumber", $A208="start", $A208="end", $A208="deviceid", $A208="subscriberid", $A208="simserial", $A208="caseid")</formula>
    </cfRule>
  </conditionalFormatting>
  <conditionalFormatting sqref="B208:E217">
    <cfRule type="expression" dxfId="24" priority="3774" stopIfTrue="1">
      <formula>OR(AND(LEFT($A208, 16)="select_multiple ", LEN($A208)&gt;16, NOT(ISNUMBER(SEARCH(" ", $A208, 17)))), AND(LEFT($A208, 11)="select_one ", LEN($A208)&gt;11, NOT(ISNUMBER(SEARCH(" ", $A208, 12)))))</formula>
    </cfRule>
  </conditionalFormatting>
  <conditionalFormatting sqref="B208:E217">
    <cfRule type="expression" dxfId="25" priority="3775" stopIfTrue="1">
      <formula>$A208="decimal"</formula>
    </cfRule>
  </conditionalFormatting>
  <conditionalFormatting sqref="B208:E217">
    <cfRule type="expression" dxfId="26" priority="3776" stopIfTrue="1">
      <formula>$A208="integer"</formula>
    </cfRule>
  </conditionalFormatting>
  <conditionalFormatting sqref="B208:E217">
    <cfRule type="expression" dxfId="27" priority="3777" stopIfTrue="1">
      <formula>$A208="text"</formula>
    </cfRule>
  </conditionalFormatting>
  <conditionalFormatting sqref="B208:E217">
    <cfRule type="expression" dxfId="28" priority="3778" stopIfTrue="1">
      <formula>$A208="end repeat"</formula>
    </cfRule>
  </conditionalFormatting>
  <conditionalFormatting sqref="B208:E217">
    <cfRule type="expression" dxfId="28" priority="3779" stopIfTrue="1">
      <formula>$A208="begin repeat"</formula>
    </cfRule>
  </conditionalFormatting>
  <conditionalFormatting sqref="B208:E217">
    <cfRule type="expression" dxfId="29" priority="3780" stopIfTrue="1">
      <formula>$A208="end group"</formula>
    </cfRule>
  </conditionalFormatting>
  <conditionalFormatting sqref="B208:E217">
    <cfRule type="expression" dxfId="29" priority="3781" stopIfTrue="1">
      <formula>$A208="begin group"</formula>
    </cfRule>
  </conditionalFormatting>
  <conditionalFormatting sqref="B208:B217">
    <cfRule type="expression" dxfId="30" priority="3782" stopIfTrue="1">
      <formula>$A208="comments"</formula>
    </cfRule>
  </conditionalFormatting>
  <conditionalFormatting sqref="B208:B217">
    <cfRule type="expression" dxfId="36" priority="3783" stopIfTrue="1">
      <formula>OR(AND(LEFT($A208, 14)="sensor_stream ", LEN($A208)&gt;14, NOT(ISNUMBER(SEARCH(" ", $A208, 15)))), AND(LEFT($A208, 17)="sensor_statistic ", LEN($A208)&gt;17, NOT(ISNUMBER(SEARCH(" ", $A208, 18)))))</formula>
    </cfRule>
  </conditionalFormatting>
  <conditionalFormatting sqref="B201:C202 D201:E202">
    <cfRule type="expression" dxfId="0" priority="3784" stopIfTrue="1">
      <formula>$A201="begin group"</formula>
    </cfRule>
  </conditionalFormatting>
  <conditionalFormatting sqref="B201:C202 D201:E202">
    <cfRule type="expression" dxfId="1" priority="3785" stopIfTrue="1">
      <formula>$A201="begin repeat"</formula>
    </cfRule>
  </conditionalFormatting>
  <conditionalFormatting sqref="B201:E202">
    <cfRule type="expression" dxfId="31" priority="3786" stopIfTrue="1">
      <formula>$A201="enumerator"</formula>
    </cfRule>
  </conditionalFormatting>
  <conditionalFormatting sqref="B201:E202">
    <cfRule type="expression" dxfId="2" priority="3787" stopIfTrue="1">
      <formula>$A201="text"</formula>
    </cfRule>
  </conditionalFormatting>
  <conditionalFormatting sqref="B201:E202">
    <cfRule type="expression" dxfId="3" priority="3788" stopIfTrue="1">
      <formula>$A201="integer"</formula>
    </cfRule>
  </conditionalFormatting>
  <conditionalFormatting sqref="B201:E202">
    <cfRule type="expression" dxfId="4" priority="3789" stopIfTrue="1">
      <formula>$A201="decimal"</formula>
    </cfRule>
  </conditionalFormatting>
  <conditionalFormatting sqref="B201:C202 D201:E202">
    <cfRule type="expression" dxfId="5" priority="3790" stopIfTrue="1">
      <formula>OR(AND(LEFT($A201, 16)="select_multiple ", LEN($A201)&gt;16, NOT(ISNUMBER(SEARCH(" ", $A201, 17)))), AND(LEFT($A201, 11)="select_one ", LEN($A201)&gt;11, NOT(ISNUMBER(SEARCH(" ", $A201, 12)))))</formula>
    </cfRule>
  </conditionalFormatting>
  <conditionalFormatting sqref="B201:B202">
    <cfRule type="expression" dxfId="6" priority="3791" stopIfTrue="1">
      <formula>OR($A201="audio audit", $A201="text audit", $A201="speed violations count", $A201="speed violations list", $A201="speed violations audit")</formula>
    </cfRule>
  </conditionalFormatting>
  <conditionalFormatting sqref="B201:C202 D201:E202">
    <cfRule type="expression" dxfId="32" priority="3792" stopIfTrue="1">
      <formula>$A201="file"</formula>
    </cfRule>
  </conditionalFormatting>
  <conditionalFormatting sqref="B201:C202 D201:E202">
    <cfRule type="expression" dxfId="7" priority="3793" stopIfTrue="1">
      <formula>$A201="note"</formula>
    </cfRule>
  </conditionalFormatting>
  <conditionalFormatting sqref="B201:C202 D201:E202">
    <cfRule type="expression" dxfId="8" priority="3794" stopIfTrue="1">
      <formula>$A201="barcode"</formula>
    </cfRule>
  </conditionalFormatting>
  <conditionalFormatting sqref="B201:C202 D201:E202">
    <cfRule type="expression" dxfId="9" priority="3795" stopIfTrue="1">
      <formula>OR($A201="geopoint", $A201="geoshape", $A201="geotrace")</formula>
    </cfRule>
  </conditionalFormatting>
  <conditionalFormatting sqref="B201:B202">
    <cfRule type="expression" dxfId="10" priority="3796" stopIfTrue="1">
      <formula>OR($A201="calculate", $A201="calculate_here")</formula>
    </cfRule>
  </conditionalFormatting>
  <conditionalFormatting sqref="B201:C202 D201:E202">
    <cfRule type="expression" dxfId="11" priority="3797" stopIfTrue="1">
      <formula>OR($A201="date", $A201="datetime", $A201="time")</formula>
    </cfRule>
  </conditionalFormatting>
  <conditionalFormatting sqref="B201:C202 D201:E202">
    <cfRule type="expression" dxfId="12" priority="3798" stopIfTrue="1">
      <formula>$A201="image"</formula>
    </cfRule>
  </conditionalFormatting>
  <conditionalFormatting sqref="B201:C202 D201:E202">
    <cfRule type="expression" dxfId="13" priority="3799" stopIfTrue="1">
      <formula>OR($A201="audio", $A201="video")</formula>
    </cfRule>
  </conditionalFormatting>
  <conditionalFormatting sqref="B201:E202">
    <cfRule type="expression" dxfId="33" priority="3800" stopIfTrue="1">
      <formula>$A201="file"</formula>
    </cfRule>
  </conditionalFormatting>
  <conditionalFormatting sqref="B201:E202">
    <cfRule type="expression" dxfId="34" priority="3801" stopIfTrue="1">
      <formula>$A201="enumerator"</formula>
    </cfRule>
  </conditionalFormatting>
  <conditionalFormatting sqref="B201:E202">
    <cfRule type="expression" dxfId="35" priority="3802" stopIfTrue="1">
      <formula>OR(AND(LEFT($A201, 14)="sensor_stream ", LEN($A201)&gt;14, NOT(ISNUMBER(SEARCH(" ", $A201, 15)))), AND(LEFT($A201, 17)="sensor_statistic ", LEN($A201)&gt;17, NOT(ISNUMBER(SEARCH(" ", $A201, 18)))))</formula>
    </cfRule>
  </conditionalFormatting>
  <conditionalFormatting sqref="B201:E202">
    <cfRule type="expression" dxfId="14" priority="3803" stopIfTrue="1">
      <formula>$A201="comments"</formula>
    </cfRule>
  </conditionalFormatting>
  <conditionalFormatting sqref="B201:E202">
    <cfRule type="expression" dxfId="15" priority="3804" stopIfTrue="1">
      <formula>OR($A201="audio", $A201="video")</formula>
    </cfRule>
  </conditionalFormatting>
  <conditionalFormatting sqref="B201:E202">
    <cfRule type="expression" dxfId="16" priority="3805" stopIfTrue="1">
      <formula>$A201="image"</formula>
    </cfRule>
  </conditionalFormatting>
  <conditionalFormatting sqref="B201:E202">
    <cfRule type="expression" dxfId="17" priority="3806" stopIfTrue="1">
      <formula>OR($A201="date", $A201="datetime", $A201="time")</formula>
    </cfRule>
  </conditionalFormatting>
  <conditionalFormatting sqref="B201:E202">
    <cfRule type="expression" dxfId="18" priority="3807" stopIfTrue="1">
      <formula>OR($A201="calculate", $A201="calculate_here")</formula>
    </cfRule>
  </conditionalFormatting>
  <conditionalFormatting sqref="B201:E202">
    <cfRule type="expression" dxfId="19" priority="3808" stopIfTrue="1">
      <formula>$A201="note"</formula>
    </cfRule>
  </conditionalFormatting>
  <conditionalFormatting sqref="B201:E202">
    <cfRule type="expression" dxfId="20" priority="3809" stopIfTrue="1">
      <formula>$A201="barcode"</formula>
    </cfRule>
  </conditionalFormatting>
  <conditionalFormatting sqref="B201:E202">
    <cfRule type="expression" dxfId="21" priority="3810" stopIfTrue="1">
      <formula>OR($A201="geopoint", $A201="geoshape", $A201="geotrace")</formula>
    </cfRule>
  </conditionalFormatting>
  <conditionalFormatting sqref="B201:E202">
    <cfRule type="expression" dxfId="22" priority="3811" stopIfTrue="1">
      <formula>OR($A201="audio audit", $A201="text audit", $A201="speed violations count", $A201="speed violations list", $A201="speed violations audit")</formula>
    </cfRule>
  </conditionalFormatting>
  <conditionalFormatting sqref="B201:E202">
    <cfRule type="expression" dxfId="23" priority="3812" stopIfTrue="1">
      <formula>OR($A201="username", $A201="phonenumber", $A201="start", $A201="end", $A201="deviceid", $A201="subscriberid", $A201="simserial", $A201="caseid")</formula>
    </cfRule>
  </conditionalFormatting>
  <conditionalFormatting sqref="B201:E202">
    <cfRule type="expression" dxfId="24" priority="3813" stopIfTrue="1">
      <formula>OR(AND(LEFT($A201, 16)="select_multiple ", LEN($A201)&gt;16, NOT(ISNUMBER(SEARCH(" ", $A201, 17)))), AND(LEFT($A201, 11)="select_one ", LEN($A201)&gt;11, NOT(ISNUMBER(SEARCH(" ", $A201, 12)))))</formula>
    </cfRule>
  </conditionalFormatting>
  <conditionalFormatting sqref="B201:E202">
    <cfRule type="expression" dxfId="25" priority="3814" stopIfTrue="1">
      <formula>$A201="decimal"</formula>
    </cfRule>
  </conditionalFormatting>
  <conditionalFormatting sqref="B201:E202">
    <cfRule type="expression" dxfId="26" priority="3815" stopIfTrue="1">
      <formula>$A201="integer"</formula>
    </cfRule>
  </conditionalFormatting>
  <conditionalFormatting sqref="B201:E202">
    <cfRule type="expression" dxfId="27" priority="3816" stopIfTrue="1">
      <formula>$A201="text"</formula>
    </cfRule>
  </conditionalFormatting>
  <conditionalFormatting sqref="B201:E202">
    <cfRule type="expression" dxfId="28" priority="3817" stopIfTrue="1">
      <formula>$A201="end repeat"</formula>
    </cfRule>
  </conditionalFormatting>
  <conditionalFormatting sqref="B201:E202">
    <cfRule type="expression" dxfId="28" priority="3818" stopIfTrue="1">
      <formula>$A201="begin repeat"</formula>
    </cfRule>
  </conditionalFormatting>
  <conditionalFormatting sqref="B201:E202">
    <cfRule type="expression" dxfId="29" priority="3819" stopIfTrue="1">
      <formula>$A201="end group"</formula>
    </cfRule>
  </conditionalFormatting>
  <conditionalFormatting sqref="B201:E202">
    <cfRule type="expression" dxfId="29" priority="3820" stopIfTrue="1">
      <formula>$A201="begin group"</formula>
    </cfRule>
  </conditionalFormatting>
  <conditionalFormatting sqref="B201:B202">
    <cfRule type="expression" dxfId="30" priority="3821" stopIfTrue="1">
      <formula>$A201="comments"</formula>
    </cfRule>
  </conditionalFormatting>
  <conditionalFormatting sqref="B201:B202">
    <cfRule type="expression" dxfId="36" priority="3822" stopIfTrue="1">
      <formula>OR(AND(LEFT($A201, 14)="sensor_stream ", LEN($A201)&gt;14, NOT(ISNUMBER(SEARCH(" ", $A201, 15)))), AND(LEFT($A201, 17)="sensor_statistic ", LEN($A201)&gt;17, NOT(ISNUMBER(SEARCH(" ", $A201, 18)))))</formula>
    </cfRule>
  </conditionalFormatting>
  <conditionalFormatting sqref="B197:C198 D197:E198">
    <cfRule type="expression" dxfId="0" priority="3823" stopIfTrue="1">
      <formula>$A197="begin group"</formula>
    </cfRule>
  </conditionalFormatting>
  <conditionalFormatting sqref="B197:C198 D197:E198">
    <cfRule type="expression" dxfId="1" priority="3824" stopIfTrue="1">
      <formula>$A197="begin repeat"</formula>
    </cfRule>
  </conditionalFormatting>
  <conditionalFormatting sqref="B197:E198">
    <cfRule type="expression" dxfId="31" priority="3825" stopIfTrue="1">
      <formula>$A197="enumerator"</formula>
    </cfRule>
  </conditionalFormatting>
  <conditionalFormatting sqref="B197:E198">
    <cfRule type="expression" dxfId="2" priority="3826" stopIfTrue="1">
      <formula>$A197="text"</formula>
    </cfRule>
  </conditionalFormatting>
  <conditionalFormatting sqref="B197:E198">
    <cfRule type="expression" dxfId="3" priority="3827" stopIfTrue="1">
      <formula>$A197="integer"</formula>
    </cfRule>
  </conditionalFormatting>
  <conditionalFormatting sqref="B197:E198">
    <cfRule type="expression" dxfId="4" priority="3828" stopIfTrue="1">
      <formula>$A197="decimal"</formula>
    </cfRule>
  </conditionalFormatting>
  <conditionalFormatting sqref="B197:C198 D197:E198">
    <cfRule type="expression" dxfId="5" priority="3829" stopIfTrue="1">
      <formula>OR(AND(LEFT($A197, 16)="select_multiple ", LEN($A197)&gt;16, NOT(ISNUMBER(SEARCH(" ", $A197, 17)))), AND(LEFT($A197, 11)="select_one ", LEN($A197)&gt;11, NOT(ISNUMBER(SEARCH(" ", $A197, 12)))))</formula>
    </cfRule>
  </conditionalFormatting>
  <conditionalFormatting sqref="B197:B198">
    <cfRule type="expression" dxfId="6" priority="3830" stopIfTrue="1">
      <formula>OR($A197="audio audit", $A197="text audit", $A197="speed violations count", $A197="speed violations list", $A197="speed violations audit")</formula>
    </cfRule>
  </conditionalFormatting>
  <conditionalFormatting sqref="B197:C198 D197:E198">
    <cfRule type="expression" dxfId="32" priority="3831" stopIfTrue="1">
      <formula>$A197="file"</formula>
    </cfRule>
  </conditionalFormatting>
  <conditionalFormatting sqref="B197:C198 D197:E198">
    <cfRule type="expression" dxfId="7" priority="3832" stopIfTrue="1">
      <formula>$A197="note"</formula>
    </cfRule>
  </conditionalFormatting>
  <conditionalFormatting sqref="B197:C198 D197:E198">
    <cfRule type="expression" dxfId="8" priority="3833" stopIfTrue="1">
      <formula>$A197="barcode"</formula>
    </cfRule>
  </conditionalFormatting>
  <conditionalFormatting sqref="B197:C198 D197:E198">
    <cfRule type="expression" dxfId="9" priority="3834" stopIfTrue="1">
      <formula>OR($A197="geopoint", $A197="geoshape", $A197="geotrace")</formula>
    </cfRule>
  </conditionalFormatting>
  <conditionalFormatting sqref="B197:B198">
    <cfRule type="expression" dxfId="10" priority="3835" stopIfTrue="1">
      <formula>OR($A197="calculate", $A197="calculate_here")</formula>
    </cfRule>
  </conditionalFormatting>
  <conditionalFormatting sqref="B197:C198 D197:E198">
    <cfRule type="expression" dxfId="11" priority="3836" stopIfTrue="1">
      <formula>OR($A197="date", $A197="datetime", $A197="time")</formula>
    </cfRule>
  </conditionalFormatting>
  <conditionalFormatting sqref="B197:C198 D197:E198">
    <cfRule type="expression" dxfId="12" priority="3837" stopIfTrue="1">
      <formula>$A197="image"</formula>
    </cfRule>
  </conditionalFormatting>
  <conditionalFormatting sqref="B197:C198 D197:E198">
    <cfRule type="expression" dxfId="13" priority="3838" stopIfTrue="1">
      <formula>OR($A197="audio", $A197="video")</formula>
    </cfRule>
  </conditionalFormatting>
  <conditionalFormatting sqref="B197:E198">
    <cfRule type="expression" dxfId="33" priority="3839" stopIfTrue="1">
      <formula>$A197="file"</formula>
    </cfRule>
  </conditionalFormatting>
  <conditionalFormatting sqref="B197:E198">
    <cfRule type="expression" dxfId="34" priority="3840" stopIfTrue="1">
      <formula>$A197="enumerator"</formula>
    </cfRule>
  </conditionalFormatting>
  <conditionalFormatting sqref="B197:E198">
    <cfRule type="expression" dxfId="35" priority="3841" stopIfTrue="1">
      <formula>OR(AND(LEFT($A197, 14)="sensor_stream ", LEN($A197)&gt;14, NOT(ISNUMBER(SEARCH(" ", $A197, 15)))), AND(LEFT($A197, 17)="sensor_statistic ", LEN($A197)&gt;17, NOT(ISNUMBER(SEARCH(" ", $A197, 18)))))</formula>
    </cfRule>
  </conditionalFormatting>
  <conditionalFormatting sqref="B197:E198">
    <cfRule type="expression" dxfId="14" priority="3842" stopIfTrue="1">
      <formula>$A197="comments"</formula>
    </cfRule>
  </conditionalFormatting>
  <conditionalFormatting sqref="B197:E198">
    <cfRule type="expression" dxfId="15" priority="3843" stopIfTrue="1">
      <formula>OR($A197="audio", $A197="video")</formula>
    </cfRule>
  </conditionalFormatting>
  <conditionalFormatting sqref="B197:E198">
    <cfRule type="expression" dxfId="16" priority="3844" stopIfTrue="1">
      <formula>$A197="image"</formula>
    </cfRule>
  </conditionalFormatting>
  <conditionalFormatting sqref="B197:E198">
    <cfRule type="expression" dxfId="17" priority="3845" stopIfTrue="1">
      <formula>OR($A197="date", $A197="datetime", $A197="time")</formula>
    </cfRule>
  </conditionalFormatting>
  <conditionalFormatting sqref="B197:E198">
    <cfRule type="expression" dxfId="18" priority="3846" stopIfTrue="1">
      <formula>OR($A197="calculate", $A197="calculate_here")</formula>
    </cfRule>
  </conditionalFormatting>
  <conditionalFormatting sqref="B197:E198">
    <cfRule type="expression" dxfId="19" priority="3847" stopIfTrue="1">
      <formula>$A197="note"</formula>
    </cfRule>
  </conditionalFormatting>
  <conditionalFormatting sqref="B197:E198">
    <cfRule type="expression" dxfId="20" priority="3848" stopIfTrue="1">
      <formula>$A197="barcode"</formula>
    </cfRule>
  </conditionalFormatting>
  <conditionalFormatting sqref="B197:E198">
    <cfRule type="expression" dxfId="21" priority="3849" stopIfTrue="1">
      <formula>OR($A197="geopoint", $A197="geoshape", $A197="geotrace")</formula>
    </cfRule>
  </conditionalFormatting>
  <conditionalFormatting sqref="B197:E198">
    <cfRule type="expression" dxfId="22" priority="3850" stopIfTrue="1">
      <formula>OR($A197="audio audit", $A197="text audit", $A197="speed violations count", $A197="speed violations list", $A197="speed violations audit")</formula>
    </cfRule>
  </conditionalFormatting>
  <conditionalFormatting sqref="B197:E198">
    <cfRule type="expression" dxfId="23" priority="3851" stopIfTrue="1">
      <formula>OR($A197="username", $A197="phonenumber", $A197="start", $A197="end", $A197="deviceid", $A197="subscriberid", $A197="simserial", $A197="caseid")</formula>
    </cfRule>
  </conditionalFormatting>
  <conditionalFormatting sqref="B197:E198">
    <cfRule type="expression" dxfId="24" priority="3852" stopIfTrue="1">
      <formula>OR(AND(LEFT($A197, 16)="select_multiple ", LEN($A197)&gt;16, NOT(ISNUMBER(SEARCH(" ", $A197, 17)))), AND(LEFT($A197, 11)="select_one ", LEN($A197)&gt;11, NOT(ISNUMBER(SEARCH(" ", $A197, 12)))))</formula>
    </cfRule>
  </conditionalFormatting>
  <conditionalFormatting sqref="B197:E198">
    <cfRule type="expression" dxfId="25" priority="3853" stopIfTrue="1">
      <formula>$A197="decimal"</formula>
    </cfRule>
  </conditionalFormatting>
  <conditionalFormatting sqref="B197:E198">
    <cfRule type="expression" dxfId="26" priority="3854" stopIfTrue="1">
      <formula>$A197="integer"</formula>
    </cfRule>
  </conditionalFormatting>
  <conditionalFormatting sqref="B197:E198">
    <cfRule type="expression" dxfId="27" priority="3855" stopIfTrue="1">
      <formula>$A197="text"</formula>
    </cfRule>
  </conditionalFormatting>
  <conditionalFormatting sqref="B197:E198">
    <cfRule type="expression" dxfId="28" priority="3856" stopIfTrue="1">
      <formula>$A197="end repeat"</formula>
    </cfRule>
  </conditionalFormatting>
  <conditionalFormatting sqref="B197:E198">
    <cfRule type="expression" dxfId="28" priority="3857" stopIfTrue="1">
      <formula>$A197="begin repeat"</formula>
    </cfRule>
  </conditionalFormatting>
  <conditionalFormatting sqref="B197:E198">
    <cfRule type="expression" dxfId="29" priority="3858" stopIfTrue="1">
      <formula>$A197="end group"</formula>
    </cfRule>
  </conditionalFormatting>
  <conditionalFormatting sqref="B197:E198">
    <cfRule type="expression" dxfId="29" priority="3859" stopIfTrue="1">
      <formula>$A197="begin group"</formula>
    </cfRule>
  </conditionalFormatting>
  <conditionalFormatting sqref="B197:B198">
    <cfRule type="expression" dxfId="30" priority="3860" stopIfTrue="1">
      <formula>$A197="comments"</formula>
    </cfRule>
  </conditionalFormatting>
  <conditionalFormatting sqref="B197:B198">
    <cfRule type="expression" dxfId="36" priority="3861" stopIfTrue="1">
      <formula>OR(AND(LEFT($A197, 14)="sensor_stream ", LEN($A197)&gt;14, NOT(ISNUMBER(SEARCH(" ", $A197, 15)))), AND(LEFT($A197, 17)="sensor_statistic ", LEN($A197)&gt;17, NOT(ISNUMBER(SEARCH(" ", $A197, 18)))))</formula>
    </cfRule>
  </conditionalFormatting>
  <conditionalFormatting sqref="B191:C195 D191:E195">
    <cfRule type="expression" dxfId="0" priority="3862" stopIfTrue="1">
      <formula>$A191="begin group"</formula>
    </cfRule>
  </conditionalFormatting>
  <conditionalFormatting sqref="B191:C195 D191:E195">
    <cfRule type="expression" dxfId="1" priority="3863" stopIfTrue="1">
      <formula>$A191="begin repeat"</formula>
    </cfRule>
  </conditionalFormatting>
  <conditionalFormatting sqref="B191:E195">
    <cfRule type="expression" dxfId="31" priority="3864" stopIfTrue="1">
      <formula>$A191="enumerator"</formula>
    </cfRule>
  </conditionalFormatting>
  <conditionalFormatting sqref="B191:E195">
    <cfRule type="expression" dxfId="2" priority="3865" stopIfTrue="1">
      <formula>$A191="text"</formula>
    </cfRule>
  </conditionalFormatting>
  <conditionalFormatting sqref="B191:E195">
    <cfRule type="expression" dxfId="3" priority="3866" stopIfTrue="1">
      <formula>$A191="integer"</formula>
    </cfRule>
  </conditionalFormatting>
  <conditionalFormatting sqref="B191:E195">
    <cfRule type="expression" dxfId="4" priority="3867" stopIfTrue="1">
      <formula>$A191="decimal"</formula>
    </cfRule>
  </conditionalFormatting>
  <conditionalFormatting sqref="B191:C195 D191:E195">
    <cfRule type="expression" dxfId="5" priority="3868" stopIfTrue="1">
      <formula>OR(AND(LEFT($A191, 16)="select_multiple ", LEN($A191)&gt;16, NOT(ISNUMBER(SEARCH(" ", $A191, 17)))), AND(LEFT($A191, 11)="select_one ", LEN($A191)&gt;11, NOT(ISNUMBER(SEARCH(" ", $A191, 12)))))</formula>
    </cfRule>
  </conditionalFormatting>
  <conditionalFormatting sqref="B191:B195">
    <cfRule type="expression" dxfId="6" priority="3869" stopIfTrue="1">
      <formula>OR($A191="audio audit", $A191="text audit", $A191="speed violations count", $A191="speed violations list", $A191="speed violations audit")</formula>
    </cfRule>
  </conditionalFormatting>
  <conditionalFormatting sqref="B191:C195 D191:E195">
    <cfRule type="expression" dxfId="32" priority="3870" stopIfTrue="1">
      <formula>$A191="file"</formula>
    </cfRule>
  </conditionalFormatting>
  <conditionalFormatting sqref="B191:C195 D191:E195">
    <cfRule type="expression" dxfId="7" priority="3871" stopIfTrue="1">
      <formula>$A191="note"</formula>
    </cfRule>
  </conditionalFormatting>
  <conditionalFormatting sqref="B191:C195 D191:E195">
    <cfRule type="expression" dxfId="8" priority="3872" stopIfTrue="1">
      <formula>$A191="barcode"</formula>
    </cfRule>
  </conditionalFormatting>
  <conditionalFormatting sqref="B191:C195 D191:E195">
    <cfRule type="expression" dxfId="9" priority="3873" stopIfTrue="1">
      <formula>OR($A191="geopoint", $A191="geoshape", $A191="geotrace")</formula>
    </cfRule>
  </conditionalFormatting>
  <conditionalFormatting sqref="B191:B195">
    <cfRule type="expression" dxfId="10" priority="3874" stopIfTrue="1">
      <formula>OR($A191="calculate", $A191="calculate_here")</formula>
    </cfRule>
  </conditionalFormatting>
  <conditionalFormatting sqref="B191:C195 D191:E195">
    <cfRule type="expression" dxfId="11" priority="3875" stopIfTrue="1">
      <formula>OR($A191="date", $A191="datetime", $A191="time")</formula>
    </cfRule>
  </conditionalFormatting>
  <conditionalFormatting sqref="B191:C195 D191:E195">
    <cfRule type="expression" dxfId="12" priority="3876" stopIfTrue="1">
      <formula>$A191="image"</formula>
    </cfRule>
  </conditionalFormatting>
  <conditionalFormatting sqref="B191:C195 D191:E195">
    <cfRule type="expression" dxfId="13" priority="3877" stopIfTrue="1">
      <formula>OR($A191="audio", $A191="video")</formula>
    </cfRule>
  </conditionalFormatting>
  <conditionalFormatting sqref="B191:E195">
    <cfRule type="expression" dxfId="33" priority="3878" stopIfTrue="1">
      <formula>$A191="file"</formula>
    </cfRule>
  </conditionalFormatting>
  <conditionalFormatting sqref="B191:E195">
    <cfRule type="expression" dxfId="34" priority="3879" stopIfTrue="1">
      <formula>$A191="enumerator"</formula>
    </cfRule>
  </conditionalFormatting>
  <conditionalFormatting sqref="B191:E195">
    <cfRule type="expression" dxfId="35" priority="3880" stopIfTrue="1">
      <formula>OR(AND(LEFT($A191, 14)="sensor_stream ", LEN($A191)&gt;14, NOT(ISNUMBER(SEARCH(" ", $A191, 15)))), AND(LEFT($A191, 17)="sensor_statistic ", LEN($A191)&gt;17, NOT(ISNUMBER(SEARCH(" ", $A191, 18)))))</formula>
    </cfRule>
  </conditionalFormatting>
  <conditionalFormatting sqref="B191:E195">
    <cfRule type="expression" dxfId="14" priority="3881" stopIfTrue="1">
      <formula>$A191="comments"</formula>
    </cfRule>
  </conditionalFormatting>
  <conditionalFormatting sqref="B191:E195">
    <cfRule type="expression" dxfId="15" priority="3882" stopIfTrue="1">
      <formula>OR($A191="audio", $A191="video")</formula>
    </cfRule>
  </conditionalFormatting>
  <conditionalFormatting sqref="B191:E195">
    <cfRule type="expression" dxfId="16" priority="3883" stopIfTrue="1">
      <formula>$A191="image"</formula>
    </cfRule>
  </conditionalFormatting>
  <conditionalFormatting sqref="B191:E195">
    <cfRule type="expression" dxfId="17" priority="3884" stopIfTrue="1">
      <formula>OR($A191="date", $A191="datetime", $A191="time")</formula>
    </cfRule>
  </conditionalFormatting>
  <conditionalFormatting sqref="B191:E195">
    <cfRule type="expression" dxfId="18" priority="3885" stopIfTrue="1">
      <formula>OR($A191="calculate", $A191="calculate_here")</formula>
    </cfRule>
  </conditionalFormatting>
  <conditionalFormatting sqref="B191:E195">
    <cfRule type="expression" dxfId="19" priority="3886" stopIfTrue="1">
      <formula>$A191="note"</formula>
    </cfRule>
  </conditionalFormatting>
  <conditionalFormatting sqref="B191:E195">
    <cfRule type="expression" dxfId="20" priority="3887" stopIfTrue="1">
      <formula>$A191="barcode"</formula>
    </cfRule>
  </conditionalFormatting>
  <conditionalFormatting sqref="B191:E195">
    <cfRule type="expression" dxfId="21" priority="3888" stopIfTrue="1">
      <formula>OR($A191="geopoint", $A191="geoshape", $A191="geotrace")</formula>
    </cfRule>
  </conditionalFormatting>
  <conditionalFormatting sqref="B191:E195">
    <cfRule type="expression" dxfId="22" priority="3889" stopIfTrue="1">
      <formula>OR($A191="audio audit", $A191="text audit", $A191="speed violations count", $A191="speed violations list", $A191="speed violations audit")</formula>
    </cfRule>
  </conditionalFormatting>
  <conditionalFormatting sqref="B191:E195">
    <cfRule type="expression" dxfId="23" priority="3890" stopIfTrue="1">
      <formula>OR($A191="username", $A191="phonenumber", $A191="start", $A191="end", $A191="deviceid", $A191="subscriberid", $A191="simserial", $A191="caseid")</formula>
    </cfRule>
  </conditionalFormatting>
  <conditionalFormatting sqref="B191:E195">
    <cfRule type="expression" dxfId="24" priority="3891" stopIfTrue="1">
      <formula>OR(AND(LEFT($A191, 16)="select_multiple ", LEN($A191)&gt;16, NOT(ISNUMBER(SEARCH(" ", $A191, 17)))), AND(LEFT($A191, 11)="select_one ", LEN($A191)&gt;11, NOT(ISNUMBER(SEARCH(" ", $A191, 12)))))</formula>
    </cfRule>
  </conditionalFormatting>
  <conditionalFormatting sqref="B191:E195">
    <cfRule type="expression" dxfId="25" priority="3892" stopIfTrue="1">
      <formula>$A191="decimal"</formula>
    </cfRule>
  </conditionalFormatting>
  <conditionalFormatting sqref="B191:E195">
    <cfRule type="expression" dxfId="26" priority="3893" stopIfTrue="1">
      <formula>$A191="integer"</formula>
    </cfRule>
  </conditionalFormatting>
  <conditionalFormatting sqref="B191:E195">
    <cfRule type="expression" dxfId="27" priority="3894" stopIfTrue="1">
      <formula>$A191="text"</formula>
    </cfRule>
  </conditionalFormatting>
  <conditionalFormatting sqref="B191:E195">
    <cfRule type="expression" dxfId="28" priority="3895" stopIfTrue="1">
      <formula>$A191="end repeat"</formula>
    </cfRule>
  </conditionalFormatting>
  <conditionalFormatting sqref="B191:E195">
    <cfRule type="expression" dxfId="28" priority="3896" stopIfTrue="1">
      <formula>$A191="begin repeat"</formula>
    </cfRule>
  </conditionalFormatting>
  <conditionalFormatting sqref="B191:E195">
    <cfRule type="expression" dxfId="29" priority="3897" stopIfTrue="1">
      <formula>$A191="end group"</formula>
    </cfRule>
  </conditionalFormatting>
  <conditionalFormatting sqref="B191:E195">
    <cfRule type="expression" dxfId="29" priority="3898" stopIfTrue="1">
      <formula>$A191="begin group"</formula>
    </cfRule>
  </conditionalFormatting>
  <conditionalFormatting sqref="B191:B195">
    <cfRule type="expression" dxfId="30" priority="3899" stopIfTrue="1">
      <formula>$A191="comments"</formula>
    </cfRule>
  </conditionalFormatting>
  <conditionalFormatting sqref="B191:B195">
    <cfRule type="expression" dxfId="36" priority="3900" stopIfTrue="1">
      <formula>OR(AND(LEFT($A191, 14)="sensor_stream ", LEN($A191)&gt;14, NOT(ISNUMBER(SEARCH(" ", $A191, 15)))), AND(LEFT($A191, 17)="sensor_statistic ", LEN($A191)&gt;17, NOT(ISNUMBER(SEARCH(" ", $A191, 18)))))</formula>
    </cfRule>
  </conditionalFormatting>
  <conditionalFormatting sqref="B186:C189 D186:E189">
    <cfRule type="expression" dxfId="0" priority="3901" stopIfTrue="1">
      <formula>$A186="begin group"</formula>
    </cfRule>
  </conditionalFormatting>
  <conditionalFormatting sqref="B186:C189 D186:E189">
    <cfRule type="expression" dxfId="1" priority="3902" stopIfTrue="1">
      <formula>$A186="begin repeat"</formula>
    </cfRule>
  </conditionalFormatting>
  <conditionalFormatting sqref="B186:E189">
    <cfRule type="expression" dxfId="31" priority="3903" stopIfTrue="1">
      <formula>$A186="enumerator"</formula>
    </cfRule>
  </conditionalFormatting>
  <conditionalFormatting sqref="B186:E189">
    <cfRule type="expression" dxfId="2" priority="3904" stopIfTrue="1">
      <formula>$A186="text"</formula>
    </cfRule>
  </conditionalFormatting>
  <conditionalFormatting sqref="B186:E189">
    <cfRule type="expression" dxfId="3" priority="3905" stopIfTrue="1">
      <formula>$A186="integer"</formula>
    </cfRule>
  </conditionalFormatting>
  <conditionalFormatting sqref="B186:E189">
    <cfRule type="expression" dxfId="4" priority="3906" stopIfTrue="1">
      <formula>$A186="decimal"</formula>
    </cfRule>
  </conditionalFormatting>
  <conditionalFormatting sqref="B186:C189 D186:E189">
    <cfRule type="expression" dxfId="5" priority="3907" stopIfTrue="1">
      <formula>OR(AND(LEFT($A186, 16)="select_multiple ", LEN($A186)&gt;16, NOT(ISNUMBER(SEARCH(" ", $A186, 17)))), AND(LEFT($A186, 11)="select_one ", LEN($A186)&gt;11, NOT(ISNUMBER(SEARCH(" ", $A186, 12)))))</formula>
    </cfRule>
  </conditionalFormatting>
  <conditionalFormatting sqref="B186:B189">
    <cfRule type="expression" dxfId="6" priority="3908" stopIfTrue="1">
      <formula>OR($A186="audio audit", $A186="text audit", $A186="speed violations count", $A186="speed violations list", $A186="speed violations audit")</formula>
    </cfRule>
  </conditionalFormatting>
  <conditionalFormatting sqref="B186:C189 D186:E189">
    <cfRule type="expression" dxfId="32" priority="3909" stopIfTrue="1">
      <formula>$A186="file"</formula>
    </cfRule>
  </conditionalFormatting>
  <conditionalFormatting sqref="B186:C189 D186:E189">
    <cfRule type="expression" dxfId="7" priority="3910" stopIfTrue="1">
      <formula>$A186="note"</formula>
    </cfRule>
  </conditionalFormatting>
  <conditionalFormatting sqref="B186:C189 D186:E189">
    <cfRule type="expression" dxfId="8" priority="3911" stopIfTrue="1">
      <formula>$A186="barcode"</formula>
    </cfRule>
  </conditionalFormatting>
  <conditionalFormatting sqref="B186:C189 D186:E189">
    <cfRule type="expression" dxfId="9" priority="3912" stopIfTrue="1">
      <formula>OR($A186="geopoint", $A186="geoshape", $A186="geotrace")</formula>
    </cfRule>
  </conditionalFormatting>
  <conditionalFormatting sqref="B186:B189">
    <cfRule type="expression" dxfId="10" priority="3913" stopIfTrue="1">
      <formula>OR($A186="calculate", $A186="calculate_here")</formula>
    </cfRule>
  </conditionalFormatting>
  <conditionalFormatting sqref="B186:C189 D186:E189">
    <cfRule type="expression" dxfId="11" priority="3914" stopIfTrue="1">
      <formula>OR($A186="date", $A186="datetime", $A186="time")</formula>
    </cfRule>
  </conditionalFormatting>
  <conditionalFormatting sqref="B186:C189 D186:E189">
    <cfRule type="expression" dxfId="12" priority="3915" stopIfTrue="1">
      <formula>$A186="image"</formula>
    </cfRule>
  </conditionalFormatting>
  <conditionalFormatting sqref="B186:C189 D186:E189">
    <cfRule type="expression" dxfId="13" priority="3916" stopIfTrue="1">
      <formula>OR($A186="audio", $A186="video")</formula>
    </cfRule>
  </conditionalFormatting>
  <conditionalFormatting sqref="B186:E189">
    <cfRule type="expression" dxfId="33" priority="3917" stopIfTrue="1">
      <formula>$A186="file"</formula>
    </cfRule>
  </conditionalFormatting>
  <conditionalFormatting sqref="B186:E189">
    <cfRule type="expression" dxfId="34" priority="3918" stopIfTrue="1">
      <formula>$A186="enumerator"</formula>
    </cfRule>
  </conditionalFormatting>
  <conditionalFormatting sqref="B186:E189">
    <cfRule type="expression" dxfId="35" priority="3919" stopIfTrue="1">
      <formula>OR(AND(LEFT($A186, 14)="sensor_stream ", LEN($A186)&gt;14, NOT(ISNUMBER(SEARCH(" ", $A186, 15)))), AND(LEFT($A186, 17)="sensor_statistic ", LEN($A186)&gt;17, NOT(ISNUMBER(SEARCH(" ", $A186, 18)))))</formula>
    </cfRule>
  </conditionalFormatting>
  <conditionalFormatting sqref="B186:E189">
    <cfRule type="expression" dxfId="14" priority="3920" stopIfTrue="1">
      <formula>$A186="comments"</formula>
    </cfRule>
  </conditionalFormatting>
  <conditionalFormatting sqref="B186:E189">
    <cfRule type="expression" dxfId="15" priority="3921" stopIfTrue="1">
      <formula>OR($A186="audio", $A186="video")</formula>
    </cfRule>
  </conditionalFormatting>
  <conditionalFormatting sqref="B186:E189">
    <cfRule type="expression" dxfId="16" priority="3922" stopIfTrue="1">
      <formula>$A186="image"</formula>
    </cfRule>
  </conditionalFormatting>
  <conditionalFormatting sqref="B186:E189">
    <cfRule type="expression" dxfId="17" priority="3923" stopIfTrue="1">
      <formula>OR($A186="date", $A186="datetime", $A186="time")</formula>
    </cfRule>
  </conditionalFormatting>
  <conditionalFormatting sqref="B186:E189">
    <cfRule type="expression" dxfId="18" priority="3924" stopIfTrue="1">
      <formula>OR($A186="calculate", $A186="calculate_here")</formula>
    </cfRule>
  </conditionalFormatting>
  <conditionalFormatting sqref="B186:E189">
    <cfRule type="expression" dxfId="19" priority="3925" stopIfTrue="1">
      <formula>$A186="note"</formula>
    </cfRule>
  </conditionalFormatting>
  <conditionalFormatting sqref="B186:E189">
    <cfRule type="expression" dxfId="20" priority="3926" stopIfTrue="1">
      <formula>$A186="barcode"</formula>
    </cfRule>
  </conditionalFormatting>
  <conditionalFormatting sqref="B186:E189">
    <cfRule type="expression" dxfId="21" priority="3927" stopIfTrue="1">
      <formula>OR($A186="geopoint", $A186="geoshape", $A186="geotrace")</formula>
    </cfRule>
  </conditionalFormatting>
  <conditionalFormatting sqref="B186:E189">
    <cfRule type="expression" dxfId="22" priority="3928" stopIfTrue="1">
      <formula>OR($A186="audio audit", $A186="text audit", $A186="speed violations count", $A186="speed violations list", $A186="speed violations audit")</formula>
    </cfRule>
  </conditionalFormatting>
  <conditionalFormatting sqref="B186:E189">
    <cfRule type="expression" dxfId="23" priority="3929" stopIfTrue="1">
      <formula>OR($A186="username", $A186="phonenumber", $A186="start", $A186="end", $A186="deviceid", $A186="subscriberid", $A186="simserial", $A186="caseid")</formula>
    </cfRule>
  </conditionalFormatting>
  <conditionalFormatting sqref="B186:E189">
    <cfRule type="expression" dxfId="24" priority="3930" stopIfTrue="1">
      <formula>OR(AND(LEFT($A186, 16)="select_multiple ", LEN($A186)&gt;16, NOT(ISNUMBER(SEARCH(" ", $A186, 17)))), AND(LEFT($A186, 11)="select_one ", LEN($A186)&gt;11, NOT(ISNUMBER(SEARCH(" ", $A186, 12)))))</formula>
    </cfRule>
  </conditionalFormatting>
  <conditionalFormatting sqref="B186:E189">
    <cfRule type="expression" dxfId="25" priority="3931" stopIfTrue="1">
      <formula>$A186="decimal"</formula>
    </cfRule>
  </conditionalFormatting>
  <conditionalFormatting sqref="B186:E189">
    <cfRule type="expression" dxfId="26" priority="3932" stopIfTrue="1">
      <formula>$A186="integer"</formula>
    </cfRule>
  </conditionalFormatting>
  <conditionalFormatting sqref="B186:E189">
    <cfRule type="expression" dxfId="27" priority="3933" stopIfTrue="1">
      <formula>$A186="text"</formula>
    </cfRule>
  </conditionalFormatting>
  <conditionalFormatting sqref="B186:E189">
    <cfRule type="expression" dxfId="28" priority="3934" stopIfTrue="1">
      <formula>$A186="end repeat"</formula>
    </cfRule>
  </conditionalFormatting>
  <conditionalFormatting sqref="B186:E189">
    <cfRule type="expression" dxfId="28" priority="3935" stopIfTrue="1">
      <formula>$A186="begin repeat"</formula>
    </cfRule>
  </conditionalFormatting>
  <conditionalFormatting sqref="B186:E189">
    <cfRule type="expression" dxfId="29" priority="3936" stopIfTrue="1">
      <formula>$A186="end group"</formula>
    </cfRule>
  </conditionalFormatting>
  <conditionalFormatting sqref="B186:E189">
    <cfRule type="expression" dxfId="29" priority="3937" stopIfTrue="1">
      <formula>$A186="begin group"</formula>
    </cfRule>
  </conditionalFormatting>
  <conditionalFormatting sqref="B186:B189">
    <cfRule type="expression" dxfId="30" priority="3938" stopIfTrue="1">
      <formula>$A186="comments"</formula>
    </cfRule>
  </conditionalFormatting>
  <conditionalFormatting sqref="B186:B189">
    <cfRule type="expression" dxfId="36" priority="3939" stopIfTrue="1">
      <formula>OR(AND(LEFT($A186, 14)="sensor_stream ", LEN($A186)&gt;14, NOT(ISNUMBER(SEARCH(" ", $A186, 15)))), AND(LEFT($A186, 17)="sensor_statistic ", LEN($A186)&gt;17, NOT(ISNUMBER(SEARCH(" ", $A186, 18)))))</formula>
    </cfRule>
  </conditionalFormatting>
  <conditionalFormatting sqref="B178:C183 D178:E183">
    <cfRule type="expression" dxfId="0" priority="3940" stopIfTrue="1">
      <formula>$A178="begin group"</formula>
    </cfRule>
  </conditionalFormatting>
  <conditionalFormatting sqref="B178:C183 D178:E183">
    <cfRule type="expression" dxfId="1" priority="3941" stopIfTrue="1">
      <formula>$A178="begin repeat"</formula>
    </cfRule>
  </conditionalFormatting>
  <conditionalFormatting sqref="B178:E183">
    <cfRule type="expression" dxfId="31" priority="3942" stopIfTrue="1">
      <formula>$A178="enumerator"</formula>
    </cfRule>
  </conditionalFormatting>
  <conditionalFormatting sqref="B178:E183">
    <cfRule type="expression" dxfId="2" priority="3943" stopIfTrue="1">
      <formula>$A178="text"</formula>
    </cfRule>
  </conditionalFormatting>
  <conditionalFormatting sqref="B178:E183">
    <cfRule type="expression" dxfId="3" priority="3944" stopIfTrue="1">
      <formula>$A178="integer"</formula>
    </cfRule>
  </conditionalFormatting>
  <conditionalFormatting sqref="B178:E183">
    <cfRule type="expression" dxfId="4" priority="3945" stopIfTrue="1">
      <formula>$A178="decimal"</formula>
    </cfRule>
  </conditionalFormatting>
  <conditionalFormatting sqref="B178:C183 D178:E183">
    <cfRule type="expression" dxfId="5" priority="3946" stopIfTrue="1">
      <formula>OR(AND(LEFT($A178, 16)="select_multiple ", LEN($A178)&gt;16, NOT(ISNUMBER(SEARCH(" ", $A178, 17)))), AND(LEFT($A178, 11)="select_one ", LEN($A178)&gt;11, NOT(ISNUMBER(SEARCH(" ", $A178, 12)))))</formula>
    </cfRule>
  </conditionalFormatting>
  <conditionalFormatting sqref="B178:B183">
    <cfRule type="expression" dxfId="6" priority="3947" stopIfTrue="1">
      <formula>OR($A178="audio audit", $A178="text audit", $A178="speed violations count", $A178="speed violations list", $A178="speed violations audit")</formula>
    </cfRule>
  </conditionalFormatting>
  <conditionalFormatting sqref="B178:C183 D178:E183">
    <cfRule type="expression" dxfId="32" priority="3948" stopIfTrue="1">
      <formula>$A178="file"</formula>
    </cfRule>
  </conditionalFormatting>
  <conditionalFormatting sqref="B178:C183 D178:E183">
    <cfRule type="expression" dxfId="7" priority="3949" stopIfTrue="1">
      <formula>$A178="note"</formula>
    </cfRule>
  </conditionalFormatting>
  <conditionalFormatting sqref="B178:C183 D178:E183">
    <cfRule type="expression" dxfId="8" priority="3950" stopIfTrue="1">
      <formula>$A178="barcode"</formula>
    </cfRule>
  </conditionalFormatting>
  <conditionalFormatting sqref="B178:C183 D178:E183">
    <cfRule type="expression" dxfId="9" priority="3951" stopIfTrue="1">
      <formula>OR($A178="geopoint", $A178="geoshape", $A178="geotrace")</formula>
    </cfRule>
  </conditionalFormatting>
  <conditionalFormatting sqref="B178:B183">
    <cfRule type="expression" dxfId="10" priority="3952" stopIfTrue="1">
      <formula>OR($A178="calculate", $A178="calculate_here")</formula>
    </cfRule>
  </conditionalFormatting>
  <conditionalFormatting sqref="B178:C183 D178:E183">
    <cfRule type="expression" dxfId="11" priority="3953" stopIfTrue="1">
      <formula>OR($A178="date", $A178="datetime", $A178="time")</formula>
    </cfRule>
  </conditionalFormatting>
  <conditionalFormatting sqref="B178:C183 D178:E183">
    <cfRule type="expression" dxfId="12" priority="3954" stopIfTrue="1">
      <formula>$A178="image"</formula>
    </cfRule>
  </conditionalFormatting>
  <conditionalFormatting sqref="B178:C183 D178:E183">
    <cfRule type="expression" dxfId="13" priority="3955" stopIfTrue="1">
      <formula>OR($A178="audio", $A178="video")</formula>
    </cfRule>
  </conditionalFormatting>
  <conditionalFormatting sqref="B178:E183">
    <cfRule type="expression" dxfId="33" priority="3956" stopIfTrue="1">
      <formula>$A178="file"</formula>
    </cfRule>
  </conditionalFormatting>
  <conditionalFormatting sqref="B178:E183">
    <cfRule type="expression" dxfId="34" priority="3957" stopIfTrue="1">
      <formula>$A178="enumerator"</formula>
    </cfRule>
  </conditionalFormatting>
  <conditionalFormatting sqref="B178:E183">
    <cfRule type="expression" dxfId="35" priority="3958" stopIfTrue="1">
      <formula>OR(AND(LEFT($A178, 14)="sensor_stream ", LEN($A178)&gt;14, NOT(ISNUMBER(SEARCH(" ", $A178, 15)))), AND(LEFT($A178, 17)="sensor_statistic ", LEN($A178)&gt;17, NOT(ISNUMBER(SEARCH(" ", $A178, 18)))))</formula>
    </cfRule>
  </conditionalFormatting>
  <conditionalFormatting sqref="B178:E183">
    <cfRule type="expression" dxfId="14" priority="3959" stopIfTrue="1">
      <formula>$A178="comments"</formula>
    </cfRule>
  </conditionalFormatting>
  <conditionalFormatting sqref="B178:E183">
    <cfRule type="expression" dxfId="15" priority="3960" stopIfTrue="1">
      <formula>OR($A178="audio", $A178="video")</formula>
    </cfRule>
  </conditionalFormatting>
  <conditionalFormatting sqref="B178:E183">
    <cfRule type="expression" dxfId="16" priority="3961" stopIfTrue="1">
      <formula>$A178="image"</formula>
    </cfRule>
  </conditionalFormatting>
  <conditionalFormatting sqref="B178:E183">
    <cfRule type="expression" dxfId="17" priority="3962" stopIfTrue="1">
      <formula>OR($A178="date", $A178="datetime", $A178="time")</formula>
    </cfRule>
  </conditionalFormatting>
  <conditionalFormatting sqref="B178:E183">
    <cfRule type="expression" dxfId="18" priority="3963" stopIfTrue="1">
      <formula>OR($A178="calculate", $A178="calculate_here")</formula>
    </cfRule>
  </conditionalFormatting>
  <conditionalFormatting sqref="B178:E183">
    <cfRule type="expression" dxfId="19" priority="3964" stopIfTrue="1">
      <formula>$A178="note"</formula>
    </cfRule>
  </conditionalFormatting>
  <conditionalFormatting sqref="B178:E183">
    <cfRule type="expression" dxfId="20" priority="3965" stopIfTrue="1">
      <formula>$A178="barcode"</formula>
    </cfRule>
  </conditionalFormatting>
  <conditionalFormatting sqref="B178:E183">
    <cfRule type="expression" dxfId="21" priority="3966" stopIfTrue="1">
      <formula>OR($A178="geopoint", $A178="geoshape", $A178="geotrace")</formula>
    </cfRule>
  </conditionalFormatting>
  <conditionalFormatting sqref="B178:E183">
    <cfRule type="expression" dxfId="22" priority="3967" stopIfTrue="1">
      <formula>OR($A178="audio audit", $A178="text audit", $A178="speed violations count", $A178="speed violations list", $A178="speed violations audit")</formula>
    </cfRule>
  </conditionalFormatting>
  <conditionalFormatting sqref="B178:E183">
    <cfRule type="expression" dxfId="23" priority="3968" stopIfTrue="1">
      <formula>OR($A178="username", $A178="phonenumber", $A178="start", $A178="end", $A178="deviceid", $A178="subscriberid", $A178="simserial", $A178="caseid")</formula>
    </cfRule>
  </conditionalFormatting>
  <conditionalFormatting sqref="B178:E183">
    <cfRule type="expression" dxfId="24" priority="3969" stopIfTrue="1">
      <formula>OR(AND(LEFT($A178, 16)="select_multiple ", LEN($A178)&gt;16, NOT(ISNUMBER(SEARCH(" ", $A178, 17)))), AND(LEFT($A178, 11)="select_one ", LEN($A178)&gt;11, NOT(ISNUMBER(SEARCH(" ", $A178, 12)))))</formula>
    </cfRule>
  </conditionalFormatting>
  <conditionalFormatting sqref="B178:E183">
    <cfRule type="expression" dxfId="25" priority="3970" stopIfTrue="1">
      <formula>$A178="decimal"</formula>
    </cfRule>
  </conditionalFormatting>
  <conditionalFormatting sqref="B178:E183">
    <cfRule type="expression" dxfId="26" priority="3971" stopIfTrue="1">
      <formula>$A178="integer"</formula>
    </cfRule>
  </conditionalFormatting>
  <conditionalFormatting sqref="B178:E183">
    <cfRule type="expression" dxfId="27" priority="3972" stopIfTrue="1">
      <formula>$A178="text"</formula>
    </cfRule>
  </conditionalFormatting>
  <conditionalFormatting sqref="B178:E183">
    <cfRule type="expression" dxfId="28" priority="3973" stopIfTrue="1">
      <formula>$A178="end repeat"</formula>
    </cfRule>
  </conditionalFormatting>
  <conditionalFormatting sqref="B178:E183">
    <cfRule type="expression" dxfId="28" priority="3974" stopIfTrue="1">
      <formula>$A178="begin repeat"</formula>
    </cfRule>
  </conditionalFormatting>
  <conditionalFormatting sqref="B178:E183">
    <cfRule type="expression" dxfId="29" priority="3975" stopIfTrue="1">
      <formula>$A178="end group"</formula>
    </cfRule>
  </conditionalFormatting>
  <conditionalFormatting sqref="B178:E183">
    <cfRule type="expression" dxfId="29" priority="3976" stopIfTrue="1">
      <formula>$A178="begin group"</formula>
    </cfRule>
  </conditionalFormatting>
  <conditionalFormatting sqref="B178:B183">
    <cfRule type="expression" dxfId="30" priority="3977" stopIfTrue="1">
      <formula>$A178="comments"</formula>
    </cfRule>
  </conditionalFormatting>
  <conditionalFormatting sqref="B178:B183">
    <cfRule type="expression" dxfId="36" priority="3978" stopIfTrue="1">
      <formula>OR(AND(LEFT($A178, 14)="sensor_stream ", LEN($A178)&gt;14, NOT(ISNUMBER(SEARCH(" ", $A178, 15)))), AND(LEFT($A178, 17)="sensor_statistic ", LEN($A178)&gt;17, NOT(ISNUMBER(SEARCH(" ", $A178, 18)))))</formula>
    </cfRule>
  </conditionalFormatting>
  <conditionalFormatting sqref="B149:C173 D149:E173">
    <cfRule type="expression" dxfId="0" priority="3979" stopIfTrue="1">
      <formula>$A149="begin group"</formula>
    </cfRule>
  </conditionalFormatting>
  <conditionalFormatting sqref="B149:C173 D149:E173">
    <cfRule type="expression" dxfId="1" priority="3980" stopIfTrue="1">
      <formula>$A149="begin repeat"</formula>
    </cfRule>
  </conditionalFormatting>
  <conditionalFormatting sqref="B149:E173">
    <cfRule type="expression" dxfId="31" priority="3981" stopIfTrue="1">
      <formula>$A149="enumerator"</formula>
    </cfRule>
  </conditionalFormatting>
  <conditionalFormatting sqref="B149:E173">
    <cfRule type="expression" dxfId="2" priority="3982" stopIfTrue="1">
      <formula>$A149="text"</formula>
    </cfRule>
  </conditionalFormatting>
  <conditionalFormatting sqref="B149:E173">
    <cfRule type="expression" dxfId="3" priority="3983" stopIfTrue="1">
      <formula>$A149="integer"</formula>
    </cfRule>
  </conditionalFormatting>
  <conditionalFormatting sqref="B149:E173">
    <cfRule type="expression" dxfId="4" priority="3984" stopIfTrue="1">
      <formula>$A149="decimal"</formula>
    </cfRule>
  </conditionalFormatting>
  <conditionalFormatting sqref="B149:C173 D149:E173">
    <cfRule type="expression" dxfId="5" priority="3985" stopIfTrue="1">
      <formula>OR(AND(LEFT($A149, 16)="select_multiple ", LEN($A149)&gt;16, NOT(ISNUMBER(SEARCH(" ", $A149, 17)))), AND(LEFT($A149, 11)="select_one ", LEN($A149)&gt;11, NOT(ISNUMBER(SEARCH(" ", $A149, 12)))))</formula>
    </cfRule>
  </conditionalFormatting>
  <conditionalFormatting sqref="B149:B173">
    <cfRule type="expression" dxfId="6" priority="3986" stopIfTrue="1">
      <formula>OR($A149="audio audit", $A149="text audit", $A149="speed violations count", $A149="speed violations list", $A149="speed violations audit")</formula>
    </cfRule>
  </conditionalFormatting>
  <conditionalFormatting sqref="B149:C173 D149:E173">
    <cfRule type="expression" dxfId="32" priority="3987" stopIfTrue="1">
      <formula>$A149="file"</formula>
    </cfRule>
  </conditionalFormatting>
  <conditionalFormatting sqref="B149:C173 D149:E173">
    <cfRule type="expression" dxfId="7" priority="3988" stopIfTrue="1">
      <formula>$A149="note"</formula>
    </cfRule>
  </conditionalFormatting>
  <conditionalFormatting sqref="B149:C173 D149:E173">
    <cfRule type="expression" dxfId="8" priority="3989" stopIfTrue="1">
      <formula>$A149="barcode"</formula>
    </cfRule>
  </conditionalFormatting>
  <conditionalFormatting sqref="B149:C173 D149:E173">
    <cfRule type="expression" dxfId="9" priority="3990" stopIfTrue="1">
      <formula>OR($A149="geopoint", $A149="geoshape", $A149="geotrace")</formula>
    </cfRule>
  </conditionalFormatting>
  <conditionalFormatting sqref="B149:B173">
    <cfRule type="expression" dxfId="10" priority="3991" stopIfTrue="1">
      <formula>OR($A149="calculate", $A149="calculate_here")</formula>
    </cfRule>
  </conditionalFormatting>
  <conditionalFormatting sqref="B149:C173 D149:E173">
    <cfRule type="expression" dxfId="11" priority="3992" stopIfTrue="1">
      <formula>OR($A149="date", $A149="datetime", $A149="time")</formula>
    </cfRule>
  </conditionalFormatting>
  <conditionalFormatting sqref="B149:C173 D149:E173">
    <cfRule type="expression" dxfId="12" priority="3993" stopIfTrue="1">
      <formula>$A149="image"</formula>
    </cfRule>
  </conditionalFormatting>
  <conditionalFormatting sqref="B149:C173 D149:E173">
    <cfRule type="expression" dxfId="13" priority="3994" stopIfTrue="1">
      <formula>OR($A149="audio", $A149="video")</formula>
    </cfRule>
  </conditionalFormatting>
  <conditionalFormatting sqref="B149:E173">
    <cfRule type="expression" dxfId="33" priority="3995" stopIfTrue="1">
      <formula>$A149="file"</formula>
    </cfRule>
  </conditionalFormatting>
  <conditionalFormatting sqref="B149:E173">
    <cfRule type="expression" dxfId="34" priority="3996" stopIfTrue="1">
      <formula>$A149="enumerator"</formula>
    </cfRule>
  </conditionalFormatting>
  <conditionalFormatting sqref="B149:E173">
    <cfRule type="expression" dxfId="35" priority="3997" stopIfTrue="1">
      <formula>OR(AND(LEFT($A149, 14)="sensor_stream ", LEN($A149)&gt;14, NOT(ISNUMBER(SEARCH(" ", $A149, 15)))), AND(LEFT($A149, 17)="sensor_statistic ", LEN($A149)&gt;17, NOT(ISNUMBER(SEARCH(" ", $A149, 18)))))</formula>
    </cfRule>
  </conditionalFormatting>
  <conditionalFormatting sqref="B149:E173">
    <cfRule type="expression" dxfId="14" priority="3998" stopIfTrue="1">
      <formula>$A149="comments"</formula>
    </cfRule>
  </conditionalFormatting>
  <conditionalFormatting sqref="B149:E173">
    <cfRule type="expression" dxfId="15" priority="3999" stopIfTrue="1">
      <formula>OR($A149="audio", $A149="video")</formula>
    </cfRule>
  </conditionalFormatting>
  <conditionalFormatting sqref="B149:E173">
    <cfRule type="expression" dxfId="16" priority="4000" stopIfTrue="1">
      <formula>$A149="image"</formula>
    </cfRule>
  </conditionalFormatting>
  <conditionalFormatting sqref="B149:E173">
    <cfRule type="expression" dxfId="17" priority="4001" stopIfTrue="1">
      <formula>OR($A149="date", $A149="datetime", $A149="time")</formula>
    </cfRule>
  </conditionalFormatting>
  <conditionalFormatting sqref="B149:E173">
    <cfRule type="expression" dxfId="18" priority="4002" stopIfTrue="1">
      <formula>OR($A149="calculate", $A149="calculate_here")</formula>
    </cfRule>
  </conditionalFormatting>
  <conditionalFormatting sqref="B149:E173">
    <cfRule type="expression" dxfId="19" priority="4003" stopIfTrue="1">
      <formula>$A149="note"</formula>
    </cfRule>
  </conditionalFormatting>
  <conditionalFormatting sqref="B149:E173">
    <cfRule type="expression" dxfId="20" priority="4004" stopIfTrue="1">
      <formula>$A149="barcode"</formula>
    </cfRule>
  </conditionalFormatting>
  <conditionalFormatting sqref="B149:E173">
    <cfRule type="expression" dxfId="21" priority="4005" stopIfTrue="1">
      <formula>OR($A149="geopoint", $A149="geoshape", $A149="geotrace")</formula>
    </cfRule>
  </conditionalFormatting>
  <conditionalFormatting sqref="B149:E173">
    <cfRule type="expression" dxfId="22" priority="4006" stopIfTrue="1">
      <formula>OR($A149="audio audit", $A149="text audit", $A149="speed violations count", $A149="speed violations list", $A149="speed violations audit")</formula>
    </cfRule>
  </conditionalFormatting>
  <conditionalFormatting sqref="B149:E173">
    <cfRule type="expression" dxfId="23" priority="4007" stopIfTrue="1">
      <formula>OR($A149="username", $A149="phonenumber", $A149="start", $A149="end", $A149="deviceid", $A149="subscriberid", $A149="simserial", $A149="caseid")</formula>
    </cfRule>
  </conditionalFormatting>
  <conditionalFormatting sqref="B149:E173">
    <cfRule type="expression" dxfId="24" priority="4008" stopIfTrue="1">
      <formula>OR(AND(LEFT($A149, 16)="select_multiple ", LEN($A149)&gt;16, NOT(ISNUMBER(SEARCH(" ", $A149, 17)))), AND(LEFT($A149, 11)="select_one ", LEN($A149)&gt;11, NOT(ISNUMBER(SEARCH(" ", $A149, 12)))))</formula>
    </cfRule>
  </conditionalFormatting>
  <conditionalFormatting sqref="B149:E173">
    <cfRule type="expression" dxfId="25" priority="4009" stopIfTrue="1">
      <formula>$A149="decimal"</formula>
    </cfRule>
  </conditionalFormatting>
  <conditionalFormatting sqref="B149:E173">
    <cfRule type="expression" dxfId="26" priority="4010" stopIfTrue="1">
      <formula>$A149="integer"</formula>
    </cfRule>
  </conditionalFormatting>
  <conditionalFormatting sqref="B149:E173">
    <cfRule type="expression" dxfId="27" priority="4011" stopIfTrue="1">
      <formula>$A149="text"</formula>
    </cfRule>
  </conditionalFormatting>
  <conditionalFormatting sqref="B149:E173">
    <cfRule type="expression" dxfId="28" priority="4012" stopIfTrue="1">
      <formula>$A149="end repeat"</formula>
    </cfRule>
  </conditionalFormatting>
  <conditionalFormatting sqref="B149:E173">
    <cfRule type="expression" dxfId="28" priority="4013" stopIfTrue="1">
      <formula>$A149="begin repeat"</formula>
    </cfRule>
  </conditionalFormatting>
  <conditionalFormatting sqref="B149:E173">
    <cfRule type="expression" dxfId="29" priority="4014" stopIfTrue="1">
      <formula>$A149="end group"</formula>
    </cfRule>
  </conditionalFormatting>
  <conditionalFormatting sqref="B149:E173">
    <cfRule type="expression" dxfId="29" priority="4015" stopIfTrue="1">
      <formula>$A149="begin group"</formula>
    </cfRule>
  </conditionalFormatting>
  <conditionalFormatting sqref="B149:B173">
    <cfRule type="expression" dxfId="30" priority="4016" stopIfTrue="1">
      <formula>$A149="comments"</formula>
    </cfRule>
  </conditionalFormatting>
  <conditionalFormatting sqref="B149:B173">
    <cfRule type="expression" dxfId="36" priority="4017" stopIfTrue="1">
      <formula>OR(AND(LEFT($A149, 14)="sensor_stream ", LEN($A149)&gt;14, NOT(ISNUMBER(SEARCH(" ", $A149, 15)))), AND(LEFT($A149, 17)="sensor_statistic ", LEN($A149)&gt;17, NOT(ISNUMBER(SEARCH(" ", $A149, 18)))))</formula>
    </cfRule>
  </conditionalFormatting>
  <conditionalFormatting sqref="B138:C142 D138:E142">
    <cfRule type="expression" dxfId="0" priority="4018" stopIfTrue="1">
      <formula>$A138="begin group"</formula>
    </cfRule>
  </conditionalFormatting>
  <conditionalFormatting sqref="B138:C142 D138:E142">
    <cfRule type="expression" dxfId="1" priority="4019" stopIfTrue="1">
      <formula>$A138="begin repeat"</formula>
    </cfRule>
  </conditionalFormatting>
  <conditionalFormatting sqref="B138:E142">
    <cfRule type="expression" dxfId="31" priority="4020" stopIfTrue="1">
      <formula>$A138="enumerator"</formula>
    </cfRule>
  </conditionalFormatting>
  <conditionalFormatting sqref="B138:E142">
    <cfRule type="expression" dxfId="2" priority="4021" stopIfTrue="1">
      <formula>$A138="text"</formula>
    </cfRule>
  </conditionalFormatting>
  <conditionalFormatting sqref="B138:E142">
    <cfRule type="expression" dxfId="3" priority="4022" stopIfTrue="1">
      <formula>$A138="integer"</formula>
    </cfRule>
  </conditionalFormatting>
  <conditionalFormatting sqref="B138:E142">
    <cfRule type="expression" dxfId="4" priority="4023" stopIfTrue="1">
      <formula>$A138="decimal"</formula>
    </cfRule>
  </conditionalFormatting>
  <conditionalFormatting sqref="B138:C142 D138:E142">
    <cfRule type="expression" dxfId="5" priority="4024" stopIfTrue="1">
      <formula>OR(AND(LEFT($A138, 16)="select_multiple ", LEN($A138)&gt;16, NOT(ISNUMBER(SEARCH(" ", $A138, 17)))), AND(LEFT($A138, 11)="select_one ", LEN($A138)&gt;11, NOT(ISNUMBER(SEARCH(" ", $A138, 12)))))</formula>
    </cfRule>
  </conditionalFormatting>
  <conditionalFormatting sqref="B138:B142">
    <cfRule type="expression" dxfId="6" priority="4025" stopIfTrue="1">
      <formula>OR($A138="audio audit", $A138="text audit", $A138="speed violations count", $A138="speed violations list", $A138="speed violations audit")</formula>
    </cfRule>
  </conditionalFormatting>
  <conditionalFormatting sqref="B138:C142 D138:E142">
    <cfRule type="expression" dxfId="32" priority="4026" stopIfTrue="1">
      <formula>$A138="file"</formula>
    </cfRule>
  </conditionalFormatting>
  <conditionalFormatting sqref="B138:C142 D138:E142">
    <cfRule type="expression" dxfId="7" priority="4027" stopIfTrue="1">
      <formula>$A138="note"</formula>
    </cfRule>
  </conditionalFormatting>
  <conditionalFormatting sqref="B138:C142 D138:E142">
    <cfRule type="expression" dxfId="8" priority="4028" stopIfTrue="1">
      <formula>$A138="barcode"</formula>
    </cfRule>
  </conditionalFormatting>
  <conditionalFormatting sqref="B138:C142 D138:E142">
    <cfRule type="expression" dxfId="9" priority="4029" stopIfTrue="1">
      <formula>OR($A138="geopoint", $A138="geoshape", $A138="geotrace")</formula>
    </cfRule>
  </conditionalFormatting>
  <conditionalFormatting sqref="B138:B142">
    <cfRule type="expression" dxfId="10" priority="4030" stopIfTrue="1">
      <formula>OR($A138="calculate", $A138="calculate_here")</formula>
    </cfRule>
  </conditionalFormatting>
  <conditionalFormatting sqref="B138:C142 D138:E142">
    <cfRule type="expression" dxfId="11" priority="4031" stopIfTrue="1">
      <formula>OR($A138="date", $A138="datetime", $A138="time")</formula>
    </cfRule>
  </conditionalFormatting>
  <conditionalFormatting sqref="B138:C142 D138:E142">
    <cfRule type="expression" dxfId="12" priority="4032" stopIfTrue="1">
      <formula>$A138="image"</formula>
    </cfRule>
  </conditionalFormatting>
  <conditionalFormatting sqref="B138:C142 D138:E142">
    <cfRule type="expression" dxfId="13" priority="4033" stopIfTrue="1">
      <formula>OR($A138="audio", $A138="video")</formula>
    </cfRule>
  </conditionalFormatting>
  <conditionalFormatting sqref="B138:E142">
    <cfRule type="expression" dxfId="33" priority="4034" stopIfTrue="1">
      <formula>$A138="file"</formula>
    </cfRule>
  </conditionalFormatting>
  <conditionalFormatting sqref="B138:E142">
    <cfRule type="expression" dxfId="34" priority="4035" stopIfTrue="1">
      <formula>$A138="enumerator"</formula>
    </cfRule>
  </conditionalFormatting>
  <conditionalFormatting sqref="B138:E142">
    <cfRule type="expression" dxfId="35" priority="4036" stopIfTrue="1">
      <formula>OR(AND(LEFT($A138, 14)="sensor_stream ", LEN($A138)&gt;14, NOT(ISNUMBER(SEARCH(" ", $A138, 15)))), AND(LEFT($A138, 17)="sensor_statistic ", LEN($A138)&gt;17, NOT(ISNUMBER(SEARCH(" ", $A138, 18)))))</formula>
    </cfRule>
  </conditionalFormatting>
  <conditionalFormatting sqref="B138:E142">
    <cfRule type="expression" dxfId="14" priority="4037" stopIfTrue="1">
      <formula>$A138="comments"</formula>
    </cfRule>
  </conditionalFormatting>
  <conditionalFormatting sqref="B138:E142">
    <cfRule type="expression" dxfId="15" priority="4038" stopIfTrue="1">
      <formula>OR($A138="audio", $A138="video")</formula>
    </cfRule>
  </conditionalFormatting>
  <conditionalFormatting sqref="B138:E142">
    <cfRule type="expression" dxfId="16" priority="4039" stopIfTrue="1">
      <formula>$A138="image"</formula>
    </cfRule>
  </conditionalFormatting>
  <conditionalFormatting sqref="B138:E142">
    <cfRule type="expression" dxfId="17" priority="4040" stopIfTrue="1">
      <formula>OR($A138="date", $A138="datetime", $A138="time")</formula>
    </cfRule>
  </conditionalFormatting>
  <conditionalFormatting sqref="B138:E142">
    <cfRule type="expression" dxfId="18" priority="4041" stopIfTrue="1">
      <formula>OR($A138="calculate", $A138="calculate_here")</formula>
    </cfRule>
  </conditionalFormatting>
  <conditionalFormatting sqref="B138:E142">
    <cfRule type="expression" dxfId="19" priority="4042" stopIfTrue="1">
      <formula>$A138="note"</formula>
    </cfRule>
  </conditionalFormatting>
  <conditionalFormatting sqref="B138:E142">
    <cfRule type="expression" dxfId="20" priority="4043" stopIfTrue="1">
      <formula>$A138="barcode"</formula>
    </cfRule>
  </conditionalFormatting>
  <conditionalFormatting sqref="B138:E142">
    <cfRule type="expression" dxfId="21" priority="4044" stopIfTrue="1">
      <formula>OR($A138="geopoint", $A138="geoshape", $A138="geotrace")</formula>
    </cfRule>
  </conditionalFormatting>
  <conditionalFormatting sqref="B138:E142">
    <cfRule type="expression" dxfId="22" priority="4045" stopIfTrue="1">
      <formula>OR($A138="audio audit", $A138="text audit", $A138="speed violations count", $A138="speed violations list", $A138="speed violations audit")</formula>
    </cfRule>
  </conditionalFormatting>
  <conditionalFormatting sqref="B138:E142">
    <cfRule type="expression" dxfId="23" priority="4046" stopIfTrue="1">
      <formula>OR($A138="username", $A138="phonenumber", $A138="start", $A138="end", $A138="deviceid", $A138="subscriberid", $A138="simserial", $A138="caseid")</formula>
    </cfRule>
  </conditionalFormatting>
  <conditionalFormatting sqref="B138:E142">
    <cfRule type="expression" dxfId="24" priority="4047" stopIfTrue="1">
      <formula>OR(AND(LEFT($A138, 16)="select_multiple ", LEN($A138)&gt;16, NOT(ISNUMBER(SEARCH(" ", $A138, 17)))), AND(LEFT($A138, 11)="select_one ", LEN($A138)&gt;11, NOT(ISNUMBER(SEARCH(" ", $A138, 12)))))</formula>
    </cfRule>
  </conditionalFormatting>
  <conditionalFormatting sqref="B138:E142">
    <cfRule type="expression" dxfId="25" priority="4048" stopIfTrue="1">
      <formula>$A138="decimal"</formula>
    </cfRule>
  </conditionalFormatting>
  <conditionalFormatting sqref="B138:E142">
    <cfRule type="expression" dxfId="26" priority="4049" stopIfTrue="1">
      <formula>$A138="integer"</formula>
    </cfRule>
  </conditionalFormatting>
  <conditionalFormatting sqref="B138:E142">
    <cfRule type="expression" dxfId="27" priority="4050" stopIfTrue="1">
      <formula>$A138="text"</formula>
    </cfRule>
  </conditionalFormatting>
  <conditionalFormatting sqref="B138:E142">
    <cfRule type="expression" dxfId="28" priority="4051" stopIfTrue="1">
      <formula>$A138="end repeat"</formula>
    </cfRule>
  </conditionalFormatting>
  <conditionalFormatting sqref="B138:E142">
    <cfRule type="expression" dxfId="28" priority="4052" stopIfTrue="1">
      <formula>$A138="begin repeat"</formula>
    </cfRule>
  </conditionalFormatting>
  <conditionalFormatting sqref="B138:E142">
    <cfRule type="expression" dxfId="29" priority="4053" stopIfTrue="1">
      <formula>$A138="end group"</formula>
    </cfRule>
  </conditionalFormatting>
  <conditionalFormatting sqref="B138:E142">
    <cfRule type="expression" dxfId="29" priority="4054" stopIfTrue="1">
      <formula>$A138="begin group"</formula>
    </cfRule>
  </conditionalFormatting>
  <conditionalFormatting sqref="B138:B142">
    <cfRule type="expression" dxfId="30" priority="4055" stopIfTrue="1">
      <formula>$A138="comments"</formula>
    </cfRule>
  </conditionalFormatting>
  <conditionalFormatting sqref="B138:B142">
    <cfRule type="expression" dxfId="36" priority="4056" stopIfTrue="1">
      <formula>OR(AND(LEFT($A138, 14)="sensor_stream ", LEN($A138)&gt;14, NOT(ISNUMBER(SEARCH(" ", $A138, 15)))), AND(LEFT($A138, 17)="sensor_statistic ", LEN($A138)&gt;17, NOT(ISNUMBER(SEARCH(" ", $A138, 18)))))</formula>
    </cfRule>
  </conditionalFormatting>
  <conditionalFormatting sqref="B131:C135 D131:E135">
    <cfRule type="expression" dxfId="0" priority="4057" stopIfTrue="1">
      <formula>$A131="begin group"</formula>
    </cfRule>
  </conditionalFormatting>
  <conditionalFormatting sqref="B131:C135 D131:E135">
    <cfRule type="expression" dxfId="1" priority="4058" stopIfTrue="1">
      <formula>$A131="begin repeat"</formula>
    </cfRule>
  </conditionalFormatting>
  <conditionalFormatting sqref="B131:E135">
    <cfRule type="expression" dxfId="31" priority="4059" stopIfTrue="1">
      <formula>$A131="enumerator"</formula>
    </cfRule>
  </conditionalFormatting>
  <conditionalFormatting sqref="B131:E135">
    <cfRule type="expression" dxfId="2" priority="4060" stopIfTrue="1">
      <formula>$A131="text"</formula>
    </cfRule>
  </conditionalFormatting>
  <conditionalFormatting sqref="B131:E135">
    <cfRule type="expression" dxfId="3" priority="4061" stopIfTrue="1">
      <formula>$A131="integer"</formula>
    </cfRule>
  </conditionalFormatting>
  <conditionalFormatting sqref="B131:E135">
    <cfRule type="expression" dxfId="4" priority="4062" stopIfTrue="1">
      <formula>$A131="decimal"</formula>
    </cfRule>
  </conditionalFormatting>
  <conditionalFormatting sqref="B131:C135 D131:E135">
    <cfRule type="expression" dxfId="5" priority="4063" stopIfTrue="1">
      <formula>OR(AND(LEFT($A131, 16)="select_multiple ", LEN($A131)&gt;16, NOT(ISNUMBER(SEARCH(" ", $A131, 17)))), AND(LEFT($A131, 11)="select_one ", LEN($A131)&gt;11, NOT(ISNUMBER(SEARCH(" ", $A131, 12)))))</formula>
    </cfRule>
  </conditionalFormatting>
  <conditionalFormatting sqref="B131:B135">
    <cfRule type="expression" dxfId="6" priority="4064" stopIfTrue="1">
      <formula>OR($A131="audio audit", $A131="text audit", $A131="speed violations count", $A131="speed violations list", $A131="speed violations audit")</formula>
    </cfRule>
  </conditionalFormatting>
  <conditionalFormatting sqref="B131:C135 D131:E135">
    <cfRule type="expression" dxfId="32" priority="4065" stopIfTrue="1">
      <formula>$A131="file"</formula>
    </cfRule>
  </conditionalFormatting>
  <conditionalFormatting sqref="B131:C135 D131:E135">
    <cfRule type="expression" dxfId="7" priority="4066" stopIfTrue="1">
      <formula>$A131="note"</formula>
    </cfRule>
  </conditionalFormatting>
  <conditionalFormatting sqref="B131:C135 D131:E135">
    <cfRule type="expression" dxfId="8" priority="4067" stopIfTrue="1">
      <formula>$A131="barcode"</formula>
    </cfRule>
  </conditionalFormatting>
  <conditionalFormatting sqref="B131:C135 D131:E135">
    <cfRule type="expression" dxfId="9" priority="4068" stopIfTrue="1">
      <formula>OR($A131="geopoint", $A131="geoshape", $A131="geotrace")</formula>
    </cfRule>
  </conditionalFormatting>
  <conditionalFormatting sqref="B131:B135">
    <cfRule type="expression" dxfId="10" priority="4069" stopIfTrue="1">
      <formula>OR($A131="calculate", $A131="calculate_here")</formula>
    </cfRule>
  </conditionalFormatting>
  <conditionalFormatting sqref="B131:C135 D131:E135">
    <cfRule type="expression" dxfId="11" priority="4070" stopIfTrue="1">
      <formula>OR($A131="date", $A131="datetime", $A131="time")</formula>
    </cfRule>
  </conditionalFormatting>
  <conditionalFormatting sqref="B131:C135 D131:E135">
    <cfRule type="expression" dxfId="12" priority="4071" stopIfTrue="1">
      <formula>$A131="image"</formula>
    </cfRule>
  </conditionalFormatting>
  <conditionalFormatting sqref="B131:C135 D131:E135">
    <cfRule type="expression" dxfId="13" priority="4072" stopIfTrue="1">
      <formula>OR($A131="audio", $A131="video")</formula>
    </cfRule>
  </conditionalFormatting>
  <conditionalFormatting sqref="B131:E135">
    <cfRule type="expression" dxfId="33" priority="4073" stopIfTrue="1">
      <formula>$A131="file"</formula>
    </cfRule>
  </conditionalFormatting>
  <conditionalFormatting sqref="B131:E135">
    <cfRule type="expression" dxfId="34" priority="4074" stopIfTrue="1">
      <formula>$A131="enumerator"</formula>
    </cfRule>
  </conditionalFormatting>
  <conditionalFormatting sqref="B131:E135">
    <cfRule type="expression" dxfId="35" priority="4075" stopIfTrue="1">
      <formula>OR(AND(LEFT($A131, 14)="sensor_stream ", LEN($A131)&gt;14, NOT(ISNUMBER(SEARCH(" ", $A131, 15)))), AND(LEFT($A131, 17)="sensor_statistic ", LEN($A131)&gt;17, NOT(ISNUMBER(SEARCH(" ", $A131, 18)))))</formula>
    </cfRule>
  </conditionalFormatting>
  <conditionalFormatting sqref="B131:E135">
    <cfRule type="expression" dxfId="14" priority="4076" stopIfTrue="1">
      <formula>$A131="comments"</formula>
    </cfRule>
  </conditionalFormatting>
  <conditionalFormatting sqref="B131:E135">
    <cfRule type="expression" dxfId="15" priority="4077" stopIfTrue="1">
      <formula>OR($A131="audio", $A131="video")</formula>
    </cfRule>
  </conditionalFormatting>
  <conditionalFormatting sqref="B131:E135">
    <cfRule type="expression" dxfId="16" priority="4078" stopIfTrue="1">
      <formula>$A131="image"</formula>
    </cfRule>
  </conditionalFormatting>
  <conditionalFormatting sqref="B131:E135">
    <cfRule type="expression" dxfId="17" priority="4079" stopIfTrue="1">
      <formula>OR($A131="date", $A131="datetime", $A131="time")</formula>
    </cfRule>
  </conditionalFormatting>
  <conditionalFormatting sqref="B131:E135">
    <cfRule type="expression" dxfId="18" priority="4080" stopIfTrue="1">
      <formula>OR($A131="calculate", $A131="calculate_here")</formula>
    </cfRule>
  </conditionalFormatting>
  <conditionalFormatting sqref="B131:E135">
    <cfRule type="expression" dxfId="19" priority="4081" stopIfTrue="1">
      <formula>$A131="note"</formula>
    </cfRule>
  </conditionalFormatting>
  <conditionalFormatting sqref="B131:E135">
    <cfRule type="expression" dxfId="20" priority="4082" stopIfTrue="1">
      <formula>$A131="barcode"</formula>
    </cfRule>
  </conditionalFormatting>
  <conditionalFormatting sqref="B131:E135">
    <cfRule type="expression" dxfId="21" priority="4083" stopIfTrue="1">
      <formula>OR($A131="geopoint", $A131="geoshape", $A131="geotrace")</formula>
    </cfRule>
  </conditionalFormatting>
  <conditionalFormatting sqref="B131:E135">
    <cfRule type="expression" dxfId="22" priority="4084" stopIfTrue="1">
      <formula>OR($A131="audio audit", $A131="text audit", $A131="speed violations count", $A131="speed violations list", $A131="speed violations audit")</formula>
    </cfRule>
  </conditionalFormatting>
  <conditionalFormatting sqref="B131:E135">
    <cfRule type="expression" dxfId="23" priority="4085" stopIfTrue="1">
      <formula>OR($A131="username", $A131="phonenumber", $A131="start", $A131="end", $A131="deviceid", $A131="subscriberid", $A131="simserial", $A131="caseid")</formula>
    </cfRule>
  </conditionalFormatting>
  <conditionalFormatting sqref="B131:E135">
    <cfRule type="expression" dxfId="24" priority="4086" stopIfTrue="1">
      <formula>OR(AND(LEFT($A131, 16)="select_multiple ", LEN($A131)&gt;16, NOT(ISNUMBER(SEARCH(" ", $A131, 17)))), AND(LEFT($A131, 11)="select_one ", LEN($A131)&gt;11, NOT(ISNUMBER(SEARCH(" ", $A131, 12)))))</formula>
    </cfRule>
  </conditionalFormatting>
  <conditionalFormatting sqref="B131:E135">
    <cfRule type="expression" dxfId="25" priority="4087" stopIfTrue="1">
      <formula>$A131="decimal"</formula>
    </cfRule>
  </conditionalFormatting>
  <conditionalFormatting sqref="B131:E135">
    <cfRule type="expression" dxfId="26" priority="4088" stopIfTrue="1">
      <formula>$A131="integer"</formula>
    </cfRule>
  </conditionalFormatting>
  <conditionalFormatting sqref="B131:E135">
    <cfRule type="expression" dxfId="27" priority="4089" stopIfTrue="1">
      <formula>$A131="text"</formula>
    </cfRule>
  </conditionalFormatting>
  <conditionalFormatting sqref="B131:E135">
    <cfRule type="expression" dxfId="28" priority="4090" stopIfTrue="1">
      <formula>$A131="end repeat"</formula>
    </cfRule>
  </conditionalFormatting>
  <conditionalFormatting sqref="B131:E135">
    <cfRule type="expression" dxfId="28" priority="4091" stopIfTrue="1">
      <formula>$A131="begin repeat"</formula>
    </cfRule>
  </conditionalFormatting>
  <conditionalFormatting sqref="B131:E135">
    <cfRule type="expression" dxfId="29" priority="4092" stopIfTrue="1">
      <formula>$A131="end group"</formula>
    </cfRule>
  </conditionalFormatting>
  <conditionalFormatting sqref="B131:E135">
    <cfRule type="expression" dxfId="29" priority="4093" stopIfTrue="1">
      <formula>$A131="begin group"</formula>
    </cfRule>
  </conditionalFormatting>
  <conditionalFormatting sqref="B131:B135">
    <cfRule type="expression" dxfId="30" priority="4094" stopIfTrue="1">
      <formula>$A131="comments"</formula>
    </cfRule>
  </conditionalFormatting>
  <conditionalFormatting sqref="B131:B135">
    <cfRule type="expression" dxfId="36" priority="4095" stopIfTrue="1">
      <formula>OR(AND(LEFT($A131, 14)="sensor_stream ", LEN($A131)&gt;14, NOT(ISNUMBER(SEARCH(" ", $A131, 15)))), AND(LEFT($A131, 17)="sensor_statistic ", LEN($A131)&gt;17, NOT(ISNUMBER(SEARCH(" ", $A131, 18)))))</formula>
    </cfRule>
  </conditionalFormatting>
  <conditionalFormatting sqref="B127:C129 D127:E129">
    <cfRule type="expression" dxfId="0" priority="4096" stopIfTrue="1">
      <formula>$A127="begin group"</formula>
    </cfRule>
  </conditionalFormatting>
  <conditionalFormatting sqref="B127:C129 D127:E129">
    <cfRule type="expression" dxfId="1" priority="4097" stopIfTrue="1">
      <formula>$A127="begin repeat"</formula>
    </cfRule>
  </conditionalFormatting>
  <conditionalFormatting sqref="B127:E129">
    <cfRule type="expression" dxfId="31" priority="4098" stopIfTrue="1">
      <formula>$A127="enumerator"</formula>
    </cfRule>
  </conditionalFormatting>
  <conditionalFormatting sqref="B127:E129">
    <cfRule type="expression" dxfId="2" priority="4099" stopIfTrue="1">
      <formula>$A127="text"</formula>
    </cfRule>
  </conditionalFormatting>
  <conditionalFormatting sqref="B127:E129">
    <cfRule type="expression" dxfId="3" priority="4100" stopIfTrue="1">
      <formula>$A127="integer"</formula>
    </cfRule>
  </conditionalFormatting>
  <conditionalFormatting sqref="B127:E129">
    <cfRule type="expression" dxfId="4" priority="4101" stopIfTrue="1">
      <formula>$A127="decimal"</formula>
    </cfRule>
  </conditionalFormatting>
  <conditionalFormatting sqref="B127:C129 D127:E129">
    <cfRule type="expression" dxfId="5" priority="4102" stopIfTrue="1">
      <formula>OR(AND(LEFT($A127, 16)="select_multiple ", LEN($A127)&gt;16, NOT(ISNUMBER(SEARCH(" ", $A127, 17)))), AND(LEFT($A127, 11)="select_one ", LEN($A127)&gt;11, NOT(ISNUMBER(SEARCH(" ", $A127, 12)))))</formula>
    </cfRule>
  </conditionalFormatting>
  <conditionalFormatting sqref="B127:B129">
    <cfRule type="expression" dxfId="6" priority="4103" stopIfTrue="1">
      <formula>OR($A127="audio audit", $A127="text audit", $A127="speed violations count", $A127="speed violations list", $A127="speed violations audit")</formula>
    </cfRule>
  </conditionalFormatting>
  <conditionalFormatting sqref="B127:C129 D127:E129">
    <cfRule type="expression" dxfId="32" priority="4104" stopIfTrue="1">
      <formula>$A127="file"</formula>
    </cfRule>
  </conditionalFormatting>
  <conditionalFormatting sqref="B127:C129 D127:E129">
    <cfRule type="expression" dxfId="7" priority="4105" stopIfTrue="1">
      <formula>$A127="note"</formula>
    </cfRule>
  </conditionalFormatting>
  <conditionalFormatting sqref="B127:C129 D127:E129">
    <cfRule type="expression" dxfId="8" priority="4106" stopIfTrue="1">
      <formula>$A127="barcode"</formula>
    </cfRule>
  </conditionalFormatting>
  <conditionalFormatting sqref="B127:C129 D127:E129">
    <cfRule type="expression" dxfId="9" priority="4107" stopIfTrue="1">
      <formula>OR($A127="geopoint", $A127="geoshape", $A127="geotrace")</formula>
    </cfRule>
  </conditionalFormatting>
  <conditionalFormatting sqref="B127:B129">
    <cfRule type="expression" dxfId="10" priority="4108" stopIfTrue="1">
      <formula>OR($A127="calculate", $A127="calculate_here")</formula>
    </cfRule>
  </conditionalFormatting>
  <conditionalFormatting sqref="B127:C129 D127:E129">
    <cfRule type="expression" dxfId="11" priority="4109" stopIfTrue="1">
      <formula>OR($A127="date", $A127="datetime", $A127="time")</formula>
    </cfRule>
  </conditionalFormatting>
  <conditionalFormatting sqref="B127:C129 D127:E129">
    <cfRule type="expression" dxfId="12" priority="4110" stopIfTrue="1">
      <formula>$A127="image"</formula>
    </cfRule>
  </conditionalFormatting>
  <conditionalFormatting sqref="B127:C129 D127:E129">
    <cfRule type="expression" dxfId="13" priority="4111" stopIfTrue="1">
      <formula>OR($A127="audio", $A127="video")</formula>
    </cfRule>
  </conditionalFormatting>
  <conditionalFormatting sqref="B127:E129">
    <cfRule type="expression" dxfId="33" priority="4112" stopIfTrue="1">
      <formula>$A127="file"</formula>
    </cfRule>
  </conditionalFormatting>
  <conditionalFormatting sqref="B127:E129">
    <cfRule type="expression" dxfId="34" priority="4113" stopIfTrue="1">
      <formula>$A127="enumerator"</formula>
    </cfRule>
  </conditionalFormatting>
  <conditionalFormatting sqref="B127:E129">
    <cfRule type="expression" dxfId="35" priority="4114" stopIfTrue="1">
      <formula>OR(AND(LEFT($A127, 14)="sensor_stream ", LEN($A127)&gt;14, NOT(ISNUMBER(SEARCH(" ", $A127, 15)))), AND(LEFT($A127, 17)="sensor_statistic ", LEN($A127)&gt;17, NOT(ISNUMBER(SEARCH(" ", $A127, 18)))))</formula>
    </cfRule>
  </conditionalFormatting>
  <conditionalFormatting sqref="B127:E129">
    <cfRule type="expression" dxfId="14" priority="4115" stopIfTrue="1">
      <formula>$A127="comments"</formula>
    </cfRule>
  </conditionalFormatting>
  <conditionalFormatting sqref="B127:E129">
    <cfRule type="expression" dxfId="15" priority="4116" stopIfTrue="1">
      <formula>OR($A127="audio", $A127="video")</formula>
    </cfRule>
  </conditionalFormatting>
  <conditionalFormatting sqref="B127:E129">
    <cfRule type="expression" dxfId="16" priority="4117" stopIfTrue="1">
      <formula>$A127="image"</formula>
    </cfRule>
  </conditionalFormatting>
  <conditionalFormatting sqref="B127:E129">
    <cfRule type="expression" dxfId="17" priority="4118" stopIfTrue="1">
      <formula>OR($A127="date", $A127="datetime", $A127="time")</formula>
    </cfRule>
  </conditionalFormatting>
  <conditionalFormatting sqref="B127:E129">
    <cfRule type="expression" dxfId="18" priority="4119" stopIfTrue="1">
      <formula>OR($A127="calculate", $A127="calculate_here")</formula>
    </cfRule>
  </conditionalFormatting>
  <conditionalFormatting sqref="B127:E129">
    <cfRule type="expression" dxfId="19" priority="4120" stopIfTrue="1">
      <formula>$A127="note"</formula>
    </cfRule>
  </conditionalFormatting>
  <conditionalFormatting sqref="B127:E129">
    <cfRule type="expression" dxfId="20" priority="4121" stopIfTrue="1">
      <formula>$A127="barcode"</formula>
    </cfRule>
  </conditionalFormatting>
  <conditionalFormatting sqref="B127:E129">
    <cfRule type="expression" dxfId="21" priority="4122" stopIfTrue="1">
      <formula>OR($A127="geopoint", $A127="geoshape", $A127="geotrace")</formula>
    </cfRule>
  </conditionalFormatting>
  <conditionalFormatting sqref="B127:E129">
    <cfRule type="expression" dxfId="22" priority="4123" stopIfTrue="1">
      <formula>OR($A127="audio audit", $A127="text audit", $A127="speed violations count", $A127="speed violations list", $A127="speed violations audit")</formula>
    </cfRule>
  </conditionalFormatting>
  <conditionalFormatting sqref="B127:E129">
    <cfRule type="expression" dxfId="23" priority="4124" stopIfTrue="1">
      <formula>OR($A127="username", $A127="phonenumber", $A127="start", $A127="end", $A127="deviceid", $A127="subscriberid", $A127="simserial", $A127="caseid")</formula>
    </cfRule>
  </conditionalFormatting>
  <conditionalFormatting sqref="B127:E129">
    <cfRule type="expression" dxfId="24" priority="4125" stopIfTrue="1">
      <formula>OR(AND(LEFT($A127, 16)="select_multiple ", LEN($A127)&gt;16, NOT(ISNUMBER(SEARCH(" ", $A127, 17)))), AND(LEFT($A127, 11)="select_one ", LEN($A127)&gt;11, NOT(ISNUMBER(SEARCH(" ", $A127, 12)))))</formula>
    </cfRule>
  </conditionalFormatting>
  <conditionalFormatting sqref="B127:E129">
    <cfRule type="expression" dxfId="25" priority="4126" stopIfTrue="1">
      <formula>$A127="decimal"</formula>
    </cfRule>
  </conditionalFormatting>
  <conditionalFormatting sqref="B127:E129">
    <cfRule type="expression" dxfId="26" priority="4127" stopIfTrue="1">
      <formula>$A127="integer"</formula>
    </cfRule>
  </conditionalFormatting>
  <conditionalFormatting sqref="B127:E129">
    <cfRule type="expression" dxfId="27" priority="4128" stopIfTrue="1">
      <formula>$A127="text"</formula>
    </cfRule>
  </conditionalFormatting>
  <conditionalFormatting sqref="B127:E129">
    <cfRule type="expression" dxfId="28" priority="4129" stopIfTrue="1">
      <formula>$A127="end repeat"</formula>
    </cfRule>
  </conditionalFormatting>
  <conditionalFormatting sqref="B127:E129">
    <cfRule type="expression" dxfId="28" priority="4130" stopIfTrue="1">
      <formula>$A127="begin repeat"</formula>
    </cfRule>
  </conditionalFormatting>
  <conditionalFormatting sqref="B127:E129">
    <cfRule type="expression" dxfId="29" priority="4131" stopIfTrue="1">
      <formula>$A127="end group"</formula>
    </cfRule>
  </conditionalFormatting>
  <conditionalFormatting sqref="B127:E129">
    <cfRule type="expression" dxfId="29" priority="4132" stopIfTrue="1">
      <formula>$A127="begin group"</formula>
    </cfRule>
  </conditionalFormatting>
  <conditionalFormatting sqref="B127:B129">
    <cfRule type="expression" dxfId="30" priority="4133" stopIfTrue="1">
      <formula>$A127="comments"</formula>
    </cfRule>
  </conditionalFormatting>
  <conditionalFormatting sqref="B127:B129">
    <cfRule type="expression" dxfId="36" priority="4134" stopIfTrue="1">
      <formula>OR(AND(LEFT($A127, 14)="sensor_stream ", LEN($A127)&gt;14, NOT(ISNUMBER(SEARCH(" ", $A127, 15)))), AND(LEFT($A127, 17)="sensor_statistic ", LEN($A127)&gt;17, NOT(ISNUMBER(SEARCH(" ", $A127, 18)))))</formula>
    </cfRule>
  </conditionalFormatting>
  <conditionalFormatting sqref="B122:C122 D122:E122">
    <cfRule type="expression" dxfId="0" priority="4135" stopIfTrue="1">
      <formula>$A122="begin group"</formula>
    </cfRule>
  </conditionalFormatting>
  <conditionalFormatting sqref="B122:C122 D122:E122">
    <cfRule type="expression" dxfId="1" priority="4136" stopIfTrue="1">
      <formula>$A122="begin repeat"</formula>
    </cfRule>
  </conditionalFormatting>
  <conditionalFormatting sqref="B122:E122">
    <cfRule type="expression" dxfId="31" priority="4137" stopIfTrue="1">
      <formula>$A122="enumerator"</formula>
    </cfRule>
  </conditionalFormatting>
  <conditionalFormatting sqref="B122:E122">
    <cfRule type="expression" dxfId="2" priority="4138" stopIfTrue="1">
      <formula>$A122="text"</formula>
    </cfRule>
  </conditionalFormatting>
  <conditionalFormatting sqref="B122:E122">
    <cfRule type="expression" dxfId="3" priority="4139" stopIfTrue="1">
      <formula>$A122="integer"</formula>
    </cfRule>
  </conditionalFormatting>
  <conditionalFormatting sqref="B122:E122">
    <cfRule type="expression" dxfId="4" priority="4140" stopIfTrue="1">
      <formula>$A122="decimal"</formula>
    </cfRule>
  </conditionalFormatting>
  <conditionalFormatting sqref="B122:C122 D122:E122">
    <cfRule type="expression" dxfId="5" priority="4141" stopIfTrue="1">
      <formula>OR(AND(LEFT($A122, 16)="select_multiple ", LEN($A122)&gt;16, NOT(ISNUMBER(SEARCH(" ", $A122, 17)))), AND(LEFT($A122, 11)="select_one ", LEN($A122)&gt;11, NOT(ISNUMBER(SEARCH(" ", $A122, 12)))))</formula>
    </cfRule>
  </conditionalFormatting>
  <conditionalFormatting sqref="B122">
    <cfRule type="expression" dxfId="6" priority="4142" stopIfTrue="1">
      <formula>OR($A122="audio audit", $A122="text audit", $A122="speed violations count", $A122="speed violations list", $A122="speed violations audit")</formula>
    </cfRule>
  </conditionalFormatting>
  <conditionalFormatting sqref="B122:C122 D122:E122">
    <cfRule type="expression" dxfId="32" priority="4143" stopIfTrue="1">
      <formula>$A122="file"</formula>
    </cfRule>
  </conditionalFormatting>
  <conditionalFormatting sqref="B122:C122 D122:E122">
    <cfRule type="expression" dxfId="7" priority="4144" stopIfTrue="1">
      <formula>$A122="note"</formula>
    </cfRule>
  </conditionalFormatting>
  <conditionalFormatting sqref="B122:C122 D122:E122">
    <cfRule type="expression" dxfId="8" priority="4145" stopIfTrue="1">
      <formula>$A122="barcode"</formula>
    </cfRule>
  </conditionalFormatting>
  <conditionalFormatting sqref="B122:C122 D122:E122">
    <cfRule type="expression" dxfId="9" priority="4146" stopIfTrue="1">
      <formula>OR($A122="geopoint", $A122="geoshape", $A122="geotrace")</formula>
    </cfRule>
  </conditionalFormatting>
  <conditionalFormatting sqref="B122">
    <cfRule type="expression" dxfId="10" priority="4147" stopIfTrue="1">
      <formula>OR($A122="calculate", $A122="calculate_here")</formula>
    </cfRule>
  </conditionalFormatting>
  <conditionalFormatting sqref="B122:C122 D122:E122">
    <cfRule type="expression" dxfId="11" priority="4148" stopIfTrue="1">
      <formula>OR($A122="date", $A122="datetime", $A122="time")</formula>
    </cfRule>
  </conditionalFormatting>
  <conditionalFormatting sqref="B122:C122 D122:E122">
    <cfRule type="expression" dxfId="12" priority="4149" stopIfTrue="1">
      <formula>$A122="image"</formula>
    </cfRule>
  </conditionalFormatting>
  <conditionalFormatting sqref="B122:C122 D122:E122">
    <cfRule type="expression" dxfId="13" priority="4150" stopIfTrue="1">
      <formula>OR($A122="audio", $A122="video")</formula>
    </cfRule>
  </conditionalFormatting>
  <conditionalFormatting sqref="B122:E122">
    <cfRule type="expression" dxfId="33" priority="4151" stopIfTrue="1">
      <formula>$A122="file"</formula>
    </cfRule>
  </conditionalFormatting>
  <conditionalFormatting sqref="B122:E122">
    <cfRule type="expression" dxfId="34" priority="4152" stopIfTrue="1">
      <formula>$A122="enumerator"</formula>
    </cfRule>
  </conditionalFormatting>
  <conditionalFormatting sqref="B122:E122">
    <cfRule type="expression" dxfId="35" priority="4153" stopIfTrue="1">
      <formula>OR(AND(LEFT($A122, 14)="sensor_stream ", LEN($A122)&gt;14, NOT(ISNUMBER(SEARCH(" ", $A122, 15)))), AND(LEFT($A122, 17)="sensor_statistic ", LEN($A122)&gt;17, NOT(ISNUMBER(SEARCH(" ", $A122, 18)))))</formula>
    </cfRule>
  </conditionalFormatting>
  <conditionalFormatting sqref="B122:E122">
    <cfRule type="expression" dxfId="14" priority="4154" stopIfTrue="1">
      <formula>$A122="comments"</formula>
    </cfRule>
  </conditionalFormatting>
  <conditionalFormatting sqref="B122:E122">
    <cfRule type="expression" dxfId="15" priority="4155" stopIfTrue="1">
      <formula>OR($A122="audio", $A122="video")</formula>
    </cfRule>
  </conditionalFormatting>
  <conditionalFormatting sqref="B122:E122">
    <cfRule type="expression" dxfId="16" priority="4156" stopIfTrue="1">
      <formula>$A122="image"</formula>
    </cfRule>
  </conditionalFormatting>
  <conditionalFormatting sqref="B122:E122">
    <cfRule type="expression" dxfId="17" priority="4157" stopIfTrue="1">
      <formula>OR($A122="date", $A122="datetime", $A122="time")</formula>
    </cfRule>
  </conditionalFormatting>
  <conditionalFormatting sqref="B122:E122">
    <cfRule type="expression" dxfId="18" priority="4158" stopIfTrue="1">
      <formula>OR($A122="calculate", $A122="calculate_here")</formula>
    </cfRule>
  </conditionalFormatting>
  <conditionalFormatting sqref="B122:E122">
    <cfRule type="expression" dxfId="19" priority="4159" stopIfTrue="1">
      <formula>$A122="note"</formula>
    </cfRule>
  </conditionalFormatting>
  <conditionalFormatting sqref="B122:E122">
    <cfRule type="expression" dxfId="20" priority="4160" stopIfTrue="1">
      <formula>$A122="barcode"</formula>
    </cfRule>
  </conditionalFormatting>
  <conditionalFormatting sqref="B122:E122">
    <cfRule type="expression" dxfId="21" priority="4161" stopIfTrue="1">
      <formula>OR($A122="geopoint", $A122="geoshape", $A122="geotrace")</formula>
    </cfRule>
  </conditionalFormatting>
  <conditionalFormatting sqref="B122:E122">
    <cfRule type="expression" dxfId="22" priority="4162" stopIfTrue="1">
      <formula>OR($A122="audio audit", $A122="text audit", $A122="speed violations count", $A122="speed violations list", $A122="speed violations audit")</formula>
    </cfRule>
  </conditionalFormatting>
  <conditionalFormatting sqref="B122:E122">
    <cfRule type="expression" dxfId="23" priority="4163" stopIfTrue="1">
      <formula>OR($A122="username", $A122="phonenumber", $A122="start", $A122="end", $A122="deviceid", $A122="subscriberid", $A122="simserial", $A122="caseid")</formula>
    </cfRule>
  </conditionalFormatting>
  <conditionalFormatting sqref="B122:E122">
    <cfRule type="expression" dxfId="24" priority="4164" stopIfTrue="1">
      <formula>OR(AND(LEFT($A122, 16)="select_multiple ", LEN($A122)&gt;16, NOT(ISNUMBER(SEARCH(" ", $A122, 17)))), AND(LEFT($A122, 11)="select_one ", LEN($A122)&gt;11, NOT(ISNUMBER(SEARCH(" ", $A122, 12)))))</formula>
    </cfRule>
  </conditionalFormatting>
  <conditionalFormatting sqref="B122:E122">
    <cfRule type="expression" dxfId="25" priority="4165" stopIfTrue="1">
      <formula>$A122="decimal"</formula>
    </cfRule>
  </conditionalFormatting>
  <conditionalFormatting sqref="B122:E122">
    <cfRule type="expression" dxfId="26" priority="4166" stopIfTrue="1">
      <formula>$A122="integer"</formula>
    </cfRule>
  </conditionalFormatting>
  <conditionalFormatting sqref="B122:E122">
    <cfRule type="expression" dxfId="27" priority="4167" stopIfTrue="1">
      <formula>$A122="text"</formula>
    </cfRule>
  </conditionalFormatting>
  <conditionalFormatting sqref="B122:E122">
    <cfRule type="expression" dxfId="28" priority="4168" stopIfTrue="1">
      <formula>$A122="end repeat"</formula>
    </cfRule>
  </conditionalFormatting>
  <conditionalFormatting sqref="B122:E122">
    <cfRule type="expression" dxfId="28" priority="4169" stopIfTrue="1">
      <formula>$A122="begin repeat"</formula>
    </cfRule>
  </conditionalFormatting>
  <conditionalFormatting sqref="B122:E122">
    <cfRule type="expression" dxfId="29" priority="4170" stopIfTrue="1">
      <formula>$A122="end group"</formula>
    </cfRule>
  </conditionalFormatting>
  <conditionalFormatting sqref="B122:E122">
    <cfRule type="expression" dxfId="29" priority="4171" stopIfTrue="1">
      <formula>$A122="begin group"</formula>
    </cfRule>
  </conditionalFormatting>
  <conditionalFormatting sqref="B122">
    <cfRule type="expression" dxfId="30" priority="4172" stopIfTrue="1">
      <formula>$A122="comments"</formula>
    </cfRule>
  </conditionalFormatting>
  <conditionalFormatting sqref="B122">
    <cfRule type="expression" dxfId="36" priority="4173" stopIfTrue="1">
      <formula>OR(AND(LEFT($A122, 14)="sensor_stream ", LEN($A122)&gt;14, NOT(ISNUMBER(SEARCH(" ", $A122, 15)))), AND(LEFT($A122, 17)="sensor_statistic ", LEN($A122)&gt;17, NOT(ISNUMBER(SEARCH(" ", $A122, 18)))))</formula>
    </cfRule>
  </conditionalFormatting>
  <conditionalFormatting sqref="B109:C120 D109:E120">
    <cfRule type="expression" dxfId="0" priority="4174" stopIfTrue="1">
      <formula>$A109="begin group"</formula>
    </cfRule>
  </conditionalFormatting>
  <conditionalFormatting sqref="B109:C120 D109:E120">
    <cfRule type="expression" dxfId="1" priority="4175" stopIfTrue="1">
      <formula>$A109="begin repeat"</formula>
    </cfRule>
  </conditionalFormatting>
  <conditionalFormatting sqref="B109:E120">
    <cfRule type="expression" dxfId="31" priority="4176" stopIfTrue="1">
      <formula>$A109="enumerator"</formula>
    </cfRule>
  </conditionalFormatting>
  <conditionalFormatting sqref="B109:E120">
    <cfRule type="expression" dxfId="2" priority="4177" stopIfTrue="1">
      <formula>$A109="text"</formula>
    </cfRule>
  </conditionalFormatting>
  <conditionalFormatting sqref="B109:E120">
    <cfRule type="expression" dxfId="3" priority="4178" stopIfTrue="1">
      <formula>$A109="integer"</formula>
    </cfRule>
  </conditionalFormatting>
  <conditionalFormatting sqref="B109:E120">
    <cfRule type="expression" dxfId="4" priority="4179" stopIfTrue="1">
      <formula>$A109="decimal"</formula>
    </cfRule>
  </conditionalFormatting>
  <conditionalFormatting sqref="B109:C120 D109:E120">
    <cfRule type="expression" dxfId="5" priority="4180" stopIfTrue="1">
      <formula>OR(AND(LEFT($A109, 16)="select_multiple ", LEN($A109)&gt;16, NOT(ISNUMBER(SEARCH(" ", $A109, 17)))), AND(LEFT($A109, 11)="select_one ", LEN($A109)&gt;11, NOT(ISNUMBER(SEARCH(" ", $A109, 12)))))</formula>
    </cfRule>
  </conditionalFormatting>
  <conditionalFormatting sqref="B109:B120">
    <cfRule type="expression" dxfId="6" priority="4181" stopIfTrue="1">
      <formula>OR($A109="audio audit", $A109="text audit", $A109="speed violations count", $A109="speed violations list", $A109="speed violations audit")</formula>
    </cfRule>
  </conditionalFormatting>
  <conditionalFormatting sqref="B109:C120 D109:E120">
    <cfRule type="expression" dxfId="32" priority="4182" stopIfTrue="1">
      <formula>$A109="file"</formula>
    </cfRule>
  </conditionalFormatting>
  <conditionalFormatting sqref="B109:C120 D109:E120">
    <cfRule type="expression" dxfId="7" priority="4183" stopIfTrue="1">
      <formula>$A109="note"</formula>
    </cfRule>
  </conditionalFormatting>
  <conditionalFormatting sqref="B109:C120 D109:E120">
    <cfRule type="expression" dxfId="8" priority="4184" stopIfTrue="1">
      <formula>$A109="barcode"</formula>
    </cfRule>
  </conditionalFormatting>
  <conditionalFormatting sqref="B109:C120 D109:E120">
    <cfRule type="expression" dxfId="9" priority="4185" stopIfTrue="1">
      <formula>OR($A109="geopoint", $A109="geoshape", $A109="geotrace")</formula>
    </cfRule>
  </conditionalFormatting>
  <conditionalFormatting sqref="B109:B120">
    <cfRule type="expression" dxfId="10" priority="4186" stopIfTrue="1">
      <formula>OR($A109="calculate", $A109="calculate_here")</formula>
    </cfRule>
  </conditionalFormatting>
  <conditionalFormatting sqref="B109:C120 D109:E120">
    <cfRule type="expression" dxfId="11" priority="4187" stopIfTrue="1">
      <formula>OR($A109="date", $A109="datetime", $A109="time")</formula>
    </cfRule>
  </conditionalFormatting>
  <conditionalFormatting sqref="B109:C120 D109:E120">
    <cfRule type="expression" dxfId="12" priority="4188" stopIfTrue="1">
      <formula>$A109="image"</formula>
    </cfRule>
  </conditionalFormatting>
  <conditionalFormatting sqref="B109:C120 D109:E120">
    <cfRule type="expression" dxfId="13" priority="4189" stopIfTrue="1">
      <formula>OR($A109="audio", $A109="video")</formula>
    </cfRule>
  </conditionalFormatting>
  <conditionalFormatting sqref="B109:E120">
    <cfRule type="expression" dxfId="33" priority="4190" stopIfTrue="1">
      <formula>$A109="file"</formula>
    </cfRule>
  </conditionalFormatting>
  <conditionalFormatting sqref="B109:E120">
    <cfRule type="expression" dxfId="34" priority="4191" stopIfTrue="1">
      <formula>$A109="enumerator"</formula>
    </cfRule>
  </conditionalFormatting>
  <conditionalFormatting sqref="B109:E120">
    <cfRule type="expression" dxfId="35" priority="4192" stopIfTrue="1">
      <formula>OR(AND(LEFT($A109, 14)="sensor_stream ", LEN($A109)&gt;14, NOT(ISNUMBER(SEARCH(" ", $A109, 15)))), AND(LEFT($A109, 17)="sensor_statistic ", LEN($A109)&gt;17, NOT(ISNUMBER(SEARCH(" ", $A109, 18)))))</formula>
    </cfRule>
  </conditionalFormatting>
  <conditionalFormatting sqref="B109:E120">
    <cfRule type="expression" dxfId="14" priority="4193" stopIfTrue="1">
      <formula>$A109="comments"</formula>
    </cfRule>
  </conditionalFormatting>
  <conditionalFormatting sqref="B109:E120">
    <cfRule type="expression" dxfId="15" priority="4194" stopIfTrue="1">
      <formula>OR($A109="audio", $A109="video")</formula>
    </cfRule>
  </conditionalFormatting>
  <conditionalFormatting sqref="B109:E120">
    <cfRule type="expression" dxfId="16" priority="4195" stopIfTrue="1">
      <formula>$A109="image"</formula>
    </cfRule>
  </conditionalFormatting>
  <conditionalFormatting sqref="B109:E120">
    <cfRule type="expression" dxfId="17" priority="4196" stopIfTrue="1">
      <formula>OR($A109="date", $A109="datetime", $A109="time")</formula>
    </cfRule>
  </conditionalFormatting>
  <conditionalFormatting sqref="B109:E120">
    <cfRule type="expression" dxfId="18" priority="4197" stopIfTrue="1">
      <formula>OR($A109="calculate", $A109="calculate_here")</formula>
    </cfRule>
  </conditionalFormatting>
  <conditionalFormatting sqref="B109:E120">
    <cfRule type="expression" dxfId="19" priority="4198" stopIfTrue="1">
      <formula>$A109="note"</formula>
    </cfRule>
  </conditionalFormatting>
  <conditionalFormatting sqref="B109:E120">
    <cfRule type="expression" dxfId="20" priority="4199" stopIfTrue="1">
      <formula>$A109="barcode"</formula>
    </cfRule>
  </conditionalFormatting>
  <conditionalFormatting sqref="B109:E120">
    <cfRule type="expression" dxfId="21" priority="4200" stopIfTrue="1">
      <formula>OR($A109="geopoint", $A109="geoshape", $A109="geotrace")</formula>
    </cfRule>
  </conditionalFormatting>
  <conditionalFormatting sqref="B109:E120">
    <cfRule type="expression" dxfId="22" priority="4201" stopIfTrue="1">
      <formula>OR($A109="audio audit", $A109="text audit", $A109="speed violations count", $A109="speed violations list", $A109="speed violations audit")</formula>
    </cfRule>
  </conditionalFormatting>
  <conditionalFormatting sqref="B109:E120">
    <cfRule type="expression" dxfId="23" priority="4202" stopIfTrue="1">
      <formula>OR($A109="username", $A109="phonenumber", $A109="start", $A109="end", $A109="deviceid", $A109="subscriberid", $A109="simserial", $A109="caseid")</formula>
    </cfRule>
  </conditionalFormatting>
  <conditionalFormatting sqref="B109:E120">
    <cfRule type="expression" dxfId="24" priority="4203" stopIfTrue="1">
      <formula>OR(AND(LEFT($A109, 16)="select_multiple ", LEN($A109)&gt;16, NOT(ISNUMBER(SEARCH(" ", $A109, 17)))), AND(LEFT($A109, 11)="select_one ", LEN($A109)&gt;11, NOT(ISNUMBER(SEARCH(" ", $A109, 12)))))</formula>
    </cfRule>
  </conditionalFormatting>
  <conditionalFormatting sqref="B109:E120">
    <cfRule type="expression" dxfId="25" priority="4204" stopIfTrue="1">
      <formula>$A109="decimal"</formula>
    </cfRule>
  </conditionalFormatting>
  <conditionalFormatting sqref="B109:E120">
    <cfRule type="expression" dxfId="26" priority="4205" stopIfTrue="1">
      <formula>$A109="integer"</formula>
    </cfRule>
  </conditionalFormatting>
  <conditionalFormatting sqref="B109:E120">
    <cfRule type="expression" dxfId="27" priority="4206" stopIfTrue="1">
      <formula>$A109="text"</formula>
    </cfRule>
  </conditionalFormatting>
  <conditionalFormatting sqref="B109:E120">
    <cfRule type="expression" dxfId="28" priority="4207" stopIfTrue="1">
      <formula>$A109="end repeat"</formula>
    </cfRule>
  </conditionalFormatting>
  <conditionalFormatting sqref="B109:E120">
    <cfRule type="expression" dxfId="28" priority="4208" stopIfTrue="1">
      <formula>$A109="begin repeat"</formula>
    </cfRule>
  </conditionalFormatting>
  <conditionalFormatting sqref="B109:E120">
    <cfRule type="expression" dxfId="29" priority="4209" stopIfTrue="1">
      <formula>$A109="end group"</formula>
    </cfRule>
  </conditionalFormatting>
  <conditionalFormatting sqref="B109:E120">
    <cfRule type="expression" dxfId="29" priority="4210" stopIfTrue="1">
      <formula>$A109="begin group"</formula>
    </cfRule>
  </conditionalFormatting>
  <conditionalFormatting sqref="B109:B120">
    <cfRule type="expression" dxfId="30" priority="4211" stopIfTrue="1">
      <formula>$A109="comments"</formula>
    </cfRule>
  </conditionalFormatting>
  <conditionalFormatting sqref="B109:B120">
    <cfRule type="expression" dxfId="36" priority="4212" stopIfTrue="1">
      <formula>OR(AND(LEFT($A109, 14)="sensor_stream ", LEN($A109)&gt;14, NOT(ISNUMBER(SEARCH(" ", $A109, 15)))), AND(LEFT($A109, 17)="sensor_statistic ", LEN($A109)&gt;17, NOT(ISNUMBER(SEARCH(" ", $A109, 18)))))</formula>
    </cfRule>
  </conditionalFormatting>
  <conditionalFormatting sqref="B104:C106 D104:E106">
    <cfRule type="expression" dxfId="0" priority="4213" stopIfTrue="1">
      <formula>$A104="begin group"</formula>
    </cfRule>
  </conditionalFormatting>
  <conditionalFormatting sqref="B104:C106 D104:E106">
    <cfRule type="expression" dxfId="1" priority="4214" stopIfTrue="1">
      <formula>$A104="begin repeat"</formula>
    </cfRule>
  </conditionalFormatting>
  <conditionalFormatting sqref="B104:E106">
    <cfRule type="expression" dxfId="31" priority="4215" stopIfTrue="1">
      <formula>$A104="enumerator"</formula>
    </cfRule>
  </conditionalFormatting>
  <conditionalFormatting sqref="B104:E106">
    <cfRule type="expression" dxfId="2" priority="4216" stopIfTrue="1">
      <formula>$A104="text"</formula>
    </cfRule>
  </conditionalFormatting>
  <conditionalFormatting sqref="B104:E106">
    <cfRule type="expression" dxfId="3" priority="4217" stopIfTrue="1">
      <formula>$A104="integer"</formula>
    </cfRule>
  </conditionalFormatting>
  <conditionalFormatting sqref="B104:E106">
    <cfRule type="expression" dxfId="4" priority="4218" stopIfTrue="1">
      <formula>$A104="decimal"</formula>
    </cfRule>
  </conditionalFormatting>
  <conditionalFormatting sqref="B104:C106 D104:E106">
    <cfRule type="expression" dxfId="5" priority="4219" stopIfTrue="1">
      <formula>OR(AND(LEFT($A104, 16)="select_multiple ", LEN($A104)&gt;16, NOT(ISNUMBER(SEARCH(" ", $A104, 17)))), AND(LEFT($A104, 11)="select_one ", LEN($A104)&gt;11, NOT(ISNUMBER(SEARCH(" ", $A104, 12)))))</formula>
    </cfRule>
  </conditionalFormatting>
  <conditionalFormatting sqref="B104:B106">
    <cfRule type="expression" dxfId="6" priority="4220" stopIfTrue="1">
      <formula>OR($A104="audio audit", $A104="text audit", $A104="speed violations count", $A104="speed violations list", $A104="speed violations audit")</formula>
    </cfRule>
  </conditionalFormatting>
  <conditionalFormatting sqref="B104:C106 D104:E106">
    <cfRule type="expression" dxfId="32" priority="4221" stopIfTrue="1">
      <formula>$A104="file"</formula>
    </cfRule>
  </conditionalFormatting>
  <conditionalFormatting sqref="B104:C106 D104:E106">
    <cfRule type="expression" dxfId="7" priority="4222" stopIfTrue="1">
      <formula>$A104="note"</formula>
    </cfRule>
  </conditionalFormatting>
  <conditionalFormatting sqref="B104:C106 D104:E106">
    <cfRule type="expression" dxfId="8" priority="4223" stopIfTrue="1">
      <formula>$A104="barcode"</formula>
    </cfRule>
  </conditionalFormatting>
  <conditionalFormatting sqref="B104:C106 D104:E106">
    <cfRule type="expression" dxfId="9" priority="4224" stopIfTrue="1">
      <formula>OR($A104="geopoint", $A104="geoshape", $A104="geotrace")</formula>
    </cfRule>
  </conditionalFormatting>
  <conditionalFormatting sqref="B104:B106">
    <cfRule type="expression" dxfId="10" priority="4225" stopIfTrue="1">
      <formula>OR($A104="calculate", $A104="calculate_here")</formula>
    </cfRule>
  </conditionalFormatting>
  <conditionalFormatting sqref="B104:C106 D104:E106">
    <cfRule type="expression" dxfId="11" priority="4226" stopIfTrue="1">
      <formula>OR($A104="date", $A104="datetime", $A104="time")</formula>
    </cfRule>
  </conditionalFormatting>
  <conditionalFormatting sqref="B104:C106 D104:E106">
    <cfRule type="expression" dxfId="12" priority="4227" stopIfTrue="1">
      <formula>$A104="image"</formula>
    </cfRule>
  </conditionalFormatting>
  <conditionalFormatting sqref="B104:C106 D104:E106">
    <cfRule type="expression" dxfId="13" priority="4228" stopIfTrue="1">
      <formula>OR($A104="audio", $A104="video")</formula>
    </cfRule>
  </conditionalFormatting>
  <conditionalFormatting sqref="B104:E106">
    <cfRule type="expression" dxfId="33" priority="4229" stopIfTrue="1">
      <formula>$A104="file"</formula>
    </cfRule>
  </conditionalFormatting>
  <conditionalFormatting sqref="B104:E106">
    <cfRule type="expression" dxfId="34" priority="4230" stopIfTrue="1">
      <formula>$A104="enumerator"</formula>
    </cfRule>
  </conditionalFormatting>
  <conditionalFormatting sqref="B104:E106">
    <cfRule type="expression" dxfId="35" priority="4231" stopIfTrue="1">
      <formula>OR(AND(LEFT($A104, 14)="sensor_stream ", LEN($A104)&gt;14, NOT(ISNUMBER(SEARCH(" ", $A104, 15)))), AND(LEFT($A104, 17)="sensor_statistic ", LEN($A104)&gt;17, NOT(ISNUMBER(SEARCH(" ", $A104, 18)))))</formula>
    </cfRule>
  </conditionalFormatting>
  <conditionalFormatting sqref="B104:E106">
    <cfRule type="expression" dxfId="14" priority="4232" stopIfTrue="1">
      <formula>$A104="comments"</formula>
    </cfRule>
  </conditionalFormatting>
  <conditionalFormatting sqref="B104:E106">
    <cfRule type="expression" dxfId="15" priority="4233" stopIfTrue="1">
      <formula>OR($A104="audio", $A104="video")</formula>
    </cfRule>
  </conditionalFormatting>
  <conditionalFormatting sqref="B104:E106">
    <cfRule type="expression" dxfId="16" priority="4234" stopIfTrue="1">
      <formula>$A104="image"</formula>
    </cfRule>
  </conditionalFormatting>
  <conditionalFormatting sqref="B104:E106">
    <cfRule type="expression" dxfId="17" priority="4235" stopIfTrue="1">
      <formula>OR($A104="date", $A104="datetime", $A104="time")</formula>
    </cfRule>
  </conditionalFormatting>
  <conditionalFormatting sqref="B104:E106">
    <cfRule type="expression" dxfId="18" priority="4236" stopIfTrue="1">
      <formula>OR($A104="calculate", $A104="calculate_here")</formula>
    </cfRule>
  </conditionalFormatting>
  <conditionalFormatting sqref="B104:E106">
    <cfRule type="expression" dxfId="19" priority="4237" stopIfTrue="1">
      <formula>$A104="note"</formula>
    </cfRule>
  </conditionalFormatting>
  <conditionalFormatting sqref="B104:E106">
    <cfRule type="expression" dxfId="20" priority="4238" stopIfTrue="1">
      <formula>$A104="barcode"</formula>
    </cfRule>
  </conditionalFormatting>
  <conditionalFormatting sqref="B104:E106">
    <cfRule type="expression" dxfId="21" priority="4239" stopIfTrue="1">
      <formula>OR($A104="geopoint", $A104="geoshape", $A104="geotrace")</formula>
    </cfRule>
  </conditionalFormatting>
  <conditionalFormatting sqref="B104:E106">
    <cfRule type="expression" dxfId="22" priority="4240" stopIfTrue="1">
      <formula>OR($A104="audio audit", $A104="text audit", $A104="speed violations count", $A104="speed violations list", $A104="speed violations audit")</formula>
    </cfRule>
  </conditionalFormatting>
  <conditionalFormatting sqref="B104:E106">
    <cfRule type="expression" dxfId="23" priority="4241" stopIfTrue="1">
      <formula>OR($A104="username", $A104="phonenumber", $A104="start", $A104="end", $A104="deviceid", $A104="subscriberid", $A104="simserial", $A104="caseid")</formula>
    </cfRule>
  </conditionalFormatting>
  <conditionalFormatting sqref="B104:E106">
    <cfRule type="expression" dxfId="24" priority="4242" stopIfTrue="1">
      <formula>OR(AND(LEFT($A104, 16)="select_multiple ", LEN($A104)&gt;16, NOT(ISNUMBER(SEARCH(" ", $A104, 17)))), AND(LEFT($A104, 11)="select_one ", LEN($A104)&gt;11, NOT(ISNUMBER(SEARCH(" ", $A104, 12)))))</formula>
    </cfRule>
  </conditionalFormatting>
  <conditionalFormatting sqref="B104:E106">
    <cfRule type="expression" dxfId="25" priority="4243" stopIfTrue="1">
      <formula>$A104="decimal"</formula>
    </cfRule>
  </conditionalFormatting>
  <conditionalFormatting sqref="B104:E106">
    <cfRule type="expression" dxfId="26" priority="4244" stopIfTrue="1">
      <formula>$A104="integer"</formula>
    </cfRule>
  </conditionalFormatting>
  <conditionalFormatting sqref="B104:E106">
    <cfRule type="expression" dxfId="27" priority="4245" stopIfTrue="1">
      <formula>$A104="text"</formula>
    </cfRule>
  </conditionalFormatting>
  <conditionalFormatting sqref="B104:E106">
    <cfRule type="expression" dxfId="28" priority="4246" stopIfTrue="1">
      <formula>$A104="end repeat"</formula>
    </cfRule>
  </conditionalFormatting>
  <conditionalFormatting sqref="B104:E106">
    <cfRule type="expression" dxfId="28" priority="4247" stopIfTrue="1">
      <formula>$A104="begin repeat"</formula>
    </cfRule>
  </conditionalFormatting>
  <conditionalFormatting sqref="B104:E106">
    <cfRule type="expression" dxfId="29" priority="4248" stopIfTrue="1">
      <formula>$A104="end group"</formula>
    </cfRule>
  </conditionalFormatting>
  <conditionalFormatting sqref="B104:E106">
    <cfRule type="expression" dxfId="29" priority="4249" stopIfTrue="1">
      <formula>$A104="begin group"</formula>
    </cfRule>
  </conditionalFormatting>
  <conditionalFormatting sqref="B104:B106">
    <cfRule type="expression" dxfId="30" priority="4250" stopIfTrue="1">
      <formula>$A104="comments"</formula>
    </cfRule>
  </conditionalFormatting>
  <conditionalFormatting sqref="B104:B106">
    <cfRule type="expression" dxfId="36" priority="4251" stopIfTrue="1">
      <formula>OR(AND(LEFT($A104, 14)="sensor_stream ", LEN($A104)&gt;14, NOT(ISNUMBER(SEARCH(" ", $A104, 15)))), AND(LEFT($A104, 17)="sensor_statistic ", LEN($A104)&gt;17, NOT(ISNUMBER(SEARCH(" ", $A104, 18)))))</formula>
    </cfRule>
  </conditionalFormatting>
  <conditionalFormatting sqref="B94:C101 D94:E101">
    <cfRule type="expression" dxfId="0" priority="4252" stopIfTrue="1">
      <formula>$A94="begin group"</formula>
    </cfRule>
  </conditionalFormatting>
  <conditionalFormatting sqref="B94:C101 D94:E101">
    <cfRule type="expression" dxfId="1" priority="4253" stopIfTrue="1">
      <formula>$A94="begin repeat"</formula>
    </cfRule>
  </conditionalFormatting>
  <conditionalFormatting sqref="B94:E101">
    <cfRule type="expression" dxfId="31" priority="4254" stopIfTrue="1">
      <formula>$A94="enumerator"</formula>
    </cfRule>
  </conditionalFormatting>
  <conditionalFormatting sqref="B94:E101">
    <cfRule type="expression" dxfId="2" priority="4255" stopIfTrue="1">
      <formula>$A94="text"</formula>
    </cfRule>
  </conditionalFormatting>
  <conditionalFormatting sqref="B94:E101">
    <cfRule type="expression" dxfId="3" priority="4256" stopIfTrue="1">
      <formula>$A94="integer"</formula>
    </cfRule>
  </conditionalFormatting>
  <conditionalFormatting sqref="B94:E101">
    <cfRule type="expression" dxfId="4" priority="4257" stopIfTrue="1">
      <formula>$A94="decimal"</formula>
    </cfRule>
  </conditionalFormatting>
  <conditionalFormatting sqref="B94:C101 D94:E101">
    <cfRule type="expression" dxfId="5" priority="4258" stopIfTrue="1">
      <formula>OR(AND(LEFT($A94, 16)="select_multiple ", LEN($A94)&gt;16, NOT(ISNUMBER(SEARCH(" ", $A94, 17)))), AND(LEFT($A94, 11)="select_one ", LEN($A94)&gt;11, NOT(ISNUMBER(SEARCH(" ", $A94, 12)))))</formula>
    </cfRule>
  </conditionalFormatting>
  <conditionalFormatting sqref="B94:B101">
    <cfRule type="expression" dxfId="6" priority="4259" stopIfTrue="1">
      <formula>OR($A94="audio audit", $A94="text audit", $A94="speed violations count", $A94="speed violations list", $A94="speed violations audit")</formula>
    </cfRule>
  </conditionalFormatting>
  <conditionalFormatting sqref="B94:C101 D94:E101">
    <cfRule type="expression" dxfId="32" priority="4260" stopIfTrue="1">
      <formula>$A94="file"</formula>
    </cfRule>
  </conditionalFormatting>
  <conditionalFormatting sqref="B94:C101 D94:E101">
    <cfRule type="expression" dxfId="7" priority="4261" stopIfTrue="1">
      <formula>$A94="note"</formula>
    </cfRule>
  </conditionalFormatting>
  <conditionalFormatting sqref="B94:C101 D94:E101">
    <cfRule type="expression" dxfId="8" priority="4262" stopIfTrue="1">
      <formula>$A94="barcode"</formula>
    </cfRule>
  </conditionalFormatting>
  <conditionalFormatting sqref="B94:C101 D94:E101">
    <cfRule type="expression" dxfId="9" priority="4263" stopIfTrue="1">
      <formula>OR($A94="geopoint", $A94="geoshape", $A94="geotrace")</formula>
    </cfRule>
  </conditionalFormatting>
  <conditionalFormatting sqref="B94:B101">
    <cfRule type="expression" dxfId="10" priority="4264" stopIfTrue="1">
      <formula>OR($A94="calculate", $A94="calculate_here")</formula>
    </cfRule>
  </conditionalFormatting>
  <conditionalFormatting sqref="B94:C101 D94:E101">
    <cfRule type="expression" dxfId="11" priority="4265" stopIfTrue="1">
      <formula>OR($A94="date", $A94="datetime", $A94="time")</formula>
    </cfRule>
  </conditionalFormatting>
  <conditionalFormatting sqref="B94:C101 D94:E101">
    <cfRule type="expression" dxfId="12" priority="4266" stopIfTrue="1">
      <formula>$A94="image"</formula>
    </cfRule>
  </conditionalFormatting>
  <conditionalFormatting sqref="B94:C101 D94:E101">
    <cfRule type="expression" dxfId="13" priority="4267" stopIfTrue="1">
      <formula>OR($A94="audio", $A94="video")</formula>
    </cfRule>
  </conditionalFormatting>
  <conditionalFormatting sqref="B94:E101">
    <cfRule type="expression" dxfId="33" priority="4268" stopIfTrue="1">
      <formula>$A94="file"</formula>
    </cfRule>
  </conditionalFormatting>
  <conditionalFormatting sqref="B94:E101">
    <cfRule type="expression" dxfId="34" priority="4269" stopIfTrue="1">
      <formula>$A94="enumerator"</formula>
    </cfRule>
  </conditionalFormatting>
  <conditionalFormatting sqref="B94:E101">
    <cfRule type="expression" dxfId="35" priority="4270" stopIfTrue="1">
      <formula>OR(AND(LEFT($A94, 14)="sensor_stream ", LEN($A94)&gt;14, NOT(ISNUMBER(SEARCH(" ", $A94, 15)))), AND(LEFT($A94, 17)="sensor_statistic ", LEN($A94)&gt;17, NOT(ISNUMBER(SEARCH(" ", $A94, 18)))))</formula>
    </cfRule>
  </conditionalFormatting>
  <conditionalFormatting sqref="B94:E101">
    <cfRule type="expression" dxfId="14" priority="4271" stopIfTrue="1">
      <formula>$A94="comments"</formula>
    </cfRule>
  </conditionalFormatting>
  <conditionalFormatting sqref="B94:E101">
    <cfRule type="expression" dxfId="15" priority="4272" stopIfTrue="1">
      <formula>OR($A94="audio", $A94="video")</formula>
    </cfRule>
  </conditionalFormatting>
  <conditionalFormatting sqref="B94:E101">
    <cfRule type="expression" dxfId="16" priority="4273" stopIfTrue="1">
      <formula>$A94="image"</formula>
    </cfRule>
  </conditionalFormatting>
  <conditionalFormatting sqref="B94:E101">
    <cfRule type="expression" dxfId="17" priority="4274" stopIfTrue="1">
      <formula>OR($A94="date", $A94="datetime", $A94="time")</formula>
    </cfRule>
  </conditionalFormatting>
  <conditionalFormatting sqref="B94:E101">
    <cfRule type="expression" dxfId="18" priority="4275" stopIfTrue="1">
      <formula>OR($A94="calculate", $A94="calculate_here")</formula>
    </cfRule>
  </conditionalFormatting>
  <conditionalFormatting sqref="B94:E101">
    <cfRule type="expression" dxfId="19" priority="4276" stopIfTrue="1">
      <formula>$A94="note"</formula>
    </cfRule>
  </conditionalFormatting>
  <conditionalFormatting sqref="B94:E101">
    <cfRule type="expression" dxfId="20" priority="4277" stopIfTrue="1">
      <formula>$A94="barcode"</formula>
    </cfRule>
  </conditionalFormatting>
  <conditionalFormatting sqref="B94:E101">
    <cfRule type="expression" dxfId="21" priority="4278" stopIfTrue="1">
      <formula>OR($A94="geopoint", $A94="geoshape", $A94="geotrace")</formula>
    </cfRule>
  </conditionalFormatting>
  <conditionalFormatting sqref="B94:E101">
    <cfRule type="expression" dxfId="22" priority="4279" stopIfTrue="1">
      <formula>OR($A94="audio audit", $A94="text audit", $A94="speed violations count", $A94="speed violations list", $A94="speed violations audit")</formula>
    </cfRule>
  </conditionalFormatting>
  <conditionalFormatting sqref="B94:E101">
    <cfRule type="expression" dxfId="23" priority="4280" stopIfTrue="1">
      <formula>OR($A94="username", $A94="phonenumber", $A94="start", $A94="end", $A94="deviceid", $A94="subscriberid", $A94="simserial", $A94="caseid")</formula>
    </cfRule>
  </conditionalFormatting>
  <conditionalFormatting sqref="B94:E101">
    <cfRule type="expression" dxfId="24" priority="4281" stopIfTrue="1">
      <formula>OR(AND(LEFT($A94, 16)="select_multiple ", LEN($A94)&gt;16, NOT(ISNUMBER(SEARCH(" ", $A94, 17)))), AND(LEFT($A94, 11)="select_one ", LEN($A94)&gt;11, NOT(ISNUMBER(SEARCH(" ", $A94, 12)))))</formula>
    </cfRule>
  </conditionalFormatting>
  <conditionalFormatting sqref="B94:E101">
    <cfRule type="expression" dxfId="25" priority="4282" stopIfTrue="1">
      <formula>$A94="decimal"</formula>
    </cfRule>
  </conditionalFormatting>
  <conditionalFormatting sqref="B94:E101">
    <cfRule type="expression" dxfId="26" priority="4283" stopIfTrue="1">
      <formula>$A94="integer"</formula>
    </cfRule>
  </conditionalFormatting>
  <conditionalFormatting sqref="B94:E101">
    <cfRule type="expression" dxfId="27" priority="4284" stopIfTrue="1">
      <formula>$A94="text"</formula>
    </cfRule>
  </conditionalFormatting>
  <conditionalFormatting sqref="B94:E101">
    <cfRule type="expression" dxfId="28" priority="4285" stopIfTrue="1">
      <formula>$A94="end repeat"</formula>
    </cfRule>
  </conditionalFormatting>
  <conditionalFormatting sqref="B94:E101">
    <cfRule type="expression" dxfId="28" priority="4286" stopIfTrue="1">
      <formula>$A94="begin repeat"</formula>
    </cfRule>
  </conditionalFormatting>
  <conditionalFormatting sqref="B94:E101">
    <cfRule type="expression" dxfId="29" priority="4287" stopIfTrue="1">
      <formula>$A94="end group"</formula>
    </cfRule>
  </conditionalFormatting>
  <conditionalFormatting sqref="B94:E101">
    <cfRule type="expression" dxfId="29" priority="4288" stopIfTrue="1">
      <formula>$A94="begin group"</formula>
    </cfRule>
  </conditionalFormatting>
  <conditionalFormatting sqref="B94:B101">
    <cfRule type="expression" dxfId="30" priority="4289" stopIfTrue="1">
      <formula>$A94="comments"</formula>
    </cfRule>
  </conditionalFormatting>
  <conditionalFormatting sqref="B94:B101">
    <cfRule type="expression" dxfId="36" priority="4290" stopIfTrue="1">
      <formula>OR(AND(LEFT($A94, 14)="sensor_stream ", LEN($A94)&gt;14, NOT(ISNUMBER(SEARCH(" ", $A94, 15)))), AND(LEFT($A94, 17)="sensor_statistic ", LEN($A94)&gt;17, NOT(ISNUMBER(SEARCH(" ", $A94, 18)))))</formula>
    </cfRule>
  </conditionalFormatting>
  <conditionalFormatting sqref="B82:C92 D82:E92">
    <cfRule type="expression" dxfId="0" priority="4291" stopIfTrue="1">
      <formula>$A82="begin group"</formula>
    </cfRule>
  </conditionalFormatting>
  <conditionalFormatting sqref="B82:C92 D82:E92">
    <cfRule type="expression" dxfId="1" priority="4292" stopIfTrue="1">
      <formula>$A82="begin repeat"</formula>
    </cfRule>
  </conditionalFormatting>
  <conditionalFormatting sqref="B82:E92">
    <cfRule type="expression" dxfId="31" priority="4293" stopIfTrue="1">
      <formula>$A82="enumerator"</formula>
    </cfRule>
  </conditionalFormatting>
  <conditionalFormatting sqref="B82:E92">
    <cfRule type="expression" dxfId="2" priority="4294" stopIfTrue="1">
      <formula>$A82="text"</formula>
    </cfRule>
  </conditionalFormatting>
  <conditionalFormatting sqref="B82:E92">
    <cfRule type="expression" dxfId="3" priority="4295" stopIfTrue="1">
      <formula>$A82="integer"</formula>
    </cfRule>
  </conditionalFormatting>
  <conditionalFormatting sqref="B82:E92">
    <cfRule type="expression" dxfId="4" priority="4296" stopIfTrue="1">
      <formula>$A82="decimal"</formula>
    </cfRule>
  </conditionalFormatting>
  <conditionalFormatting sqref="B82:C92 D82:E92">
    <cfRule type="expression" dxfId="5" priority="4297" stopIfTrue="1">
      <formula>OR(AND(LEFT($A82, 16)="select_multiple ", LEN($A82)&gt;16, NOT(ISNUMBER(SEARCH(" ", $A82, 17)))), AND(LEFT($A82, 11)="select_one ", LEN($A82)&gt;11, NOT(ISNUMBER(SEARCH(" ", $A82, 12)))))</formula>
    </cfRule>
  </conditionalFormatting>
  <conditionalFormatting sqref="B82:B92">
    <cfRule type="expression" dxfId="6" priority="4298" stopIfTrue="1">
      <formula>OR($A82="audio audit", $A82="text audit", $A82="speed violations count", $A82="speed violations list", $A82="speed violations audit")</formula>
    </cfRule>
  </conditionalFormatting>
  <conditionalFormatting sqref="B82:C92 D82:E92">
    <cfRule type="expression" dxfId="32" priority="4299" stopIfTrue="1">
      <formula>$A82="file"</formula>
    </cfRule>
  </conditionalFormatting>
  <conditionalFormatting sqref="B82:C92 D82:E92">
    <cfRule type="expression" dxfId="7" priority="4300" stopIfTrue="1">
      <formula>$A82="note"</formula>
    </cfRule>
  </conditionalFormatting>
  <conditionalFormatting sqref="B82:C92 D82:E92">
    <cfRule type="expression" dxfId="8" priority="4301" stopIfTrue="1">
      <formula>$A82="barcode"</formula>
    </cfRule>
  </conditionalFormatting>
  <conditionalFormatting sqref="B82:C92 D82:E92">
    <cfRule type="expression" dxfId="9" priority="4302" stopIfTrue="1">
      <formula>OR($A82="geopoint", $A82="geoshape", $A82="geotrace")</formula>
    </cfRule>
  </conditionalFormatting>
  <conditionalFormatting sqref="B82:B92">
    <cfRule type="expression" dxfId="10" priority="4303" stopIfTrue="1">
      <formula>OR($A82="calculate", $A82="calculate_here")</formula>
    </cfRule>
  </conditionalFormatting>
  <conditionalFormatting sqref="B82:C92 D82:E92">
    <cfRule type="expression" dxfId="11" priority="4304" stopIfTrue="1">
      <formula>OR($A82="date", $A82="datetime", $A82="time")</formula>
    </cfRule>
  </conditionalFormatting>
  <conditionalFormatting sqref="B82:C92 D82:E92">
    <cfRule type="expression" dxfId="12" priority="4305" stopIfTrue="1">
      <formula>$A82="image"</formula>
    </cfRule>
  </conditionalFormatting>
  <conditionalFormatting sqref="B82:C92 D82:E92">
    <cfRule type="expression" dxfId="13" priority="4306" stopIfTrue="1">
      <formula>OR($A82="audio", $A82="video")</formula>
    </cfRule>
  </conditionalFormatting>
  <conditionalFormatting sqref="B82:E92">
    <cfRule type="expression" dxfId="33" priority="4307" stopIfTrue="1">
      <formula>$A82="file"</formula>
    </cfRule>
  </conditionalFormatting>
  <conditionalFormatting sqref="B82:E92">
    <cfRule type="expression" dxfId="34" priority="4308" stopIfTrue="1">
      <formula>$A82="enumerator"</formula>
    </cfRule>
  </conditionalFormatting>
  <conditionalFormatting sqref="B82:E92">
    <cfRule type="expression" dxfId="35" priority="4309" stopIfTrue="1">
      <formula>OR(AND(LEFT($A82, 14)="sensor_stream ", LEN($A82)&gt;14, NOT(ISNUMBER(SEARCH(" ", $A82, 15)))), AND(LEFT($A82, 17)="sensor_statistic ", LEN($A82)&gt;17, NOT(ISNUMBER(SEARCH(" ", $A82, 18)))))</formula>
    </cfRule>
  </conditionalFormatting>
  <conditionalFormatting sqref="B82:E92">
    <cfRule type="expression" dxfId="14" priority="4310" stopIfTrue="1">
      <formula>$A82="comments"</formula>
    </cfRule>
  </conditionalFormatting>
  <conditionalFormatting sqref="B82:E92">
    <cfRule type="expression" dxfId="15" priority="4311" stopIfTrue="1">
      <formula>OR($A82="audio", $A82="video")</formula>
    </cfRule>
  </conditionalFormatting>
  <conditionalFormatting sqref="B82:E92">
    <cfRule type="expression" dxfId="16" priority="4312" stopIfTrue="1">
      <formula>$A82="image"</formula>
    </cfRule>
  </conditionalFormatting>
  <conditionalFormatting sqref="B82:E92">
    <cfRule type="expression" dxfId="17" priority="4313" stopIfTrue="1">
      <formula>OR($A82="date", $A82="datetime", $A82="time")</formula>
    </cfRule>
  </conditionalFormatting>
  <conditionalFormatting sqref="B82:E92">
    <cfRule type="expression" dxfId="18" priority="4314" stopIfTrue="1">
      <formula>OR($A82="calculate", $A82="calculate_here")</formula>
    </cfRule>
  </conditionalFormatting>
  <conditionalFormatting sqref="B82:E92">
    <cfRule type="expression" dxfId="19" priority="4315" stopIfTrue="1">
      <formula>$A82="note"</formula>
    </cfRule>
  </conditionalFormatting>
  <conditionalFormatting sqref="B82:E92">
    <cfRule type="expression" dxfId="20" priority="4316" stopIfTrue="1">
      <formula>$A82="barcode"</formula>
    </cfRule>
  </conditionalFormatting>
  <conditionalFormatting sqref="B82:E92">
    <cfRule type="expression" dxfId="21" priority="4317" stopIfTrue="1">
      <formula>OR($A82="geopoint", $A82="geoshape", $A82="geotrace")</formula>
    </cfRule>
  </conditionalFormatting>
  <conditionalFormatting sqref="B82:E92">
    <cfRule type="expression" dxfId="22" priority="4318" stopIfTrue="1">
      <formula>OR($A82="audio audit", $A82="text audit", $A82="speed violations count", $A82="speed violations list", $A82="speed violations audit")</formula>
    </cfRule>
  </conditionalFormatting>
  <conditionalFormatting sqref="B82:E92">
    <cfRule type="expression" dxfId="23" priority="4319" stopIfTrue="1">
      <formula>OR($A82="username", $A82="phonenumber", $A82="start", $A82="end", $A82="deviceid", $A82="subscriberid", $A82="simserial", $A82="caseid")</formula>
    </cfRule>
  </conditionalFormatting>
  <conditionalFormatting sqref="B82:E92">
    <cfRule type="expression" dxfId="24" priority="4320" stopIfTrue="1">
      <formula>OR(AND(LEFT($A82, 16)="select_multiple ", LEN($A82)&gt;16, NOT(ISNUMBER(SEARCH(" ", $A82, 17)))), AND(LEFT($A82, 11)="select_one ", LEN($A82)&gt;11, NOT(ISNUMBER(SEARCH(" ", $A82, 12)))))</formula>
    </cfRule>
  </conditionalFormatting>
  <conditionalFormatting sqref="B82:E92">
    <cfRule type="expression" dxfId="25" priority="4321" stopIfTrue="1">
      <formula>$A82="decimal"</formula>
    </cfRule>
  </conditionalFormatting>
  <conditionalFormatting sqref="B82:E92">
    <cfRule type="expression" dxfId="26" priority="4322" stopIfTrue="1">
      <formula>$A82="integer"</formula>
    </cfRule>
  </conditionalFormatting>
  <conditionalFormatting sqref="B82:E92">
    <cfRule type="expression" dxfId="27" priority="4323" stopIfTrue="1">
      <formula>$A82="text"</formula>
    </cfRule>
  </conditionalFormatting>
  <conditionalFormatting sqref="B82:E92">
    <cfRule type="expression" dxfId="28" priority="4324" stopIfTrue="1">
      <formula>$A82="end repeat"</formula>
    </cfRule>
  </conditionalFormatting>
  <conditionalFormatting sqref="B82:E92">
    <cfRule type="expression" dxfId="28" priority="4325" stopIfTrue="1">
      <formula>$A82="begin repeat"</formula>
    </cfRule>
  </conditionalFormatting>
  <conditionalFormatting sqref="B82:E92">
    <cfRule type="expression" dxfId="29" priority="4326" stopIfTrue="1">
      <formula>$A82="end group"</formula>
    </cfRule>
  </conditionalFormatting>
  <conditionalFormatting sqref="B82:E92">
    <cfRule type="expression" dxfId="29" priority="4327" stopIfTrue="1">
      <formula>$A82="begin group"</formula>
    </cfRule>
  </conditionalFormatting>
  <conditionalFormatting sqref="B82:B92">
    <cfRule type="expression" dxfId="30" priority="4328" stopIfTrue="1">
      <formula>$A82="comments"</formula>
    </cfRule>
  </conditionalFormatting>
  <conditionalFormatting sqref="B82:B92">
    <cfRule type="expression" dxfId="36" priority="4329" stopIfTrue="1">
      <formula>OR(AND(LEFT($A82, 14)="sensor_stream ", LEN($A82)&gt;14, NOT(ISNUMBER(SEARCH(" ", $A82, 15)))), AND(LEFT($A82, 17)="sensor_statistic ", LEN($A82)&gt;17, NOT(ISNUMBER(SEARCH(" ", $A82, 18)))))</formula>
    </cfRule>
  </conditionalFormatting>
  <conditionalFormatting sqref="B75:C76 D75:E76">
    <cfRule type="expression" dxfId="0" priority="4330" stopIfTrue="1">
      <formula>$A75="begin group"</formula>
    </cfRule>
  </conditionalFormatting>
  <conditionalFormatting sqref="B75:C76 D75:E76">
    <cfRule type="expression" dxfId="1" priority="4331" stopIfTrue="1">
      <formula>$A75="begin repeat"</formula>
    </cfRule>
  </conditionalFormatting>
  <conditionalFormatting sqref="B75:E76">
    <cfRule type="expression" dxfId="31" priority="4332" stopIfTrue="1">
      <formula>$A75="enumerator"</formula>
    </cfRule>
  </conditionalFormatting>
  <conditionalFormatting sqref="B75:E76">
    <cfRule type="expression" dxfId="2" priority="4333" stopIfTrue="1">
      <formula>$A75="text"</formula>
    </cfRule>
  </conditionalFormatting>
  <conditionalFormatting sqref="B75:E76">
    <cfRule type="expression" dxfId="3" priority="4334" stopIfTrue="1">
      <formula>$A75="integer"</formula>
    </cfRule>
  </conditionalFormatting>
  <conditionalFormatting sqref="B75:E76">
    <cfRule type="expression" dxfId="4" priority="4335" stopIfTrue="1">
      <formula>$A75="decimal"</formula>
    </cfRule>
  </conditionalFormatting>
  <conditionalFormatting sqref="B75:C76 D75:E76">
    <cfRule type="expression" dxfId="5" priority="4336" stopIfTrue="1">
      <formula>OR(AND(LEFT($A75, 16)="select_multiple ", LEN($A75)&gt;16, NOT(ISNUMBER(SEARCH(" ", $A75, 17)))), AND(LEFT($A75, 11)="select_one ", LEN($A75)&gt;11, NOT(ISNUMBER(SEARCH(" ", $A75, 12)))))</formula>
    </cfRule>
  </conditionalFormatting>
  <conditionalFormatting sqref="B75:B76">
    <cfRule type="expression" dxfId="6" priority="4337" stopIfTrue="1">
      <formula>OR($A75="audio audit", $A75="text audit", $A75="speed violations count", $A75="speed violations list", $A75="speed violations audit")</formula>
    </cfRule>
  </conditionalFormatting>
  <conditionalFormatting sqref="B75:C76 D75:E76">
    <cfRule type="expression" dxfId="32" priority="4338" stopIfTrue="1">
      <formula>$A75="file"</formula>
    </cfRule>
  </conditionalFormatting>
  <conditionalFormatting sqref="B75:C76 D75:E76">
    <cfRule type="expression" dxfId="7" priority="4339" stopIfTrue="1">
      <formula>$A75="note"</formula>
    </cfRule>
  </conditionalFormatting>
  <conditionalFormatting sqref="B75:C76 D75:E76">
    <cfRule type="expression" dxfId="8" priority="4340" stopIfTrue="1">
      <formula>$A75="barcode"</formula>
    </cfRule>
  </conditionalFormatting>
  <conditionalFormatting sqref="B75:C76 D75:E76">
    <cfRule type="expression" dxfId="9" priority="4341" stopIfTrue="1">
      <formula>OR($A75="geopoint", $A75="geoshape", $A75="geotrace")</formula>
    </cfRule>
  </conditionalFormatting>
  <conditionalFormatting sqref="B75:B76">
    <cfRule type="expression" dxfId="10" priority="4342" stopIfTrue="1">
      <formula>OR($A75="calculate", $A75="calculate_here")</formula>
    </cfRule>
  </conditionalFormatting>
  <conditionalFormatting sqref="B75:C76 D75:E76">
    <cfRule type="expression" dxfId="11" priority="4343" stopIfTrue="1">
      <formula>OR($A75="date", $A75="datetime", $A75="time")</formula>
    </cfRule>
  </conditionalFormatting>
  <conditionalFormatting sqref="B75:C76 D75:E76">
    <cfRule type="expression" dxfId="12" priority="4344" stopIfTrue="1">
      <formula>$A75="image"</formula>
    </cfRule>
  </conditionalFormatting>
  <conditionalFormatting sqref="B75:C76 D75:E76">
    <cfRule type="expression" dxfId="13" priority="4345" stopIfTrue="1">
      <formula>OR($A75="audio", $A75="video")</formula>
    </cfRule>
  </conditionalFormatting>
  <conditionalFormatting sqref="B75:E76">
    <cfRule type="expression" dxfId="33" priority="4346" stopIfTrue="1">
      <formula>$A75="file"</formula>
    </cfRule>
  </conditionalFormatting>
  <conditionalFormatting sqref="B75:E76">
    <cfRule type="expression" dxfId="34" priority="4347" stopIfTrue="1">
      <formula>$A75="enumerator"</formula>
    </cfRule>
  </conditionalFormatting>
  <conditionalFormatting sqref="B75:E76">
    <cfRule type="expression" dxfId="35" priority="4348" stopIfTrue="1">
      <formula>OR(AND(LEFT($A75, 14)="sensor_stream ", LEN($A75)&gt;14, NOT(ISNUMBER(SEARCH(" ", $A75, 15)))), AND(LEFT($A75, 17)="sensor_statistic ", LEN($A75)&gt;17, NOT(ISNUMBER(SEARCH(" ", $A75, 18)))))</formula>
    </cfRule>
  </conditionalFormatting>
  <conditionalFormatting sqref="B75:E76">
    <cfRule type="expression" dxfId="14" priority="4349" stopIfTrue="1">
      <formula>$A75="comments"</formula>
    </cfRule>
  </conditionalFormatting>
  <conditionalFormatting sqref="B75:E76">
    <cfRule type="expression" dxfId="15" priority="4350" stopIfTrue="1">
      <formula>OR($A75="audio", $A75="video")</formula>
    </cfRule>
  </conditionalFormatting>
  <conditionalFormatting sqref="B75:E76">
    <cfRule type="expression" dxfId="16" priority="4351" stopIfTrue="1">
      <formula>$A75="image"</formula>
    </cfRule>
  </conditionalFormatting>
  <conditionalFormatting sqref="B75:E76">
    <cfRule type="expression" dxfId="17" priority="4352" stopIfTrue="1">
      <formula>OR($A75="date", $A75="datetime", $A75="time")</formula>
    </cfRule>
  </conditionalFormatting>
  <conditionalFormatting sqref="B75:E76">
    <cfRule type="expression" dxfId="18" priority="4353" stopIfTrue="1">
      <formula>OR($A75="calculate", $A75="calculate_here")</formula>
    </cfRule>
  </conditionalFormatting>
  <conditionalFormatting sqref="B75:E76">
    <cfRule type="expression" dxfId="19" priority="4354" stopIfTrue="1">
      <formula>$A75="note"</formula>
    </cfRule>
  </conditionalFormatting>
  <conditionalFormatting sqref="B75:E76">
    <cfRule type="expression" dxfId="20" priority="4355" stopIfTrue="1">
      <formula>$A75="barcode"</formula>
    </cfRule>
  </conditionalFormatting>
  <conditionalFormatting sqref="B75:E76">
    <cfRule type="expression" dxfId="21" priority="4356" stopIfTrue="1">
      <formula>OR($A75="geopoint", $A75="geoshape", $A75="geotrace")</formula>
    </cfRule>
  </conditionalFormatting>
  <conditionalFormatting sqref="B75:E76">
    <cfRule type="expression" dxfId="22" priority="4357" stopIfTrue="1">
      <formula>OR($A75="audio audit", $A75="text audit", $A75="speed violations count", $A75="speed violations list", $A75="speed violations audit")</formula>
    </cfRule>
  </conditionalFormatting>
  <conditionalFormatting sqref="B75:E76">
    <cfRule type="expression" dxfId="23" priority="4358" stopIfTrue="1">
      <formula>OR($A75="username", $A75="phonenumber", $A75="start", $A75="end", $A75="deviceid", $A75="subscriberid", $A75="simserial", $A75="caseid")</formula>
    </cfRule>
  </conditionalFormatting>
  <conditionalFormatting sqref="B75:E76">
    <cfRule type="expression" dxfId="24" priority="4359" stopIfTrue="1">
      <formula>OR(AND(LEFT($A75, 16)="select_multiple ", LEN($A75)&gt;16, NOT(ISNUMBER(SEARCH(" ", $A75, 17)))), AND(LEFT($A75, 11)="select_one ", LEN($A75)&gt;11, NOT(ISNUMBER(SEARCH(" ", $A75, 12)))))</formula>
    </cfRule>
  </conditionalFormatting>
  <conditionalFormatting sqref="B75:E76">
    <cfRule type="expression" dxfId="25" priority="4360" stopIfTrue="1">
      <formula>$A75="decimal"</formula>
    </cfRule>
  </conditionalFormatting>
  <conditionalFormatting sqref="B75:E76">
    <cfRule type="expression" dxfId="26" priority="4361" stopIfTrue="1">
      <formula>$A75="integer"</formula>
    </cfRule>
  </conditionalFormatting>
  <conditionalFormatting sqref="B75:E76">
    <cfRule type="expression" dxfId="27" priority="4362" stopIfTrue="1">
      <formula>$A75="text"</formula>
    </cfRule>
  </conditionalFormatting>
  <conditionalFormatting sqref="B75:E76">
    <cfRule type="expression" dxfId="28" priority="4363" stopIfTrue="1">
      <formula>$A75="end repeat"</formula>
    </cfRule>
  </conditionalFormatting>
  <conditionalFormatting sqref="B75:E76">
    <cfRule type="expression" dxfId="28" priority="4364" stopIfTrue="1">
      <formula>$A75="begin repeat"</formula>
    </cfRule>
  </conditionalFormatting>
  <conditionalFormatting sqref="B75:E76">
    <cfRule type="expression" dxfId="29" priority="4365" stopIfTrue="1">
      <formula>$A75="end group"</formula>
    </cfRule>
  </conditionalFormatting>
  <conditionalFormatting sqref="B75:E76">
    <cfRule type="expression" dxfId="29" priority="4366" stopIfTrue="1">
      <formula>$A75="begin group"</formula>
    </cfRule>
  </conditionalFormatting>
  <conditionalFormatting sqref="B75:B76">
    <cfRule type="expression" dxfId="30" priority="4367" stopIfTrue="1">
      <formula>$A75="comments"</formula>
    </cfRule>
  </conditionalFormatting>
  <conditionalFormatting sqref="B75:B76">
    <cfRule type="expression" dxfId="36" priority="4368" stopIfTrue="1">
      <formula>OR(AND(LEFT($A75, 14)="sensor_stream ", LEN($A75)&gt;14, NOT(ISNUMBER(SEARCH(" ", $A75, 15)))), AND(LEFT($A75, 17)="sensor_statistic ", LEN($A75)&gt;17, NOT(ISNUMBER(SEARCH(" ", $A75, 18)))))</formula>
    </cfRule>
  </conditionalFormatting>
  <conditionalFormatting sqref="B65:C71 D65:E71">
    <cfRule type="expression" dxfId="0" priority="4369" stopIfTrue="1">
      <formula>$A65="begin group"</formula>
    </cfRule>
  </conditionalFormatting>
  <conditionalFormatting sqref="B65:C71 D65:E71">
    <cfRule type="expression" dxfId="1" priority="4370" stopIfTrue="1">
      <formula>$A65="begin repeat"</formula>
    </cfRule>
  </conditionalFormatting>
  <conditionalFormatting sqref="B65:E71">
    <cfRule type="expression" dxfId="31" priority="4371" stopIfTrue="1">
      <formula>$A65="enumerator"</formula>
    </cfRule>
  </conditionalFormatting>
  <conditionalFormatting sqref="B65:E71">
    <cfRule type="expression" dxfId="2" priority="4372" stopIfTrue="1">
      <formula>$A65="text"</formula>
    </cfRule>
  </conditionalFormatting>
  <conditionalFormatting sqref="B65:E71">
    <cfRule type="expression" dxfId="3" priority="4373" stopIfTrue="1">
      <formula>$A65="integer"</formula>
    </cfRule>
  </conditionalFormatting>
  <conditionalFormatting sqref="B65:E71">
    <cfRule type="expression" dxfId="4" priority="4374" stopIfTrue="1">
      <formula>$A65="decimal"</formula>
    </cfRule>
  </conditionalFormatting>
  <conditionalFormatting sqref="B65:C71 D65:E71">
    <cfRule type="expression" dxfId="5" priority="4375" stopIfTrue="1">
      <formula>OR(AND(LEFT($A65, 16)="select_multiple ", LEN($A65)&gt;16, NOT(ISNUMBER(SEARCH(" ", $A65, 17)))), AND(LEFT($A65, 11)="select_one ", LEN($A65)&gt;11, NOT(ISNUMBER(SEARCH(" ", $A65, 12)))))</formula>
    </cfRule>
  </conditionalFormatting>
  <conditionalFormatting sqref="B65:B71">
    <cfRule type="expression" dxfId="6" priority="4376" stopIfTrue="1">
      <formula>OR($A65="audio audit", $A65="text audit", $A65="speed violations count", $A65="speed violations list", $A65="speed violations audit")</formula>
    </cfRule>
  </conditionalFormatting>
  <conditionalFormatting sqref="B65:C71 D65:E71">
    <cfRule type="expression" dxfId="32" priority="4377" stopIfTrue="1">
      <formula>$A65="file"</formula>
    </cfRule>
  </conditionalFormatting>
  <conditionalFormatting sqref="B65:C71 D65:E71">
    <cfRule type="expression" dxfId="7" priority="4378" stopIfTrue="1">
      <formula>$A65="note"</formula>
    </cfRule>
  </conditionalFormatting>
  <conditionalFormatting sqref="B65:C71 D65:E71">
    <cfRule type="expression" dxfId="8" priority="4379" stopIfTrue="1">
      <formula>$A65="barcode"</formula>
    </cfRule>
  </conditionalFormatting>
  <conditionalFormatting sqref="B65:C71 D65:E71">
    <cfRule type="expression" dxfId="9" priority="4380" stopIfTrue="1">
      <formula>OR($A65="geopoint", $A65="geoshape", $A65="geotrace")</formula>
    </cfRule>
  </conditionalFormatting>
  <conditionalFormatting sqref="B65:B71">
    <cfRule type="expression" dxfId="10" priority="4381" stopIfTrue="1">
      <formula>OR($A65="calculate", $A65="calculate_here")</formula>
    </cfRule>
  </conditionalFormatting>
  <conditionalFormatting sqref="B65:C71 D65:E71">
    <cfRule type="expression" dxfId="11" priority="4382" stopIfTrue="1">
      <formula>OR($A65="date", $A65="datetime", $A65="time")</formula>
    </cfRule>
  </conditionalFormatting>
  <conditionalFormatting sqref="B65:C71 D65:E71">
    <cfRule type="expression" dxfId="12" priority="4383" stopIfTrue="1">
      <formula>$A65="image"</formula>
    </cfRule>
  </conditionalFormatting>
  <conditionalFormatting sqref="B65:C71 D65:E71">
    <cfRule type="expression" dxfId="13" priority="4384" stopIfTrue="1">
      <formula>OR($A65="audio", $A65="video")</formula>
    </cfRule>
  </conditionalFormatting>
  <conditionalFormatting sqref="B65:E71">
    <cfRule type="expression" dxfId="33" priority="4385" stopIfTrue="1">
      <formula>$A65="file"</formula>
    </cfRule>
  </conditionalFormatting>
  <conditionalFormatting sqref="B65:E71">
    <cfRule type="expression" dxfId="34" priority="4386" stopIfTrue="1">
      <formula>$A65="enumerator"</formula>
    </cfRule>
  </conditionalFormatting>
  <conditionalFormatting sqref="B65:E71">
    <cfRule type="expression" dxfId="35" priority="4387" stopIfTrue="1">
      <formula>OR(AND(LEFT($A65, 14)="sensor_stream ", LEN($A65)&gt;14, NOT(ISNUMBER(SEARCH(" ", $A65, 15)))), AND(LEFT($A65, 17)="sensor_statistic ", LEN($A65)&gt;17, NOT(ISNUMBER(SEARCH(" ", $A65, 18)))))</formula>
    </cfRule>
  </conditionalFormatting>
  <conditionalFormatting sqref="B65:E71">
    <cfRule type="expression" dxfId="14" priority="4388" stopIfTrue="1">
      <formula>$A65="comments"</formula>
    </cfRule>
  </conditionalFormatting>
  <conditionalFormatting sqref="B65:E71">
    <cfRule type="expression" dxfId="15" priority="4389" stopIfTrue="1">
      <formula>OR($A65="audio", $A65="video")</formula>
    </cfRule>
  </conditionalFormatting>
  <conditionalFormatting sqref="B65:E71">
    <cfRule type="expression" dxfId="16" priority="4390" stopIfTrue="1">
      <formula>$A65="image"</formula>
    </cfRule>
  </conditionalFormatting>
  <conditionalFormatting sqref="B65:E71">
    <cfRule type="expression" dxfId="17" priority="4391" stopIfTrue="1">
      <formula>OR($A65="date", $A65="datetime", $A65="time")</formula>
    </cfRule>
  </conditionalFormatting>
  <conditionalFormatting sqref="B65:E71">
    <cfRule type="expression" dxfId="18" priority="4392" stopIfTrue="1">
      <formula>OR($A65="calculate", $A65="calculate_here")</formula>
    </cfRule>
  </conditionalFormatting>
  <conditionalFormatting sqref="B65:E71">
    <cfRule type="expression" dxfId="19" priority="4393" stopIfTrue="1">
      <formula>$A65="note"</formula>
    </cfRule>
  </conditionalFormatting>
  <conditionalFormatting sqref="B65:E71">
    <cfRule type="expression" dxfId="20" priority="4394" stopIfTrue="1">
      <formula>$A65="barcode"</formula>
    </cfRule>
  </conditionalFormatting>
  <conditionalFormatting sqref="B65:E71">
    <cfRule type="expression" dxfId="21" priority="4395" stopIfTrue="1">
      <formula>OR($A65="geopoint", $A65="geoshape", $A65="geotrace")</formula>
    </cfRule>
  </conditionalFormatting>
  <conditionalFormatting sqref="B65:E71">
    <cfRule type="expression" dxfId="22" priority="4396" stopIfTrue="1">
      <formula>OR($A65="audio audit", $A65="text audit", $A65="speed violations count", $A65="speed violations list", $A65="speed violations audit")</formula>
    </cfRule>
  </conditionalFormatting>
  <conditionalFormatting sqref="B65:E71">
    <cfRule type="expression" dxfId="23" priority="4397" stopIfTrue="1">
      <formula>OR($A65="username", $A65="phonenumber", $A65="start", $A65="end", $A65="deviceid", $A65="subscriberid", $A65="simserial", $A65="caseid")</formula>
    </cfRule>
  </conditionalFormatting>
  <conditionalFormatting sqref="B65:E71">
    <cfRule type="expression" dxfId="24" priority="4398" stopIfTrue="1">
      <formula>OR(AND(LEFT($A65, 16)="select_multiple ", LEN($A65)&gt;16, NOT(ISNUMBER(SEARCH(" ", $A65, 17)))), AND(LEFT($A65, 11)="select_one ", LEN($A65)&gt;11, NOT(ISNUMBER(SEARCH(" ", $A65, 12)))))</formula>
    </cfRule>
  </conditionalFormatting>
  <conditionalFormatting sqref="B65:E71">
    <cfRule type="expression" dxfId="25" priority="4399" stopIfTrue="1">
      <formula>$A65="decimal"</formula>
    </cfRule>
  </conditionalFormatting>
  <conditionalFormatting sqref="B65:E71">
    <cfRule type="expression" dxfId="26" priority="4400" stopIfTrue="1">
      <formula>$A65="integer"</formula>
    </cfRule>
  </conditionalFormatting>
  <conditionalFormatting sqref="B65:E71">
    <cfRule type="expression" dxfId="27" priority="4401" stopIfTrue="1">
      <formula>$A65="text"</formula>
    </cfRule>
  </conditionalFormatting>
  <conditionalFormatting sqref="B65:E71">
    <cfRule type="expression" dxfId="28" priority="4402" stopIfTrue="1">
      <formula>$A65="end repeat"</formula>
    </cfRule>
  </conditionalFormatting>
  <conditionalFormatting sqref="B65:E71">
    <cfRule type="expression" dxfId="28" priority="4403" stopIfTrue="1">
      <formula>$A65="begin repeat"</formula>
    </cfRule>
  </conditionalFormatting>
  <conditionalFormatting sqref="B65:E71">
    <cfRule type="expression" dxfId="29" priority="4404" stopIfTrue="1">
      <formula>$A65="end group"</formula>
    </cfRule>
  </conditionalFormatting>
  <conditionalFormatting sqref="B65:E71">
    <cfRule type="expression" dxfId="29" priority="4405" stopIfTrue="1">
      <formula>$A65="begin group"</formula>
    </cfRule>
  </conditionalFormatting>
  <conditionalFormatting sqref="B65:B71">
    <cfRule type="expression" dxfId="30" priority="4406" stopIfTrue="1">
      <formula>$A65="comments"</formula>
    </cfRule>
  </conditionalFormatting>
  <conditionalFormatting sqref="B65:B71">
    <cfRule type="expression" dxfId="36" priority="4407" stopIfTrue="1">
      <formula>OR(AND(LEFT($A65, 14)="sensor_stream ", LEN($A65)&gt;14, NOT(ISNUMBER(SEARCH(" ", $A65, 15)))), AND(LEFT($A65, 17)="sensor_statistic ", LEN($A65)&gt;17, NOT(ISNUMBER(SEARCH(" ", $A65, 18)))))</formula>
    </cfRule>
  </conditionalFormatting>
  <conditionalFormatting sqref="B62:C62 D62:E62">
    <cfRule type="expression" dxfId="0" priority="4408" stopIfTrue="1">
      <formula>$A62="begin group"</formula>
    </cfRule>
  </conditionalFormatting>
  <conditionalFormatting sqref="B62:C62 D62:E62">
    <cfRule type="expression" dxfId="1" priority="4409" stopIfTrue="1">
      <formula>$A62="begin repeat"</formula>
    </cfRule>
  </conditionalFormatting>
  <conditionalFormatting sqref="B62:E62">
    <cfRule type="expression" dxfId="31" priority="4410" stopIfTrue="1">
      <formula>$A62="enumerator"</formula>
    </cfRule>
  </conditionalFormatting>
  <conditionalFormatting sqref="B62:E62">
    <cfRule type="expression" dxfId="2" priority="4411" stopIfTrue="1">
      <formula>$A62="text"</formula>
    </cfRule>
  </conditionalFormatting>
  <conditionalFormatting sqref="B62:E62">
    <cfRule type="expression" dxfId="3" priority="4412" stopIfTrue="1">
      <formula>$A62="integer"</formula>
    </cfRule>
  </conditionalFormatting>
  <conditionalFormatting sqref="B62:E62">
    <cfRule type="expression" dxfId="4" priority="4413" stopIfTrue="1">
      <formula>$A62="decimal"</formula>
    </cfRule>
  </conditionalFormatting>
  <conditionalFormatting sqref="B62:C62 D62:E62">
    <cfRule type="expression" dxfId="5" priority="4414" stopIfTrue="1">
      <formula>OR(AND(LEFT($A62, 16)="select_multiple ", LEN($A62)&gt;16, NOT(ISNUMBER(SEARCH(" ", $A62, 17)))), AND(LEFT($A62, 11)="select_one ", LEN($A62)&gt;11, NOT(ISNUMBER(SEARCH(" ", $A62, 12)))))</formula>
    </cfRule>
  </conditionalFormatting>
  <conditionalFormatting sqref="B62">
    <cfRule type="expression" dxfId="6" priority="4415" stopIfTrue="1">
      <formula>OR($A62="audio audit", $A62="text audit", $A62="speed violations count", $A62="speed violations list", $A62="speed violations audit")</formula>
    </cfRule>
  </conditionalFormatting>
  <conditionalFormatting sqref="B62:C62 D62:E62">
    <cfRule type="expression" dxfId="32" priority="4416" stopIfTrue="1">
      <formula>$A62="file"</formula>
    </cfRule>
  </conditionalFormatting>
  <conditionalFormatting sqref="B62:C62 D62:E62">
    <cfRule type="expression" dxfId="7" priority="4417" stopIfTrue="1">
      <formula>$A62="note"</formula>
    </cfRule>
  </conditionalFormatting>
  <conditionalFormatting sqref="B62:C62 D62:E62">
    <cfRule type="expression" dxfId="8" priority="4418" stopIfTrue="1">
      <formula>$A62="barcode"</formula>
    </cfRule>
  </conditionalFormatting>
  <conditionalFormatting sqref="B62:C62 D62:E62">
    <cfRule type="expression" dxfId="9" priority="4419" stopIfTrue="1">
      <formula>OR($A62="geopoint", $A62="geoshape", $A62="geotrace")</formula>
    </cfRule>
  </conditionalFormatting>
  <conditionalFormatting sqref="B62">
    <cfRule type="expression" dxfId="10" priority="4420" stopIfTrue="1">
      <formula>OR($A62="calculate", $A62="calculate_here")</formula>
    </cfRule>
  </conditionalFormatting>
  <conditionalFormatting sqref="B62:C62 D62:E62">
    <cfRule type="expression" dxfId="11" priority="4421" stopIfTrue="1">
      <formula>OR($A62="date", $A62="datetime", $A62="time")</formula>
    </cfRule>
  </conditionalFormatting>
  <conditionalFormatting sqref="B62:C62 D62:E62">
    <cfRule type="expression" dxfId="12" priority="4422" stopIfTrue="1">
      <formula>$A62="image"</formula>
    </cfRule>
  </conditionalFormatting>
  <conditionalFormatting sqref="B62:C62 D62:E62">
    <cfRule type="expression" dxfId="13" priority="4423" stopIfTrue="1">
      <formula>OR($A62="audio", $A62="video")</formula>
    </cfRule>
  </conditionalFormatting>
  <conditionalFormatting sqref="B62:E62">
    <cfRule type="expression" dxfId="33" priority="4424" stopIfTrue="1">
      <formula>$A62="file"</formula>
    </cfRule>
  </conditionalFormatting>
  <conditionalFormatting sqref="B62:E62">
    <cfRule type="expression" dxfId="34" priority="4425" stopIfTrue="1">
      <formula>$A62="enumerator"</formula>
    </cfRule>
  </conditionalFormatting>
  <conditionalFormatting sqref="B62:E62">
    <cfRule type="expression" dxfId="35" priority="4426" stopIfTrue="1">
      <formula>OR(AND(LEFT($A62, 14)="sensor_stream ", LEN($A62)&gt;14, NOT(ISNUMBER(SEARCH(" ", $A62, 15)))), AND(LEFT($A62, 17)="sensor_statistic ", LEN($A62)&gt;17, NOT(ISNUMBER(SEARCH(" ", $A62, 18)))))</formula>
    </cfRule>
  </conditionalFormatting>
  <conditionalFormatting sqref="B62:E62">
    <cfRule type="expression" dxfId="14" priority="4427" stopIfTrue="1">
      <formula>$A62="comments"</formula>
    </cfRule>
  </conditionalFormatting>
  <conditionalFormatting sqref="B62:E62">
    <cfRule type="expression" dxfId="15" priority="4428" stopIfTrue="1">
      <formula>OR($A62="audio", $A62="video")</formula>
    </cfRule>
  </conditionalFormatting>
  <conditionalFormatting sqref="B62:E62">
    <cfRule type="expression" dxfId="16" priority="4429" stopIfTrue="1">
      <formula>$A62="image"</formula>
    </cfRule>
  </conditionalFormatting>
  <conditionalFormatting sqref="B62:E62">
    <cfRule type="expression" dxfId="17" priority="4430" stopIfTrue="1">
      <formula>OR($A62="date", $A62="datetime", $A62="time")</formula>
    </cfRule>
  </conditionalFormatting>
  <conditionalFormatting sqref="B62:E62">
    <cfRule type="expression" dxfId="18" priority="4431" stopIfTrue="1">
      <formula>OR($A62="calculate", $A62="calculate_here")</formula>
    </cfRule>
  </conditionalFormatting>
  <conditionalFormatting sqref="B62:E62">
    <cfRule type="expression" dxfId="19" priority="4432" stopIfTrue="1">
      <formula>$A62="note"</formula>
    </cfRule>
  </conditionalFormatting>
  <conditionalFormatting sqref="B62:E62">
    <cfRule type="expression" dxfId="20" priority="4433" stopIfTrue="1">
      <formula>$A62="barcode"</formula>
    </cfRule>
  </conditionalFormatting>
  <conditionalFormatting sqref="B62:E62">
    <cfRule type="expression" dxfId="21" priority="4434" stopIfTrue="1">
      <formula>OR($A62="geopoint", $A62="geoshape", $A62="geotrace")</formula>
    </cfRule>
  </conditionalFormatting>
  <conditionalFormatting sqref="B62:E62">
    <cfRule type="expression" dxfId="22" priority="4435" stopIfTrue="1">
      <formula>OR($A62="audio audit", $A62="text audit", $A62="speed violations count", $A62="speed violations list", $A62="speed violations audit")</formula>
    </cfRule>
  </conditionalFormatting>
  <conditionalFormatting sqref="B62:E62">
    <cfRule type="expression" dxfId="23" priority="4436" stopIfTrue="1">
      <formula>OR($A62="username", $A62="phonenumber", $A62="start", $A62="end", $A62="deviceid", $A62="subscriberid", $A62="simserial", $A62="caseid")</formula>
    </cfRule>
  </conditionalFormatting>
  <conditionalFormatting sqref="B62:E62">
    <cfRule type="expression" dxfId="24" priority="4437" stopIfTrue="1">
      <formula>OR(AND(LEFT($A62, 16)="select_multiple ", LEN($A62)&gt;16, NOT(ISNUMBER(SEARCH(" ", $A62, 17)))), AND(LEFT($A62, 11)="select_one ", LEN($A62)&gt;11, NOT(ISNUMBER(SEARCH(" ", $A62, 12)))))</formula>
    </cfRule>
  </conditionalFormatting>
  <conditionalFormatting sqref="B62:E62">
    <cfRule type="expression" dxfId="25" priority="4438" stopIfTrue="1">
      <formula>$A62="decimal"</formula>
    </cfRule>
  </conditionalFormatting>
  <conditionalFormatting sqref="B62:E62">
    <cfRule type="expression" dxfId="26" priority="4439" stopIfTrue="1">
      <formula>$A62="integer"</formula>
    </cfRule>
  </conditionalFormatting>
  <conditionalFormatting sqref="B62:E62">
    <cfRule type="expression" dxfId="27" priority="4440" stopIfTrue="1">
      <formula>$A62="text"</formula>
    </cfRule>
  </conditionalFormatting>
  <conditionalFormatting sqref="B62:E62">
    <cfRule type="expression" dxfId="28" priority="4441" stopIfTrue="1">
      <formula>$A62="end repeat"</formula>
    </cfRule>
  </conditionalFormatting>
  <conditionalFormatting sqref="B62:E62">
    <cfRule type="expression" dxfId="28" priority="4442" stopIfTrue="1">
      <formula>$A62="begin repeat"</formula>
    </cfRule>
  </conditionalFormatting>
  <conditionalFormatting sqref="B62:E62">
    <cfRule type="expression" dxfId="29" priority="4443" stopIfTrue="1">
      <formula>$A62="end group"</formula>
    </cfRule>
  </conditionalFormatting>
  <conditionalFormatting sqref="B62:E62">
    <cfRule type="expression" dxfId="29" priority="4444" stopIfTrue="1">
      <formula>$A62="begin group"</formula>
    </cfRule>
  </conditionalFormatting>
  <conditionalFormatting sqref="B62">
    <cfRule type="expression" dxfId="30" priority="4445" stopIfTrue="1">
      <formula>$A62="comments"</formula>
    </cfRule>
  </conditionalFormatting>
  <conditionalFormatting sqref="B62">
    <cfRule type="expression" dxfId="36" priority="4446" stopIfTrue="1">
      <formula>OR(AND(LEFT($A62, 14)="sensor_stream ", LEN($A62)&gt;14, NOT(ISNUMBER(SEARCH(" ", $A62, 15)))), AND(LEFT($A62, 17)="sensor_statistic ", LEN($A62)&gt;17, NOT(ISNUMBER(SEARCH(" ", $A62, 18)))))</formula>
    </cfRule>
  </conditionalFormatting>
  <conditionalFormatting sqref="B54:C54 D54:E54">
    <cfRule type="expression" dxfId="0" priority="4447" stopIfTrue="1">
      <formula>$A54="begin group"</formula>
    </cfRule>
  </conditionalFormatting>
  <conditionalFormatting sqref="B54:C54 D54:E54">
    <cfRule type="expression" dxfId="1" priority="4448" stopIfTrue="1">
      <formula>$A54="begin repeat"</formula>
    </cfRule>
  </conditionalFormatting>
  <conditionalFormatting sqref="B54:E54">
    <cfRule type="expression" dxfId="31" priority="4449" stopIfTrue="1">
      <formula>$A54="enumerator"</formula>
    </cfRule>
  </conditionalFormatting>
  <conditionalFormatting sqref="B54:E54">
    <cfRule type="expression" dxfId="2" priority="4450" stopIfTrue="1">
      <formula>$A54="text"</formula>
    </cfRule>
  </conditionalFormatting>
  <conditionalFormatting sqref="B54:E54">
    <cfRule type="expression" dxfId="3" priority="4451" stopIfTrue="1">
      <formula>$A54="integer"</formula>
    </cfRule>
  </conditionalFormatting>
  <conditionalFormatting sqref="B54:E54">
    <cfRule type="expression" dxfId="4" priority="4452" stopIfTrue="1">
      <formula>$A54="decimal"</formula>
    </cfRule>
  </conditionalFormatting>
  <conditionalFormatting sqref="B54:C54 D54:E54">
    <cfRule type="expression" dxfId="5" priority="4453" stopIfTrue="1">
      <formula>OR(AND(LEFT($A54, 16)="select_multiple ", LEN($A54)&gt;16, NOT(ISNUMBER(SEARCH(" ", $A54, 17)))), AND(LEFT($A54, 11)="select_one ", LEN($A54)&gt;11, NOT(ISNUMBER(SEARCH(" ", $A54, 12)))))</formula>
    </cfRule>
  </conditionalFormatting>
  <conditionalFormatting sqref="B54">
    <cfRule type="expression" dxfId="6" priority="4454" stopIfTrue="1">
      <formula>OR($A54="audio audit", $A54="text audit", $A54="speed violations count", $A54="speed violations list", $A54="speed violations audit")</formula>
    </cfRule>
  </conditionalFormatting>
  <conditionalFormatting sqref="B54:C54 D54:E54">
    <cfRule type="expression" dxfId="32" priority="4455" stopIfTrue="1">
      <formula>$A54="file"</formula>
    </cfRule>
  </conditionalFormatting>
  <conditionalFormatting sqref="B54:C54 D54:E54">
    <cfRule type="expression" dxfId="7" priority="4456" stopIfTrue="1">
      <formula>$A54="note"</formula>
    </cfRule>
  </conditionalFormatting>
  <conditionalFormatting sqref="B54:C54 D54:E54">
    <cfRule type="expression" dxfId="8" priority="4457" stopIfTrue="1">
      <formula>$A54="barcode"</formula>
    </cfRule>
  </conditionalFormatting>
  <conditionalFormatting sqref="B54:C54 D54:E54">
    <cfRule type="expression" dxfId="9" priority="4458" stopIfTrue="1">
      <formula>OR($A54="geopoint", $A54="geoshape", $A54="geotrace")</formula>
    </cfRule>
  </conditionalFormatting>
  <conditionalFormatting sqref="B54">
    <cfRule type="expression" dxfId="10" priority="4459" stopIfTrue="1">
      <formula>OR($A54="calculate", $A54="calculate_here")</formula>
    </cfRule>
  </conditionalFormatting>
  <conditionalFormatting sqref="B54:C54 D54:E54">
    <cfRule type="expression" dxfId="11" priority="4460" stopIfTrue="1">
      <formula>OR($A54="date", $A54="datetime", $A54="time")</formula>
    </cfRule>
  </conditionalFormatting>
  <conditionalFormatting sqref="B54:C54 D54:E54">
    <cfRule type="expression" dxfId="12" priority="4461" stopIfTrue="1">
      <formula>$A54="image"</formula>
    </cfRule>
  </conditionalFormatting>
  <conditionalFormatting sqref="B54:C54 D54:E54">
    <cfRule type="expression" dxfId="13" priority="4462" stopIfTrue="1">
      <formula>OR($A54="audio", $A54="video")</formula>
    </cfRule>
  </conditionalFormatting>
  <conditionalFormatting sqref="B54:E54">
    <cfRule type="expression" dxfId="33" priority="4463" stopIfTrue="1">
      <formula>$A54="file"</formula>
    </cfRule>
  </conditionalFormatting>
  <conditionalFormatting sqref="B54:E54">
    <cfRule type="expression" dxfId="34" priority="4464" stopIfTrue="1">
      <formula>$A54="enumerator"</formula>
    </cfRule>
  </conditionalFormatting>
  <conditionalFormatting sqref="B54:E54">
    <cfRule type="expression" dxfId="35" priority="4465" stopIfTrue="1">
      <formula>OR(AND(LEFT($A54, 14)="sensor_stream ", LEN($A54)&gt;14, NOT(ISNUMBER(SEARCH(" ", $A54, 15)))), AND(LEFT($A54, 17)="sensor_statistic ", LEN($A54)&gt;17, NOT(ISNUMBER(SEARCH(" ", $A54, 18)))))</formula>
    </cfRule>
  </conditionalFormatting>
  <conditionalFormatting sqref="B54:E54">
    <cfRule type="expression" dxfId="14" priority="4466" stopIfTrue="1">
      <formula>$A54="comments"</formula>
    </cfRule>
  </conditionalFormatting>
  <conditionalFormatting sqref="B54:E54">
    <cfRule type="expression" dxfId="15" priority="4467" stopIfTrue="1">
      <formula>OR($A54="audio", $A54="video")</formula>
    </cfRule>
  </conditionalFormatting>
  <conditionalFormatting sqref="B54:E54">
    <cfRule type="expression" dxfId="16" priority="4468" stopIfTrue="1">
      <formula>$A54="image"</formula>
    </cfRule>
  </conditionalFormatting>
  <conditionalFormatting sqref="B54:E54">
    <cfRule type="expression" dxfId="17" priority="4469" stopIfTrue="1">
      <formula>OR($A54="date", $A54="datetime", $A54="time")</formula>
    </cfRule>
  </conditionalFormatting>
  <conditionalFormatting sqref="B54:E54">
    <cfRule type="expression" dxfId="18" priority="4470" stopIfTrue="1">
      <formula>OR($A54="calculate", $A54="calculate_here")</formula>
    </cfRule>
  </conditionalFormatting>
  <conditionalFormatting sqref="B54:E54">
    <cfRule type="expression" dxfId="19" priority="4471" stopIfTrue="1">
      <formula>$A54="note"</formula>
    </cfRule>
  </conditionalFormatting>
  <conditionalFormatting sqref="B54:E54">
    <cfRule type="expression" dxfId="20" priority="4472" stopIfTrue="1">
      <formula>$A54="barcode"</formula>
    </cfRule>
  </conditionalFormatting>
  <conditionalFormatting sqref="B54:E54">
    <cfRule type="expression" dxfId="21" priority="4473" stopIfTrue="1">
      <formula>OR($A54="geopoint", $A54="geoshape", $A54="geotrace")</formula>
    </cfRule>
  </conditionalFormatting>
  <conditionalFormatting sqref="B54:E54">
    <cfRule type="expression" dxfId="22" priority="4474" stopIfTrue="1">
      <formula>OR($A54="audio audit", $A54="text audit", $A54="speed violations count", $A54="speed violations list", $A54="speed violations audit")</formula>
    </cfRule>
  </conditionalFormatting>
  <conditionalFormatting sqref="B54:E54">
    <cfRule type="expression" dxfId="23" priority="4475" stopIfTrue="1">
      <formula>OR($A54="username", $A54="phonenumber", $A54="start", $A54="end", $A54="deviceid", $A54="subscriberid", $A54="simserial", $A54="caseid")</formula>
    </cfRule>
  </conditionalFormatting>
  <conditionalFormatting sqref="B54:E54">
    <cfRule type="expression" dxfId="24" priority="4476" stopIfTrue="1">
      <formula>OR(AND(LEFT($A54, 16)="select_multiple ", LEN($A54)&gt;16, NOT(ISNUMBER(SEARCH(" ", $A54, 17)))), AND(LEFT($A54, 11)="select_one ", LEN($A54)&gt;11, NOT(ISNUMBER(SEARCH(" ", $A54, 12)))))</formula>
    </cfRule>
  </conditionalFormatting>
  <conditionalFormatting sqref="B54:E54">
    <cfRule type="expression" dxfId="25" priority="4477" stopIfTrue="1">
      <formula>$A54="decimal"</formula>
    </cfRule>
  </conditionalFormatting>
  <conditionalFormatting sqref="B54:E54">
    <cfRule type="expression" dxfId="26" priority="4478" stopIfTrue="1">
      <formula>$A54="integer"</formula>
    </cfRule>
  </conditionalFormatting>
  <conditionalFormatting sqref="B54:E54">
    <cfRule type="expression" dxfId="27" priority="4479" stopIfTrue="1">
      <formula>$A54="text"</formula>
    </cfRule>
  </conditionalFormatting>
  <conditionalFormatting sqref="B54:E54">
    <cfRule type="expression" dxfId="28" priority="4480" stopIfTrue="1">
      <formula>$A54="end repeat"</formula>
    </cfRule>
  </conditionalFormatting>
  <conditionalFormatting sqref="B54:E54">
    <cfRule type="expression" dxfId="28" priority="4481" stopIfTrue="1">
      <formula>$A54="begin repeat"</formula>
    </cfRule>
  </conditionalFormatting>
  <conditionalFormatting sqref="B54:E54">
    <cfRule type="expression" dxfId="29" priority="4482" stopIfTrue="1">
      <formula>$A54="end group"</formula>
    </cfRule>
  </conditionalFormatting>
  <conditionalFormatting sqref="B54:E54">
    <cfRule type="expression" dxfId="29" priority="4483" stopIfTrue="1">
      <formula>$A54="begin group"</formula>
    </cfRule>
  </conditionalFormatting>
  <conditionalFormatting sqref="B54">
    <cfRule type="expression" dxfId="30" priority="4484" stopIfTrue="1">
      <formula>$A54="comments"</formula>
    </cfRule>
  </conditionalFormatting>
  <conditionalFormatting sqref="B54">
    <cfRule type="expression" dxfId="36" priority="4485" stopIfTrue="1">
      <formula>OR(AND(LEFT($A54, 14)="sensor_stream ", LEN($A54)&gt;14, NOT(ISNUMBER(SEARCH(" ", $A54, 15)))), AND(LEFT($A54, 17)="sensor_statistic ", LEN($A54)&gt;17, NOT(ISNUMBER(SEARCH(" ", $A54, 18)))))</formula>
    </cfRule>
  </conditionalFormatting>
  <conditionalFormatting sqref="B48:C52 D48:E52">
    <cfRule type="expression" dxfId="0" priority="4486" stopIfTrue="1">
      <formula>$A48="begin group"</formula>
    </cfRule>
  </conditionalFormatting>
  <conditionalFormatting sqref="B48:C52 D48:E52">
    <cfRule type="expression" dxfId="1" priority="4487" stopIfTrue="1">
      <formula>$A48="begin repeat"</formula>
    </cfRule>
  </conditionalFormatting>
  <conditionalFormatting sqref="B48:E52">
    <cfRule type="expression" dxfId="31" priority="4488" stopIfTrue="1">
      <formula>$A48="enumerator"</formula>
    </cfRule>
  </conditionalFormatting>
  <conditionalFormatting sqref="B48:E52">
    <cfRule type="expression" dxfId="2" priority="4489" stopIfTrue="1">
      <formula>$A48="text"</formula>
    </cfRule>
  </conditionalFormatting>
  <conditionalFormatting sqref="B48:E52">
    <cfRule type="expression" dxfId="3" priority="4490" stopIfTrue="1">
      <formula>$A48="integer"</formula>
    </cfRule>
  </conditionalFormatting>
  <conditionalFormatting sqref="B48:E52">
    <cfRule type="expression" dxfId="4" priority="4491" stopIfTrue="1">
      <formula>$A48="decimal"</formula>
    </cfRule>
  </conditionalFormatting>
  <conditionalFormatting sqref="B48:C52 D48:E52">
    <cfRule type="expression" dxfId="5" priority="4492" stopIfTrue="1">
      <formula>OR(AND(LEFT($A48, 16)="select_multiple ", LEN($A48)&gt;16, NOT(ISNUMBER(SEARCH(" ", $A48, 17)))), AND(LEFT($A48, 11)="select_one ", LEN($A48)&gt;11, NOT(ISNUMBER(SEARCH(" ", $A48, 12)))))</formula>
    </cfRule>
  </conditionalFormatting>
  <conditionalFormatting sqref="B48:B52">
    <cfRule type="expression" dxfId="6" priority="4493" stopIfTrue="1">
      <formula>OR($A48="audio audit", $A48="text audit", $A48="speed violations count", $A48="speed violations list", $A48="speed violations audit")</formula>
    </cfRule>
  </conditionalFormatting>
  <conditionalFormatting sqref="B48:C52 D48:E52">
    <cfRule type="expression" dxfId="32" priority="4494" stopIfTrue="1">
      <formula>$A48="file"</formula>
    </cfRule>
  </conditionalFormatting>
  <conditionalFormatting sqref="B48:C52 D48:E52">
    <cfRule type="expression" dxfId="7" priority="4495" stopIfTrue="1">
      <formula>$A48="note"</formula>
    </cfRule>
  </conditionalFormatting>
  <conditionalFormatting sqref="B48:C52 D48:E52">
    <cfRule type="expression" dxfId="8" priority="4496" stopIfTrue="1">
      <formula>$A48="barcode"</formula>
    </cfRule>
  </conditionalFormatting>
  <conditionalFormatting sqref="B48:C52 D48:E52">
    <cfRule type="expression" dxfId="9" priority="4497" stopIfTrue="1">
      <formula>OR($A48="geopoint", $A48="geoshape", $A48="geotrace")</formula>
    </cfRule>
  </conditionalFormatting>
  <conditionalFormatting sqref="B48:B52">
    <cfRule type="expression" dxfId="10" priority="4498" stopIfTrue="1">
      <formula>OR($A48="calculate", $A48="calculate_here")</formula>
    </cfRule>
  </conditionalFormatting>
  <conditionalFormatting sqref="B48:C52 D48:E52">
    <cfRule type="expression" dxfId="11" priority="4499" stopIfTrue="1">
      <formula>OR($A48="date", $A48="datetime", $A48="time")</formula>
    </cfRule>
  </conditionalFormatting>
  <conditionalFormatting sqref="B48:C52 D48:E52">
    <cfRule type="expression" dxfId="12" priority="4500" stopIfTrue="1">
      <formula>$A48="image"</formula>
    </cfRule>
  </conditionalFormatting>
  <conditionalFormatting sqref="B48:C52 D48:E52">
    <cfRule type="expression" dxfId="13" priority="4501" stopIfTrue="1">
      <formula>OR($A48="audio", $A48="video")</formula>
    </cfRule>
  </conditionalFormatting>
  <conditionalFormatting sqref="B48:E52">
    <cfRule type="expression" dxfId="33" priority="4502" stopIfTrue="1">
      <formula>$A48="file"</formula>
    </cfRule>
  </conditionalFormatting>
  <conditionalFormatting sqref="B48:E52">
    <cfRule type="expression" dxfId="34" priority="4503" stopIfTrue="1">
      <formula>$A48="enumerator"</formula>
    </cfRule>
  </conditionalFormatting>
  <conditionalFormatting sqref="B48:E52">
    <cfRule type="expression" dxfId="35" priority="4504" stopIfTrue="1">
      <formula>OR(AND(LEFT($A48, 14)="sensor_stream ", LEN($A48)&gt;14, NOT(ISNUMBER(SEARCH(" ", $A48, 15)))), AND(LEFT($A48, 17)="sensor_statistic ", LEN($A48)&gt;17, NOT(ISNUMBER(SEARCH(" ", $A48, 18)))))</formula>
    </cfRule>
  </conditionalFormatting>
  <conditionalFormatting sqref="B48:E52">
    <cfRule type="expression" dxfId="14" priority="4505" stopIfTrue="1">
      <formula>$A48="comments"</formula>
    </cfRule>
  </conditionalFormatting>
  <conditionalFormatting sqref="B48:E52">
    <cfRule type="expression" dxfId="15" priority="4506" stopIfTrue="1">
      <formula>OR($A48="audio", $A48="video")</formula>
    </cfRule>
  </conditionalFormatting>
  <conditionalFormatting sqref="B48:E52">
    <cfRule type="expression" dxfId="16" priority="4507" stopIfTrue="1">
      <formula>$A48="image"</formula>
    </cfRule>
  </conditionalFormatting>
  <conditionalFormatting sqref="B48:E52">
    <cfRule type="expression" dxfId="17" priority="4508" stopIfTrue="1">
      <formula>OR($A48="date", $A48="datetime", $A48="time")</formula>
    </cfRule>
  </conditionalFormatting>
  <conditionalFormatting sqref="B48:E52">
    <cfRule type="expression" dxfId="18" priority="4509" stopIfTrue="1">
      <formula>OR($A48="calculate", $A48="calculate_here")</formula>
    </cfRule>
  </conditionalFormatting>
  <conditionalFormatting sqref="B48:E52">
    <cfRule type="expression" dxfId="19" priority="4510" stopIfTrue="1">
      <formula>$A48="note"</formula>
    </cfRule>
  </conditionalFormatting>
  <conditionalFormatting sqref="B48:E52">
    <cfRule type="expression" dxfId="20" priority="4511" stopIfTrue="1">
      <formula>$A48="barcode"</formula>
    </cfRule>
  </conditionalFormatting>
  <conditionalFormatting sqref="B48:E52">
    <cfRule type="expression" dxfId="21" priority="4512" stopIfTrue="1">
      <formula>OR($A48="geopoint", $A48="geoshape", $A48="geotrace")</formula>
    </cfRule>
  </conditionalFormatting>
  <conditionalFormatting sqref="B48:E52">
    <cfRule type="expression" dxfId="22" priority="4513" stopIfTrue="1">
      <formula>OR($A48="audio audit", $A48="text audit", $A48="speed violations count", $A48="speed violations list", $A48="speed violations audit")</formula>
    </cfRule>
  </conditionalFormatting>
  <conditionalFormatting sqref="B48:E52">
    <cfRule type="expression" dxfId="23" priority="4514" stopIfTrue="1">
      <formula>OR($A48="username", $A48="phonenumber", $A48="start", $A48="end", $A48="deviceid", $A48="subscriberid", $A48="simserial", $A48="caseid")</formula>
    </cfRule>
  </conditionalFormatting>
  <conditionalFormatting sqref="B48:E52">
    <cfRule type="expression" dxfId="24" priority="4515" stopIfTrue="1">
      <formula>OR(AND(LEFT($A48, 16)="select_multiple ", LEN($A48)&gt;16, NOT(ISNUMBER(SEARCH(" ", $A48, 17)))), AND(LEFT($A48, 11)="select_one ", LEN($A48)&gt;11, NOT(ISNUMBER(SEARCH(" ", $A48, 12)))))</formula>
    </cfRule>
  </conditionalFormatting>
  <conditionalFormatting sqref="B48:E52">
    <cfRule type="expression" dxfId="25" priority="4516" stopIfTrue="1">
      <formula>$A48="decimal"</formula>
    </cfRule>
  </conditionalFormatting>
  <conditionalFormatting sqref="B48:E52">
    <cfRule type="expression" dxfId="26" priority="4517" stopIfTrue="1">
      <formula>$A48="integer"</formula>
    </cfRule>
  </conditionalFormatting>
  <conditionalFormatting sqref="B48:E52">
    <cfRule type="expression" dxfId="27" priority="4518" stopIfTrue="1">
      <formula>$A48="text"</formula>
    </cfRule>
  </conditionalFormatting>
  <conditionalFormatting sqref="B48:E52">
    <cfRule type="expression" dxfId="28" priority="4519" stopIfTrue="1">
      <formula>$A48="end repeat"</formula>
    </cfRule>
  </conditionalFormatting>
  <conditionalFormatting sqref="B48:E52">
    <cfRule type="expression" dxfId="28" priority="4520" stopIfTrue="1">
      <formula>$A48="begin repeat"</formula>
    </cfRule>
  </conditionalFormatting>
  <conditionalFormatting sqref="B48:E52">
    <cfRule type="expression" dxfId="29" priority="4521" stopIfTrue="1">
      <formula>$A48="end group"</formula>
    </cfRule>
  </conditionalFormatting>
  <conditionalFormatting sqref="B48:E52">
    <cfRule type="expression" dxfId="29" priority="4522" stopIfTrue="1">
      <formula>$A48="begin group"</formula>
    </cfRule>
  </conditionalFormatting>
  <conditionalFormatting sqref="B48:B52">
    <cfRule type="expression" dxfId="30" priority="4523" stopIfTrue="1">
      <formula>$A48="comments"</formula>
    </cfRule>
  </conditionalFormatting>
  <conditionalFormatting sqref="B48:B52">
    <cfRule type="expression" dxfId="36" priority="4524" stopIfTrue="1">
      <formula>OR(AND(LEFT($A48, 14)="sensor_stream ", LEN($A48)&gt;14, NOT(ISNUMBER(SEARCH(" ", $A48, 15)))), AND(LEFT($A48, 17)="sensor_statistic ", LEN($A48)&gt;17, NOT(ISNUMBER(SEARCH(" ", $A48, 18)))))</formula>
    </cfRule>
  </conditionalFormatting>
  <conditionalFormatting sqref="B34:C34 D34:E34">
    <cfRule type="expression" dxfId="0" priority="4525" stopIfTrue="1">
      <formula>$A34="begin group"</formula>
    </cfRule>
  </conditionalFormatting>
  <conditionalFormatting sqref="B34:C34 D34:E34">
    <cfRule type="expression" dxfId="1" priority="4526" stopIfTrue="1">
      <formula>$A34="begin repeat"</formula>
    </cfRule>
  </conditionalFormatting>
  <conditionalFormatting sqref="B34:E34">
    <cfRule type="expression" dxfId="31" priority="4527" stopIfTrue="1">
      <formula>$A34="enumerator"</formula>
    </cfRule>
  </conditionalFormatting>
  <conditionalFormatting sqref="B34:E34">
    <cfRule type="expression" dxfId="2" priority="4528" stopIfTrue="1">
      <formula>$A34="text"</formula>
    </cfRule>
  </conditionalFormatting>
  <conditionalFormatting sqref="B34:E34">
    <cfRule type="expression" dxfId="3" priority="4529" stopIfTrue="1">
      <formula>$A34="integer"</formula>
    </cfRule>
  </conditionalFormatting>
  <conditionalFormatting sqref="B34:E34">
    <cfRule type="expression" dxfId="4" priority="4530" stopIfTrue="1">
      <formula>$A34="decimal"</formula>
    </cfRule>
  </conditionalFormatting>
  <conditionalFormatting sqref="B34:C34 D34:E34">
    <cfRule type="expression" dxfId="5" priority="4531" stopIfTrue="1">
      <formula>OR(AND(LEFT($A34, 16)="select_multiple ", LEN($A34)&gt;16, NOT(ISNUMBER(SEARCH(" ", $A34, 17)))), AND(LEFT($A34, 11)="select_one ", LEN($A34)&gt;11, NOT(ISNUMBER(SEARCH(" ", $A34, 12)))))</formula>
    </cfRule>
  </conditionalFormatting>
  <conditionalFormatting sqref="B34">
    <cfRule type="expression" dxfId="6" priority="4532" stopIfTrue="1">
      <formula>OR($A34="audio audit", $A34="text audit", $A34="speed violations count", $A34="speed violations list", $A34="speed violations audit")</formula>
    </cfRule>
  </conditionalFormatting>
  <conditionalFormatting sqref="B34:C34 D34:E34">
    <cfRule type="expression" dxfId="32" priority="4533" stopIfTrue="1">
      <formula>$A34="file"</formula>
    </cfRule>
  </conditionalFormatting>
  <conditionalFormatting sqref="B34:C34 D34:E34">
    <cfRule type="expression" dxfId="7" priority="4534" stopIfTrue="1">
      <formula>$A34="note"</formula>
    </cfRule>
  </conditionalFormatting>
  <conditionalFormatting sqref="B34:C34 D34:E34">
    <cfRule type="expression" dxfId="8" priority="4535" stopIfTrue="1">
      <formula>$A34="barcode"</formula>
    </cfRule>
  </conditionalFormatting>
  <conditionalFormatting sqref="B34:C34 D34:E34">
    <cfRule type="expression" dxfId="9" priority="4536" stopIfTrue="1">
      <formula>OR($A34="geopoint", $A34="geoshape", $A34="geotrace")</formula>
    </cfRule>
  </conditionalFormatting>
  <conditionalFormatting sqref="B34">
    <cfRule type="expression" dxfId="10" priority="4537" stopIfTrue="1">
      <formula>OR($A34="calculate", $A34="calculate_here")</formula>
    </cfRule>
  </conditionalFormatting>
  <conditionalFormatting sqref="B34:C34 D34:E34">
    <cfRule type="expression" dxfId="11" priority="4538" stopIfTrue="1">
      <formula>OR($A34="date", $A34="datetime", $A34="time")</formula>
    </cfRule>
  </conditionalFormatting>
  <conditionalFormatting sqref="B34:C34 D34:E34">
    <cfRule type="expression" dxfId="12" priority="4539" stopIfTrue="1">
      <formula>$A34="image"</formula>
    </cfRule>
  </conditionalFormatting>
  <conditionalFormatting sqref="B34:C34 D34:E34">
    <cfRule type="expression" dxfId="13" priority="4540" stopIfTrue="1">
      <formula>OR($A34="audio", $A34="video")</formula>
    </cfRule>
  </conditionalFormatting>
  <conditionalFormatting sqref="B34:E34">
    <cfRule type="expression" dxfId="33" priority="4541" stopIfTrue="1">
      <formula>$A34="file"</formula>
    </cfRule>
  </conditionalFormatting>
  <conditionalFormatting sqref="B34:E34">
    <cfRule type="expression" dxfId="34" priority="4542" stopIfTrue="1">
      <formula>$A34="enumerator"</formula>
    </cfRule>
  </conditionalFormatting>
  <conditionalFormatting sqref="B34:E34">
    <cfRule type="expression" dxfId="35" priority="4543" stopIfTrue="1">
      <formula>OR(AND(LEFT($A34, 14)="sensor_stream ", LEN($A34)&gt;14, NOT(ISNUMBER(SEARCH(" ", $A34, 15)))), AND(LEFT($A34, 17)="sensor_statistic ", LEN($A34)&gt;17, NOT(ISNUMBER(SEARCH(" ", $A34, 18)))))</formula>
    </cfRule>
  </conditionalFormatting>
  <conditionalFormatting sqref="B34:E34">
    <cfRule type="expression" dxfId="14" priority="4544" stopIfTrue="1">
      <formula>$A34="comments"</formula>
    </cfRule>
  </conditionalFormatting>
  <conditionalFormatting sqref="B34:E34">
    <cfRule type="expression" dxfId="15" priority="4545" stopIfTrue="1">
      <formula>OR($A34="audio", $A34="video")</formula>
    </cfRule>
  </conditionalFormatting>
  <conditionalFormatting sqref="B34:E34">
    <cfRule type="expression" dxfId="16" priority="4546" stopIfTrue="1">
      <formula>$A34="image"</formula>
    </cfRule>
  </conditionalFormatting>
  <conditionalFormatting sqref="B34:E34">
    <cfRule type="expression" dxfId="17" priority="4547" stopIfTrue="1">
      <formula>OR($A34="date", $A34="datetime", $A34="time")</formula>
    </cfRule>
  </conditionalFormatting>
  <conditionalFormatting sqref="B34:E34">
    <cfRule type="expression" dxfId="18" priority="4548" stopIfTrue="1">
      <formula>OR($A34="calculate", $A34="calculate_here")</formula>
    </cfRule>
  </conditionalFormatting>
  <conditionalFormatting sqref="B34:E34">
    <cfRule type="expression" dxfId="19" priority="4549" stopIfTrue="1">
      <formula>$A34="note"</formula>
    </cfRule>
  </conditionalFormatting>
  <conditionalFormatting sqref="B34:E34">
    <cfRule type="expression" dxfId="20" priority="4550" stopIfTrue="1">
      <formula>$A34="barcode"</formula>
    </cfRule>
  </conditionalFormatting>
  <conditionalFormatting sqref="B34:E34">
    <cfRule type="expression" dxfId="21" priority="4551" stopIfTrue="1">
      <formula>OR($A34="geopoint", $A34="geoshape", $A34="geotrace")</formula>
    </cfRule>
  </conditionalFormatting>
  <conditionalFormatting sqref="B34:E34">
    <cfRule type="expression" dxfId="22" priority="4552" stopIfTrue="1">
      <formula>OR($A34="audio audit", $A34="text audit", $A34="speed violations count", $A34="speed violations list", $A34="speed violations audit")</formula>
    </cfRule>
  </conditionalFormatting>
  <conditionalFormatting sqref="B34:E34">
    <cfRule type="expression" dxfId="23" priority="4553" stopIfTrue="1">
      <formula>OR($A34="username", $A34="phonenumber", $A34="start", $A34="end", $A34="deviceid", $A34="subscriberid", $A34="simserial", $A34="caseid")</formula>
    </cfRule>
  </conditionalFormatting>
  <conditionalFormatting sqref="B34:E34">
    <cfRule type="expression" dxfId="24" priority="4554" stopIfTrue="1">
      <formula>OR(AND(LEFT($A34, 16)="select_multiple ", LEN($A34)&gt;16, NOT(ISNUMBER(SEARCH(" ", $A34, 17)))), AND(LEFT($A34, 11)="select_one ", LEN($A34)&gt;11, NOT(ISNUMBER(SEARCH(" ", $A34, 12)))))</formula>
    </cfRule>
  </conditionalFormatting>
  <conditionalFormatting sqref="B34:E34">
    <cfRule type="expression" dxfId="25" priority="4555" stopIfTrue="1">
      <formula>$A34="decimal"</formula>
    </cfRule>
  </conditionalFormatting>
  <conditionalFormatting sqref="B34:E34">
    <cfRule type="expression" dxfId="26" priority="4556" stopIfTrue="1">
      <formula>$A34="integer"</formula>
    </cfRule>
  </conditionalFormatting>
  <conditionalFormatting sqref="B34:E34">
    <cfRule type="expression" dxfId="27" priority="4557" stopIfTrue="1">
      <formula>$A34="text"</formula>
    </cfRule>
  </conditionalFormatting>
  <conditionalFormatting sqref="B34:E34">
    <cfRule type="expression" dxfId="28" priority="4558" stopIfTrue="1">
      <formula>$A34="end repeat"</formula>
    </cfRule>
  </conditionalFormatting>
  <conditionalFormatting sqref="B34:E34">
    <cfRule type="expression" dxfId="28" priority="4559" stopIfTrue="1">
      <formula>$A34="begin repeat"</formula>
    </cfRule>
  </conditionalFormatting>
  <conditionalFormatting sqref="B34:E34">
    <cfRule type="expression" dxfId="29" priority="4560" stopIfTrue="1">
      <formula>$A34="end group"</formula>
    </cfRule>
  </conditionalFormatting>
  <conditionalFormatting sqref="B34:E34">
    <cfRule type="expression" dxfId="29" priority="4561" stopIfTrue="1">
      <formula>$A34="begin group"</formula>
    </cfRule>
  </conditionalFormatting>
  <conditionalFormatting sqref="B34">
    <cfRule type="expression" dxfId="30" priority="4562" stopIfTrue="1">
      <formula>$A34="comments"</formula>
    </cfRule>
  </conditionalFormatting>
  <conditionalFormatting sqref="B34">
    <cfRule type="expression" dxfId="36" priority="4563" stopIfTrue="1">
      <formula>OR(AND(LEFT($A34, 14)="sensor_stream ", LEN($A34)&gt;14, NOT(ISNUMBER(SEARCH(" ", $A34, 15)))), AND(LEFT($A34, 17)="sensor_statistic ", LEN($A34)&gt;17, NOT(ISNUMBER(SEARCH(" ", $A34, 18)))))</formula>
    </cfRule>
  </conditionalFormatting>
  <conditionalFormatting sqref="B24:C24 D24:E24">
    <cfRule type="expression" dxfId="0" priority="4564" stopIfTrue="1">
      <formula>$A24="begin group"</formula>
    </cfRule>
  </conditionalFormatting>
  <conditionalFormatting sqref="B24:C24 D24:E24">
    <cfRule type="expression" dxfId="1" priority="4565" stopIfTrue="1">
      <formula>$A24="begin repeat"</formula>
    </cfRule>
  </conditionalFormatting>
  <conditionalFormatting sqref="B24:E24">
    <cfRule type="expression" dxfId="31" priority="4566" stopIfTrue="1">
      <formula>$A24="enumerator"</formula>
    </cfRule>
  </conditionalFormatting>
  <conditionalFormatting sqref="B24:E24">
    <cfRule type="expression" dxfId="2" priority="4567" stopIfTrue="1">
      <formula>$A24="text"</formula>
    </cfRule>
  </conditionalFormatting>
  <conditionalFormatting sqref="B24:E24">
    <cfRule type="expression" dxfId="3" priority="4568" stopIfTrue="1">
      <formula>$A24="integer"</formula>
    </cfRule>
  </conditionalFormatting>
  <conditionalFormatting sqref="B24:E24">
    <cfRule type="expression" dxfId="4" priority="4569" stopIfTrue="1">
      <formula>$A24="decimal"</formula>
    </cfRule>
  </conditionalFormatting>
  <conditionalFormatting sqref="B24:C24 D24:E24">
    <cfRule type="expression" dxfId="5" priority="4570" stopIfTrue="1">
      <formula>OR(AND(LEFT($A24, 16)="select_multiple ", LEN($A24)&gt;16, NOT(ISNUMBER(SEARCH(" ", $A24, 17)))), AND(LEFT($A24, 11)="select_one ", LEN($A24)&gt;11, NOT(ISNUMBER(SEARCH(" ", $A24, 12)))))</formula>
    </cfRule>
  </conditionalFormatting>
  <conditionalFormatting sqref="B24">
    <cfRule type="expression" dxfId="6" priority="4571" stopIfTrue="1">
      <formula>OR($A24="audio audit", $A24="text audit", $A24="speed violations count", $A24="speed violations list", $A24="speed violations audit")</formula>
    </cfRule>
  </conditionalFormatting>
  <conditionalFormatting sqref="B24:C24 D24:E24">
    <cfRule type="expression" dxfId="32" priority="4572" stopIfTrue="1">
      <formula>$A24="file"</formula>
    </cfRule>
  </conditionalFormatting>
  <conditionalFormatting sqref="B24:C24 D24:E24">
    <cfRule type="expression" dxfId="7" priority="4573" stopIfTrue="1">
      <formula>$A24="note"</formula>
    </cfRule>
  </conditionalFormatting>
  <conditionalFormatting sqref="B24:C24 D24:E24">
    <cfRule type="expression" dxfId="8" priority="4574" stopIfTrue="1">
      <formula>$A24="barcode"</formula>
    </cfRule>
  </conditionalFormatting>
  <conditionalFormatting sqref="B24:C24 D24:E24">
    <cfRule type="expression" dxfId="9" priority="4575" stopIfTrue="1">
      <formula>OR($A24="geopoint", $A24="geoshape", $A24="geotrace")</formula>
    </cfRule>
  </conditionalFormatting>
  <conditionalFormatting sqref="B24">
    <cfRule type="expression" dxfId="10" priority="4576" stopIfTrue="1">
      <formula>OR($A24="calculate", $A24="calculate_here")</formula>
    </cfRule>
  </conditionalFormatting>
  <conditionalFormatting sqref="B24:C24 D24:E24">
    <cfRule type="expression" dxfId="11" priority="4577" stopIfTrue="1">
      <formula>OR($A24="date", $A24="datetime", $A24="time")</formula>
    </cfRule>
  </conditionalFormatting>
  <conditionalFormatting sqref="B24:C24 D24:E24">
    <cfRule type="expression" dxfId="12" priority="4578" stopIfTrue="1">
      <formula>$A24="image"</formula>
    </cfRule>
  </conditionalFormatting>
  <conditionalFormatting sqref="B24:C24 D24:E24">
    <cfRule type="expression" dxfId="13" priority="4579" stopIfTrue="1">
      <formula>OR($A24="audio", $A24="video")</formula>
    </cfRule>
  </conditionalFormatting>
  <conditionalFormatting sqref="B24:E24">
    <cfRule type="expression" dxfId="33" priority="4580" stopIfTrue="1">
      <formula>$A24="file"</formula>
    </cfRule>
  </conditionalFormatting>
  <conditionalFormatting sqref="B24:E24">
    <cfRule type="expression" dxfId="34" priority="4581" stopIfTrue="1">
      <formula>$A24="enumerator"</formula>
    </cfRule>
  </conditionalFormatting>
  <conditionalFormatting sqref="B24:E24">
    <cfRule type="expression" dxfId="35" priority="4582" stopIfTrue="1">
      <formula>OR(AND(LEFT($A24, 14)="sensor_stream ", LEN($A24)&gt;14, NOT(ISNUMBER(SEARCH(" ", $A24, 15)))), AND(LEFT($A24, 17)="sensor_statistic ", LEN($A24)&gt;17, NOT(ISNUMBER(SEARCH(" ", $A24, 18)))))</formula>
    </cfRule>
  </conditionalFormatting>
  <conditionalFormatting sqref="B24:E24">
    <cfRule type="expression" dxfId="14" priority="4583" stopIfTrue="1">
      <formula>$A24="comments"</formula>
    </cfRule>
  </conditionalFormatting>
  <conditionalFormatting sqref="B24:E24">
    <cfRule type="expression" dxfId="15" priority="4584" stopIfTrue="1">
      <formula>OR($A24="audio", $A24="video")</formula>
    </cfRule>
  </conditionalFormatting>
  <conditionalFormatting sqref="B24:E24">
    <cfRule type="expression" dxfId="16" priority="4585" stopIfTrue="1">
      <formula>$A24="image"</formula>
    </cfRule>
  </conditionalFormatting>
  <conditionalFormatting sqref="B24:E24">
    <cfRule type="expression" dxfId="17" priority="4586" stopIfTrue="1">
      <formula>OR($A24="date", $A24="datetime", $A24="time")</formula>
    </cfRule>
  </conditionalFormatting>
  <conditionalFormatting sqref="B24:E24">
    <cfRule type="expression" dxfId="18" priority="4587" stopIfTrue="1">
      <formula>OR($A24="calculate", $A24="calculate_here")</formula>
    </cfRule>
  </conditionalFormatting>
  <conditionalFormatting sqref="B24:E24">
    <cfRule type="expression" dxfId="19" priority="4588" stopIfTrue="1">
      <formula>$A24="note"</formula>
    </cfRule>
  </conditionalFormatting>
  <conditionalFormatting sqref="B24:E24">
    <cfRule type="expression" dxfId="20" priority="4589" stopIfTrue="1">
      <formula>$A24="barcode"</formula>
    </cfRule>
  </conditionalFormatting>
  <conditionalFormatting sqref="B24:E24">
    <cfRule type="expression" dxfId="21" priority="4590" stopIfTrue="1">
      <formula>OR($A24="geopoint", $A24="geoshape", $A24="geotrace")</formula>
    </cfRule>
  </conditionalFormatting>
  <conditionalFormatting sqref="B24:E24">
    <cfRule type="expression" dxfId="22" priority="4591" stopIfTrue="1">
      <formula>OR($A24="audio audit", $A24="text audit", $A24="speed violations count", $A24="speed violations list", $A24="speed violations audit")</formula>
    </cfRule>
  </conditionalFormatting>
  <conditionalFormatting sqref="B24:E24">
    <cfRule type="expression" dxfId="23" priority="4592" stopIfTrue="1">
      <formula>OR($A24="username", $A24="phonenumber", $A24="start", $A24="end", $A24="deviceid", $A24="subscriberid", $A24="simserial", $A24="caseid")</formula>
    </cfRule>
  </conditionalFormatting>
  <conditionalFormatting sqref="B24:E24">
    <cfRule type="expression" dxfId="24" priority="4593" stopIfTrue="1">
      <formula>OR(AND(LEFT($A24, 16)="select_multiple ", LEN($A24)&gt;16, NOT(ISNUMBER(SEARCH(" ", $A24, 17)))), AND(LEFT($A24, 11)="select_one ", LEN($A24)&gt;11, NOT(ISNUMBER(SEARCH(" ", $A24, 12)))))</formula>
    </cfRule>
  </conditionalFormatting>
  <conditionalFormatting sqref="B24:E24">
    <cfRule type="expression" dxfId="25" priority="4594" stopIfTrue="1">
      <formula>$A24="decimal"</formula>
    </cfRule>
  </conditionalFormatting>
  <conditionalFormatting sqref="B24:E24">
    <cfRule type="expression" dxfId="26" priority="4595" stopIfTrue="1">
      <formula>$A24="integer"</formula>
    </cfRule>
  </conditionalFormatting>
  <conditionalFormatting sqref="B24:E24">
    <cfRule type="expression" dxfId="27" priority="4596" stopIfTrue="1">
      <formula>$A24="text"</formula>
    </cfRule>
  </conditionalFormatting>
  <conditionalFormatting sqref="B24:E24">
    <cfRule type="expression" dxfId="28" priority="4597" stopIfTrue="1">
      <formula>$A24="end repeat"</formula>
    </cfRule>
  </conditionalFormatting>
  <conditionalFormatting sqref="B24:E24">
    <cfRule type="expression" dxfId="28" priority="4598" stopIfTrue="1">
      <formula>$A24="begin repeat"</formula>
    </cfRule>
  </conditionalFormatting>
  <conditionalFormatting sqref="B24:E24">
    <cfRule type="expression" dxfId="29" priority="4599" stopIfTrue="1">
      <formula>$A24="end group"</formula>
    </cfRule>
  </conditionalFormatting>
  <conditionalFormatting sqref="B24:E24">
    <cfRule type="expression" dxfId="29" priority="4600" stopIfTrue="1">
      <formula>$A24="begin group"</formula>
    </cfRule>
  </conditionalFormatting>
  <conditionalFormatting sqref="B24">
    <cfRule type="expression" dxfId="30" priority="4601" stopIfTrue="1">
      <formula>$A24="comments"</formula>
    </cfRule>
  </conditionalFormatting>
  <conditionalFormatting sqref="B24">
    <cfRule type="expression" dxfId="36" priority="4602" stopIfTrue="1">
      <formula>OR(AND(LEFT($A24, 14)="sensor_stream ", LEN($A24)&gt;14, NOT(ISNUMBER(SEARCH(" ", $A24, 15)))), AND(LEFT($A24, 17)="sensor_statistic ", LEN($A24)&gt;17, NOT(ISNUMBER(SEARCH(" ", $A24, 18)))))</formula>
    </cfRule>
  </conditionalFormatting>
  <conditionalFormatting sqref="B20:C20 D20:E20">
    <cfRule type="expression" dxfId="0" priority="4603" stopIfTrue="1">
      <formula>$A20="begin group"</formula>
    </cfRule>
  </conditionalFormatting>
  <conditionalFormatting sqref="B20:C20 D20:E20">
    <cfRule type="expression" dxfId="1" priority="4604" stopIfTrue="1">
      <formula>$A20="begin repeat"</formula>
    </cfRule>
  </conditionalFormatting>
  <conditionalFormatting sqref="B20:E20">
    <cfRule type="expression" dxfId="31" priority="4605" stopIfTrue="1">
      <formula>$A20="enumerator"</formula>
    </cfRule>
  </conditionalFormatting>
  <conditionalFormatting sqref="B20:E20">
    <cfRule type="expression" dxfId="2" priority="4606" stopIfTrue="1">
      <formula>$A20="text"</formula>
    </cfRule>
  </conditionalFormatting>
  <conditionalFormatting sqref="B20:E20">
    <cfRule type="expression" dxfId="3" priority="4607" stopIfTrue="1">
      <formula>$A20="integer"</formula>
    </cfRule>
  </conditionalFormatting>
  <conditionalFormatting sqref="B20:E20">
    <cfRule type="expression" dxfId="4" priority="4608" stopIfTrue="1">
      <formula>$A20="decimal"</formula>
    </cfRule>
  </conditionalFormatting>
  <conditionalFormatting sqref="B20:C20 D20:E20">
    <cfRule type="expression" dxfId="5" priority="4609" stopIfTrue="1">
      <formula>OR(AND(LEFT($A20, 16)="select_multiple ", LEN($A20)&gt;16, NOT(ISNUMBER(SEARCH(" ", $A20, 17)))), AND(LEFT($A20, 11)="select_one ", LEN($A20)&gt;11, NOT(ISNUMBER(SEARCH(" ", $A20, 12)))))</formula>
    </cfRule>
  </conditionalFormatting>
  <conditionalFormatting sqref="B20">
    <cfRule type="expression" dxfId="6" priority="4610" stopIfTrue="1">
      <formula>OR($A20="audio audit", $A20="text audit", $A20="speed violations count", $A20="speed violations list", $A20="speed violations audit")</formula>
    </cfRule>
  </conditionalFormatting>
  <conditionalFormatting sqref="B20:C20 D20:E20">
    <cfRule type="expression" dxfId="32" priority="4611" stopIfTrue="1">
      <formula>$A20="file"</formula>
    </cfRule>
  </conditionalFormatting>
  <conditionalFormatting sqref="B20:C20 D20:E20">
    <cfRule type="expression" dxfId="7" priority="4612" stopIfTrue="1">
      <formula>$A20="note"</formula>
    </cfRule>
  </conditionalFormatting>
  <conditionalFormatting sqref="B20:C20 D20:E20">
    <cfRule type="expression" dxfId="8" priority="4613" stopIfTrue="1">
      <formula>$A20="barcode"</formula>
    </cfRule>
  </conditionalFormatting>
  <conditionalFormatting sqref="B20:C20 D20:E20">
    <cfRule type="expression" dxfId="9" priority="4614" stopIfTrue="1">
      <formula>OR($A20="geopoint", $A20="geoshape", $A20="geotrace")</formula>
    </cfRule>
  </conditionalFormatting>
  <conditionalFormatting sqref="B20">
    <cfRule type="expression" dxfId="10" priority="4615" stopIfTrue="1">
      <formula>OR($A20="calculate", $A20="calculate_here")</formula>
    </cfRule>
  </conditionalFormatting>
  <conditionalFormatting sqref="B20:C20 D20:E20">
    <cfRule type="expression" dxfId="11" priority="4616" stopIfTrue="1">
      <formula>OR($A20="date", $A20="datetime", $A20="time")</formula>
    </cfRule>
  </conditionalFormatting>
  <conditionalFormatting sqref="B20:C20 D20:E20">
    <cfRule type="expression" dxfId="12" priority="4617" stopIfTrue="1">
      <formula>$A20="image"</formula>
    </cfRule>
  </conditionalFormatting>
  <conditionalFormatting sqref="B20:C20 D20:E20">
    <cfRule type="expression" dxfId="13" priority="4618" stopIfTrue="1">
      <formula>OR($A20="audio", $A20="video")</formula>
    </cfRule>
  </conditionalFormatting>
  <conditionalFormatting sqref="B20:E20">
    <cfRule type="expression" dxfId="33" priority="4619" stopIfTrue="1">
      <formula>$A20="file"</formula>
    </cfRule>
  </conditionalFormatting>
  <conditionalFormatting sqref="B20:E20">
    <cfRule type="expression" dxfId="34" priority="4620" stopIfTrue="1">
      <formula>$A20="enumerator"</formula>
    </cfRule>
  </conditionalFormatting>
  <conditionalFormatting sqref="B20:E20">
    <cfRule type="expression" dxfId="35" priority="4621" stopIfTrue="1">
      <formula>OR(AND(LEFT($A20, 14)="sensor_stream ", LEN($A20)&gt;14, NOT(ISNUMBER(SEARCH(" ", $A20, 15)))), AND(LEFT($A20, 17)="sensor_statistic ", LEN($A20)&gt;17, NOT(ISNUMBER(SEARCH(" ", $A20, 18)))))</formula>
    </cfRule>
  </conditionalFormatting>
  <conditionalFormatting sqref="B20:E20">
    <cfRule type="expression" dxfId="14" priority="4622" stopIfTrue="1">
      <formula>$A20="comments"</formula>
    </cfRule>
  </conditionalFormatting>
  <conditionalFormatting sqref="B20:E20">
    <cfRule type="expression" dxfId="15" priority="4623" stopIfTrue="1">
      <formula>OR($A20="audio", $A20="video")</formula>
    </cfRule>
  </conditionalFormatting>
  <conditionalFormatting sqref="B20:E20">
    <cfRule type="expression" dxfId="16" priority="4624" stopIfTrue="1">
      <formula>$A20="image"</formula>
    </cfRule>
  </conditionalFormatting>
  <conditionalFormatting sqref="B20:E20">
    <cfRule type="expression" dxfId="17" priority="4625" stopIfTrue="1">
      <formula>OR($A20="date", $A20="datetime", $A20="time")</formula>
    </cfRule>
  </conditionalFormatting>
  <conditionalFormatting sqref="B20:E20">
    <cfRule type="expression" dxfId="18" priority="4626" stopIfTrue="1">
      <formula>OR($A20="calculate", $A20="calculate_here")</formula>
    </cfRule>
  </conditionalFormatting>
  <conditionalFormatting sqref="B20:E20">
    <cfRule type="expression" dxfId="19" priority="4627" stopIfTrue="1">
      <formula>$A20="note"</formula>
    </cfRule>
  </conditionalFormatting>
  <conditionalFormatting sqref="B20:E20">
    <cfRule type="expression" dxfId="20" priority="4628" stopIfTrue="1">
      <formula>$A20="barcode"</formula>
    </cfRule>
  </conditionalFormatting>
  <conditionalFormatting sqref="B20:E20">
    <cfRule type="expression" dxfId="21" priority="4629" stopIfTrue="1">
      <formula>OR($A20="geopoint", $A20="geoshape", $A20="geotrace")</formula>
    </cfRule>
  </conditionalFormatting>
  <conditionalFormatting sqref="B20:E20">
    <cfRule type="expression" dxfId="22" priority="4630" stopIfTrue="1">
      <formula>OR($A20="audio audit", $A20="text audit", $A20="speed violations count", $A20="speed violations list", $A20="speed violations audit")</formula>
    </cfRule>
  </conditionalFormatting>
  <conditionalFormatting sqref="B20:E20">
    <cfRule type="expression" dxfId="23" priority="4631" stopIfTrue="1">
      <formula>OR($A20="username", $A20="phonenumber", $A20="start", $A20="end", $A20="deviceid", $A20="subscriberid", $A20="simserial", $A20="caseid")</formula>
    </cfRule>
  </conditionalFormatting>
  <conditionalFormatting sqref="B20:E20">
    <cfRule type="expression" dxfId="24" priority="4632" stopIfTrue="1">
      <formula>OR(AND(LEFT($A20, 16)="select_multiple ", LEN($A20)&gt;16, NOT(ISNUMBER(SEARCH(" ", $A20, 17)))), AND(LEFT($A20, 11)="select_one ", LEN($A20)&gt;11, NOT(ISNUMBER(SEARCH(" ", $A20, 12)))))</formula>
    </cfRule>
  </conditionalFormatting>
  <conditionalFormatting sqref="B20:E20">
    <cfRule type="expression" dxfId="25" priority="4633" stopIfTrue="1">
      <formula>$A20="decimal"</formula>
    </cfRule>
  </conditionalFormatting>
  <conditionalFormatting sqref="B20:E20">
    <cfRule type="expression" dxfId="26" priority="4634" stopIfTrue="1">
      <formula>$A20="integer"</formula>
    </cfRule>
  </conditionalFormatting>
  <conditionalFormatting sqref="B20:E20">
    <cfRule type="expression" dxfId="27" priority="4635" stopIfTrue="1">
      <formula>$A20="text"</formula>
    </cfRule>
  </conditionalFormatting>
  <conditionalFormatting sqref="B20:E20">
    <cfRule type="expression" dxfId="28" priority="4636" stopIfTrue="1">
      <formula>$A20="end repeat"</formula>
    </cfRule>
  </conditionalFormatting>
  <conditionalFormatting sqref="B20:E20">
    <cfRule type="expression" dxfId="28" priority="4637" stopIfTrue="1">
      <formula>$A20="begin repeat"</formula>
    </cfRule>
  </conditionalFormatting>
  <conditionalFormatting sqref="B20:E20">
    <cfRule type="expression" dxfId="29" priority="4638" stopIfTrue="1">
      <formula>$A20="end group"</formula>
    </cfRule>
  </conditionalFormatting>
  <conditionalFormatting sqref="B20:E20">
    <cfRule type="expression" dxfId="29" priority="4639" stopIfTrue="1">
      <formula>$A20="begin group"</formula>
    </cfRule>
  </conditionalFormatting>
  <conditionalFormatting sqref="B20">
    <cfRule type="expression" dxfId="30" priority="4640" stopIfTrue="1">
      <formula>$A20="comments"</formula>
    </cfRule>
  </conditionalFormatting>
  <conditionalFormatting sqref="B20">
    <cfRule type="expression" dxfId="36" priority="4641" stopIfTrue="1">
      <formula>OR(AND(LEFT($A20, 14)="sensor_stream ", LEN($A20)&gt;14, NOT(ISNUMBER(SEARCH(" ", $A20, 15)))), AND(LEFT($A20, 17)="sensor_statistic ", LEN($A20)&gt;17, NOT(ISNUMBER(SEARCH(" ", $A20, 18)))))</formula>
    </cfRule>
  </conditionalFormatting>
  <conditionalFormatting sqref="B18:C18 D18:E18">
    <cfRule type="expression" dxfId="0" priority="4642" stopIfTrue="1">
      <formula>$A18="begin group"</formula>
    </cfRule>
  </conditionalFormatting>
  <conditionalFormatting sqref="B18:C18 D18:E18">
    <cfRule type="expression" dxfId="1" priority="4643" stopIfTrue="1">
      <formula>$A18="begin repeat"</formula>
    </cfRule>
  </conditionalFormatting>
  <conditionalFormatting sqref="B18:E18">
    <cfRule type="expression" dxfId="31" priority="4644" stopIfTrue="1">
      <formula>$A18="enumerator"</formula>
    </cfRule>
  </conditionalFormatting>
  <conditionalFormatting sqref="B18:E18">
    <cfRule type="expression" dxfId="2" priority="4645" stopIfTrue="1">
      <formula>$A18="text"</formula>
    </cfRule>
  </conditionalFormatting>
  <conditionalFormatting sqref="B18:E18">
    <cfRule type="expression" dxfId="3" priority="4646" stopIfTrue="1">
      <formula>$A18="integer"</formula>
    </cfRule>
  </conditionalFormatting>
  <conditionalFormatting sqref="B18:E18">
    <cfRule type="expression" dxfId="4" priority="4647" stopIfTrue="1">
      <formula>$A18="decimal"</formula>
    </cfRule>
  </conditionalFormatting>
  <conditionalFormatting sqref="B18:C18 D18:E18">
    <cfRule type="expression" dxfId="5" priority="4648" stopIfTrue="1">
      <formula>OR(AND(LEFT($A18, 16)="select_multiple ", LEN($A18)&gt;16, NOT(ISNUMBER(SEARCH(" ", $A18, 17)))), AND(LEFT($A18, 11)="select_one ", LEN($A18)&gt;11, NOT(ISNUMBER(SEARCH(" ", $A18, 12)))))</formula>
    </cfRule>
  </conditionalFormatting>
  <conditionalFormatting sqref="B18">
    <cfRule type="expression" dxfId="6" priority="4649" stopIfTrue="1">
      <formula>OR($A18="audio audit", $A18="text audit", $A18="speed violations count", $A18="speed violations list", $A18="speed violations audit")</formula>
    </cfRule>
  </conditionalFormatting>
  <conditionalFormatting sqref="B18:C18 D18:E18">
    <cfRule type="expression" dxfId="32" priority="4650" stopIfTrue="1">
      <formula>$A18="file"</formula>
    </cfRule>
  </conditionalFormatting>
  <conditionalFormatting sqref="B18:C18 D18:E18">
    <cfRule type="expression" dxfId="7" priority="4651" stopIfTrue="1">
      <formula>$A18="note"</formula>
    </cfRule>
  </conditionalFormatting>
  <conditionalFormatting sqref="B18:C18 D18:E18">
    <cfRule type="expression" dxfId="8" priority="4652" stopIfTrue="1">
      <formula>$A18="barcode"</formula>
    </cfRule>
  </conditionalFormatting>
  <conditionalFormatting sqref="B18:C18 D18:E18">
    <cfRule type="expression" dxfId="9" priority="4653" stopIfTrue="1">
      <formula>OR($A18="geopoint", $A18="geoshape", $A18="geotrace")</formula>
    </cfRule>
  </conditionalFormatting>
  <conditionalFormatting sqref="B18">
    <cfRule type="expression" dxfId="10" priority="4654" stopIfTrue="1">
      <formula>OR($A18="calculate", $A18="calculate_here")</formula>
    </cfRule>
  </conditionalFormatting>
  <conditionalFormatting sqref="B18:C18 D18:E18">
    <cfRule type="expression" dxfId="11" priority="4655" stopIfTrue="1">
      <formula>OR($A18="date", $A18="datetime", $A18="time")</formula>
    </cfRule>
  </conditionalFormatting>
  <conditionalFormatting sqref="B18:C18 D18:E18">
    <cfRule type="expression" dxfId="12" priority="4656" stopIfTrue="1">
      <formula>$A18="image"</formula>
    </cfRule>
  </conditionalFormatting>
  <conditionalFormatting sqref="B18:C18 D18:E18">
    <cfRule type="expression" dxfId="13" priority="4657" stopIfTrue="1">
      <formula>OR($A18="audio", $A18="video")</formula>
    </cfRule>
  </conditionalFormatting>
  <conditionalFormatting sqref="B18:E18">
    <cfRule type="expression" dxfId="33" priority="4658" stopIfTrue="1">
      <formula>$A18="file"</formula>
    </cfRule>
  </conditionalFormatting>
  <conditionalFormatting sqref="B18:E18">
    <cfRule type="expression" dxfId="34" priority="4659" stopIfTrue="1">
      <formula>$A18="enumerator"</formula>
    </cfRule>
  </conditionalFormatting>
  <conditionalFormatting sqref="B18:E18">
    <cfRule type="expression" dxfId="35" priority="4660" stopIfTrue="1">
      <formula>OR(AND(LEFT($A18, 14)="sensor_stream ", LEN($A18)&gt;14, NOT(ISNUMBER(SEARCH(" ", $A18, 15)))), AND(LEFT($A18, 17)="sensor_statistic ", LEN($A18)&gt;17, NOT(ISNUMBER(SEARCH(" ", $A18, 18)))))</formula>
    </cfRule>
  </conditionalFormatting>
  <conditionalFormatting sqref="B18:E18">
    <cfRule type="expression" dxfId="14" priority="4661" stopIfTrue="1">
      <formula>$A18="comments"</formula>
    </cfRule>
  </conditionalFormatting>
  <conditionalFormatting sqref="B18:E18">
    <cfRule type="expression" dxfId="15" priority="4662" stopIfTrue="1">
      <formula>OR($A18="audio", $A18="video")</formula>
    </cfRule>
  </conditionalFormatting>
  <conditionalFormatting sqref="B18:E18">
    <cfRule type="expression" dxfId="16" priority="4663" stopIfTrue="1">
      <formula>$A18="image"</formula>
    </cfRule>
  </conditionalFormatting>
  <conditionalFormatting sqref="B18:E18">
    <cfRule type="expression" dxfId="17" priority="4664" stopIfTrue="1">
      <formula>OR($A18="date", $A18="datetime", $A18="time")</formula>
    </cfRule>
  </conditionalFormatting>
  <conditionalFormatting sqref="B18:E18">
    <cfRule type="expression" dxfId="18" priority="4665" stopIfTrue="1">
      <formula>OR($A18="calculate", $A18="calculate_here")</formula>
    </cfRule>
  </conditionalFormatting>
  <conditionalFormatting sqref="B18:E18">
    <cfRule type="expression" dxfId="19" priority="4666" stopIfTrue="1">
      <formula>$A18="note"</formula>
    </cfRule>
  </conditionalFormatting>
  <conditionalFormatting sqref="B18:E18">
    <cfRule type="expression" dxfId="20" priority="4667" stopIfTrue="1">
      <formula>$A18="barcode"</formula>
    </cfRule>
  </conditionalFormatting>
  <conditionalFormatting sqref="B18:E18">
    <cfRule type="expression" dxfId="21" priority="4668" stopIfTrue="1">
      <formula>OR($A18="geopoint", $A18="geoshape", $A18="geotrace")</formula>
    </cfRule>
  </conditionalFormatting>
  <conditionalFormatting sqref="B18:E18">
    <cfRule type="expression" dxfId="22" priority="4669" stopIfTrue="1">
      <formula>OR($A18="audio audit", $A18="text audit", $A18="speed violations count", $A18="speed violations list", $A18="speed violations audit")</formula>
    </cfRule>
  </conditionalFormatting>
  <conditionalFormatting sqref="B18:E18">
    <cfRule type="expression" dxfId="23" priority="4670" stopIfTrue="1">
      <formula>OR($A18="username", $A18="phonenumber", $A18="start", $A18="end", $A18="deviceid", $A18="subscriberid", $A18="simserial", $A18="caseid")</formula>
    </cfRule>
  </conditionalFormatting>
  <conditionalFormatting sqref="B18:E18">
    <cfRule type="expression" dxfId="24" priority="4671" stopIfTrue="1">
      <formula>OR(AND(LEFT($A18, 16)="select_multiple ", LEN($A18)&gt;16, NOT(ISNUMBER(SEARCH(" ", $A18, 17)))), AND(LEFT($A18, 11)="select_one ", LEN($A18)&gt;11, NOT(ISNUMBER(SEARCH(" ", $A18, 12)))))</formula>
    </cfRule>
  </conditionalFormatting>
  <conditionalFormatting sqref="B18:E18">
    <cfRule type="expression" dxfId="25" priority="4672" stopIfTrue="1">
      <formula>$A18="decimal"</formula>
    </cfRule>
  </conditionalFormatting>
  <conditionalFormatting sqref="B18:E18">
    <cfRule type="expression" dxfId="26" priority="4673" stopIfTrue="1">
      <formula>$A18="integer"</formula>
    </cfRule>
  </conditionalFormatting>
  <conditionalFormatting sqref="B18:E18">
    <cfRule type="expression" dxfId="27" priority="4674" stopIfTrue="1">
      <formula>$A18="text"</formula>
    </cfRule>
  </conditionalFormatting>
  <conditionalFormatting sqref="B18:E18">
    <cfRule type="expression" dxfId="28" priority="4675" stopIfTrue="1">
      <formula>$A18="end repeat"</formula>
    </cfRule>
  </conditionalFormatting>
  <conditionalFormatting sqref="B18:E18">
    <cfRule type="expression" dxfId="28" priority="4676" stopIfTrue="1">
      <formula>$A18="begin repeat"</formula>
    </cfRule>
  </conditionalFormatting>
  <conditionalFormatting sqref="B18:E18">
    <cfRule type="expression" dxfId="29" priority="4677" stopIfTrue="1">
      <formula>$A18="end group"</formula>
    </cfRule>
  </conditionalFormatting>
  <conditionalFormatting sqref="B18:E18">
    <cfRule type="expression" dxfId="29" priority="4678" stopIfTrue="1">
      <formula>$A18="begin group"</formula>
    </cfRule>
  </conditionalFormatting>
  <conditionalFormatting sqref="B18">
    <cfRule type="expression" dxfId="30" priority="4679" stopIfTrue="1">
      <formula>$A18="comments"</formula>
    </cfRule>
  </conditionalFormatting>
  <conditionalFormatting sqref="B18">
    <cfRule type="expression" dxfId="36" priority="4680" stopIfTrue="1">
      <formula>OR(AND(LEFT($A18, 14)="sensor_stream ", LEN($A18)&gt;14, NOT(ISNUMBER(SEARCH(" ", $A18, 15)))), AND(LEFT($A18, 17)="sensor_statistic ", LEN($A18)&gt;17, NOT(ISNUMBER(SEARCH(" ", $A18, 18)))))</formula>
    </cfRule>
  </conditionalFormatting>
  <conditionalFormatting sqref="B14:C16 D16:E16">
    <cfRule type="expression" dxfId="0" priority="4681" stopIfTrue="1">
      <formula>$A14="begin group"</formula>
    </cfRule>
  </conditionalFormatting>
  <conditionalFormatting sqref="B14:C16 D16:E16">
    <cfRule type="expression" dxfId="1" priority="4682" stopIfTrue="1">
      <formula>$A14="begin repeat"</formula>
    </cfRule>
  </conditionalFormatting>
  <conditionalFormatting sqref="B14:E16">
    <cfRule type="expression" dxfId="31" priority="4683" stopIfTrue="1">
      <formula>$A14="enumerator"</formula>
    </cfRule>
  </conditionalFormatting>
  <conditionalFormatting sqref="B14:E16">
    <cfRule type="expression" dxfId="2" priority="4684" stopIfTrue="1">
      <formula>$A14="text"</formula>
    </cfRule>
  </conditionalFormatting>
  <conditionalFormatting sqref="B14:E16">
    <cfRule type="expression" dxfId="3" priority="4685" stopIfTrue="1">
      <formula>$A14="integer"</formula>
    </cfRule>
  </conditionalFormatting>
  <conditionalFormatting sqref="B14:E16">
    <cfRule type="expression" dxfId="4" priority="4686" stopIfTrue="1">
      <formula>$A14="decimal"</formula>
    </cfRule>
  </conditionalFormatting>
  <conditionalFormatting sqref="B14:C16 D16:E16">
    <cfRule type="expression" dxfId="5" priority="4687" stopIfTrue="1">
      <formula>OR(AND(LEFT($A14, 16)="select_multiple ", LEN($A14)&gt;16, NOT(ISNUMBER(SEARCH(" ", $A14, 17)))), AND(LEFT($A14, 11)="select_one ", LEN($A14)&gt;11, NOT(ISNUMBER(SEARCH(" ", $A14, 12)))))</formula>
    </cfRule>
  </conditionalFormatting>
  <conditionalFormatting sqref="B14:B16">
    <cfRule type="expression" dxfId="6" priority="4688" stopIfTrue="1">
      <formula>OR($A14="audio audit", $A14="text audit", $A14="speed violations count", $A14="speed violations list", $A14="speed violations audit")</formula>
    </cfRule>
  </conditionalFormatting>
  <conditionalFormatting sqref="B14:C16 D16:E16">
    <cfRule type="expression" dxfId="32" priority="4689" stopIfTrue="1">
      <formula>$A14="file"</formula>
    </cfRule>
  </conditionalFormatting>
  <conditionalFormatting sqref="B14:C16 D16:E16">
    <cfRule type="expression" dxfId="7" priority="4690" stopIfTrue="1">
      <formula>$A14="note"</formula>
    </cfRule>
  </conditionalFormatting>
  <conditionalFormatting sqref="B14:C16 D16:E16">
    <cfRule type="expression" dxfId="8" priority="4691" stopIfTrue="1">
      <formula>$A14="barcode"</formula>
    </cfRule>
  </conditionalFormatting>
  <conditionalFormatting sqref="B14:C16 D16:E16">
    <cfRule type="expression" dxfId="9" priority="4692" stopIfTrue="1">
      <formula>OR($A14="geopoint", $A14="geoshape", $A14="geotrace")</formula>
    </cfRule>
  </conditionalFormatting>
  <conditionalFormatting sqref="B14:B16">
    <cfRule type="expression" dxfId="10" priority="4693" stopIfTrue="1">
      <formula>OR($A14="calculate", $A14="calculate_here")</formula>
    </cfRule>
  </conditionalFormatting>
  <conditionalFormatting sqref="B14:C16 D16:E16">
    <cfRule type="expression" dxfId="11" priority="4694" stopIfTrue="1">
      <formula>OR($A14="date", $A14="datetime", $A14="time")</formula>
    </cfRule>
  </conditionalFormatting>
  <conditionalFormatting sqref="B14:C16 D16:E16">
    <cfRule type="expression" dxfId="12" priority="4695" stopIfTrue="1">
      <formula>$A14="image"</formula>
    </cfRule>
  </conditionalFormatting>
  <conditionalFormatting sqref="B14:C16 D16:E16">
    <cfRule type="expression" dxfId="13" priority="4696" stopIfTrue="1">
      <formula>OR($A14="audio", $A14="video")</formula>
    </cfRule>
  </conditionalFormatting>
  <conditionalFormatting sqref="B14:E16">
    <cfRule type="expression" dxfId="33" priority="4697" stopIfTrue="1">
      <formula>$A14="file"</formula>
    </cfRule>
  </conditionalFormatting>
  <conditionalFormatting sqref="B14:E16">
    <cfRule type="expression" dxfId="34" priority="4698" stopIfTrue="1">
      <formula>$A14="enumerator"</formula>
    </cfRule>
  </conditionalFormatting>
  <conditionalFormatting sqref="B14:E16">
    <cfRule type="expression" dxfId="35" priority="4699" stopIfTrue="1">
      <formula>OR(AND(LEFT($A14, 14)="sensor_stream ", LEN($A14)&gt;14, NOT(ISNUMBER(SEARCH(" ", $A14, 15)))), AND(LEFT($A14, 17)="sensor_statistic ", LEN($A14)&gt;17, NOT(ISNUMBER(SEARCH(" ", $A14, 18)))))</formula>
    </cfRule>
  </conditionalFormatting>
  <conditionalFormatting sqref="B14:E16">
    <cfRule type="expression" dxfId="14" priority="4700" stopIfTrue="1">
      <formula>$A14="comments"</formula>
    </cfRule>
  </conditionalFormatting>
  <conditionalFormatting sqref="B14:E16">
    <cfRule type="expression" dxfId="15" priority="4701" stopIfTrue="1">
      <formula>OR($A14="audio", $A14="video")</formula>
    </cfRule>
  </conditionalFormatting>
  <conditionalFormatting sqref="B14:E16">
    <cfRule type="expression" dxfId="16" priority="4702" stopIfTrue="1">
      <formula>$A14="image"</formula>
    </cfRule>
  </conditionalFormatting>
  <conditionalFormatting sqref="B14:E16">
    <cfRule type="expression" dxfId="17" priority="4703" stopIfTrue="1">
      <formula>OR($A14="date", $A14="datetime", $A14="time")</formula>
    </cfRule>
  </conditionalFormatting>
  <conditionalFormatting sqref="B14:E16">
    <cfRule type="expression" dxfId="18" priority="4704" stopIfTrue="1">
      <formula>OR($A14="calculate", $A14="calculate_here")</formula>
    </cfRule>
  </conditionalFormatting>
  <conditionalFormatting sqref="B14:E16">
    <cfRule type="expression" dxfId="19" priority="4705" stopIfTrue="1">
      <formula>$A14="note"</formula>
    </cfRule>
  </conditionalFormatting>
  <conditionalFormatting sqref="B14:E16">
    <cfRule type="expression" dxfId="20" priority="4706" stopIfTrue="1">
      <formula>$A14="barcode"</formula>
    </cfRule>
  </conditionalFormatting>
  <conditionalFormatting sqref="B14:E16">
    <cfRule type="expression" dxfId="21" priority="4707" stopIfTrue="1">
      <formula>OR($A14="geopoint", $A14="geoshape", $A14="geotrace")</formula>
    </cfRule>
  </conditionalFormatting>
  <conditionalFormatting sqref="B14:E16">
    <cfRule type="expression" dxfId="22" priority="4708" stopIfTrue="1">
      <formula>OR($A14="audio audit", $A14="text audit", $A14="speed violations count", $A14="speed violations list", $A14="speed violations audit")</formula>
    </cfRule>
  </conditionalFormatting>
  <conditionalFormatting sqref="B14:E16">
    <cfRule type="expression" dxfId="23" priority="4709" stopIfTrue="1">
      <formula>OR($A14="username", $A14="phonenumber", $A14="start", $A14="end", $A14="deviceid", $A14="subscriberid", $A14="simserial", $A14="caseid")</formula>
    </cfRule>
  </conditionalFormatting>
  <conditionalFormatting sqref="B14:E16">
    <cfRule type="expression" dxfId="24" priority="4710" stopIfTrue="1">
      <formula>OR(AND(LEFT($A14, 16)="select_multiple ", LEN($A14)&gt;16, NOT(ISNUMBER(SEARCH(" ", $A14, 17)))), AND(LEFT($A14, 11)="select_one ", LEN($A14)&gt;11, NOT(ISNUMBER(SEARCH(" ", $A14, 12)))))</formula>
    </cfRule>
  </conditionalFormatting>
  <conditionalFormatting sqref="B14:E16">
    <cfRule type="expression" dxfId="25" priority="4711" stopIfTrue="1">
      <formula>$A14="decimal"</formula>
    </cfRule>
  </conditionalFormatting>
  <conditionalFormatting sqref="B14:E16">
    <cfRule type="expression" dxfId="26" priority="4712" stopIfTrue="1">
      <formula>$A14="integer"</formula>
    </cfRule>
  </conditionalFormatting>
  <conditionalFormatting sqref="B14:E16">
    <cfRule type="expression" dxfId="27" priority="4713" stopIfTrue="1">
      <formula>$A14="text"</formula>
    </cfRule>
  </conditionalFormatting>
  <conditionalFormatting sqref="B14:E16">
    <cfRule type="expression" dxfId="28" priority="4714" stopIfTrue="1">
      <formula>$A14="end repeat"</formula>
    </cfRule>
  </conditionalFormatting>
  <conditionalFormatting sqref="B14:E16">
    <cfRule type="expression" dxfId="28" priority="4715" stopIfTrue="1">
      <formula>$A14="begin repeat"</formula>
    </cfRule>
  </conditionalFormatting>
  <conditionalFormatting sqref="B14:E16">
    <cfRule type="expression" dxfId="29" priority="4716" stopIfTrue="1">
      <formula>$A14="end group"</formula>
    </cfRule>
  </conditionalFormatting>
  <conditionalFormatting sqref="B14:E16">
    <cfRule type="expression" dxfId="29" priority="4717" stopIfTrue="1">
      <formula>$A14="begin group"</formula>
    </cfRule>
  </conditionalFormatting>
  <conditionalFormatting sqref="B14:B16">
    <cfRule type="expression" dxfId="30" priority="4718" stopIfTrue="1">
      <formula>$A14="comments"</formula>
    </cfRule>
  </conditionalFormatting>
  <conditionalFormatting sqref="B14:B16">
    <cfRule type="expression" dxfId="36" priority="4719" stopIfTrue="1">
      <formula>OR(AND(LEFT($A14, 14)="sensor_stream ", LEN($A14)&gt;14, NOT(ISNUMBER(SEARCH(" ", $A14, 15)))), AND(LEFT($A14, 17)="sensor_statistic ", LEN($A14)&gt;17, NOT(ISNUMBER(SEARCH(" ", $A14, 18)))))</formula>
    </cfRule>
  </conditionalFormatting>
  <conditionalFormatting sqref="B10:C10">
    <cfRule type="expression" dxfId="0" priority="4720" stopIfTrue="1">
      <formula>$A10="begin group"</formula>
    </cfRule>
  </conditionalFormatting>
  <conditionalFormatting sqref="B10:C10">
    <cfRule type="expression" dxfId="1" priority="4721" stopIfTrue="1">
      <formula>$A10="begin repeat"</formula>
    </cfRule>
  </conditionalFormatting>
  <conditionalFormatting sqref="B10:E10">
    <cfRule type="expression" dxfId="31" priority="4722" stopIfTrue="1">
      <formula>$A10="enumerator"</formula>
    </cfRule>
  </conditionalFormatting>
  <conditionalFormatting sqref="B10:E10">
    <cfRule type="expression" dxfId="2" priority="4723" stopIfTrue="1">
      <formula>$A10="text"</formula>
    </cfRule>
  </conditionalFormatting>
  <conditionalFormatting sqref="B10:E10">
    <cfRule type="expression" dxfId="3" priority="4724" stopIfTrue="1">
      <formula>$A10="integer"</formula>
    </cfRule>
  </conditionalFormatting>
  <conditionalFormatting sqref="B10:E10">
    <cfRule type="expression" dxfId="4" priority="4725" stopIfTrue="1">
      <formula>$A10="decimal"</formula>
    </cfRule>
  </conditionalFormatting>
  <conditionalFormatting sqref="B10:C10">
    <cfRule type="expression" dxfId="5" priority="4726" stopIfTrue="1">
      <formula>OR(AND(LEFT($A10, 16)="select_multiple ", LEN($A10)&gt;16, NOT(ISNUMBER(SEARCH(" ", $A10, 17)))), AND(LEFT($A10, 11)="select_one ", LEN($A10)&gt;11, NOT(ISNUMBER(SEARCH(" ", $A10, 12)))))</formula>
    </cfRule>
  </conditionalFormatting>
  <conditionalFormatting sqref="B10">
    <cfRule type="expression" dxfId="6" priority="4727" stopIfTrue="1">
      <formula>OR($A10="audio audit", $A10="text audit", $A10="speed violations count", $A10="speed violations list", $A10="speed violations audit")</formula>
    </cfRule>
  </conditionalFormatting>
  <conditionalFormatting sqref="B10:C10">
    <cfRule type="expression" dxfId="32" priority="4728" stopIfTrue="1">
      <formula>$A10="file"</formula>
    </cfRule>
  </conditionalFormatting>
  <conditionalFormatting sqref="B10:C10">
    <cfRule type="expression" dxfId="7" priority="4729" stopIfTrue="1">
      <formula>$A10="note"</formula>
    </cfRule>
  </conditionalFormatting>
  <conditionalFormatting sqref="B10:C10">
    <cfRule type="expression" dxfId="8" priority="4730" stopIfTrue="1">
      <formula>$A10="barcode"</formula>
    </cfRule>
  </conditionalFormatting>
  <conditionalFormatting sqref="B10:C10">
    <cfRule type="expression" dxfId="9" priority="4731" stopIfTrue="1">
      <formula>OR($A10="geopoint", $A10="geoshape", $A10="geotrace")</formula>
    </cfRule>
  </conditionalFormatting>
  <conditionalFormatting sqref="B10">
    <cfRule type="expression" dxfId="10" priority="4732" stopIfTrue="1">
      <formula>OR($A10="calculate", $A10="calculate_here")</formula>
    </cfRule>
  </conditionalFormatting>
  <conditionalFormatting sqref="B10:C10">
    <cfRule type="expression" dxfId="11" priority="4733" stopIfTrue="1">
      <formula>OR($A10="date", $A10="datetime", $A10="time")</formula>
    </cfRule>
  </conditionalFormatting>
  <conditionalFormatting sqref="B10:C10">
    <cfRule type="expression" dxfId="12" priority="4734" stopIfTrue="1">
      <formula>$A10="image"</formula>
    </cfRule>
  </conditionalFormatting>
  <conditionalFormatting sqref="B10:C10">
    <cfRule type="expression" dxfId="13" priority="4735" stopIfTrue="1">
      <formula>OR($A10="audio", $A10="video")</formula>
    </cfRule>
  </conditionalFormatting>
  <conditionalFormatting sqref="B10:E10">
    <cfRule type="expression" dxfId="33" priority="4736" stopIfTrue="1">
      <formula>$A10="file"</formula>
    </cfRule>
  </conditionalFormatting>
  <conditionalFormatting sqref="B10:E10">
    <cfRule type="expression" dxfId="34" priority="4737" stopIfTrue="1">
      <formula>$A10="enumerator"</formula>
    </cfRule>
  </conditionalFormatting>
  <conditionalFormatting sqref="B10:E10">
    <cfRule type="expression" dxfId="35" priority="4738" stopIfTrue="1">
      <formula>OR(AND(LEFT($A10, 14)="sensor_stream ", LEN($A10)&gt;14, NOT(ISNUMBER(SEARCH(" ", $A10, 15)))), AND(LEFT($A10, 17)="sensor_statistic ", LEN($A10)&gt;17, NOT(ISNUMBER(SEARCH(" ", $A10, 18)))))</formula>
    </cfRule>
  </conditionalFormatting>
  <conditionalFormatting sqref="B10:E10">
    <cfRule type="expression" dxfId="14" priority="4739" stopIfTrue="1">
      <formula>$A10="comments"</formula>
    </cfRule>
  </conditionalFormatting>
  <conditionalFormatting sqref="B10:E10">
    <cfRule type="expression" dxfId="15" priority="4740" stopIfTrue="1">
      <formula>OR($A10="audio", $A10="video")</formula>
    </cfRule>
  </conditionalFormatting>
  <conditionalFormatting sqref="B10:E10">
    <cfRule type="expression" dxfId="16" priority="4741" stopIfTrue="1">
      <formula>$A10="image"</formula>
    </cfRule>
  </conditionalFormatting>
  <conditionalFormatting sqref="B10:E10">
    <cfRule type="expression" dxfId="17" priority="4742" stopIfTrue="1">
      <formula>OR($A10="date", $A10="datetime", $A10="time")</formula>
    </cfRule>
  </conditionalFormatting>
  <conditionalFormatting sqref="B10:E10">
    <cfRule type="expression" dxfId="18" priority="4743" stopIfTrue="1">
      <formula>OR($A10="calculate", $A10="calculate_here")</formula>
    </cfRule>
  </conditionalFormatting>
  <conditionalFormatting sqref="B10:E10">
    <cfRule type="expression" dxfId="19" priority="4744" stopIfTrue="1">
      <formula>$A10="note"</formula>
    </cfRule>
  </conditionalFormatting>
  <conditionalFormatting sqref="B10:E10">
    <cfRule type="expression" dxfId="20" priority="4745" stopIfTrue="1">
      <formula>$A10="barcode"</formula>
    </cfRule>
  </conditionalFormatting>
  <conditionalFormatting sqref="B10:E10">
    <cfRule type="expression" dxfId="21" priority="4746" stopIfTrue="1">
      <formula>OR($A10="geopoint", $A10="geoshape", $A10="geotrace")</formula>
    </cfRule>
  </conditionalFormatting>
  <conditionalFormatting sqref="B10:E10">
    <cfRule type="expression" dxfId="22" priority="4747" stopIfTrue="1">
      <formula>OR($A10="audio audit", $A10="text audit", $A10="speed violations count", $A10="speed violations list", $A10="speed violations audit")</formula>
    </cfRule>
  </conditionalFormatting>
  <conditionalFormatting sqref="B10:E10">
    <cfRule type="expression" dxfId="23" priority="4748" stopIfTrue="1">
      <formula>OR($A10="username", $A10="phonenumber", $A10="start", $A10="end", $A10="deviceid", $A10="subscriberid", $A10="simserial", $A10="caseid")</formula>
    </cfRule>
  </conditionalFormatting>
  <conditionalFormatting sqref="B10:E10">
    <cfRule type="expression" dxfId="24" priority="4749" stopIfTrue="1">
      <formula>OR(AND(LEFT($A10, 16)="select_multiple ", LEN($A10)&gt;16, NOT(ISNUMBER(SEARCH(" ", $A10, 17)))), AND(LEFT($A10, 11)="select_one ", LEN($A10)&gt;11, NOT(ISNUMBER(SEARCH(" ", $A10, 12)))))</formula>
    </cfRule>
  </conditionalFormatting>
  <conditionalFormatting sqref="B10:E10">
    <cfRule type="expression" dxfId="25" priority="4750" stopIfTrue="1">
      <formula>$A10="decimal"</formula>
    </cfRule>
  </conditionalFormatting>
  <conditionalFormatting sqref="B10:E10">
    <cfRule type="expression" dxfId="26" priority="4751" stopIfTrue="1">
      <formula>$A10="integer"</formula>
    </cfRule>
  </conditionalFormatting>
  <conditionalFormatting sqref="B10:E10">
    <cfRule type="expression" dxfId="27" priority="4752" stopIfTrue="1">
      <formula>$A10="text"</formula>
    </cfRule>
  </conditionalFormatting>
  <conditionalFormatting sqref="B10:E10">
    <cfRule type="expression" dxfId="28" priority="4753" stopIfTrue="1">
      <formula>$A10="end repeat"</formula>
    </cfRule>
  </conditionalFormatting>
  <conditionalFormatting sqref="B10:E10">
    <cfRule type="expression" dxfId="28" priority="4754" stopIfTrue="1">
      <formula>$A10="begin repeat"</formula>
    </cfRule>
  </conditionalFormatting>
  <conditionalFormatting sqref="B10:E10">
    <cfRule type="expression" dxfId="29" priority="4755" stopIfTrue="1">
      <formula>$A10="end group"</formula>
    </cfRule>
  </conditionalFormatting>
  <conditionalFormatting sqref="B10:E10">
    <cfRule type="expression" dxfId="29" priority="4756" stopIfTrue="1">
      <formula>$A10="begin group"</formula>
    </cfRule>
  </conditionalFormatting>
  <conditionalFormatting sqref="B10">
    <cfRule type="expression" dxfId="30" priority="4757" stopIfTrue="1">
      <formula>$A10="comments"</formula>
    </cfRule>
  </conditionalFormatting>
  <conditionalFormatting sqref="B10">
    <cfRule type="expression" dxfId="36" priority="4758" stopIfTrue="1">
      <formula>OR(AND(LEFT($A10, 14)="sensor_stream ", LEN($A10)&gt;14, NOT(ISNUMBER(SEARCH(" ", $A10, 15)))), AND(LEFT($A10, 17)="sensor_statistic ", LEN($A10)&gt;17, NOT(ISNUMBER(SEARCH(" ", $A10, 18)))))</formula>
    </cfRule>
  </conditionalFormatting>
  <conditionalFormatting sqref="B1:C1">
    <cfRule type="expression" dxfId="0" priority="4759" stopIfTrue="1">
      <formula>$A1="begin group"</formula>
    </cfRule>
  </conditionalFormatting>
  <conditionalFormatting sqref="B1:C1">
    <cfRule type="expression" dxfId="1" priority="4760" stopIfTrue="1">
      <formula>$A1="begin repeat"</formula>
    </cfRule>
  </conditionalFormatting>
  <conditionalFormatting sqref="B1:E1">
    <cfRule type="expression" dxfId="31" priority="4761" stopIfTrue="1">
      <formula>$A1="enumerator"</formula>
    </cfRule>
  </conditionalFormatting>
  <conditionalFormatting sqref="B1:E1">
    <cfRule type="expression" dxfId="2" priority="4762" stopIfTrue="1">
      <formula>$A1="text"</formula>
    </cfRule>
  </conditionalFormatting>
  <conditionalFormatting sqref="B1:E1">
    <cfRule type="expression" dxfId="3" priority="4763" stopIfTrue="1">
      <formula>$A1="integer"</formula>
    </cfRule>
  </conditionalFormatting>
  <conditionalFormatting sqref="B1:E1">
    <cfRule type="expression" dxfId="4" priority="4764" stopIfTrue="1">
      <formula>$A1="decimal"</formula>
    </cfRule>
  </conditionalFormatting>
  <conditionalFormatting sqref="B1:C1">
    <cfRule type="expression" dxfId="5" priority="4765" stopIfTrue="1">
      <formula>OR(AND(LEFT($A1, 16)="select_multiple ", LEN($A1)&gt;16, NOT(ISNUMBER(SEARCH(" ", $A1, 17)))), AND(LEFT($A1, 11)="select_one ", LEN($A1)&gt;11, NOT(ISNUMBER(SEARCH(" ", $A1, 12)))))</formula>
    </cfRule>
  </conditionalFormatting>
  <conditionalFormatting sqref="B1">
    <cfRule type="expression" dxfId="6" priority="4766" stopIfTrue="1">
      <formula>OR($A1="audio audit", $A1="text audit", $A1="speed violations count", $A1="speed violations list", $A1="speed violations audit")</formula>
    </cfRule>
  </conditionalFormatting>
  <conditionalFormatting sqref="B1:C1">
    <cfRule type="expression" dxfId="32" priority="4767" stopIfTrue="1">
      <formula>$A1="file"</formula>
    </cfRule>
  </conditionalFormatting>
  <conditionalFormatting sqref="B1:C1">
    <cfRule type="expression" dxfId="7" priority="4768" stopIfTrue="1">
      <formula>$A1="note"</formula>
    </cfRule>
  </conditionalFormatting>
  <conditionalFormatting sqref="B1:C1">
    <cfRule type="expression" dxfId="8" priority="4769" stopIfTrue="1">
      <formula>$A1="barcode"</formula>
    </cfRule>
  </conditionalFormatting>
  <conditionalFormatting sqref="B1:C1">
    <cfRule type="expression" dxfId="9" priority="4770" stopIfTrue="1">
      <formula>OR($A1="geopoint", $A1="geoshape", $A1="geotrace")</formula>
    </cfRule>
  </conditionalFormatting>
  <conditionalFormatting sqref="B1">
    <cfRule type="expression" dxfId="10" priority="4771" stopIfTrue="1">
      <formula>OR($A1="calculate", $A1="calculate_here")</formula>
    </cfRule>
  </conditionalFormatting>
  <conditionalFormatting sqref="B1:C1">
    <cfRule type="expression" dxfId="11" priority="4772" stopIfTrue="1">
      <formula>OR($A1="date", $A1="datetime", $A1="time")</formula>
    </cfRule>
  </conditionalFormatting>
  <conditionalFormatting sqref="B1:C1">
    <cfRule type="expression" dxfId="12" priority="4773" stopIfTrue="1">
      <formula>$A1="image"</formula>
    </cfRule>
  </conditionalFormatting>
  <conditionalFormatting sqref="B1:C1">
    <cfRule type="expression" dxfId="13" priority="4774" stopIfTrue="1">
      <formula>OR($A1="audio", $A1="video")</formula>
    </cfRule>
  </conditionalFormatting>
  <conditionalFormatting sqref="B1:E1">
    <cfRule type="expression" dxfId="33" priority="4775" stopIfTrue="1">
      <formula>$A1="file"</formula>
    </cfRule>
  </conditionalFormatting>
  <conditionalFormatting sqref="B1:E1">
    <cfRule type="expression" dxfId="34" priority="4776" stopIfTrue="1">
      <formula>$A1="enumerator"</formula>
    </cfRule>
  </conditionalFormatting>
  <conditionalFormatting sqref="B1:E1">
    <cfRule type="expression" dxfId="35" priority="4777" stopIfTrue="1">
      <formula>OR(AND(LEFT($A1, 14)="sensor_stream ", LEN($A1)&gt;14, NOT(ISNUMBER(SEARCH(" ", $A1, 15)))), AND(LEFT($A1, 17)="sensor_statistic ", LEN($A1)&gt;17, NOT(ISNUMBER(SEARCH(" ", $A1, 18)))))</formula>
    </cfRule>
  </conditionalFormatting>
  <conditionalFormatting sqref="B1:E1">
    <cfRule type="expression" dxfId="14" priority="4778" stopIfTrue="1">
      <formula>$A1="comments"</formula>
    </cfRule>
  </conditionalFormatting>
  <conditionalFormatting sqref="B1:E1">
    <cfRule type="expression" dxfId="15" priority="4779" stopIfTrue="1">
      <formula>OR($A1="audio", $A1="video")</formula>
    </cfRule>
  </conditionalFormatting>
  <conditionalFormatting sqref="B1:E1">
    <cfRule type="expression" dxfId="16" priority="4780" stopIfTrue="1">
      <formula>$A1="image"</formula>
    </cfRule>
  </conditionalFormatting>
  <conditionalFormatting sqref="B1:E1">
    <cfRule type="expression" dxfId="17" priority="4781" stopIfTrue="1">
      <formula>OR($A1="date", $A1="datetime", $A1="time")</formula>
    </cfRule>
  </conditionalFormatting>
  <conditionalFormatting sqref="B1:E1">
    <cfRule type="expression" dxfId="18" priority="4782" stopIfTrue="1">
      <formula>OR($A1="calculate", $A1="calculate_here")</formula>
    </cfRule>
  </conditionalFormatting>
  <conditionalFormatting sqref="B1:E1">
    <cfRule type="expression" dxfId="19" priority="4783" stopIfTrue="1">
      <formula>$A1="note"</formula>
    </cfRule>
  </conditionalFormatting>
  <conditionalFormatting sqref="B1:E1">
    <cfRule type="expression" dxfId="20" priority="4784" stopIfTrue="1">
      <formula>$A1="barcode"</formula>
    </cfRule>
  </conditionalFormatting>
  <conditionalFormatting sqref="B1:E1">
    <cfRule type="expression" dxfId="21" priority="4785" stopIfTrue="1">
      <formula>OR($A1="geopoint", $A1="geoshape", $A1="geotrace")</formula>
    </cfRule>
  </conditionalFormatting>
  <conditionalFormatting sqref="B1:E1">
    <cfRule type="expression" dxfId="22" priority="4786" stopIfTrue="1">
      <formula>OR($A1="audio audit", $A1="text audit", $A1="speed violations count", $A1="speed violations list", $A1="speed violations audit")</formula>
    </cfRule>
  </conditionalFormatting>
  <conditionalFormatting sqref="B1:E1">
    <cfRule type="expression" dxfId="23" priority="4787" stopIfTrue="1">
      <formula>OR($A1="username", $A1="phonenumber", $A1="start", $A1="end", $A1="deviceid", $A1="subscriberid", $A1="simserial", $A1="caseid")</formula>
    </cfRule>
  </conditionalFormatting>
  <conditionalFormatting sqref="B1:E1">
    <cfRule type="expression" dxfId="24" priority="4788" stopIfTrue="1">
      <formula>OR(AND(LEFT($A1, 16)="select_multiple ", LEN($A1)&gt;16, NOT(ISNUMBER(SEARCH(" ", $A1, 17)))), AND(LEFT($A1, 11)="select_one ", LEN($A1)&gt;11, NOT(ISNUMBER(SEARCH(" ", $A1, 12)))))</formula>
    </cfRule>
  </conditionalFormatting>
  <conditionalFormatting sqref="B1:E1">
    <cfRule type="expression" dxfId="25" priority="4789" stopIfTrue="1">
      <formula>$A1="decimal"</formula>
    </cfRule>
  </conditionalFormatting>
  <conditionalFormatting sqref="B1:E1">
    <cfRule type="expression" dxfId="26" priority="4790" stopIfTrue="1">
      <formula>$A1="integer"</formula>
    </cfRule>
  </conditionalFormatting>
  <conditionalFormatting sqref="B1:E1">
    <cfRule type="expression" dxfId="27" priority="4791" stopIfTrue="1">
      <formula>$A1="text"</formula>
    </cfRule>
  </conditionalFormatting>
  <conditionalFormatting sqref="B1:E1">
    <cfRule type="expression" dxfId="28" priority="4792" stopIfTrue="1">
      <formula>$A1="end repeat"</formula>
    </cfRule>
  </conditionalFormatting>
  <conditionalFormatting sqref="B1:E1">
    <cfRule type="expression" dxfId="28" priority="4793" stopIfTrue="1">
      <formula>$A1="begin repeat"</formula>
    </cfRule>
  </conditionalFormatting>
  <conditionalFormatting sqref="B1:E1">
    <cfRule type="expression" dxfId="29" priority="4794" stopIfTrue="1">
      <formula>$A1="end group"</formula>
    </cfRule>
  </conditionalFormatting>
  <conditionalFormatting sqref="B1:E1">
    <cfRule type="expression" dxfId="29" priority="4795" stopIfTrue="1">
      <formula>$A1="begin group"</formula>
    </cfRule>
  </conditionalFormatting>
  <conditionalFormatting sqref="B1">
    <cfRule type="expression" dxfId="30" priority="4796" stopIfTrue="1">
      <formula>$A1="comments"</formula>
    </cfRule>
  </conditionalFormatting>
  <conditionalFormatting sqref="B1">
    <cfRule type="expression" dxfId="36" priority="4797" stopIfTrue="1">
      <formula>OR(AND(LEFT($A1, 14)="sensor_stream ", LEN($A1)&gt;14, NOT(ISNUMBER(SEARCH(" ", $A1, 15)))), AND(LEFT($A1, 17)="sensor_statistic ", LEN($A1)&gt;17, NOT(ISNUMBER(SEARCH(" ", $A1, 18)))))</formula>
    </cfRule>
  </conditionalFormatting>
  <conditionalFormatting sqref="A2001:A2991">
    <cfRule type="expression" dxfId="33" priority="4798" stopIfTrue="1">
      <formula>$A2001="file"</formula>
    </cfRule>
  </conditionalFormatting>
  <conditionalFormatting sqref="A2001:A2991">
    <cfRule type="expression" dxfId="34" priority="4799" stopIfTrue="1">
      <formula>$A2001="enumerator"</formula>
    </cfRule>
  </conditionalFormatting>
  <conditionalFormatting sqref="A2001:A2991">
    <cfRule type="expression" dxfId="35" priority="4800" stopIfTrue="1">
      <formula>OR(AND(LEFT($A2001, 14)="sensor_stream ", LEN($A2001)&gt;14, NOT(ISNUMBER(SEARCH(" ", $A2001, 15)))), AND(LEFT($A2001, 17)="sensor_statistic ", LEN($A2001)&gt;17, NOT(ISNUMBER(SEARCH(" ", $A2001, 18)))))</formula>
    </cfRule>
  </conditionalFormatting>
  <conditionalFormatting sqref="A2001:A2991">
    <cfRule type="expression" dxfId="14" priority="4801" stopIfTrue="1">
      <formula>$A2001="comments"</formula>
    </cfRule>
  </conditionalFormatting>
  <conditionalFormatting sqref="A2001:A2991">
    <cfRule type="expression" dxfId="15" priority="4802" stopIfTrue="1">
      <formula>OR($A2001="audio", $A2001="video")</formula>
    </cfRule>
  </conditionalFormatting>
  <conditionalFormatting sqref="A2001:A2991">
    <cfRule type="expression" dxfId="16" priority="4803" stopIfTrue="1">
      <formula>$A2001="image"</formula>
    </cfRule>
  </conditionalFormatting>
  <conditionalFormatting sqref="A2001:A2991">
    <cfRule type="expression" dxfId="17" priority="4804" stopIfTrue="1">
      <formula>OR($A2001="date", $A2001="datetime", $A2001="time")</formula>
    </cfRule>
  </conditionalFormatting>
  <conditionalFormatting sqref="A2001:A2991">
    <cfRule type="expression" dxfId="18" priority="4805" stopIfTrue="1">
      <formula>OR($A2001="calculate", $A2001="calculate_here")</formula>
    </cfRule>
  </conditionalFormatting>
  <conditionalFormatting sqref="A2001:A2991">
    <cfRule type="expression" dxfId="19" priority="4806" stopIfTrue="1">
      <formula>$A2001="note"</formula>
    </cfRule>
  </conditionalFormatting>
  <conditionalFormatting sqref="A2001:A2991">
    <cfRule type="expression" dxfId="20" priority="4807" stopIfTrue="1">
      <formula>$A2001="barcode"</formula>
    </cfRule>
  </conditionalFormatting>
  <conditionalFormatting sqref="A2001:A2991">
    <cfRule type="expression" dxfId="21" priority="4808" stopIfTrue="1">
      <formula>OR($A2001="geopoint", $A2001="geoshape", $A2001="geotrace")</formula>
    </cfRule>
  </conditionalFormatting>
  <conditionalFormatting sqref="A2001:A2991">
    <cfRule type="expression" dxfId="22" priority="4809" stopIfTrue="1">
      <formula>OR($A2001="audio audit", $A2001="text audit", $A2001="speed violations count", $A2001="speed violations list", $A2001="speed violations audit")</formula>
    </cfRule>
  </conditionalFormatting>
  <conditionalFormatting sqref="A2001:A2991">
    <cfRule type="expression" dxfId="23" priority="4810" stopIfTrue="1">
      <formula>OR($A2001="username", $A2001="phonenumber", $A2001="start", $A2001="end", $A2001="deviceid", $A2001="subscriberid", $A2001="simserial", $A2001="caseid")</formula>
    </cfRule>
  </conditionalFormatting>
  <conditionalFormatting sqref="A2001:A2991">
    <cfRule type="expression" dxfId="24" priority="4811" stopIfTrue="1">
      <formula>OR(AND(LEFT($A2001, 16)="select_multiple ", LEN($A2001)&gt;16, NOT(ISNUMBER(SEARCH(" ", $A2001, 17)))), AND(LEFT($A2001, 11)="select_one ", LEN($A2001)&gt;11, NOT(ISNUMBER(SEARCH(" ", $A2001, 12)))))</formula>
    </cfRule>
  </conditionalFormatting>
  <conditionalFormatting sqref="A2001:A2991">
    <cfRule type="expression" dxfId="25" priority="4812" stopIfTrue="1">
      <formula>$A2001="decimal"</formula>
    </cfRule>
  </conditionalFormatting>
  <conditionalFormatting sqref="A2001:A2991">
    <cfRule type="expression" dxfId="26" priority="4813" stopIfTrue="1">
      <formula>$A2001="integer"</formula>
    </cfRule>
  </conditionalFormatting>
  <conditionalFormatting sqref="A2001:A2991">
    <cfRule type="expression" dxfId="27" priority="4814" stopIfTrue="1">
      <formula>$A2001="text"</formula>
    </cfRule>
  </conditionalFormatting>
  <conditionalFormatting sqref="A2001:A2991">
    <cfRule type="expression" dxfId="28" priority="4815" stopIfTrue="1">
      <formula>$A2001="end repeat"</formula>
    </cfRule>
  </conditionalFormatting>
  <conditionalFormatting sqref="A2001:A2991">
    <cfRule type="expression" dxfId="28" priority="4816" stopIfTrue="1">
      <formula>$A2001="begin repeat"</formula>
    </cfRule>
  </conditionalFormatting>
  <conditionalFormatting sqref="A2001:A2991">
    <cfRule type="expression" dxfId="29" priority="4817" stopIfTrue="1">
      <formula>$A2001="end group"</formula>
    </cfRule>
  </conditionalFormatting>
  <conditionalFormatting sqref="A2001:A2991">
    <cfRule type="expression" dxfId="29" priority="4818" stopIfTrue="1">
      <formula>$A2001="begin group"</formula>
    </cfRule>
  </conditionalFormatting>
  <conditionalFormatting sqref="A1001">
    <cfRule type="expression" dxfId="33" priority="4819" stopIfTrue="1">
      <formula>$A1001="file"</formula>
    </cfRule>
  </conditionalFormatting>
  <conditionalFormatting sqref="A1001">
    <cfRule type="expression" dxfId="34" priority="4820" stopIfTrue="1">
      <formula>$A1001="enumerator"</formula>
    </cfRule>
  </conditionalFormatting>
  <conditionalFormatting sqref="A1001">
    <cfRule type="expression" dxfId="35" priority="4821" stopIfTrue="1">
      <formula>OR(AND(LEFT($A1001, 14)="sensor_stream ", LEN($A1001)&gt;14, NOT(ISNUMBER(SEARCH(" ", $A1001, 15)))), AND(LEFT($A1001, 17)="sensor_statistic ", LEN($A1001)&gt;17, NOT(ISNUMBER(SEARCH(" ", $A1001, 18)))))</formula>
    </cfRule>
  </conditionalFormatting>
  <conditionalFormatting sqref="A1001">
    <cfRule type="expression" dxfId="14" priority="4822" stopIfTrue="1">
      <formula>$A1001="comments"</formula>
    </cfRule>
  </conditionalFormatting>
  <conditionalFormatting sqref="A1001">
    <cfRule type="expression" dxfId="15" priority="4823" stopIfTrue="1">
      <formula>OR($A1001="audio", $A1001="video")</formula>
    </cfRule>
  </conditionalFormatting>
  <conditionalFormatting sqref="A1001">
    <cfRule type="expression" dxfId="16" priority="4824" stopIfTrue="1">
      <formula>$A1001="image"</formula>
    </cfRule>
  </conditionalFormatting>
  <conditionalFormatting sqref="A1001">
    <cfRule type="expression" dxfId="17" priority="4825" stopIfTrue="1">
      <formula>OR($A1001="date", $A1001="datetime", $A1001="time")</formula>
    </cfRule>
  </conditionalFormatting>
  <conditionalFormatting sqref="A1001">
    <cfRule type="expression" dxfId="18" priority="4826" stopIfTrue="1">
      <formula>OR($A1001="calculate", $A1001="calculate_here")</formula>
    </cfRule>
  </conditionalFormatting>
  <conditionalFormatting sqref="A1001">
    <cfRule type="expression" dxfId="19" priority="4827" stopIfTrue="1">
      <formula>$A1001="note"</formula>
    </cfRule>
  </conditionalFormatting>
  <conditionalFormatting sqref="A1001">
    <cfRule type="expression" dxfId="20" priority="4828" stopIfTrue="1">
      <formula>$A1001="barcode"</formula>
    </cfRule>
  </conditionalFormatting>
  <conditionalFormatting sqref="A1001">
    <cfRule type="expression" dxfId="21" priority="4829" stopIfTrue="1">
      <formula>OR($A1001="geopoint", $A1001="geoshape", $A1001="geotrace")</formula>
    </cfRule>
  </conditionalFormatting>
  <conditionalFormatting sqref="A1001">
    <cfRule type="expression" dxfId="22" priority="4830" stopIfTrue="1">
      <formula>OR($A1001="audio audit", $A1001="text audit", $A1001="speed violations count", $A1001="speed violations list", $A1001="speed violations audit")</formula>
    </cfRule>
  </conditionalFormatting>
  <conditionalFormatting sqref="A1001">
    <cfRule type="expression" dxfId="23" priority="4831" stopIfTrue="1">
      <formula>OR($A1001="username", $A1001="phonenumber", $A1001="start", $A1001="end", $A1001="deviceid", $A1001="subscriberid", $A1001="simserial", $A1001="caseid")</formula>
    </cfRule>
  </conditionalFormatting>
  <conditionalFormatting sqref="A1001">
    <cfRule type="expression" dxfId="24" priority="4832" stopIfTrue="1">
      <formula>OR(AND(LEFT($A1001, 16)="select_multiple ", LEN($A1001)&gt;16, NOT(ISNUMBER(SEARCH(" ", $A1001, 17)))), AND(LEFT($A1001, 11)="select_one ", LEN($A1001)&gt;11, NOT(ISNUMBER(SEARCH(" ", $A1001, 12)))))</formula>
    </cfRule>
  </conditionalFormatting>
  <conditionalFormatting sqref="A1001">
    <cfRule type="expression" dxfId="25" priority="4833" stopIfTrue="1">
      <formula>$A1001="decimal"</formula>
    </cfRule>
  </conditionalFormatting>
  <conditionalFormatting sqref="A1001">
    <cfRule type="expression" dxfId="26" priority="4834" stopIfTrue="1">
      <formula>$A1001="integer"</formula>
    </cfRule>
  </conditionalFormatting>
  <conditionalFormatting sqref="A1001">
    <cfRule type="expression" dxfId="27" priority="4835" stopIfTrue="1">
      <formula>$A1001="text"</formula>
    </cfRule>
  </conditionalFormatting>
  <conditionalFormatting sqref="A1001">
    <cfRule type="expression" dxfId="28" priority="4836" stopIfTrue="1">
      <formula>$A1001="end repeat"</formula>
    </cfRule>
  </conditionalFormatting>
  <conditionalFormatting sqref="A1001">
    <cfRule type="expression" dxfId="28" priority="4837" stopIfTrue="1">
      <formula>$A1001="begin repeat"</formula>
    </cfRule>
  </conditionalFormatting>
  <conditionalFormatting sqref="A1001">
    <cfRule type="expression" dxfId="29" priority="4838" stopIfTrue="1">
      <formula>$A1001="end group"</formula>
    </cfRule>
  </conditionalFormatting>
  <conditionalFormatting sqref="A1001">
    <cfRule type="expression" dxfId="29" priority="4839" stopIfTrue="1">
      <formula>$A1001="begin group"</formula>
    </cfRule>
  </conditionalFormatting>
  <conditionalFormatting sqref="A992:A996">
    <cfRule type="expression" dxfId="33" priority="4840" stopIfTrue="1">
      <formula>$A992="file"</formula>
    </cfRule>
  </conditionalFormatting>
  <conditionalFormatting sqref="A992:A996">
    <cfRule type="expression" dxfId="34" priority="4841" stopIfTrue="1">
      <formula>$A992="enumerator"</formula>
    </cfRule>
  </conditionalFormatting>
  <conditionalFormatting sqref="A992:A996">
    <cfRule type="expression" dxfId="35" priority="4842" stopIfTrue="1">
      <formula>OR(AND(LEFT($A992, 14)="sensor_stream ", LEN($A992)&gt;14, NOT(ISNUMBER(SEARCH(" ", $A992, 15)))), AND(LEFT($A992, 17)="sensor_statistic ", LEN($A992)&gt;17, NOT(ISNUMBER(SEARCH(" ", $A992, 18)))))</formula>
    </cfRule>
  </conditionalFormatting>
  <conditionalFormatting sqref="A992:A996">
    <cfRule type="expression" dxfId="14" priority="4843" stopIfTrue="1">
      <formula>$A992="comments"</formula>
    </cfRule>
  </conditionalFormatting>
  <conditionalFormatting sqref="A992:A996">
    <cfRule type="expression" dxfId="15" priority="4844" stopIfTrue="1">
      <formula>OR($A992="audio", $A992="video")</formula>
    </cfRule>
  </conditionalFormatting>
  <conditionalFormatting sqref="A992:A996">
    <cfRule type="expression" dxfId="16" priority="4845" stopIfTrue="1">
      <formula>$A992="image"</formula>
    </cfRule>
  </conditionalFormatting>
  <conditionalFormatting sqref="A992:A996">
    <cfRule type="expression" dxfId="17" priority="4846" stopIfTrue="1">
      <formula>OR($A992="date", $A992="datetime", $A992="time")</formula>
    </cfRule>
  </conditionalFormatting>
  <conditionalFormatting sqref="A992:A996">
    <cfRule type="expression" dxfId="18" priority="4847" stopIfTrue="1">
      <formula>OR($A992="calculate", $A992="calculate_here")</formula>
    </cfRule>
  </conditionalFormatting>
  <conditionalFormatting sqref="A992:A996">
    <cfRule type="expression" dxfId="19" priority="4848" stopIfTrue="1">
      <formula>$A992="note"</formula>
    </cfRule>
  </conditionalFormatting>
  <conditionalFormatting sqref="A992:A996">
    <cfRule type="expression" dxfId="20" priority="4849" stopIfTrue="1">
      <formula>$A992="barcode"</formula>
    </cfRule>
  </conditionalFormatting>
  <conditionalFormatting sqref="A992:A996">
    <cfRule type="expression" dxfId="21" priority="4850" stopIfTrue="1">
      <formula>OR($A992="geopoint", $A992="geoshape", $A992="geotrace")</formula>
    </cfRule>
  </conditionalFormatting>
  <conditionalFormatting sqref="A992:A996">
    <cfRule type="expression" dxfId="22" priority="4851" stopIfTrue="1">
      <formula>OR($A992="audio audit", $A992="text audit", $A992="speed violations count", $A992="speed violations list", $A992="speed violations audit")</formula>
    </cfRule>
  </conditionalFormatting>
  <conditionalFormatting sqref="A992:A996">
    <cfRule type="expression" dxfId="23" priority="4852" stopIfTrue="1">
      <formula>OR($A992="username", $A992="phonenumber", $A992="start", $A992="end", $A992="deviceid", $A992="subscriberid", $A992="simserial", $A992="caseid")</formula>
    </cfRule>
  </conditionalFormatting>
  <conditionalFormatting sqref="A992:A996">
    <cfRule type="expression" dxfId="24" priority="4853" stopIfTrue="1">
      <formula>OR(AND(LEFT($A992, 16)="select_multiple ", LEN($A992)&gt;16, NOT(ISNUMBER(SEARCH(" ", $A992, 17)))), AND(LEFT($A992, 11)="select_one ", LEN($A992)&gt;11, NOT(ISNUMBER(SEARCH(" ", $A992, 12)))))</formula>
    </cfRule>
  </conditionalFormatting>
  <conditionalFormatting sqref="A992:A996">
    <cfRule type="expression" dxfId="25" priority="4854" stopIfTrue="1">
      <formula>$A992="decimal"</formula>
    </cfRule>
  </conditionalFormatting>
  <conditionalFormatting sqref="A992:A996">
    <cfRule type="expression" dxfId="26" priority="4855" stopIfTrue="1">
      <formula>$A992="integer"</formula>
    </cfRule>
  </conditionalFormatting>
  <conditionalFormatting sqref="A992:A996">
    <cfRule type="expression" dxfId="27" priority="4856" stopIfTrue="1">
      <formula>$A992="text"</formula>
    </cfRule>
  </conditionalFormatting>
  <conditionalFormatting sqref="A992:A996">
    <cfRule type="expression" dxfId="28" priority="4857" stopIfTrue="1">
      <formula>$A992="end repeat"</formula>
    </cfRule>
  </conditionalFormatting>
  <conditionalFormatting sqref="A992:A996">
    <cfRule type="expression" dxfId="28" priority="4858" stopIfTrue="1">
      <formula>$A992="begin repeat"</formula>
    </cfRule>
  </conditionalFormatting>
  <conditionalFormatting sqref="A992:A996">
    <cfRule type="expression" dxfId="29" priority="4859" stopIfTrue="1">
      <formula>$A992="end group"</formula>
    </cfRule>
  </conditionalFormatting>
  <conditionalFormatting sqref="A992:A996">
    <cfRule type="expression" dxfId="29" priority="4860" stopIfTrue="1">
      <formula>$A992="begin group"</formula>
    </cfRule>
  </conditionalFormatting>
  <conditionalFormatting sqref="A983:A988">
    <cfRule type="expression" dxfId="33" priority="4861" stopIfTrue="1">
      <formula>$A983="file"</formula>
    </cfRule>
  </conditionalFormatting>
  <conditionalFormatting sqref="A983:A988">
    <cfRule type="expression" dxfId="34" priority="4862" stopIfTrue="1">
      <formula>$A983="enumerator"</formula>
    </cfRule>
  </conditionalFormatting>
  <conditionalFormatting sqref="A983:A988">
    <cfRule type="expression" dxfId="35" priority="4863" stopIfTrue="1">
      <formula>OR(AND(LEFT($A983, 14)="sensor_stream ", LEN($A983)&gt;14, NOT(ISNUMBER(SEARCH(" ", $A983, 15)))), AND(LEFT($A983, 17)="sensor_statistic ", LEN($A983)&gt;17, NOT(ISNUMBER(SEARCH(" ", $A983, 18)))))</formula>
    </cfRule>
  </conditionalFormatting>
  <conditionalFormatting sqref="A983:A988">
    <cfRule type="expression" dxfId="14" priority="4864" stopIfTrue="1">
      <formula>$A983="comments"</formula>
    </cfRule>
  </conditionalFormatting>
  <conditionalFormatting sqref="A983:A988">
    <cfRule type="expression" dxfId="15" priority="4865" stopIfTrue="1">
      <formula>OR($A983="audio", $A983="video")</formula>
    </cfRule>
  </conditionalFormatting>
  <conditionalFormatting sqref="A983:A988">
    <cfRule type="expression" dxfId="16" priority="4866" stopIfTrue="1">
      <formula>$A983="image"</formula>
    </cfRule>
  </conditionalFormatting>
  <conditionalFormatting sqref="A983:A988">
    <cfRule type="expression" dxfId="17" priority="4867" stopIfTrue="1">
      <formula>OR($A983="date", $A983="datetime", $A983="time")</formula>
    </cfRule>
  </conditionalFormatting>
  <conditionalFormatting sqref="A983:A988">
    <cfRule type="expression" dxfId="18" priority="4868" stopIfTrue="1">
      <formula>OR($A983="calculate", $A983="calculate_here")</formula>
    </cfRule>
  </conditionalFormatting>
  <conditionalFormatting sqref="A983:A988">
    <cfRule type="expression" dxfId="19" priority="4869" stopIfTrue="1">
      <formula>$A983="note"</formula>
    </cfRule>
  </conditionalFormatting>
  <conditionalFormatting sqref="A983:A988">
    <cfRule type="expression" dxfId="20" priority="4870" stopIfTrue="1">
      <formula>$A983="barcode"</formula>
    </cfRule>
  </conditionalFormatting>
  <conditionalFormatting sqref="A983:A988">
    <cfRule type="expression" dxfId="21" priority="4871" stopIfTrue="1">
      <formula>OR($A983="geopoint", $A983="geoshape", $A983="geotrace")</formula>
    </cfRule>
  </conditionalFormatting>
  <conditionalFormatting sqref="A983:A988">
    <cfRule type="expression" dxfId="22" priority="4872" stopIfTrue="1">
      <formula>OR($A983="audio audit", $A983="text audit", $A983="speed violations count", $A983="speed violations list", $A983="speed violations audit")</formula>
    </cfRule>
  </conditionalFormatting>
  <conditionalFormatting sqref="A983:A988">
    <cfRule type="expression" dxfId="23" priority="4873" stopIfTrue="1">
      <formula>OR($A983="username", $A983="phonenumber", $A983="start", $A983="end", $A983="deviceid", $A983="subscriberid", $A983="simserial", $A983="caseid")</formula>
    </cfRule>
  </conditionalFormatting>
  <conditionalFormatting sqref="A983:A988">
    <cfRule type="expression" dxfId="24" priority="4874" stopIfTrue="1">
      <formula>OR(AND(LEFT($A983, 16)="select_multiple ", LEN($A983)&gt;16, NOT(ISNUMBER(SEARCH(" ", $A983, 17)))), AND(LEFT($A983, 11)="select_one ", LEN($A983)&gt;11, NOT(ISNUMBER(SEARCH(" ", $A983, 12)))))</formula>
    </cfRule>
  </conditionalFormatting>
  <conditionalFormatting sqref="A983:A988">
    <cfRule type="expression" dxfId="25" priority="4875" stopIfTrue="1">
      <formula>$A983="decimal"</formula>
    </cfRule>
  </conditionalFormatting>
  <conditionalFormatting sqref="A983:A988">
    <cfRule type="expression" dxfId="26" priority="4876" stopIfTrue="1">
      <formula>$A983="integer"</formula>
    </cfRule>
  </conditionalFormatting>
  <conditionalFormatting sqref="A983:A988">
    <cfRule type="expression" dxfId="27" priority="4877" stopIfTrue="1">
      <formula>$A983="text"</formula>
    </cfRule>
  </conditionalFormatting>
  <conditionalFormatting sqref="A983:A988">
    <cfRule type="expression" dxfId="28" priority="4878" stopIfTrue="1">
      <formula>$A983="end repeat"</formula>
    </cfRule>
  </conditionalFormatting>
  <conditionalFormatting sqref="A983:A988">
    <cfRule type="expression" dxfId="28" priority="4879" stopIfTrue="1">
      <formula>$A983="begin repeat"</formula>
    </cfRule>
  </conditionalFormatting>
  <conditionalFormatting sqref="A983:A988">
    <cfRule type="expression" dxfId="29" priority="4880" stopIfTrue="1">
      <formula>$A983="end group"</formula>
    </cfRule>
  </conditionalFormatting>
  <conditionalFormatting sqref="A983:A988">
    <cfRule type="expression" dxfId="29" priority="4881" stopIfTrue="1">
      <formula>$A983="begin group"</formula>
    </cfRule>
  </conditionalFormatting>
  <conditionalFormatting sqref="A979:A980">
    <cfRule type="expression" dxfId="33" priority="4882" stopIfTrue="1">
      <formula>$A979="file"</formula>
    </cfRule>
  </conditionalFormatting>
  <conditionalFormatting sqref="A979:A980">
    <cfRule type="expression" dxfId="34" priority="4883" stopIfTrue="1">
      <formula>$A979="enumerator"</formula>
    </cfRule>
  </conditionalFormatting>
  <conditionalFormatting sqref="A979:A980">
    <cfRule type="expression" dxfId="35" priority="4884" stopIfTrue="1">
      <formula>OR(AND(LEFT($A979, 14)="sensor_stream ", LEN($A979)&gt;14, NOT(ISNUMBER(SEARCH(" ", $A979, 15)))), AND(LEFT($A979, 17)="sensor_statistic ", LEN($A979)&gt;17, NOT(ISNUMBER(SEARCH(" ", $A979, 18)))))</formula>
    </cfRule>
  </conditionalFormatting>
  <conditionalFormatting sqref="A979:A980">
    <cfRule type="expression" dxfId="14" priority="4885" stopIfTrue="1">
      <formula>$A979="comments"</formula>
    </cfRule>
  </conditionalFormatting>
  <conditionalFormatting sqref="A979:A980">
    <cfRule type="expression" dxfId="15" priority="4886" stopIfTrue="1">
      <formula>OR($A979="audio", $A979="video")</formula>
    </cfRule>
  </conditionalFormatting>
  <conditionalFormatting sqref="A979:A980">
    <cfRule type="expression" dxfId="16" priority="4887" stopIfTrue="1">
      <formula>$A979="image"</formula>
    </cfRule>
  </conditionalFormatting>
  <conditionalFormatting sqref="A979:A980">
    <cfRule type="expression" dxfId="17" priority="4888" stopIfTrue="1">
      <formula>OR($A979="date", $A979="datetime", $A979="time")</formula>
    </cfRule>
  </conditionalFormatting>
  <conditionalFormatting sqref="A979:A980">
    <cfRule type="expression" dxfId="18" priority="4889" stopIfTrue="1">
      <formula>OR($A979="calculate", $A979="calculate_here")</formula>
    </cfRule>
  </conditionalFormatting>
  <conditionalFormatting sqref="A979:A980">
    <cfRule type="expression" dxfId="19" priority="4890" stopIfTrue="1">
      <formula>$A979="note"</formula>
    </cfRule>
  </conditionalFormatting>
  <conditionalFormatting sqref="A979:A980">
    <cfRule type="expression" dxfId="20" priority="4891" stopIfTrue="1">
      <formula>$A979="barcode"</formula>
    </cfRule>
  </conditionalFormatting>
  <conditionalFormatting sqref="A979:A980">
    <cfRule type="expression" dxfId="21" priority="4892" stopIfTrue="1">
      <formula>OR($A979="geopoint", $A979="geoshape", $A979="geotrace")</formula>
    </cfRule>
  </conditionalFormatting>
  <conditionalFormatting sqref="A979:A980">
    <cfRule type="expression" dxfId="22" priority="4893" stopIfTrue="1">
      <formula>OR($A979="audio audit", $A979="text audit", $A979="speed violations count", $A979="speed violations list", $A979="speed violations audit")</formula>
    </cfRule>
  </conditionalFormatting>
  <conditionalFormatting sqref="A979:A980">
    <cfRule type="expression" dxfId="23" priority="4894" stopIfTrue="1">
      <formula>OR($A979="username", $A979="phonenumber", $A979="start", $A979="end", $A979="deviceid", $A979="subscriberid", $A979="simserial", $A979="caseid")</formula>
    </cfRule>
  </conditionalFormatting>
  <conditionalFormatting sqref="A979:A980">
    <cfRule type="expression" dxfId="24" priority="4895" stopIfTrue="1">
      <formula>OR(AND(LEFT($A979, 16)="select_multiple ", LEN($A979)&gt;16, NOT(ISNUMBER(SEARCH(" ", $A979, 17)))), AND(LEFT($A979, 11)="select_one ", LEN($A979)&gt;11, NOT(ISNUMBER(SEARCH(" ", $A979, 12)))))</formula>
    </cfRule>
  </conditionalFormatting>
  <conditionalFormatting sqref="A979:A980">
    <cfRule type="expression" dxfId="25" priority="4896" stopIfTrue="1">
      <formula>$A979="decimal"</formula>
    </cfRule>
  </conditionalFormatting>
  <conditionalFormatting sqref="A979:A980">
    <cfRule type="expression" dxfId="26" priority="4897" stopIfTrue="1">
      <formula>$A979="integer"</formula>
    </cfRule>
  </conditionalFormatting>
  <conditionalFormatting sqref="A979:A980">
    <cfRule type="expression" dxfId="27" priority="4898" stopIfTrue="1">
      <formula>$A979="text"</formula>
    </cfRule>
  </conditionalFormatting>
  <conditionalFormatting sqref="A979:A980">
    <cfRule type="expression" dxfId="28" priority="4899" stopIfTrue="1">
      <formula>$A979="end repeat"</formula>
    </cfRule>
  </conditionalFormatting>
  <conditionalFormatting sqref="A979:A980">
    <cfRule type="expression" dxfId="28" priority="4900" stopIfTrue="1">
      <formula>$A979="begin repeat"</formula>
    </cfRule>
  </conditionalFormatting>
  <conditionalFormatting sqref="A979:A980">
    <cfRule type="expression" dxfId="29" priority="4901" stopIfTrue="1">
      <formula>$A979="end group"</formula>
    </cfRule>
  </conditionalFormatting>
  <conditionalFormatting sqref="A979:A980">
    <cfRule type="expression" dxfId="29" priority="4902" stopIfTrue="1">
      <formula>$A979="begin group"</formula>
    </cfRule>
  </conditionalFormatting>
  <conditionalFormatting sqref="A971:A977">
    <cfRule type="expression" dxfId="33" priority="4903" stopIfTrue="1">
      <formula>$A971="file"</formula>
    </cfRule>
  </conditionalFormatting>
  <conditionalFormatting sqref="A971:A977">
    <cfRule type="expression" dxfId="34" priority="4904" stopIfTrue="1">
      <formula>$A971="enumerator"</formula>
    </cfRule>
  </conditionalFormatting>
  <conditionalFormatting sqref="A971:A977">
    <cfRule type="expression" dxfId="35" priority="4905" stopIfTrue="1">
      <formula>OR(AND(LEFT($A971, 14)="sensor_stream ", LEN($A971)&gt;14, NOT(ISNUMBER(SEARCH(" ", $A971, 15)))), AND(LEFT($A971, 17)="sensor_statistic ", LEN($A971)&gt;17, NOT(ISNUMBER(SEARCH(" ", $A971, 18)))))</formula>
    </cfRule>
  </conditionalFormatting>
  <conditionalFormatting sqref="A971:A977">
    <cfRule type="expression" dxfId="14" priority="4906" stopIfTrue="1">
      <formula>$A971="comments"</formula>
    </cfRule>
  </conditionalFormatting>
  <conditionalFormatting sqref="A971:A977">
    <cfRule type="expression" dxfId="15" priority="4907" stopIfTrue="1">
      <formula>OR($A971="audio", $A971="video")</formula>
    </cfRule>
  </conditionalFormatting>
  <conditionalFormatting sqref="A971:A977">
    <cfRule type="expression" dxfId="16" priority="4908" stopIfTrue="1">
      <formula>$A971="image"</formula>
    </cfRule>
  </conditionalFormatting>
  <conditionalFormatting sqref="A971:A977">
    <cfRule type="expression" dxfId="17" priority="4909" stopIfTrue="1">
      <formula>OR($A971="date", $A971="datetime", $A971="time")</formula>
    </cfRule>
  </conditionalFormatting>
  <conditionalFormatting sqref="A971:A977">
    <cfRule type="expression" dxfId="18" priority="4910" stopIfTrue="1">
      <formula>OR($A971="calculate", $A971="calculate_here")</formula>
    </cfRule>
  </conditionalFormatting>
  <conditionalFormatting sqref="A971:A977">
    <cfRule type="expression" dxfId="19" priority="4911" stopIfTrue="1">
      <formula>$A971="note"</formula>
    </cfRule>
  </conditionalFormatting>
  <conditionalFormatting sqref="A971:A977">
    <cfRule type="expression" dxfId="20" priority="4912" stopIfTrue="1">
      <formula>$A971="barcode"</formula>
    </cfRule>
  </conditionalFormatting>
  <conditionalFormatting sqref="A971:A977">
    <cfRule type="expression" dxfId="21" priority="4913" stopIfTrue="1">
      <formula>OR($A971="geopoint", $A971="geoshape", $A971="geotrace")</formula>
    </cfRule>
  </conditionalFormatting>
  <conditionalFormatting sqref="A971:A977">
    <cfRule type="expression" dxfId="22" priority="4914" stopIfTrue="1">
      <formula>OR($A971="audio audit", $A971="text audit", $A971="speed violations count", $A971="speed violations list", $A971="speed violations audit")</formula>
    </cfRule>
  </conditionalFormatting>
  <conditionalFormatting sqref="A971:A977">
    <cfRule type="expression" dxfId="23" priority="4915" stopIfTrue="1">
      <formula>OR($A971="username", $A971="phonenumber", $A971="start", $A971="end", $A971="deviceid", $A971="subscriberid", $A971="simserial", $A971="caseid")</formula>
    </cfRule>
  </conditionalFormatting>
  <conditionalFormatting sqref="A971:A977">
    <cfRule type="expression" dxfId="24" priority="4916" stopIfTrue="1">
      <formula>OR(AND(LEFT($A971, 16)="select_multiple ", LEN($A971)&gt;16, NOT(ISNUMBER(SEARCH(" ", $A971, 17)))), AND(LEFT($A971, 11)="select_one ", LEN($A971)&gt;11, NOT(ISNUMBER(SEARCH(" ", $A971, 12)))))</formula>
    </cfRule>
  </conditionalFormatting>
  <conditionalFormatting sqref="A971:A977">
    <cfRule type="expression" dxfId="25" priority="4917" stopIfTrue="1">
      <formula>$A971="decimal"</formula>
    </cfRule>
  </conditionalFormatting>
  <conditionalFormatting sqref="A971:A977">
    <cfRule type="expression" dxfId="26" priority="4918" stopIfTrue="1">
      <formula>$A971="integer"</formula>
    </cfRule>
  </conditionalFormatting>
  <conditionalFormatting sqref="A971:A977">
    <cfRule type="expression" dxfId="27" priority="4919" stopIfTrue="1">
      <formula>$A971="text"</formula>
    </cfRule>
  </conditionalFormatting>
  <conditionalFormatting sqref="A971:A977">
    <cfRule type="expression" dxfId="28" priority="4920" stopIfTrue="1">
      <formula>$A971="end repeat"</formula>
    </cfRule>
  </conditionalFormatting>
  <conditionalFormatting sqref="A971:A977">
    <cfRule type="expression" dxfId="28" priority="4921" stopIfTrue="1">
      <formula>$A971="begin repeat"</formula>
    </cfRule>
  </conditionalFormatting>
  <conditionalFormatting sqref="A971:A977">
    <cfRule type="expression" dxfId="29" priority="4922" stopIfTrue="1">
      <formula>$A971="end group"</formula>
    </cfRule>
  </conditionalFormatting>
  <conditionalFormatting sqref="A971:A977">
    <cfRule type="expression" dxfId="29" priority="4923" stopIfTrue="1">
      <formula>$A971="begin group"</formula>
    </cfRule>
  </conditionalFormatting>
  <conditionalFormatting sqref="A967:A968">
    <cfRule type="expression" dxfId="33" priority="4924" stopIfTrue="1">
      <formula>$A967="file"</formula>
    </cfRule>
  </conditionalFormatting>
  <conditionalFormatting sqref="A967:A968">
    <cfRule type="expression" dxfId="34" priority="4925" stopIfTrue="1">
      <formula>$A967="enumerator"</formula>
    </cfRule>
  </conditionalFormatting>
  <conditionalFormatting sqref="A967:A968">
    <cfRule type="expression" dxfId="35" priority="4926" stopIfTrue="1">
      <formula>OR(AND(LEFT($A967, 14)="sensor_stream ", LEN($A967)&gt;14, NOT(ISNUMBER(SEARCH(" ", $A967, 15)))), AND(LEFT($A967, 17)="sensor_statistic ", LEN($A967)&gt;17, NOT(ISNUMBER(SEARCH(" ", $A967, 18)))))</formula>
    </cfRule>
  </conditionalFormatting>
  <conditionalFormatting sqref="A967:A968">
    <cfRule type="expression" dxfId="14" priority="4927" stopIfTrue="1">
      <formula>$A967="comments"</formula>
    </cfRule>
  </conditionalFormatting>
  <conditionalFormatting sqref="A967:A968">
    <cfRule type="expression" dxfId="15" priority="4928" stopIfTrue="1">
      <formula>OR($A967="audio", $A967="video")</formula>
    </cfRule>
  </conditionalFormatting>
  <conditionalFormatting sqref="A967:A968">
    <cfRule type="expression" dxfId="16" priority="4929" stopIfTrue="1">
      <formula>$A967="image"</formula>
    </cfRule>
  </conditionalFormatting>
  <conditionalFormatting sqref="A967:A968">
    <cfRule type="expression" dxfId="17" priority="4930" stopIfTrue="1">
      <formula>OR($A967="date", $A967="datetime", $A967="time")</formula>
    </cfRule>
  </conditionalFormatting>
  <conditionalFormatting sqref="A967:A968">
    <cfRule type="expression" dxfId="18" priority="4931" stopIfTrue="1">
      <formula>OR($A967="calculate", $A967="calculate_here")</formula>
    </cfRule>
  </conditionalFormatting>
  <conditionalFormatting sqref="A967:A968">
    <cfRule type="expression" dxfId="19" priority="4932" stopIfTrue="1">
      <formula>$A967="note"</formula>
    </cfRule>
  </conditionalFormatting>
  <conditionalFormatting sqref="A967:A968">
    <cfRule type="expression" dxfId="20" priority="4933" stopIfTrue="1">
      <formula>$A967="barcode"</formula>
    </cfRule>
  </conditionalFormatting>
  <conditionalFormatting sqref="A967:A968">
    <cfRule type="expression" dxfId="21" priority="4934" stopIfTrue="1">
      <formula>OR($A967="geopoint", $A967="geoshape", $A967="geotrace")</formula>
    </cfRule>
  </conditionalFormatting>
  <conditionalFormatting sqref="A967:A968">
    <cfRule type="expression" dxfId="22" priority="4935" stopIfTrue="1">
      <formula>OR($A967="audio audit", $A967="text audit", $A967="speed violations count", $A967="speed violations list", $A967="speed violations audit")</formula>
    </cfRule>
  </conditionalFormatting>
  <conditionalFormatting sqref="A967:A968">
    <cfRule type="expression" dxfId="23" priority="4936" stopIfTrue="1">
      <formula>OR($A967="username", $A967="phonenumber", $A967="start", $A967="end", $A967="deviceid", $A967="subscriberid", $A967="simserial", $A967="caseid")</formula>
    </cfRule>
  </conditionalFormatting>
  <conditionalFormatting sqref="A967:A968">
    <cfRule type="expression" dxfId="24" priority="4937" stopIfTrue="1">
      <formula>OR(AND(LEFT($A967, 16)="select_multiple ", LEN($A967)&gt;16, NOT(ISNUMBER(SEARCH(" ", $A967, 17)))), AND(LEFT($A967, 11)="select_one ", LEN($A967)&gt;11, NOT(ISNUMBER(SEARCH(" ", $A967, 12)))))</formula>
    </cfRule>
  </conditionalFormatting>
  <conditionalFormatting sqref="A967:A968">
    <cfRule type="expression" dxfId="25" priority="4938" stopIfTrue="1">
      <formula>$A967="decimal"</formula>
    </cfRule>
  </conditionalFormatting>
  <conditionalFormatting sqref="A967:A968">
    <cfRule type="expression" dxfId="26" priority="4939" stopIfTrue="1">
      <formula>$A967="integer"</formula>
    </cfRule>
  </conditionalFormatting>
  <conditionalFormatting sqref="A967:A968">
    <cfRule type="expression" dxfId="27" priority="4940" stopIfTrue="1">
      <formula>$A967="text"</formula>
    </cfRule>
  </conditionalFormatting>
  <conditionalFormatting sqref="A967:A968">
    <cfRule type="expression" dxfId="28" priority="4941" stopIfTrue="1">
      <formula>$A967="end repeat"</formula>
    </cfRule>
  </conditionalFormatting>
  <conditionalFormatting sqref="A967:A968">
    <cfRule type="expression" dxfId="28" priority="4942" stopIfTrue="1">
      <formula>$A967="begin repeat"</formula>
    </cfRule>
  </conditionalFormatting>
  <conditionalFormatting sqref="A967:A968">
    <cfRule type="expression" dxfId="29" priority="4943" stopIfTrue="1">
      <formula>$A967="end group"</formula>
    </cfRule>
  </conditionalFormatting>
  <conditionalFormatting sqref="A967:A968">
    <cfRule type="expression" dxfId="29" priority="4944" stopIfTrue="1">
      <formula>$A967="begin group"</formula>
    </cfRule>
  </conditionalFormatting>
  <conditionalFormatting sqref="A965">
    <cfRule type="expression" dxfId="33" priority="4945" stopIfTrue="1">
      <formula>$A965="file"</formula>
    </cfRule>
  </conditionalFormatting>
  <conditionalFormatting sqref="A965">
    <cfRule type="expression" dxfId="34" priority="4946" stopIfTrue="1">
      <formula>$A965="enumerator"</formula>
    </cfRule>
  </conditionalFormatting>
  <conditionalFormatting sqref="A965">
    <cfRule type="expression" dxfId="35" priority="4947" stopIfTrue="1">
      <formula>OR(AND(LEFT($A965, 14)="sensor_stream ", LEN($A965)&gt;14, NOT(ISNUMBER(SEARCH(" ", $A965, 15)))), AND(LEFT($A965, 17)="sensor_statistic ", LEN($A965)&gt;17, NOT(ISNUMBER(SEARCH(" ", $A965, 18)))))</formula>
    </cfRule>
  </conditionalFormatting>
  <conditionalFormatting sqref="A965">
    <cfRule type="expression" dxfId="14" priority="4948" stopIfTrue="1">
      <formula>$A965="comments"</formula>
    </cfRule>
  </conditionalFormatting>
  <conditionalFormatting sqref="A965">
    <cfRule type="expression" dxfId="15" priority="4949" stopIfTrue="1">
      <formula>OR($A965="audio", $A965="video")</formula>
    </cfRule>
  </conditionalFormatting>
  <conditionalFormatting sqref="A965">
    <cfRule type="expression" dxfId="16" priority="4950" stopIfTrue="1">
      <formula>$A965="image"</formula>
    </cfRule>
  </conditionalFormatting>
  <conditionalFormatting sqref="A965">
    <cfRule type="expression" dxfId="17" priority="4951" stopIfTrue="1">
      <formula>OR($A965="date", $A965="datetime", $A965="time")</formula>
    </cfRule>
  </conditionalFormatting>
  <conditionalFormatting sqref="A965">
    <cfRule type="expression" dxfId="18" priority="4952" stopIfTrue="1">
      <formula>OR($A965="calculate", $A965="calculate_here")</formula>
    </cfRule>
  </conditionalFormatting>
  <conditionalFormatting sqref="A965">
    <cfRule type="expression" dxfId="19" priority="4953" stopIfTrue="1">
      <formula>$A965="note"</formula>
    </cfRule>
  </conditionalFormatting>
  <conditionalFormatting sqref="A965">
    <cfRule type="expression" dxfId="20" priority="4954" stopIfTrue="1">
      <formula>$A965="barcode"</formula>
    </cfRule>
  </conditionalFormatting>
  <conditionalFormatting sqref="A965">
    <cfRule type="expression" dxfId="21" priority="4955" stopIfTrue="1">
      <formula>OR($A965="geopoint", $A965="geoshape", $A965="geotrace")</formula>
    </cfRule>
  </conditionalFormatting>
  <conditionalFormatting sqref="A965">
    <cfRule type="expression" dxfId="22" priority="4956" stopIfTrue="1">
      <formula>OR($A965="audio audit", $A965="text audit", $A965="speed violations count", $A965="speed violations list", $A965="speed violations audit")</formula>
    </cfRule>
  </conditionalFormatting>
  <conditionalFormatting sqref="A965">
    <cfRule type="expression" dxfId="23" priority="4957" stopIfTrue="1">
      <formula>OR($A965="username", $A965="phonenumber", $A965="start", $A965="end", $A965="deviceid", $A965="subscriberid", $A965="simserial", $A965="caseid")</formula>
    </cfRule>
  </conditionalFormatting>
  <conditionalFormatting sqref="A965">
    <cfRule type="expression" dxfId="24" priority="4958" stopIfTrue="1">
      <formula>OR(AND(LEFT($A965, 16)="select_multiple ", LEN($A965)&gt;16, NOT(ISNUMBER(SEARCH(" ", $A965, 17)))), AND(LEFT($A965, 11)="select_one ", LEN($A965)&gt;11, NOT(ISNUMBER(SEARCH(" ", $A965, 12)))))</formula>
    </cfRule>
  </conditionalFormatting>
  <conditionalFormatting sqref="A965">
    <cfRule type="expression" dxfId="25" priority="4959" stopIfTrue="1">
      <formula>$A965="decimal"</formula>
    </cfRule>
  </conditionalFormatting>
  <conditionalFormatting sqref="A965">
    <cfRule type="expression" dxfId="26" priority="4960" stopIfTrue="1">
      <formula>$A965="integer"</formula>
    </cfRule>
  </conditionalFormatting>
  <conditionalFormatting sqref="A965">
    <cfRule type="expression" dxfId="27" priority="4961" stopIfTrue="1">
      <formula>$A965="text"</formula>
    </cfRule>
  </conditionalFormatting>
  <conditionalFormatting sqref="A965">
    <cfRule type="expression" dxfId="28" priority="4962" stopIfTrue="1">
      <formula>$A965="end repeat"</formula>
    </cfRule>
  </conditionalFormatting>
  <conditionalFormatting sqref="A965">
    <cfRule type="expression" dxfId="28" priority="4963" stopIfTrue="1">
      <formula>$A965="begin repeat"</formula>
    </cfRule>
  </conditionalFormatting>
  <conditionalFormatting sqref="A965">
    <cfRule type="expression" dxfId="29" priority="4964" stopIfTrue="1">
      <formula>$A965="end group"</formula>
    </cfRule>
  </conditionalFormatting>
  <conditionalFormatting sqref="A965">
    <cfRule type="expression" dxfId="29" priority="4965" stopIfTrue="1">
      <formula>$A965="begin group"</formula>
    </cfRule>
  </conditionalFormatting>
  <conditionalFormatting sqref="A963">
    <cfRule type="expression" dxfId="33" priority="4966" stopIfTrue="1">
      <formula>$A963="file"</formula>
    </cfRule>
  </conditionalFormatting>
  <conditionalFormatting sqref="A963">
    <cfRule type="expression" dxfId="34" priority="4967" stopIfTrue="1">
      <formula>$A963="enumerator"</formula>
    </cfRule>
  </conditionalFormatting>
  <conditionalFormatting sqref="A963">
    <cfRule type="expression" dxfId="35" priority="4968" stopIfTrue="1">
      <formula>OR(AND(LEFT($A963, 14)="sensor_stream ", LEN($A963)&gt;14, NOT(ISNUMBER(SEARCH(" ", $A963, 15)))), AND(LEFT($A963, 17)="sensor_statistic ", LEN($A963)&gt;17, NOT(ISNUMBER(SEARCH(" ", $A963, 18)))))</formula>
    </cfRule>
  </conditionalFormatting>
  <conditionalFormatting sqref="A963">
    <cfRule type="expression" dxfId="14" priority="4969" stopIfTrue="1">
      <formula>$A963="comments"</formula>
    </cfRule>
  </conditionalFormatting>
  <conditionalFormatting sqref="A963">
    <cfRule type="expression" dxfId="15" priority="4970" stopIfTrue="1">
      <formula>OR($A963="audio", $A963="video")</formula>
    </cfRule>
  </conditionalFormatting>
  <conditionalFormatting sqref="A963">
    <cfRule type="expression" dxfId="16" priority="4971" stopIfTrue="1">
      <formula>$A963="image"</formula>
    </cfRule>
  </conditionalFormatting>
  <conditionalFormatting sqref="A963">
    <cfRule type="expression" dxfId="17" priority="4972" stopIfTrue="1">
      <formula>OR($A963="date", $A963="datetime", $A963="time")</formula>
    </cfRule>
  </conditionalFormatting>
  <conditionalFormatting sqref="A963">
    <cfRule type="expression" dxfId="18" priority="4973" stopIfTrue="1">
      <formula>OR($A963="calculate", $A963="calculate_here")</formula>
    </cfRule>
  </conditionalFormatting>
  <conditionalFormatting sqref="A963">
    <cfRule type="expression" dxfId="19" priority="4974" stopIfTrue="1">
      <formula>$A963="note"</formula>
    </cfRule>
  </conditionalFormatting>
  <conditionalFormatting sqref="A963">
    <cfRule type="expression" dxfId="20" priority="4975" stopIfTrue="1">
      <formula>$A963="barcode"</formula>
    </cfRule>
  </conditionalFormatting>
  <conditionalFormatting sqref="A963">
    <cfRule type="expression" dxfId="21" priority="4976" stopIfTrue="1">
      <formula>OR($A963="geopoint", $A963="geoshape", $A963="geotrace")</formula>
    </cfRule>
  </conditionalFormatting>
  <conditionalFormatting sqref="A963">
    <cfRule type="expression" dxfId="22" priority="4977" stopIfTrue="1">
      <formula>OR($A963="audio audit", $A963="text audit", $A963="speed violations count", $A963="speed violations list", $A963="speed violations audit")</formula>
    </cfRule>
  </conditionalFormatting>
  <conditionalFormatting sqref="A963">
    <cfRule type="expression" dxfId="23" priority="4978" stopIfTrue="1">
      <formula>OR($A963="username", $A963="phonenumber", $A963="start", $A963="end", $A963="deviceid", $A963="subscriberid", $A963="simserial", $A963="caseid")</formula>
    </cfRule>
  </conditionalFormatting>
  <conditionalFormatting sqref="A963">
    <cfRule type="expression" dxfId="24" priority="4979" stopIfTrue="1">
      <formula>OR(AND(LEFT($A963, 16)="select_multiple ", LEN($A963)&gt;16, NOT(ISNUMBER(SEARCH(" ", $A963, 17)))), AND(LEFT($A963, 11)="select_one ", LEN($A963)&gt;11, NOT(ISNUMBER(SEARCH(" ", $A963, 12)))))</formula>
    </cfRule>
  </conditionalFormatting>
  <conditionalFormatting sqref="A963">
    <cfRule type="expression" dxfId="25" priority="4980" stopIfTrue="1">
      <formula>$A963="decimal"</formula>
    </cfRule>
  </conditionalFormatting>
  <conditionalFormatting sqref="A963">
    <cfRule type="expression" dxfId="26" priority="4981" stopIfTrue="1">
      <formula>$A963="integer"</formula>
    </cfRule>
  </conditionalFormatting>
  <conditionalFormatting sqref="A963">
    <cfRule type="expression" dxfId="27" priority="4982" stopIfTrue="1">
      <formula>$A963="text"</formula>
    </cfRule>
  </conditionalFormatting>
  <conditionalFormatting sqref="A963">
    <cfRule type="expression" dxfId="28" priority="4983" stopIfTrue="1">
      <formula>$A963="end repeat"</formula>
    </cfRule>
  </conditionalFormatting>
  <conditionalFormatting sqref="A963">
    <cfRule type="expression" dxfId="28" priority="4984" stopIfTrue="1">
      <formula>$A963="begin repeat"</formula>
    </cfRule>
  </conditionalFormatting>
  <conditionalFormatting sqref="A963">
    <cfRule type="expression" dxfId="29" priority="4985" stopIfTrue="1">
      <formula>$A963="end group"</formula>
    </cfRule>
  </conditionalFormatting>
  <conditionalFormatting sqref="A963">
    <cfRule type="expression" dxfId="29" priority="4986" stopIfTrue="1">
      <formula>$A963="begin group"</formula>
    </cfRule>
  </conditionalFormatting>
  <conditionalFormatting sqref="A949:A961">
    <cfRule type="expression" dxfId="33" priority="4987" stopIfTrue="1">
      <formula>$A949="file"</formula>
    </cfRule>
  </conditionalFormatting>
  <conditionalFormatting sqref="A949:A961">
    <cfRule type="expression" dxfId="34" priority="4988" stopIfTrue="1">
      <formula>$A949="enumerator"</formula>
    </cfRule>
  </conditionalFormatting>
  <conditionalFormatting sqref="A949:A961">
    <cfRule type="expression" dxfId="35" priority="4989" stopIfTrue="1">
      <formula>OR(AND(LEFT($A949, 14)="sensor_stream ", LEN($A949)&gt;14, NOT(ISNUMBER(SEARCH(" ", $A949, 15)))), AND(LEFT($A949, 17)="sensor_statistic ", LEN($A949)&gt;17, NOT(ISNUMBER(SEARCH(" ", $A949, 18)))))</formula>
    </cfRule>
  </conditionalFormatting>
  <conditionalFormatting sqref="A949:A961">
    <cfRule type="expression" dxfId="14" priority="4990" stopIfTrue="1">
      <formula>$A949="comments"</formula>
    </cfRule>
  </conditionalFormatting>
  <conditionalFormatting sqref="A949:A961">
    <cfRule type="expression" dxfId="15" priority="4991" stopIfTrue="1">
      <formula>OR($A949="audio", $A949="video")</formula>
    </cfRule>
  </conditionalFormatting>
  <conditionalFormatting sqref="A949:A961">
    <cfRule type="expression" dxfId="16" priority="4992" stopIfTrue="1">
      <formula>$A949="image"</formula>
    </cfRule>
  </conditionalFormatting>
  <conditionalFormatting sqref="A949:A961">
    <cfRule type="expression" dxfId="17" priority="4993" stopIfTrue="1">
      <formula>OR($A949="date", $A949="datetime", $A949="time")</formula>
    </cfRule>
  </conditionalFormatting>
  <conditionalFormatting sqref="A949:A961">
    <cfRule type="expression" dxfId="18" priority="4994" stopIfTrue="1">
      <formula>OR($A949="calculate", $A949="calculate_here")</formula>
    </cfRule>
  </conditionalFormatting>
  <conditionalFormatting sqref="A949:A961">
    <cfRule type="expression" dxfId="19" priority="4995" stopIfTrue="1">
      <formula>$A949="note"</formula>
    </cfRule>
  </conditionalFormatting>
  <conditionalFormatting sqref="A949:A961">
    <cfRule type="expression" dxfId="20" priority="4996" stopIfTrue="1">
      <formula>$A949="barcode"</formula>
    </cfRule>
  </conditionalFormatting>
  <conditionalFormatting sqref="A949:A961">
    <cfRule type="expression" dxfId="21" priority="4997" stopIfTrue="1">
      <formula>OR($A949="geopoint", $A949="geoshape", $A949="geotrace")</formula>
    </cfRule>
  </conditionalFormatting>
  <conditionalFormatting sqref="A949:A961">
    <cfRule type="expression" dxfId="22" priority="4998" stopIfTrue="1">
      <formula>OR($A949="audio audit", $A949="text audit", $A949="speed violations count", $A949="speed violations list", $A949="speed violations audit")</formula>
    </cfRule>
  </conditionalFormatting>
  <conditionalFormatting sqref="A949:A961">
    <cfRule type="expression" dxfId="23" priority="4999" stopIfTrue="1">
      <formula>OR($A949="username", $A949="phonenumber", $A949="start", $A949="end", $A949="deviceid", $A949="subscriberid", $A949="simserial", $A949="caseid")</formula>
    </cfRule>
  </conditionalFormatting>
  <conditionalFormatting sqref="A949:A961">
    <cfRule type="expression" dxfId="24" priority="5000" stopIfTrue="1">
      <formula>OR(AND(LEFT($A949, 16)="select_multiple ", LEN($A949)&gt;16, NOT(ISNUMBER(SEARCH(" ", $A949, 17)))), AND(LEFT($A949, 11)="select_one ", LEN($A949)&gt;11, NOT(ISNUMBER(SEARCH(" ", $A949, 12)))))</formula>
    </cfRule>
  </conditionalFormatting>
  <conditionalFormatting sqref="A949:A961">
    <cfRule type="expression" dxfId="25" priority="5001" stopIfTrue="1">
      <formula>$A949="decimal"</formula>
    </cfRule>
  </conditionalFormatting>
  <conditionalFormatting sqref="A949:A961">
    <cfRule type="expression" dxfId="26" priority="5002" stopIfTrue="1">
      <formula>$A949="integer"</formula>
    </cfRule>
  </conditionalFormatting>
  <conditionalFormatting sqref="A949:A961">
    <cfRule type="expression" dxfId="27" priority="5003" stopIfTrue="1">
      <formula>$A949="text"</formula>
    </cfRule>
  </conditionalFormatting>
  <conditionalFormatting sqref="A949:A961">
    <cfRule type="expression" dxfId="28" priority="5004" stopIfTrue="1">
      <formula>$A949="end repeat"</formula>
    </cfRule>
  </conditionalFormatting>
  <conditionalFormatting sqref="A949:A961">
    <cfRule type="expression" dxfId="28" priority="5005" stopIfTrue="1">
      <formula>$A949="begin repeat"</formula>
    </cfRule>
  </conditionalFormatting>
  <conditionalFormatting sqref="A949:A961">
    <cfRule type="expression" dxfId="29" priority="5006" stopIfTrue="1">
      <formula>$A949="end group"</formula>
    </cfRule>
  </conditionalFormatting>
  <conditionalFormatting sqref="A949:A961">
    <cfRule type="expression" dxfId="29" priority="5007" stopIfTrue="1">
      <formula>$A949="begin group"</formula>
    </cfRule>
  </conditionalFormatting>
  <conditionalFormatting sqref="A932:A936">
    <cfRule type="expression" dxfId="33" priority="5008" stopIfTrue="1">
      <formula>$A932="file"</formula>
    </cfRule>
  </conditionalFormatting>
  <conditionalFormatting sqref="A932:A936">
    <cfRule type="expression" dxfId="34" priority="5009" stopIfTrue="1">
      <formula>$A932="enumerator"</formula>
    </cfRule>
  </conditionalFormatting>
  <conditionalFormatting sqref="A932:A936">
    <cfRule type="expression" dxfId="35" priority="5010" stopIfTrue="1">
      <formula>OR(AND(LEFT($A932, 14)="sensor_stream ", LEN($A932)&gt;14, NOT(ISNUMBER(SEARCH(" ", $A932, 15)))), AND(LEFT($A932, 17)="sensor_statistic ", LEN($A932)&gt;17, NOT(ISNUMBER(SEARCH(" ", $A932, 18)))))</formula>
    </cfRule>
  </conditionalFormatting>
  <conditionalFormatting sqref="A932:A936">
    <cfRule type="expression" dxfId="14" priority="5011" stopIfTrue="1">
      <formula>$A932="comments"</formula>
    </cfRule>
  </conditionalFormatting>
  <conditionalFormatting sqref="A932:A936">
    <cfRule type="expression" dxfId="15" priority="5012" stopIfTrue="1">
      <formula>OR($A932="audio", $A932="video")</formula>
    </cfRule>
  </conditionalFormatting>
  <conditionalFormatting sqref="A932:A936">
    <cfRule type="expression" dxfId="16" priority="5013" stopIfTrue="1">
      <formula>$A932="image"</formula>
    </cfRule>
  </conditionalFormatting>
  <conditionalFormatting sqref="A932:A936">
    <cfRule type="expression" dxfId="17" priority="5014" stopIfTrue="1">
      <formula>OR($A932="date", $A932="datetime", $A932="time")</formula>
    </cfRule>
  </conditionalFormatting>
  <conditionalFormatting sqref="A932:A936">
    <cfRule type="expression" dxfId="18" priority="5015" stopIfTrue="1">
      <formula>OR($A932="calculate", $A932="calculate_here")</formula>
    </cfRule>
  </conditionalFormatting>
  <conditionalFormatting sqref="A932:A936">
    <cfRule type="expression" dxfId="19" priority="5016" stopIfTrue="1">
      <formula>$A932="note"</formula>
    </cfRule>
  </conditionalFormatting>
  <conditionalFormatting sqref="A932:A936">
    <cfRule type="expression" dxfId="20" priority="5017" stopIfTrue="1">
      <formula>$A932="barcode"</formula>
    </cfRule>
  </conditionalFormatting>
  <conditionalFormatting sqref="A932:A936">
    <cfRule type="expression" dxfId="21" priority="5018" stopIfTrue="1">
      <formula>OR($A932="geopoint", $A932="geoshape", $A932="geotrace")</formula>
    </cfRule>
  </conditionalFormatting>
  <conditionalFormatting sqref="A932:A936">
    <cfRule type="expression" dxfId="22" priority="5019" stopIfTrue="1">
      <formula>OR($A932="audio audit", $A932="text audit", $A932="speed violations count", $A932="speed violations list", $A932="speed violations audit")</formula>
    </cfRule>
  </conditionalFormatting>
  <conditionalFormatting sqref="A932:A936">
    <cfRule type="expression" dxfId="23" priority="5020" stopIfTrue="1">
      <formula>OR($A932="username", $A932="phonenumber", $A932="start", $A932="end", $A932="deviceid", $A932="subscriberid", $A932="simserial", $A932="caseid")</formula>
    </cfRule>
  </conditionalFormatting>
  <conditionalFormatting sqref="A932:A936">
    <cfRule type="expression" dxfId="24" priority="5021" stopIfTrue="1">
      <formula>OR(AND(LEFT($A932, 16)="select_multiple ", LEN($A932)&gt;16, NOT(ISNUMBER(SEARCH(" ", $A932, 17)))), AND(LEFT($A932, 11)="select_one ", LEN($A932)&gt;11, NOT(ISNUMBER(SEARCH(" ", $A932, 12)))))</formula>
    </cfRule>
  </conditionalFormatting>
  <conditionalFormatting sqref="A932:A936">
    <cfRule type="expression" dxfId="25" priority="5022" stopIfTrue="1">
      <formula>$A932="decimal"</formula>
    </cfRule>
  </conditionalFormatting>
  <conditionalFormatting sqref="A932:A936">
    <cfRule type="expression" dxfId="26" priority="5023" stopIfTrue="1">
      <formula>$A932="integer"</formula>
    </cfRule>
  </conditionalFormatting>
  <conditionalFormatting sqref="A932:A936">
    <cfRule type="expression" dxfId="27" priority="5024" stopIfTrue="1">
      <formula>$A932="text"</formula>
    </cfRule>
  </conditionalFormatting>
  <conditionalFormatting sqref="A932:A936">
    <cfRule type="expression" dxfId="28" priority="5025" stopIfTrue="1">
      <formula>$A932="end repeat"</formula>
    </cfRule>
  </conditionalFormatting>
  <conditionalFormatting sqref="A932:A936">
    <cfRule type="expression" dxfId="28" priority="5026" stopIfTrue="1">
      <formula>$A932="begin repeat"</formula>
    </cfRule>
  </conditionalFormatting>
  <conditionalFormatting sqref="A932:A936">
    <cfRule type="expression" dxfId="29" priority="5027" stopIfTrue="1">
      <formula>$A932="end group"</formula>
    </cfRule>
  </conditionalFormatting>
  <conditionalFormatting sqref="A932:A936">
    <cfRule type="expression" dxfId="29" priority="5028" stopIfTrue="1">
      <formula>$A932="begin group"</formula>
    </cfRule>
  </conditionalFormatting>
  <conditionalFormatting sqref="A929">
    <cfRule type="expression" dxfId="33" priority="5029" stopIfTrue="1">
      <formula>$A929="file"</formula>
    </cfRule>
  </conditionalFormatting>
  <conditionalFormatting sqref="A929">
    <cfRule type="expression" dxfId="34" priority="5030" stopIfTrue="1">
      <formula>$A929="enumerator"</formula>
    </cfRule>
  </conditionalFormatting>
  <conditionalFormatting sqref="A929">
    <cfRule type="expression" dxfId="35" priority="5031" stopIfTrue="1">
      <formula>OR(AND(LEFT($A929, 14)="sensor_stream ", LEN($A929)&gt;14, NOT(ISNUMBER(SEARCH(" ", $A929, 15)))), AND(LEFT($A929, 17)="sensor_statistic ", LEN($A929)&gt;17, NOT(ISNUMBER(SEARCH(" ", $A929, 18)))))</formula>
    </cfRule>
  </conditionalFormatting>
  <conditionalFormatting sqref="A929">
    <cfRule type="expression" dxfId="14" priority="5032" stopIfTrue="1">
      <formula>$A929="comments"</formula>
    </cfRule>
  </conditionalFormatting>
  <conditionalFormatting sqref="A929">
    <cfRule type="expression" dxfId="15" priority="5033" stopIfTrue="1">
      <formula>OR($A929="audio", $A929="video")</formula>
    </cfRule>
  </conditionalFormatting>
  <conditionalFormatting sqref="A929">
    <cfRule type="expression" dxfId="16" priority="5034" stopIfTrue="1">
      <formula>$A929="image"</formula>
    </cfRule>
  </conditionalFormatting>
  <conditionalFormatting sqref="A929">
    <cfRule type="expression" dxfId="17" priority="5035" stopIfTrue="1">
      <formula>OR($A929="date", $A929="datetime", $A929="time")</formula>
    </cfRule>
  </conditionalFormatting>
  <conditionalFormatting sqref="A929">
    <cfRule type="expression" dxfId="18" priority="5036" stopIfTrue="1">
      <formula>OR($A929="calculate", $A929="calculate_here")</formula>
    </cfRule>
  </conditionalFormatting>
  <conditionalFormatting sqref="A929">
    <cfRule type="expression" dxfId="19" priority="5037" stopIfTrue="1">
      <formula>$A929="note"</formula>
    </cfRule>
  </conditionalFormatting>
  <conditionalFormatting sqref="A929">
    <cfRule type="expression" dxfId="20" priority="5038" stopIfTrue="1">
      <formula>$A929="barcode"</formula>
    </cfRule>
  </conditionalFormatting>
  <conditionalFormatting sqref="A929">
    <cfRule type="expression" dxfId="21" priority="5039" stopIfTrue="1">
      <formula>OR($A929="geopoint", $A929="geoshape", $A929="geotrace")</formula>
    </cfRule>
  </conditionalFormatting>
  <conditionalFormatting sqref="A929">
    <cfRule type="expression" dxfId="22" priority="5040" stopIfTrue="1">
      <formula>OR($A929="audio audit", $A929="text audit", $A929="speed violations count", $A929="speed violations list", $A929="speed violations audit")</formula>
    </cfRule>
  </conditionalFormatting>
  <conditionalFormatting sqref="A929">
    <cfRule type="expression" dxfId="23" priority="5041" stopIfTrue="1">
      <formula>OR($A929="username", $A929="phonenumber", $A929="start", $A929="end", $A929="deviceid", $A929="subscriberid", $A929="simserial", $A929="caseid")</formula>
    </cfRule>
  </conditionalFormatting>
  <conditionalFormatting sqref="A929">
    <cfRule type="expression" dxfId="24" priority="5042" stopIfTrue="1">
      <formula>OR(AND(LEFT($A929, 16)="select_multiple ", LEN($A929)&gt;16, NOT(ISNUMBER(SEARCH(" ", $A929, 17)))), AND(LEFT($A929, 11)="select_one ", LEN($A929)&gt;11, NOT(ISNUMBER(SEARCH(" ", $A929, 12)))))</formula>
    </cfRule>
  </conditionalFormatting>
  <conditionalFormatting sqref="A929">
    <cfRule type="expression" dxfId="25" priority="5043" stopIfTrue="1">
      <formula>$A929="decimal"</formula>
    </cfRule>
  </conditionalFormatting>
  <conditionalFormatting sqref="A929">
    <cfRule type="expression" dxfId="26" priority="5044" stopIfTrue="1">
      <formula>$A929="integer"</formula>
    </cfRule>
  </conditionalFormatting>
  <conditionalFormatting sqref="A929">
    <cfRule type="expression" dxfId="27" priority="5045" stopIfTrue="1">
      <formula>$A929="text"</formula>
    </cfRule>
  </conditionalFormatting>
  <conditionalFormatting sqref="A929">
    <cfRule type="expression" dxfId="28" priority="5046" stopIfTrue="1">
      <formula>$A929="end repeat"</formula>
    </cfRule>
  </conditionalFormatting>
  <conditionalFormatting sqref="A929">
    <cfRule type="expression" dxfId="28" priority="5047" stopIfTrue="1">
      <formula>$A929="begin repeat"</formula>
    </cfRule>
  </conditionalFormatting>
  <conditionalFormatting sqref="A929">
    <cfRule type="expression" dxfId="29" priority="5048" stopIfTrue="1">
      <formula>$A929="end group"</formula>
    </cfRule>
  </conditionalFormatting>
  <conditionalFormatting sqref="A929">
    <cfRule type="expression" dxfId="29" priority="5049" stopIfTrue="1">
      <formula>$A929="begin group"</formula>
    </cfRule>
  </conditionalFormatting>
  <conditionalFormatting sqref="A926">
    <cfRule type="expression" dxfId="33" priority="5050" stopIfTrue="1">
      <formula>$A926="file"</formula>
    </cfRule>
  </conditionalFormatting>
  <conditionalFormatting sqref="A926">
    <cfRule type="expression" dxfId="34" priority="5051" stopIfTrue="1">
      <formula>$A926="enumerator"</formula>
    </cfRule>
  </conditionalFormatting>
  <conditionalFormatting sqref="A926">
    <cfRule type="expression" dxfId="35" priority="5052" stopIfTrue="1">
      <formula>OR(AND(LEFT($A926, 14)="sensor_stream ", LEN($A926)&gt;14, NOT(ISNUMBER(SEARCH(" ", $A926, 15)))), AND(LEFT($A926, 17)="sensor_statistic ", LEN($A926)&gt;17, NOT(ISNUMBER(SEARCH(" ", $A926, 18)))))</formula>
    </cfRule>
  </conditionalFormatting>
  <conditionalFormatting sqref="A926">
    <cfRule type="expression" dxfId="14" priority="5053" stopIfTrue="1">
      <formula>$A926="comments"</formula>
    </cfRule>
  </conditionalFormatting>
  <conditionalFormatting sqref="A926">
    <cfRule type="expression" dxfId="15" priority="5054" stopIfTrue="1">
      <formula>OR($A926="audio", $A926="video")</formula>
    </cfRule>
  </conditionalFormatting>
  <conditionalFormatting sqref="A926">
    <cfRule type="expression" dxfId="16" priority="5055" stopIfTrue="1">
      <formula>$A926="image"</formula>
    </cfRule>
  </conditionalFormatting>
  <conditionalFormatting sqref="A926">
    <cfRule type="expression" dxfId="17" priority="5056" stopIfTrue="1">
      <formula>OR($A926="date", $A926="datetime", $A926="time")</formula>
    </cfRule>
  </conditionalFormatting>
  <conditionalFormatting sqref="A926">
    <cfRule type="expression" dxfId="18" priority="5057" stopIfTrue="1">
      <formula>OR($A926="calculate", $A926="calculate_here")</formula>
    </cfRule>
  </conditionalFormatting>
  <conditionalFormatting sqref="A926">
    <cfRule type="expression" dxfId="19" priority="5058" stopIfTrue="1">
      <formula>$A926="note"</formula>
    </cfRule>
  </conditionalFormatting>
  <conditionalFormatting sqref="A926">
    <cfRule type="expression" dxfId="20" priority="5059" stopIfTrue="1">
      <formula>$A926="barcode"</formula>
    </cfRule>
  </conditionalFormatting>
  <conditionalFormatting sqref="A926">
    <cfRule type="expression" dxfId="21" priority="5060" stopIfTrue="1">
      <formula>OR($A926="geopoint", $A926="geoshape", $A926="geotrace")</formula>
    </cfRule>
  </conditionalFormatting>
  <conditionalFormatting sqref="A926">
    <cfRule type="expression" dxfId="22" priority="5061" stopIfTrue="1">
      <formula>OR($A926="audio audit", $A926="text audit", $A926="speed violations count", $A926="speed violations list", $A926="speed violations audit")</formula>
    </cfRule>
  </conditionalFormatting>
  <conditionalFormatting sqref="A926">
    <cfRule type="expression" dxfId="23" priority="5062" stopIfTrue="1">
      <formula>OR($A926="username", $A926="phonenumber", $A926="start", $A926="end", $A926="deviceid", $A926="subscriberid", $A926="simserial", $A926="caseid")</formula>
    </cfRule>
  </conditionalFormatting>
  <conditionalFormatting sqref="A926">
    <cfRule type="expression" dxfId="24" priority="5063" stopIfTrue="1">
      <formula>OR(AND(LEFT($A926, 16)="select_multiple ", LEN($A926)&gt;16, NOT(ISNUMBER(SEARCH(" ", $A926, 17)))), AND(LEFT($A926, 11)="select_one ", LEN($A926)&gt;11, NOT(ISNUMBER(SEARCH(" ", $A926, 12)))))</formula>
    </cfRule>
  </conditionalFormatting>
  <conditionalFormatting sqref="A926">
    <cfRule type="expression" dxfId="25" priority="5064" stopIfTrue="1">
      <formula>$A926="decimal"</formula>
    </cfRule>
  </conditionalFormatting>
  <conditionalFormatting sqref="A926">
    <cfRule type="expression" dxfId="26" priority="5065" stopIfTrue="1">
      <formula>$A926="integer"</formula>
    </cfRule>
  </conditionalFormatting>
  <conditionalFormatting sqref="A926">
    <cfRule type="expression" dxfId="27" priority="5066" stopIfTrue="1">
      <formula>$A926="text"</formula>
    </cfRule>
  </conditionalFormatting>
  <conditionalFormatting sqref="A926">
    <cfRule type="expression" dxfId="28" priority="5067" stopIfTrue="1">
      <formula>$A926="end repeat"</formula>
    </cfRule>
  </conditionalFormatting>
  <conditionalFormatting sqref="A926">
    <cfRule type="expression" dxfId="28" priority="5068" stopIfTrue="1">
      <formula>$A926="begin repeat"</formula>
    </cfRule>
  </conditionalFormatting>
  <conditionalFormatting sqref="A926">
    <cfRule type="expression" dxfId="29" priority="5069" stopIfTrue="1">
      <formula>$A926="end group"</formula>
    </cfRule>
  </conditionalFormatting>
  <conditionalFormatting sqref="A926">
    <cfRule type="expression" dxfId="29" priority="5070" stopIfTrue="1">
      <formula>$A926="begin group"</formula>
    </cfRule>
  </conditionalFormatting>
  <conditionalFormatting sqref="A924">
    <cfRule type="expression" dxfId="33" priority="5071" stopIfTrue="1">
      <formula>$A924="file"</formula>
    </cfRule>
  </conditionalFormatting>
  <conditionalFormatting sqref="A924">
    <cfRule type="expression" dxfId="34" priority="5072" stopIfTrue="1">
      <formula>$A924="enumerator"</formula>
    </cfRule>
  </conditionalFormatting>
  <conditionalFormatting sqref="A924">
    <cfRule type="expression" dxfId="35" priority="5073" stopIfTrue="1">
      <formula>OR(AND(LEFT($A924, 14)="sensor_stream ", LEN($A924)&gt;14, NOT(ISNUMBER(SEARCH(" ", $A924, 15)))), AND(LEFT($A924, 17)="sensor_statistic ", LEN($A924)&gt;17, NOT(ISNUMBER(SEARCH(" ", $A924, 18)))))</formula>
    </cfRule>
  </conditionalFormatting>
  <conditionalFormatting sqref="A924">
    <cfRule type="expression" dxfId="14" priority="5074" stopIfTrue="1">
      <formula>$A924="comments"</formula>
    </cfRule>
  </conditionalFormatting>
  <conditionalFormatting sqref="A924">
    <cfRule type="expression" dxfId="15" priority="5075" stopIfTrue="1">
      <formula>OR($A924="audio", $A924="video")</formula>
    </cfRule>
  </conditionalFormatting>
  <conditionalFormatting sqref="A924">
    <cfRule type="expression" dxfId="16" priority="5076" stopIfTrue="1">
      <formula>$A924="image"</formula>
    </cfRule>
  </conditionalFormatting>
  <conditionalFormatting sqref="A924">
    <cfRule type="expression" dxfId="17" priority="5077" stopIfTrue="1">
      <formula>OR($A924="date", $A924="datetime", $A924="time")</formula>
    </cfRule>
  </conditionalFormatting>
  <conditionalFormatting sqref="A924">
    <cfRule type="expression" dxfId="18" priority="5078" stopIfTrue="1">
      <formula>OR($A924="calculate", $A924="calculate_here")</formula>
    </cfRule>
  </conditionalFormatting>
  <conditionalFormatting sqref="A924">
    <cfRule type="expression" dxfId="19" priority="5079" stopIfTrue="1">
      <formula>$A924="note"</formula>
    </cfRule>
  </conditionalFormatting>
  <conditionalFormatting sqref="A924">
    <cfRule type="expression" dxfId="20" priority="5080" stopIfTrue="1">
      <formula>$A924="barcode"</formula>
    </cfRule>
  </conditionalFormatting>
  <conditionalFormatting sqref="A924">
    <cfRule type="expression" dxfId="21" priority="5081" stopIfTrue="1">
      <formula>OR($A924="geopoint", $A924="geoshape", $A924="geotrace")</formula>
    </cfRule>
  </conditionalFormatting>
  <conditionalFormatting sqref="A924">
    <cfRule type="expression" dxfId="22" priority="5082" stopIfTrue="1">
      <formula>OR($A924="audio audit", $A924="text audit", $A924="speed violations count", $A924="speed violations list", $A924="speed violations audit")</formula>
    </cfRule>
  </conditionalFormatting>
  <conditionalFormatting sqref="A924">
    <cfRule type="expression" dxfId="23" priority="5083" stopIfTrue="1">
      <formula>OR($A924="username", $A924="phonenumber", $A924="start", $A924="end", $A924="deviceid", $A924="subscriberid", $A924="simserial", $A924="caseid")</formula>
    </cfRule>
  </conditionalFormatting>
  <conditionalFormatting sqref="A924">
    <cfRule type="expression" dxfId="24" priority="5084" stopIfTrue="1">
      <formula>OR(AND(LEFT($A924, 16)="select_multiple ", LEN($A924)&gt;16, NOT(ISNUMBER(SEARCH(" ", $A924, 17)))), AND(LEFT($A924, 11)="select_one ", LEN($A924)&gt;11, NOT(ISNUMBER(SEARCH(" ", $A924, 12)))))</formula>
    </cfRule>
  </conditionalFormatting>
  <conditionalFormatting sqref="A924">
    <cfRule type="expression" dxfId="25" priority="5085" stopIfTrue="1">
      <formula>$A924="decimal"</formula>
    </cfRule>
  </conditionalFormatting>
  <conditionalFormatting sqref="A924">
    <cfRule type="expression" dxfId="26" priority="5086" stopIfTrue="1">
      <formula>$A924="integer"</formula>
    </cfRule>
  </conditionalFormatting>
  <conditionalFormatting sqref="A924">
    <cfRule type="expression" dxfId="27" priority="5087" stopIfTrue="1">
      <formula>$A924="text"</formula>
    </cfRule>
  </conditionalFormatting>
  <conditionalFormatting sqref="A924">
    <cfRule type="expression" dxfId="28" priority="5088" stopIfTrue="1">
      <formula>$A924="end repeat"</formula>
    </cfRule>
  </conditionalFormatting>
  <conditionalFormatting sqref="A924">
    <cfRule type="expression" dxfId="28" priority="5089" stopIfTrue="1">
      <formula>$A924="begin repeat"</formula>
    </cfRule>
  </conditionalFormatting>
  <conditionalFormatting sqref="A924">
    <cfRule type="expression" dxfId="29" priority="5090" stopIfTrue="1">
      <formula>$A924="end group"</formula>
    </cfRule>
  </conditionalFormatting>
  <conditionalFormatting sqref="A924">
    <cfRule type="expression" dxfId="29" priority="5091" stopIfTrue="1">
      <formula>$A924="begin group"</formula>
    </cfRule>
  </conditionalFormatting>
  <conditionalFormatting sqref="A921">
    <cfRule type="expression" dxfId="33" priority="5092" stopIfTrue="1">
      <formula>$A921="file"</formula>
    </cfRule>
  </conditionalFormatting>
  <conditionalFormatting sqref="A921">
    <cfRule type="expression" dxfId="34" priority="5093" stopIfTrue="1">
      <formula>$A921="enumerator"</formula>
    </cfRule>
  </conditionalFormatting>
  <conditionalFormatting sqref="A921">
    <cfRule type="expression" dxfId="35" priority="5094" stopIfTrue="1">
      <formula>OR(AND(LEFT($A921, 14)="sensor_stream ", LEN($A921)&gt;14, NOT(ISNUMBER(SEARCH(" ", $A921, 15)))), AND(LEFT($A921, 17)="sensor_statistic ", LEN($A921)&gt;17, NOT(ISNUMBER(SEARCH(" ", $A921, 18)))))</formula>
    </cfRule>
  </conditionalFormatting>
  <conditionalFormatting sqref="A921">
    <cfRule type="expression" dxfId="14" priority="5095" stopIfTrue="1">
      <formula>$A921="comments"</formula>
    </cfRule>
  </conditionalFormatting>
  <conditionalFormatting sqref="A921">
    <cfRule type="expression" dxfId="15" priority="5096" stopIfTrue="1">
      <formula>OR($A921="audio", $A921="video")</formula>
    </cfRule>
  </conditionalFormatting>
  <conditionalFormatting sqref="A921">
    <cfRule type="expression" dxfId="16" priority="5097" stopIfTrue="1">
      <formula>$A921="image"</formula>
    </cfRule>
  </conditionalFormatting>
  <conditionalFormatting sqref="A921">
    <cfRule type="expression" dxfId="17" priority="5098" stopIfTrue="1">
      <formula>OR($A921="date", $A921="datetime", $A921="time")</formula>
    </cfRule>
  </conditionalFormatting>
  <conditionalFormatting sqref="A921">
    <cfRule type="expression" dxfId="18" priority="5099" stopIfTrue="1">
      <formula>OR($A921="calculate", $A921="calculate_here")</formula>
    </cfRule>
  </conditionalFormatting>
  <conditionalFormatting sqref="A921">
    <cfRule type="expression" dxfId="19" priority="5100" stopIfTrue="1">
      <formula>$A921="note"</formula>
    </cfRule>
  </conditionalFormatting>
  <conditionalFormatting sqref="A921">
    <cfRule type="expression" dxfId="20" priority="5101" stopIfTrue="1">
      <formula>$A921="barcode"</formula>
    </cfRule>
  </conditionalFormatting>
  <conditionalFormatting sqref="A921">
    <cfRule type="expression" dxfId="21" priority="5102" stopIfTrue="1">
      <formula>OR($A921="geopoint", $A921="geoshape", $A921="geotrace")</formula>
    </cfRule>
  </conditionalFormatting>
  <conditionalFormatting sqref="A921">
    <cfRule type="expression" dxfId="22" priority="5103" stopIfTrue="1">
      <formula>OR($A921="audio audit", $A921="text audit", $A921="speed violations count", $A921="speed violations list", $A921="speed violations audit")</formula>
    </cfRule>
  </conditionalFormatting>
  <conditionalFormatting sqref="A921">
    <cfRule type="expression" dxfId="23" priority="5104" stopIfTrue="1">
      <formula>OR($A921="username", $A921="phonenumber", $A921="start", $A921="end", $A921="deviceid", $A921="subscriberid", $A921="simserial", $A921="caseid")</formula>
    </cfRule>
  </conditionalFormatting>
  <conditionalFormatting sqref="A921">
    <cfRule type="expression" dxfId="24" priority="5105" stopIfTrue="1">
      <formula>OR(AND(LEFT($A921, 16)="select_multiple ", LEN($A921)&gt;16, NOT(ISNUMBER(SEARCH(" ", $A921, 17)))), AND(LEFT($A921, 11)="select_one ", LEN($A921)&gt;11, NOT(ISNUMBER(SEARCH(" ", $A921, 12)))))</formula>
    </cfRule>
  </conditionalFormatting>
  <conditionalFormatting sqref="A921">
    <cfRule type="expression" dxfId="25" priority="5106" stopIfTrue="1">
      <formula>$A921="decimal"</formula>
    </cfRule>
  </conditionalFormatting>
  <conditionalFormatting sqref="A921">
    <cfRule type="expression" dxfId="26" priority="5107" stopIfTrue="1">
      <formula>$A921="integer"</formula>
    </cfRule>
  </conditionalFormatting>
  <conditionalFormatting sqref="A921">
    <cfRule type="expression" dxfId="27" priority="5108" stopIfTrue="1">
      <formula>$A921="text"</formula>
    </cfRule>
  </conditionalFormatting>
  <conditionalFormatting sqref="A921">
    <cfRule type="expression" dxfId="28" priority="5109" stopIfTrue="1">
      <formula>$A921="end repeat"</formula>
    </cfRule>
  </conditionalFormatting>
  <conditionalFormatting sqref="A921">
    <cfRule type="expression" dxfId="28" priority="5110" stopIfTrue="1">
      <formula>$A921="begin repeat"</formula>
    </cfRule>
  </conditionalFormatting>
  <conditionalFormatting sqref="A921">
    <cfRule type="expression" dxfId="29" priority="5111" stopIfTrue="1">
      <formula>$A921="end group"</formula>
    </cfRule>
  </conditionalFormatting>
  <conditionalFormatting sqref="A921">
    <cfRule type="expression" dxfId="29" priority="5112" stopIfTrue="1">
      <formula>$A921="begin group"</formula>
    </cfRule>
  </conditionalFormatting>
  <conditionalFormatting sqref="A905:A915">
    <cfRule type="expression" dxfId="33" priority="5113" stopIfTrue="1">
      <formula>$A905="file"</formula>
    </cfRule>
  </conditionalFormatting>
  <conditionalFormatting sqref="A905:A915">
    <cfRule type="expression" dxfId="34" priority="5114" stopIfTrue="1">
      <formula>$A905="enumerator"</formula>
    </cfRule>
  </conditionalFormatting>
  <conditionalFormatting sqref="A905:A915">
    <cfRule type="expression" dxfId="35" priority="5115" stopIfTrue="1">
      <formula>OR(AND(LEFT($A905, 14)="sensor_stream ", LEN($A905)&gt;14, NOT(ISNUMBER(SEARCH(" ", $A905, 15)))), AND(LEFT($A905, 17)="sensor_statistic ", LEN($A905)&gt;17, NOT(ISNUMBER(SEARCH(" ", $A905, 18)))))</formula>
    </cfRule>
  </conditionalFormatting>
  <conditionalFormatting sqref="A905:A915">
    <cfRule type="expression" dxfId="14" priority="5116" stopIfTrue="1">
      <formula>$A905="comments"</formula>
    </cfRule>
  </conditionalFormatting>
  <conditionalFormatting sqref="A905:A915">
    <cfRule type="expression" dxfId="15" priority="5117" stopIfTrue="1">
      <formula>OR($A905="audio", $A905="video")</formula>
    </cfRule>
  </conditionalFormatting>
  <conditionalFormatting sqref="A905:A915">
    <cfRule type="expression" dxfId="16" priority="5118" stopIfTrue="1">
      <formula>$A905="image"</formula>
    </cfRule>
  </conditionalFormatting>
  <conditionalFormatting sqref="A905:A915">
    <cfRule type="expression" dxfId="17" priority="5119" stopIfTrue="1">
      <formula>OR($A905="date", $A905="datetime", $A905="time")</formula>
    </cfRule>
  </conditionalFormatting>
  <conditionalFormatting sqref="A905:A915">
    <cfRule type="expression" dxfId="18" priority="5120" stopIfTrue="1">
      <formula>OR($A905="calculate", $A905="calculate_here")</formula>
    </cfRule>
  </conditionalFormatting>
  <conditionalFormatting sqref="A905:A915">
    <cfRule type="expression" dxfId="19" priority="5121" stopIfTrue="1">
      <formula>$A905="note"</formula>
    </cfRule>
  </conditionalFormatting>
  <conditionalFormatting sqref="A905:A915">
    <cfRule type="expression" dxfId="20" priority="5122" stopIfTrue="1">
      <formula>$A905="barcode"</formula>
    </cfRule>
  </conditionalFormatting>
  <conditionalFormatting sqref="A905:A915">
    <cfRule type="expression" dxfId="21" priority="5123" stopIfTrue="1">
      <formula>OR($A905="geopoint", $A905="geoshape", $A905="geotrace")</formula>
    </cfRule>
  </conditionalFormatting>
  <conditionalFormatting sqref="A905:A915">
    <cfRule type="expression" dxfId="22" priority="5124" stopIfTrue="1">
      <formula>OR($A905="audio audit", $A905="text audit", $A905="speed violations count", $A905="speed violations list", $A905="speed violations audit")</formula>
    </cfRule>
  </conditionalFormatting>
  <conditionalFormatting sqref="A905:A915">
    <cfRule type="expression" dxfId="23" priority="5125" stopIfTrue="1">
      <formula>OR($A905="username", $A905="phonenumber", $A905="start", $A905="end", $A905="deviceid", $A905="subscriberid", $A905="simserial", $A905="caseid")</formula>
    </cfRule>
  </conditionalFormatting>
  <conditionalFormatting sqref="A905:A915">
    <cfRule type="expression" dxfId="24" priority="5126" stopIfTrue="1">
      <formula>OR(AND(LEFT($A905, 16)="select_multiple ", LEN($A905)&gt;16, NOT(ISNUMBER(SEARCH(" ", $A905, 17)))), AND(LEFT($A905, 11)="select_one ", LEN($A905)&gt;11, NOT(ISNUMBER(SEARCH(" ", $A905, 12)))))</formula>
    </cfRule>
  </conditionalFormatting>
  <conditionalFormatting sqref="A905:A915">
    <cfRule type="expression" dxfId="25" priority="5127" stopIfTrue="1">
      <formula>$A905="decimal"</formula>
    </cfRule>
  </conditionalFormatting>
  <conditionalFormatting sqref="A905:A915">
    <cfRule type="expression" dxfId="26" priority="5128" stopIfTrue="1">
      <formula>$A905="integer"</formula>
    </cfRule>
  </conditionalFormatting>
  <conditionalFormatting sqref="A905:A915">
    <cfRule type="expression" dxfId="27" priority="5129" stopIfTrue="1">
      <formula>$A905="text"</formula>
    </cfRule>
  </conditionalFormatting>
  <conditionalFormatting sqref="A905:A915">
    <cfRule type="expression" dxfId="28" priority="5130" stopIfTrue="1">
      <formula>$A905="end repeat"</formula>
    </cfRule>
  </conditionalFormatting>
  <conditionalFormatting sqref="A905:A915">
    <cfRule type="expression" dxfId="28" priority="5131" stopIfTrue="1">
      <formula>$A905="begin repeat"</formula>
    </cfRule>
  </conditionalFormatting>
  <conditionalFormatting sqref="A905:A915">
    <cfRule type="expression" dxfId="29" priority="5132" stopIfTrue="1">
      <formula>$A905="end group"</formula>
    </cfRule>
  </conditionalFormatting>
  <conditionalFormatting sqref="A905:A915">
    <cfRule type="expression" dxfId="29" priority="5133" stopIfTrue="1">
      <formula>$A905="begin group"</formula>
    </cfRule>
  </conditionalFormatting>
  <conditionalFormatting sqref="A895:A901">
    <cfRule type="expression" dxfId="33" priority="5134" stopIfTrue="1">
      <formula>$A895="file"</formula>
    </cfRule>
  </conditionalFormatting>
  <conditionalFormatting sqref="A895:A901">
    <cfRule type="expression" dxfId="34" priority="5135" stopIfTrue="1">
      <formula>$A895="enumerator"</formula>
    </cfRule>
  </conditionalFormatting>
  <conditionalFormatting sqref="A895:A901">
    <cfRule type="expression" dxfId="35" priority="5136" stopIfTrue="1">
      <formula>OR(AND(LEFT($A895, 14)="sensor_stream ", LEN($A895)&gt;14, NOT(ISNUMBER(SEARCH(" ", $A895, 15)))), AND(LEFT($A895, 17)="sensor_statistic ", LEN($A895)&gt;17, NOT(ISNUMBER(SEARCH(" ", $A895, 18)))))</formula>
    </cfRule>
  </conditionalFormatting>
  <conditionalFormatting sqref="A895:A901">
    <cfRule type="expression" dxfId="14" priority="5137" stopIfTrue="1">
      <formula>$A895="comments"</formula>
    </cfRule>
  </conditionalFormatting>
  <conditionalFormatting sqref="A895:A901">
    <cfRule type="expression" dxfId="15" priority="5138" stopIfTrue="1">
      <formula>OR($A895="audio", $A895="video")</formula>
    </cfRule>
  </conditionalFormatting>
  <conditionalFormatting sqref="A895:A901">
    <cfRule type="expression" dxfId="16" priority="5139" stopIfTrue="1">
      <formula>$A895="image"</formula>
    </cfRule>
  </conditionalFormatting>
  <conditionalFormatting sqref="A895:A901">
    <cfRule type="expression" dxfId="17" priority="5140" stopIfTrue="1">
      <formula>OR($A895="date", $A895="datetime", $A895="time")</formula>
    </cfRule>
  </conditionalFormatting>
  <conditionalFormatting sqref="A895:A901">
    <cfRule type="expression" dxfId="18" priority="5141" stopIfTrue="1">
      <formula>OR($A895="calculate", $A895="calculate_here")</formula>
    </cfRule>
  </conditionalFormatting>
  <conditionalFormatting sqref="A895:A901">
    <cfRule type="expression" dxfId="19" priority="5142" stopIfTrue="1">
      <formula>$A895="note"</formula>
    </cfRule>
  </conditionalFormatting>
  <conditionalFormatting sqref="A895:A901">
    <cfRule type="expression" dxfId="20" priority="5143" stopIfTrue="1">
      <formula>$A895="barcode"</formula>
    </cfRule>
  </conditionalFormatting>
  <conditionalFormatting sqref="A895:A901">
    <cfRule type="expression" dxfId="21" priority="5144" stopIfTrue="1">
      <formula>OR($A895="geopoint", $A895="geoshape", $A895="geotrace")</formula>
    </cfRule>
  </conditionalFormatting>
  <conditionalFormatting sqref="A895:A901">
    <cfRule type="expression" dxfId="22" priority="5145" stopIfTrue="1">
      <formula>OR($A895="audio audit", $A895="text audit", $A895="speed violations count", $A895="speed violations list", $A895="speed violations audit")</formula>
    </cfRule>
  </conditionalFormatting>
  <conditionalFormatting sqref="A895:A901">
    <cfRule type="expression" dxfId="23" priority="5146" stopIfTrue="1">
      <formula>OR($A895="username", $A895="phonenumber", $A895="start", $A895="end", $A895="deviceid", $A895="subscriberid", $A895="simserial", $A895="caseid")</formula>
    </cfRule>
  </conditionalFormatting>
  <conditionalFormatting sqref="A895:A901">
    <cfRule type="expression" dxfId="24" priority="5147" stopIfTrue="1">
      <formula>OR(AND(LEFT($A895, 16)="select_multiple ", LEN($A895)&gt;16, NOT(ISNUMBER(SEARCH(" ", $A895, 17)))), AND(LEFT($A895, 11)="select_one ", LEN($A895)&gt;11, NOT(ISNUMBER(SEARCH(" ", $A895, 12)))))</formula>
    </cfRule>
  </conditionalFormatting>
  <conditionalFormatting sqref="A895:A901">
    <cfRule type="expression" dxfId="25" priority="5148" stopIfTrue="1">
      <formula>$A895="decimal"</formula>
    </cfRule>
  </conditionalFormatting>
  <conditionalFormatting sqref="A895:A901">
    <cfRule type="expression" dxfId="26" priority="5149" stopIfTrue="1">
      <formula>$A895="integer"</formula>
    </cfRule>
  </conditionalFormatting>
  <conditionalFormatting sqref="A895:A901">
    <cfRule type="expression" dxfId="27" priority="5150" stopIfTrue="1">
      <formula>$A895="text"</formula>
    </cfRule>
  </conditionalFormatting>
  <conditionalFormatting sqref="A895:A901">
    <cfRule type="expression" dxfId="28" priority="5151" stopIfTrue="1">
      <formula>$A895="end repeat"</formula>
    </cfRule>
  </conditionalFormatting>
  <conditionalFormatting sqref="A895:A901">
    <cfRule type="expression" dxfId="28" priority="5152" stopIfTrue="1">
      <formula>$A895="begin repeat"</formula>
    </cfRule>
  </conditionalFormatting>
  <conditionalFormatting sqref="A895:A901">
    <cfRule type="expression" dxfId="29" priority="5153" stopIfTrue="1">
      <formula>$A895="end group"</formula>
    </cfRule>
  </conditionalFormatting>
  <conditionalFormatting sqref="A895:A901">
    <cfRule type="expression" dxfId="29" priority="5154" stopIfTrue="1">
      <formula>$A895="begin group"</formula>
    </cfRule>
  </conditionalFormatting>
  <conditionalFormatting sqref="A886:A889">
    <cfRule type="expression" dxfId="33" priority="5155" stopIfTrue="1">
      <formula>$A886="file"</formula>
    </cfRule>
  </conditionalFormatting>
  <conditionalFormatting sqref="A886:A889">
    <cfRule type="expression" dxfId="34" priority="5156" stopIfTrue="1">
      <formula>$A886="enumerator"</formula>
    </cfRule>
  </conditionalFormatting>
  <conditionalFormatting sqref="A886:A889">
    <cfRule type="expression" dxfId="35" priority="5157" stopIfTrue="1">
      <formula>OR(AND(LEFT($A886, 14)="sensor_stream ", LEN($A886)&gt;14, NOT(ISNUMBER(SEARCH(" ", $A886, 15)))), AND(LEFT($A886, 17)="sensor_statistic ", LEN($A886)&gt;17, NOT(ISNUMBER(SEARCH(" ", $A886, 18)))))</formula>
    </cfRule>
  </conditionalFormatting>
  <conditionalFormatting sqref="A886:A889">
    <cfRule type="expression" dxfId="14" priority="5158" stopIfTrue="1">
      <formula>$A886="comments"</formula>
    </cfRule>
  </conditionalFormatting>
  <conditionalFormatting sqref="A886:A889">
    <cfRule type="expression" dxfId="15" priority="5159" stopIfTrue="1">
      <formula>OR($A886="audio", $A886="video")</formula>
    </cfRule>
  </conditionalFormatting>
  <conditionalFormatting sqref="A886:A889">
    <cfRule type="expression" dxfId="16" priority="5160" stopIfTrue="1">
      <formula>$A886="image"</formula>
    </cfRule>
  </conditionalFormatting>
  <conditionalFormatting sqref="A886:A889">
    <cfRule type="expression" dxfId="17" priority="5161" stopIfTrue="1">
      <formula>OR($A886="date", $A886="datetime", $A886="time")</formula>
    </cfRule>
  </conditionalFormatting>
  <conditionalFormatting sqref="A886:A889">
    <cfRule type="expression" dxfId="18" priority="5162" stopIfTrue="1">
      <formula>OR($A886="calculate", $A886="calculate_here")</formula>
    </cfRule>
  </conditionalFormatting>
  <conditionalFormatting sqref="A886:A889">
    <cfRule type="expression" dxfId="19" priority="5163" stopIfTrue="1">
      <formula>$A886="note"</formula>
    </cfRule>
  </conditionalFormatting>
  <conditionalFormatting sqref="A886:A889">
    <cfRule type="expression" dxfId="20" priority="5164" stopIfTrue="1">
      <formula>$A886="barcode"</formula>
    </cfRule>
  </conditionalFormatting>
  <conditionalFormatting sqref="A886:A889">
    <cfRule type="expression" dxfId="21" priority="5165" stopIfTrue="1">
      <formula>OR($A886="geopoint", $A886="geoshape", $A886="geotrace")</formula>
    </cfRule>
  </conditionalFormatting>
  <conditionalFormatting sqref="A886:A889">
    <cfRule type="expression" dxfId="22" priority="5166" stopIfTrue="1">
      <formula>OR($A886="audio audit", $A886="text audit", $A886="speed violations count", $A886="speed violations list", $A886="speed violations audit")</formula>
    </cfRule>
  </conditionalFormatting>
  <conditionalFormatting sqref="A886:A889">
    <cfRule type="expression" dxfId="23" priority="5167" stopIfTrue="1">
      <formula>OR($A886="username", $A886="phonenumber", $A886="start", $A886="end", $A886="deviceid", $A886="subscriberid", $A886="simserial", $A886="caseid")</formula>
    </cfRule>
  </conditionalFormatting>
  <conditionalFormatting sqref="A886:A889">
    <cfRule type="expression" dxfId="24" priority="5168" stopIfTrue="1">
      <formula>OR(AND(LEFT($A886, 16)="select_multiple ", LEN($A886)&gt;16, NOT(ISNUMBER(SEARCH(" ", $A886, 17)))), AND(LEFT($A886, 11)="select_one ", LEN($A886)&gt;11, NOT(ISNUMBER(SEARCH(" ", $A886, 12)))))</formula>
    </cfRule>
  </conditionalFormatting>
  <conditionalFormatting sqref="A886:A889">
    <cfRule type="expression" dxfId="25" priority="5169" stopIfTrue="1">
      <formula>$A886="decimal"</formula>
    </cfRule>
  </conditionalFormatting>
  <conditionalFormatting sqref="A886:A889">
    <cfRule type="expression" dxfId="26" priority="5170" stopIfTrue="1">
      <formula>$A886="integer"</formula>
    </cfRule>
  </conditionalFormatting>
  <conditionalFormatting sqref="A886:A889">
    <cfRule type="expression" dxfId="27" priority="5171" stopIfTrue="1">
      <formula>$A886="text"</formula>
    </cfRule>
  </conditionalFormatting>
  <conditionalFormatting sqref="A886:A889">
    <cfRule type="expression" dxfId="28" priority="5172" stopIfTrue="1">
      <formula>$A886="end repeat"</formula>
    </cfRule>
  </conditionalFormatting>
  <conditionalFormatting sqref="A886:A889">
    <cfRule type="expression" dxfId="28" priority="5173" stopIfTrue="1">
      <formula>$A886="begin repeat"</formula>
    </cfRule>
  </conditionalFormatting>
  <conditionalFormatting sqref="A886:A889">
    <cfRule type="expression" dxfId="29" priority="5174" stopIfTrue="1">
      <formula>$A886="end group"</formula>
    </cfRule>
  </conditionalFormatting>
  <conditionalFormatting sqref="A886:A889">
    <cfRule type="expression" dxfId="29" priority="5175" stopIfTrue="1">
      <formula>$A886="begin group"</formula>
    </cfRule>
  </conditionalFormatting>
  <conditionalFormatting sqref="A879:A883">
    <cfRule type="expression" dxfId="33" priority="5176" stopIfTrue="1">
      <formula>$A879="file"</formula>
    </cfRule>
  </conditionalFormatting>
  <conditionalFormatting sqref="A879:A883">
    <cfRule type="expression" dxfId="34" priority="5177" stopIfTrue="1">
      <formula>$A879="enumerator"</formula>
    </cfRule>
  </conditionalFormatting>
  <conditionalFormatting sqref="A879:A883">
    <cfRule type="expression" dxfId="35" priority="5178" stopIfTrue="1">
      <formula>OR(AND(LEFT($A879, 14)="sensor_stream ", LEN($A879)&gt;14, NOT(ISNUMBER(SEARCH(" ", $A879, 15)))), AND(LEFT($A879, 17)="sensor_statistic ", LEN($A879)&gt;17, NOT(ISNUMBER(SEARCH(" ", $A879, 18)))))</formula>
    </cfRule>
  </conditionalFormatting>
  <conditionalFormatting sqref="A879:A883">
    <cfRule type="expression" dxfId="14" priority="5179" stopIfTrue="1">
      <formula>$A879="comments"</formula>
    </cfRule>
  </conditionalFormatting>
  <conditionalFormatting sqref="A879:A883">
    <cfRule type="expression" dxfId="15" priority="5180" stopIfTrue="1">
      <formula>OR($A879="audio", $A879="video")</formula>
    </cfRule>
  </conditionalFormatting>
  <conditionalFormatting sqref="A879:A883">
    <cfRule type="expression" dxfId="16" priority="5181" stopIfTrue="1">
      <formula>$A879="image"</formula>
    </cfRule>
  </conditionalFormatting>
  <conditionalFormatting sqref="A879:A883">
    <cfRule type="expression" dxfId="17" priority="5182" stopIfTrue="1">
      <formula>OR($A879="date", $A879="datetime", $A879="time")</formula>
    </cfRule>
  </conditionalFormatting>
  <conditionalFormatting sqref="A879:A883">
    <cfRule type="expression" dxfId="18" priority="5183" stopIfTrue="1">
      <formula>OR($A879="calculate", $A879="calculate_here")</formula>
    </cfRule>
  </conditionalFormatting>
  <conditionalFormatting sqref="A879:A883">
    <cfRule type="expression" dxfId="19" priority="5184" stopIfTrue="1">
      <formula>$A879="note"</formula>
    </cfRule>
  </conditionalFormatting>
  <conditionalFormatting sqref="A879:A883">
    <cfRule type="expression" dxfId="20" priority="5185" stopIfTrue="1">
      <formula>$A879="barcode"</formula>
    </cfRule>
  </conditionalFormatting>
  <conditionalFormatting sqref="A879:A883">
    <cfRule type="expression" dxfId="21" priority="5186" stopIfTrue="1">
      <formula>OR($A879="geopoint", $A879="geoshape", $A879="geotrace")</formula>
    </cfRule>
  </conditionalFormatting>
  <conditionalFormatting sqref="A879:A883">
    <cfRule type="expression" dxfId="22" priority="5187" stopIfTrue="1">
      <formula>OR($A879="audio audit", $A879="text audit", $A879="speed violations count", $A879="speed violations list", $A879="speed violations audit")</formula>
    </cfRule>
  </conditionalFormatting>
  <conditionalFormatting sqref="A879:A883">
    <cfRule type="expression" dxfId="23" priority="5188" stopIfTrue="1">
      <formula>OR($A879="username", $A879="phonenumber", $A879="start", $A879="end", $A879="deviceid", $A879="subscriberid", $A879="simserial", $A879="caseid")</formula>
    </cfRule>
  </conditionalFormatting>
  <conditionalFormatting sqref="A879:A883">
    <cfRule type="expression" dxfId="24" priority="5189" stopIfTrue="1">
      <formula>OR(AND(LEFT($A879, 16)="select_multiple ", LEN($A879)&gt;16, NOT(ISNUMBER(SEARCH(" ", $A879, 17)))), AND(LEFT($A879, 11)="select_one ", LEN($A879)&gt;11, NOT(ISNUMBER(SEARCH(" ", $A879, 12)))))</formula>
    </cfRule>
  </conditionalFormatting>
  <conditionalFormatting sqref="A879:A883">
    <cfRule type="expression" dxfId="25" priority="5190" stopIfTrue="1">
      <formula>$A879="decimal"</formula>
    </cfRule>
  </conditionalFormatting>
  <conditionalFormatting sqref="A879:A883">
    <cfRule type="expression" dxfId="26" priority="5191" stopIfTrue="1">
      <formula>$A879="integer"</formula>
    </cfRule>
  </conditionalFormatting>
  <conditionalFormatting sqref="A879:A883">
    <cfRule type="expression" dxfId="27" priority="5192" stopIfTrue="1">
      <formula>$A879="text"</formula>
    </cfRule>
  </conditionalFormatting>
  <conditionalFormatting sqref="A879:A883">
    <cfRule type="expression" dxfId="28" priority="5193" stopIfTrue="1">
      <formula>$A879="end repeat"</formula>
    </cfRule>
  </conditionalFormatting>
  <conditionalFormatting sqref="A879:A883">
    <cfRule type="expression" dxfId="28" priority="5194" stopIfTrue="1">
      <formula>$A879="begin repeat"</formula>
    </cfRule>
  </conditionalFormatting>
  <conditionalFormatting sqref="A879:A883">
    <cfRule type="expression" dxfId="29" priority="5195" stopIfTrue="1">
      <formula>$A879="end group"</formula>
    </cfRule>
  </conditionalFormatting>
  <conditionalFormatting sqref="A879:A883">
    <cfRule type="expression" dxfId="29" priority="5196" stopIfTrue="1">
      <formula>$A879="begin group"</formula>
    </cfRule>
  </conditionalFormatting>
  <conditionalFormatting sqref="A873:A874">
    <cfRule type="expression" dxfId="33" priority="5197" stopIfTrue="1">
      <formula>$A873="file"</formula>
    </cfRule>
  </conditionalFormatting>
  <conditionalFormatting sqref="A873:A874">
    <cfRule type="expression" dxfId="34" priority="5198" stopIfTrue="1">
      <formula>$A873="enumerator"</formula>
    </cfRule>
  </conditionalFormatting>
  <conditionalFormatting sqref="A873:A874">
    <cfRule type="expression" dxfId="35" priority="5199" stopIfTrue="1">
      <formula>OR(AND(LEFT($A873, 14)="sensor_stream ", LEN($A873)&gt;14, NOT(ISNUMBER(SEARCH(" ", $A873, 15)))), AND(LEFT($A873, 17)="sensor_statistic ", LEN($A873)&gt;17, NOT(ISNUMBER(SEARCH(" ", $A873, 18)))))</formula>
    </cfRule>
  </conditionalFormatting>
  <conditionalFormatting sqref="A873:A874">
    <cfRule type="expression" dxfId="14" priority="5200" stopIfTrue="1">
      <formula>$A873="comments"</formula>
    </cfRule>
  </conditionalFormatting>
  <conditionalFormatting sqref="A873:A874">
    <cfRule type="expression" dxfId="15" priority="5201" stopIfTrue="1">
      <formula>OR($A873="audio", $A873="video")</formula>
    </cfRule>
  </conditionalFormatting>
  <conditionalFormatting sqref="A873:A874">
    <cfRule type="expression" dxfId="16" priority="5202" stopIfTrue="1">
      <formula>$A873="image"</formula>
    </cfRule>
  </conditionalFormatting>
  <conditionalFormatting sqref="A873:A874">
    <cfRule type="expression" dxfId="17" priority="5203" stopIfTrue="1">
      <formula>OR($A873="date", $A873="datetime", $A873="time")</formula>
    </cfRule>
  </conditionalFormatting>
  <conditionalFormatting sqref="A873:A874">
    <cfRule type="expression" dxfId="18" priority="5204" stopIfTrue="1">
      <formula>OR($A873="calculate", $A873="calculate_here")</formula>
    </cfRule>
  </conditionalFormatting>
  <conditionalFormatting sqref="A873:A874">
    <cfRule type="expression" dxfId="19" priority="5205" stopIfTrue="1">
      <formula>$A873="note"</formula>
    </cfRule>
  </conditionalFormatting>
  <conditionalFormatting sqref="A873:A874">
    <cfRule type="expression" dxfId="20" priority="5206" stopIfTrue="1">
      <formula>$A873="barcode"</formula>
    </cfRule>
  </conditionalFormatting>
  <conditionalFormatting sqref="A873:A874">
    <cfRule type="expression" dxfId="21" priority="5207" stopIfTrue="1">
      <formula>OR($A873="geopoint", $A873="geoshape", $A873="geotrace")</formula>
    </cfRule>
  </conditionalFormatting>
  <conditionalFormatting sqref="A873:A874">
    <cfRule type="expression" dxfId="22" priority="5208" stopIfTrue="1">
      <formula>OR($A873="audio audit", $A873="text audit", $A873="speed violations count", $A873="speed violations list", $A873="speed violations audit")</formula>
    </cfRule>
  </conditionalFormatting>
  <conditionalFormatting sqref="A873:A874">
    <cfRule type="expression" dxfId="23" priority="5209" stopIfTrue="1">
      <formula>OR($A873="username", $A873="phonenumber", $A873="start", $A873="end", $A873="deviceid", $A873="subscriberid", $A873="simserial", $A873="caseid")</formula>
    </cfRule>
  </conditionalFormatting>
  <conditionalFormatting sqref="A873:A874">
    <cfRule type="expression" dxfId="24" priority="5210" stopIfTrue="1">
      <formula>OR(AND(LEFT($A873, 16)="select_multiple ", LEN($A873)&gt;16, NOT(ISNUMBER(SEARCH(" ", $A873, 17)))), AND(LEFT($A873, 11)="select_one ", LEN($A873)&gt;11, NOT(ISNUMBER(SEARCH(" ", $A873, 12)))))</formula>
    </cfRule>
  </conditionalFormatting>
  <conditionalFormatting sqref="A873:A874">
    <cfRule type="expression" dxfId="25" priority="5211" stopIfTrue="1">
      <formula>$A873="decimal"</formula>
    </cfRule>
  </conditionalFormatting>
  <conditionalFormatting sqref="A873:A874">
    <cfRule type="expression" dxfId="26" priority="5212" stopIfTrue="1">
      <formula>$A873="integer"</formula>
    </cfRule>
  </conditionalFormatting>
  <conditionalFormatting sqref="A873:A874">
    <cfRule type="expression" dxfId="27" priority="5213" stopIfTrue="1">
      <formula>$A873="text"</formula>
    </cfRule>
  </conditionalFormatting>
  <conditionalFormatting sqref="A873:A874">
    <cfRule type="expression" dxfId="28" priority="5214" stopIfTrue="1">
      <formula>$A873="end repeat"</formula>
    </cfRule>
  </conditionalFormatting>
  <conditionalFormatting sqref="A873:A874">
    <cfRule type="expression" dxfId="28" priority="5215" stopIfTrue="1">
      <formula>$A873="begin repeat"</formula>
    </cfRule>
  </conditionalFormatting>
  <conditionalFormatting sqref="A873:A874">
    <cfRule type="expression" dxfId="29" priority="5216" stopIfTrue="1">
      <formula>$A873="end group"</formula>
    </cfRule>
  </conditionalFormatting>
  <conditionalFormatting sqref="A873:A874">
    <cfRule type="expression" dxfId="29" priority="5217" stopIfTrue="1">
      <formula>$A873="begin group"</formula>
    </cfRule>
  </conditionalFormatting>
  <conditionalFormatting sqref="A871">
    <cfRule type="expression" dxfId="33" priority="5218" stopIfTrue="1">
      <formula>$A871="file"</formula>
    </cfRule>
  </conditionalFormatting>
  <conditionalFormatting sqref="A871">
    <cfRule type="expression" dxfId="34" priority="5219" stopIfTrue="1">
      <formula>$A871="enumerator"</formula>
    </cfRule>
  </conditionalFormatting>
  <conditionalFormatting sqref="A871">
    <cfRule type="expression" dxfId="35" priority="5220" stopIfTrue="1">
      <formula>OR(AND(LEFT($A871, 14)="sensor_stream ", LEN($A871)&gt;14, NOT(ISNUMBER(SEARCH(" ", $A871, 15)))), AND(LEFT($A871, 17)="sensor_statistic ", LEN($A871)&gt;17, NOT(ISNUMBER(SEARCH(" ", $A871, 18)))))</formula>
    </cfRule>
  </conditionalFormatting>
  <conditionalFormatting sqref="A871">
    <cfRule type="expression" dxfId="14" priority="5221" stopIfTrue="1">
      <formula>$A871="comments"</formula>
    </cfRule>
  </conditionalFormatting>
  <conditionalFormatting sqref="A871">
    <cfRule type="expression" dxfId="15" priority="5222" stopIfTrue="1">
      <formula>OR($A871="audio", $A871="video")</formula>
    </cfRule>
  </conditionalFormatting>
  <conditionalFormatting sqref="A871">
    <cfRule type="expression" dxfId="16" priority="5223" stopIfTrue="1">
      <formula>$A871="image"</formula>
    </cfRule>
  </conditionalFormatting>
  <conditionalFormatting sqref="A871">
    <cfRule type="expression" dxfId="17" priority="5224" stopIfTrue="1">
      <formula>OR($A871="date", $A871="datetime", $A871="time")</formula>
    </cfRule>
  </conditionalFormatting>
  <conditionalFormatting sqref="A871">
    <cfRule type="expression" dxfId="18" priority="5225" stopIfTrue="1">
      <formula>OR($A871="calculate", $A871="calculate_here")</formula>
    </cfRule>
  </conditionalFormatting>
  <conditionalFormatting sqref="A871">
    <cfRule type="expression" dxfId="19" priority="5226" stopIfTrue="1">
      <formula>$A871="note"</formula>
    </cfRule>
  </conditionalFormatting>
  <conditionalFormatting sqref="A871">
    <cfRule type="expression" dxfId="20" priority="5227" stopIfTrue="1">
      <formula>$A871="barcode"</formula>
    </cfRule>
  </conditionalFormatting>
  <conditionalFormatting sqref="A871">
    <cfRule type="expression" dxfId="21" priority="5228" stopIfTrue="1">
      <formula>OR($A871="geopoint", $A871="geoshape", $A871="geotrace")</formula>
    </cfRule>
  </conditionalFormatting>
  <conditionalFormatting sqref="A871">
    <cfRule type="expression" dxfId="22" priority="5229" stopIfTrue="1">
      <formula>OR($A871="audio audit", $A871="text audit", $A871="speed violations count", $A871="speed violations list", $A871="speed violations audit")</formula>
    </cfRule>
  </conditionalFormatting>
  <conditionalFormatting sqref="A871">
    <cfRule type="expression" dxfId="23" priority="5230" stopIfTrue="1">
      <formula>OR($A871="username", $A871="phonenumber", $A871="start", $A871="end", $A871="deviceid", $A871="subscriberid", $A871="simserial", $A871="caseid")</formula>
    </cfRule>
  </conditionalFormatting>
  <conditionalFormatting sqref="A871">
    <cfRule type="expression" dxfId="24" priority="5231" stopIfTrue="1">
      <formula>OR(AND(LEFT($A871, 16)="select_multiple ", LEN($A871)&gt;16, NOT(ISNUMBER(SEARCH(" ", $A871, 17)))), AND(LEFT($A871, 11)="select_one ", LEN($A871)&gt;11, NOT(ISNUMBER(SEARCH(" ", $A871, 12)))))</formula>
    </cfRule>
  </conditionalFormatting>
  <conditionalFormatting sqref="A871">
    <cfRule type="expression" dxfId="25" priority="5232" stopIfTrue="1">
      <formula>$A871="decimal"</formula>
    </cfRule>
  </conditionalFormatting>
  <conditionalFormatting sqref="A871">
    <cfRule type="expression" dxfId="26" priority="5233" stopIfTrue="1">
      <formula>$A871="integer"</formula>
    </cfRule>
  </conditionalFormatting>
  <conditionalFormatting sqref="A871">
    <cfRule type="expression" dxfId="27" priority="5234" stopIfTrue="1">
      <formula>$A871="text"</formula>
    </cfRule>
  </conditionalFormatting>
  <conditionalFormatting sqref="A871">
    <cfRule type="expression" dxfId="28" priority="5235" stopIfTrue="1">
      <formula>$A871="end repeat"</formula>
    </cfRule>
  </conditionalFormatting>
  <conditionalFormatting sqref="A871">
    <cfRule type="expression" dxfId="28" priority="5236" stopIfTrue="1">
      <formula>$A871="begin repeat"</formula>
    </cfRule>
  </conditionalFormatting>
  <conditionalFormatting sqref="A871">
    <cfRule type="expression" dxfId="29" priority="5237" stopIfTrue="1">
      <formula>$A871="end group"</formula>
    </cfRule>
  </conditionalFormatting>
  <conditionalFormatting sqref="A871">
    <cfRule type="expression" dxfId="29" priority="5238" stopIfTrue="1">
      <formula>$A871="begin group"</formula>
    </cfRule>
  </conditionalFormatting>
  <conditionalFormatting sqref="A865:A866">
    <cfRule type="expression" dxfId="33" priority="5239" stopIfTrue="1">
      <formula>$A865="file"</formula>
    </cfRule>
  </conditionalFormatting>
  <conditionalFormatting sqref="A865:A866">
    <cfRule type="expression" dxfId="34" priority="5240" stopIfTrue="1">
      <formula>$A865="enumerator"</formula>
    </cfRule>
  </conditionalFormatting>
  <conditionalFormatting sqref="A865:A866">
    <cfRule type="expression" dxfId="35" priority="5241" stopIfTrue="1">
      <formula>OR(AND(LEFT($A865, 14)="sensor_stream ", LEN($A865)&gt;14, NOT(ISNUMBER(SEARCH(" ", $A865, 15)))), AND(LEFT($A865, 17)="sensor_statistic ", LEN($A865)&gt;17, NOT(ISNUMBER(SEARCH(" ", $A865, 18)))))</formula>
    </cfRule>
  </conditionalFormatting>
  <conditionalFormatting sqref="A865:A866">
    <cfRule type="expression" dxfId="14" priority="5242" stopIfTrue="1">
      <formula>$A865="comments"</formula>
    </cfRule>
  </conditionalFormatting>
  <conditionalFormatting sqref="A865:A866">
    <cfRule type="expression" dxfId="15" priority="5243" stopIfTrue="1">
      <formula>OR($A865="audio", $A865="video")</formula>
    </cfRule>
  </conditionalFormatting>
  <conditionalFormatting sqref="A865:A866">
    <cfRule type="expression" dxfId="16" priority="5244" stopIfTrue="1">
      <formula>$A865="image"</formula>
    </cfRule>
  </conditionalFormatting>
  <conditionalFormatting sqref="A865:A866">
    <cfRule type="expression" dxfId="17" priority="5245" stopIfTrue="1">
      <formula>OR($A865="date", $A865="datetime", $A865="time")</formula>
    </cfRule>
  </conditionalFormatting>
  <conditionalFormatting sqref="A865:A866">
    <cfRule type="expression" dxfId="18" priority="5246" stopIfTrue="1">
      <formula>OR($A865="calculate", $A865="calculate_here")</formula>
    </cfRule>
  </conditionalFormatting>
  <conditionalFormatting sqref="A865:A866">
    <cfRule type="expression" dxfId="19" priority="5247" stopIfTrue="1">
      <formula>$A865="note"</formula>
    </cfRule>
  </conditionalFormatting>
  <conditionalFormatting sqref="A865:A866">
    <cfRule type="expression" dxfId="20" priority="5248" stopIfTrue="1">
      <formula>$A865="barcode"</formula>
    </cfRule>
  </conditionalFormatting>
  <conditionalFormatting sqref="A865:A866">
    <cfRule type="expression" dxfId="21" priority="5249" stopIfTrue="1">
      <formula>OR($A865="geopoint", $A865="geoshape", $A865="geotrace")</formula>
    </cfRule>
  </conditionalFormatting>
  <conditionalFormatting sqref="A865:A866">
    <cfRule type="expression" dxfId="22" priority="5250" stopIfTrue="1">
      <formula>OR($A865="audio audit", $A865="text audit", $A865="speed violations count", $A865="speed violations list", $A865="speed violations audit")</formula>
    </cfRule>
  </conditionalFormatting>
  <conditionalFormatting sqref="A865:A866">
    <cfRule type="expression" dxfId="23" priority="5251" stopIfTrue="1">
      <formula>OR($A865="username", $A865="phonenumber", $A865="start", $A865="end", $A865="deviceid", $A865="subscriberid", $A865="simserial", $A865="caseid")</formula>
    </cfRule>
  </conditionalFormatting>
  <conditionalFormatting sqref="A865:A866">
    <cfRule type="expression" dxfId="24" priority="5252" stopIfTrue="1">
      <formula>OR(AND(LEFT($A865, 16)="select_multiple ", LEN($A865)&gt;16, NOT(ISNUMBER(SEARCH(" ", $A865, 17)))), AND(LEFT($A865, 11)="select_one ", LEN($A865)&gt;11, NOT(ISNUMBER(SEARCH(" ", $A865, 12)))))</formula>
    </cfRule>
  </conditionalFormatting>
  <conditionalFormatting sqref="A865:A866">
    <cfRule type="expression" dxfId="25" priority="5253" stopIfTrue="1">
      <formula>$A865="decimal"</formula>
    </cfRule>
  </conditionalFormatting>
  <conditionalFormatting sqref="A865:A866">
    <cfRule type="expression" dxfId="26" priority="5254" stopIfTrue="1">
      <formula>$A865="integer"</formula>
    </cfRule>
  </conditionalFormatting>
  <conditionalFormatting sqref="A865:A866">
    <cfRule type="expression" dxfId="27" priority="5255" stopIfTrue="1">
      <formula>$A865="text"</formula>
    </cfRule>
  </conditionalFormatting>
  <conditionalFormatting sqref="A865:A866">
    <cfRule type="expression" dxfId="28" priority="5256" stopIfTrue="1">
      <formula>$A865="end repeat"</formula>
    </cfRule>
  </conditionalFormatting>
  <conditionalFormatting sqref="A865:A866">
    <cfRule type="expression" dxfId="28" priority="5257" stopIfTrue="1">
      <formula>$A865="begin repeat"</formula>
    </cfRule>
  </conditionalFormatting>
  <conditionalFormatting sqref="A865:A866">
    <cfRule type="expression" dxfId="29" priority="5258" stopIfTrue="1">
      <formula>$A865="end group"</formula>
    </cfRule>
  </conditionalFormatting>
  <conditionalFormatting sqref="A865:A866">
    <cfRule type="expression" dxfId="29" priority="5259" stopIfTrue="1">
      <formula>$A865="begin group"</formula>
    </cfRule>
  </conditionalFormatting>
  <conditionalFormatting sqref="A859:A861">
    <cfRule type="expression" dxfId="33" priority="5260" stopIfTrue="1">
      <formula>$A859="file"</formula>
    </cfRule>
  </conditionalFormatting>
  <conditionalFormatting sqref="A859:A861">
    <cfRule type="expression" dxfId="34" priority="5261" stopIfTrue="1">
      <formula>$A859="enumerator"</formula>
    </cfRule>
  </conditionalFormatting>
  <conditionalFormatting sqref="A859:A861">
    <cfRule type="expression" dxfId="35" priority="5262" stopIfTrue="1">
      <formula>OR(AND(LEFT($A859, 14)="sensor_stream ", LEN($A859)&gt;14, NOT(ISNUMBER(SEARCH(" ", $A859, 15)))), AND(LEFT($A859, 17)="sensor_statistic ", LEN($A859)&gt;17, NOT(ISNUMBER(SEARCH(" ", $A859, 18)))))</formula>
    </cfRule>
  </conditionalFormatting>
  <conditionalFormatting sqref="A859:A861">
    <cfRule type="expression" dxfId="14" priority="5263" stopIfTrue="1">
      <formula>$A859="comments"</formula>
    </cfRule>
  </conditionalFormatting>
  <conditionalFormatting sqref="A859:A861">
    <cfRule type="expression" dxfId="15" priority="5264" stopIfTrue="1">
      <formula>OR($A859="audio", $A859="video")</formula>
    </cfRule>
  </conditionalFormatting>
  <conditionalFormatting sqref="A859:A861">
    <cfRule type="expression" dxfId="16" priority="5265" stopIfTrue="1">
      <formula>$A859="image"</formula>
    </cfRule>
  </conditionalFormatting>
  <conditionalFormatting sqref="A859:A861">
    <cfRule type="expression" dxfId="17" priority="5266" stopIfTrue="1">
      <formula>OR($A859="date", $A859="datetime", $A859="time")</formula>
    </cfRule>
  </conditionalFormatting>
  <conditionalFormatting sqref="A859:A861">
    <cfRule type="expression" dxfId="18" priority="5267" stopIfTrue="1">
      <formula>OR($A859="calculate", $A859="calculate_here")</formula>
    </cfRule>
  </conditionalFormatting>
  <conditionalFormatting sqref="A859:A861">
    <cfRule type="expression" dxfId="19" priority="5268" stopIfTrue="1">
      <formula>$A859="note"</formula>
    </cfRule>
  </conditionalFormatting>
  <conditionalFormatting sqref="A859:A861">
    <cfRule type="expression" dxfId="20" priority="5269" stopIfTrue="1">
      <formula>$A859="barcode"</formula>
    </cfRule>
  </conditionalFormatting>
  <conditionalFormatting sqref="A859:A861">
    <cfRule type="expression" dxfId="21" priority="5270" stopIfTrue="1">
      <formula>OR($A859="geopoint", $A859="geoshape", $A859="geotrace")</formula>
    </cfRule>
  </conditionalFormatting>
  <conditionalFormatting sqref="A859:A861">
    <cfRule type="expression" dxfId="22" priority="5271" stopIfTrue="1">
      <formula>OR($A859="audio audit", $A859="text audit", $A859="speed violations count", $A859="speed violations list", $A859="speed violations audit")</formula>
    </cfRule>
  </conditionalFormatting>
  <conditionalFormatting sqref="A859:A861">
    <cfRule type="expression" dxfId="23" priority="5272" stopIfTrue="1">
      <formula>OR($A859="username", $A859="phonenumber", $A859="start", $A859="end", $A859="deviceid", $A859="subscriberid", $A859="simserial", $A859="caseid")</formula>
    </cfRule>
  </conditionalFormatting>
  <conditionalFormatting sqref="A859:A861">
    <cfRule type="expression" dxfId="24" priority="5273" stopIfTrue="1">
      <formula>OR(AND(LEFT($A859, 16)="select_multiple ", LEN($A859)&gt;16, NOT(ISNUMBER(SEARCH(" ", $A859, 17)))), AND(LEFT($A859, 11)="select_one ", LEN($A859)&gt;11, NOT(ISNUMBER(SEARCH(" ", $A859, 12)))))</formula>
    </cfRule>
  </conditionalFormatting>
  <conditionalFormatting sqref="A859:A861">
    <cfRule type="expression" dxfId="25" priority="5274" stopIfTrue="1">
      <formula>$A859="decimal"</formula>
    </cfRule>
  </conditionalFormatting>
  <conditionalFormatting sqref="A859:A861">
    <cfRule type="expression" dxfId="26" priority="5275" stopIfTrue="1">
      <formula>$A859="integer"</formula>
    </cfRule>
  </conditionalFormatting>
  <conditionalFormatting sqref="A859:A861">
    <cfRule type="expression" dxfId="27" priority="5276" stopIfTrue="1">
      <formula>$A859="text"</formula>
    </cfRule>
  </conditionalFormatting>
  <conditionalFormatting sqref="A859:A861">
    <cfRule type="expression" dxfId="28" priority="5277" stopIfTrue="1">
      <formula>$A859="end repeat"</formula>
    </cfRule>
  </conditionalFormatting>
  <conditionalFormatting sqref="A859:A861">
    <cfRule type="expression" dxfId="28" priority="5278" stopIfTrue="1">
      <formula>$A859="begin repeat"</formula>
    </cfRule>
  </conditionalFormatting>
  <conditionalFormatting sqref="A859:A861">
    <cfRule type="expression" dxfId="29" priority="5279" stopIfTrue="1">
      <formula>$A859="end group"</formula>
    </cfRule>
  </conditionalFormatting>
  <conditionalFormatting sqref="A859:A861">
    <cfRule type="expression" dxfId="29" priority="5280" stopIfTrue="1">
      <formula>$A859="begin group"</formula>
    </cfRule>
  </conditionalFormatting>
  <conditionalFormatting sqref="A850:A855">
    <cfRule type="expression" dxfId="33" priority="5281" stopIfTrue="1">
      <formula>$A850="file"</formula>
    </cfRule>
  </conditionalFormatting>
  <conditionalFormatting sqref="A850:A855">
    <cfRule type="expression" dxfId="34" priority="5282" stopIfTrue="1">
      <formula>$A850="enumerator"</formula>
    </cfRule>
  </conditionalFormatting>
  <conditionalFormatting sqref="A850:A855">
    <cfRule type="expression" dxfId="35" priority="5283" stopIfTrue="1">
      <formula>OR(AND(LEFT($A850, 14)="sensor_stream ", LEN($A850)&gt;14, NOT(ISNUMBER(SEARCH(" ", $A850, 15)))), AND(LEFT($A850, 17)="sensor_statistic ", LEN($A850)&gt;17, NOT(ISNUMBER(SEARCH(" ", $A850, 18)))))</formula>
    </cfRule>
  </conditionalFormatting>
  <conditionalFormatting sqref="A850:A855">
    <cfRule type="expression" dxfId="14" priority="5284" stopIfTrue="1">
      <formula>$A850="comments"</formula>
    </cfRule>
  </conditionalFormatting>
  <conditionalFormatting sqref="A850:A855">
    <cfRule type="expression" dxfId="15" priority="5285" stopIfTrue="1">
      <formula>OR($A850="audio", $A850="video")</formula>
    </cfRule>
  </conditionalFormatting>
  <conditionalFormatting sqref="A850:A855">
    <cfRule type="expression" dxfId="16" priority="5286" stopIfTrue="1">
      <formula>$A850="image"</formula>
    </cfRule>
  </conditionalFormatting>
  <conditionalFormatting sqref="A850:A855">
    <cfRule type="expression" dxfId="17" priority="5287" stopIfTrue="1">
      <formula>OR($A850="date", $A850="datetime", $A850="time")</formula>
    </cfRule>
  </conditionalFormatting>
  <conditionalFormatting sqref="A850:A855">
    <cfRule type="expression" dxfId="18" priority="5288" stopIfTrue="1">
      <formula>OR($A850="calculate", $A850="calculate_here")</formula>
    </cfRule>
  </conditionalFormatting>
  <conditionalFormatting sqref="A850:A855">
    <cfRule type="expression" dxfId="19" priority="5289" stopIfTrue="1">
      <formula>$A850="note"</formula>
    </cfRule>
  </conditionalFormatting>
  <conditionalFormatting sqref="A850:A855">
    <cfRule type="expression" dxfId="20" priority="5290" stopIfTrue="1">
      <formula>$A850="barcode"</formula>
    </cfRule>
  </conditionalFormatting>
  <conditionalFormatting sqref="A850:A855">
    <cfRule type="expression" dxfId="21" priority="5291" stopIfTrue="1">
      <formula>OR($A850="geopoint", $A850="geoshape", $A850="geotrace")</formula>
    </cfRule>
  </conditionalFormatting>
  <conditionalFormatting sqref="A850:A855">
    <cfRule type="expression" dxfId="22" priority="5292" stopIfTrue="1">
      <formula>OR($A850="audio audit", $A850="text audit", $A850="speed violations count", $A850="speed violations list", $A850="speed violations audit")</formula>
    </cfRule>
  </conditionalFormatting>
  <conditionalFormatting sqref="A850:A855">
    <cfRule type="expression" dxfId="23" priority="5293" stopIfTrue="1">
      <formula>OR($A850="username", $A850="phonenumber", $A850="start", $A850="end", $A850="deviceid", $A850="subscriberid", $A850="simserial", $A850="caseid")</formula>
    </cfRule>
  </conditionalFormatting>
  <conditionalFormatting sqref="A850:A855">
    <cfRule type="expression" dxfId="24" priority="5294" stopIfTrue="1">
      <formula>OR(AND(LEFT($A850, 16)="select_multiple ", LEN($A850)&gt;16, NOT(ISNUMBER(SEARCH(" ", $A850, 17)))), AND(LEFT($A850, 11)="select_one ", LEN($A850)&gt;11, NOT(ISNUMBER(SEARCH(" ", $A850, 12)))))</formula>
    </cfRule>
  </conditionalFormatting>
  <conditionalFormatting sqref="A850:A855">
    <cfRule type="expression" dxfId="25" priority="5295" stopIfTrue="1">
      <formula>$A850="decimal"</formula>
    </cfRule>
  </conditionalFormatting>
  <conditionalFormatting sqref="A850:A855">
    <cfRule type="expression" dxfId="26" priority="5296" stopIfTrue="1">
      <formula>$A850="integer"</formula>
    </cfRule>
  </conditionalFormatting>
  <conditionalFormatting sqref="A850:A855">
    <cfRule type="expression" dxfId="27" priority="5297" stopIfTrue="1">
      <formula>$A850="text"</formula>
    </cfRule>
  </conditionalFormatting>
  <conditionalFormatting sqref="A850:A855">
    <cfRule type="expression" dxfId="28" priority="5298" stopIfTrue="1">
      <formula>$A850="end repeat"</formula>
    </cfRule>
  </conditionalFormatting>
  <conditionalFormatting sqref="A850:A855">
    <cfRule type="expression" dxfId="28" priority="5299" stopIfTrue="1">
      <formula>$A850="begin repeat"</formula>
    </cfRule>
  </conditionalFormatting>
  <conditionalFormatting sqref="A850:A855">
    <cfRule type="expression" dxfId="29" priority="5300" stopIfTrue="1">
      <formula>$A850="end group"</formula>
    </cfRule>
  </conditionalFormatting>
  <conditionalFormatting sqref="A850:A855">
    <cfRule type="expression" dxfId="29" priority="5301" stopIfTrue="1">
      <formula>$A850="begin group"</formula>
    </cfRule>
  </conditionalFormatting>
  <conditionalFormatting sqref="A843:A848">
    <cfRule type="expression" dxfId="33" priority="5302" stopIfTrue="1">
      <formula>$A843="file"</formula>
    </cfRule>
  </conditionalFormatting>
  <conditionalFormatting sqref="A843:A848">
    <cfRule type="expression" dxfId="34" priority="5303" stopIfTrue="1">
      <formula>$A843="enumerator"</formula>
    </cfRule>
  </conditionalFormatting>
  <conditionalFormatting sqref="A843:A848">
    <cfRule type="expression" dxfId="35" priority="5304" stopIfTrue="1">
      <formula>OR(AND(LEFT($A843, 14)="sensor_stream ", LEN($A843)&gt;14, NOT(ISNUMBER(SEARCH(" ", $A843, 15)))), AND(LEFT($A843, 17)="sensor_statistic ", LEN($A843)&gt;17, NOT(ISNUMBER(SEARCH(" ", $A843, 18)))))</formula>
    </cfRule>
  </conditionalFormatting>
  <conditionalFormatting sqref="A843:A848">
    <cfRule type="expression" dxfId="14" priority="5305" stopIfTrue="1">
      <formula>$A843="comments"</formula>
    </cfRule>
  </conditionalFormatting>
  <conditionalFormatting sqref="A843:A848">
    <cfRule type="expression" dxfId="15" priority="5306" stopIfTrue="1">
      <formula>OR($A843="audio", $A843="video")</formula>
    </cfRule>
  </conditionalFormatting>
  <conditionalFormatting sqref="A843:A848">
    <cfRule type="expression" dxfId="16" priority="5307" stopIfTrue="1">
      <formula>$A843="image"</formula>
    </cfRule>
  </conditionalFormatting>
  <conditionalFormatting sqref="A843:A848">
    <cfRule type="expression" dxfId="17" priority="5308" stopIfTrue="1">
      <formula>OR($A843="date", $A843="datetime", $A843="time")</formula>
    </cfRule>
  </conditionalFormatting>
  <conditionalFormatting sqref="A843:A848">
    <cfRule type="expression" dxfId="18" priority="5309" stopIfTrue="1">
      <formula>OR($A843="calculate", $A843="calculate_here")</formula>
    </cfRule>
  </conditionalFormatting>
  <conditionalFormatting sqref="A843:A848">
    <cfRule type="expression" dxfId="19" priority="5310" stopIfTrue="1">
      <formula>$A843="note"</formula>
    </cfRule>
  </conditionalFormatting>
  <conditionalFormatting sqref="A843:A848">
    <cfRule type="expression" dxfId="20" priority="5311" stopIfTrue="1">
      <formula>$A843="barcode"</formula>
    </cfRule>
  </conditionalFormatting>
  <conditionalFormatting sqref="A843:A848">
    <cfRule type="expression" dxfId="21" priority="5312" stopIfTrue="1">
      <formula>OR($A843="geopoint", $A843="geoshape", $A843="geotrace")</formula>
    </cfRule>
  </conditionalFormatting>
  <conditionalFormatting sqref="A843:A848">
    <cfRule type="expression" dxfId="22" priority="5313" stopIfTrue="1">
      <formula>OR($A843="audio audit", $A843="text audit", $A843="speed violations count", $A843="speed violations list", $A843="speed violations audit")</formula>
    </cfRule>
  </conditionalFormatting>
  <conditionalFormatting sqref="A843:A848">
    <cfRule type="expression" dxfId="23" priority="5314" stopIfTrue="1">
      <formula>OR($A843="username", $A843="phonenumber", $A843="start", $A843="end", $A843="deviceid", $A843="subscriberid", $A843="simserial", $A843="caseid")</formula>
    </cfRule>
  </conditionalFormatting>
  <conditionalFormatting sqref="A843:A848">
    <cfRule type="expression" dxfId="24" priority="5315" stopIfTrue="1">
      <formula>OR(AND(LEFT($A843, 16)="select_multiple ", LEN($A843)&gt;16, NOT(ISNUMBER(SEARCH(" ", $A843, 17)))), AND(LEFT($A843, 11)="select_one ", LEN($A843)&gt;11, NOT(ISNUMBER(SEARCH(" ", $A843, 12)))))</formula>
    </cfRule>
  </conditionalFormatting>
  <conditionalFormatting sqref="A843:A848">
    <cfRule type="expression" dxfId="25" priority="5316" stopIfTrue="1">
      <formula>$A843="decimal"</formula>
    </cfRule>
  </conditionalFormatting>
  <conditionalFormatting sqref="A843:A848">
    <cfRule type="expression" dxfId="26" priority="5317" stopIfTrue="1">
      <formula>$A843="integer"</formula>
    </cfRule>
  </conditionalFormatting>
  <conditionalFormatting sqref="A843:A848">
    <cfRule type="expression" dxfId="27" priority="5318" stopIfTrue="1">
      <formula>$A843="text"</formula>
    </cfRule>
  </conditionalFormatting>
  <conditionalFormatting sqref="A843:A848">
    <cfRule type="expression" dxfId="28" priority="5319" stopIfTrue="1">
      <formula>$A843="end repeat"</formula>
    </cfRule>
  </conditionalFormatting>
  <conditionalFormatting sqref="A843:A848">
    <cfRule type="expression" dxfId="28" priority="5320" stopIfTrue="1">
      <formula>$A843="begin repeat"</formula>
    </cfRule>
  </conditionalFormatting>
  <conditionalFormatting sqref="A843:A848">
    <cfRule type="expression" dxfId="29" priority="5321" stopIfTrue="1">
      <formula>$A843="end group"</formula>
    </cfRule>
  </conditionalFormatting>
  <conditionalFormatting sqref="A843:A848">
    <cfRule type="expression" dxfId="29" priority="5322" stopIfTrue="1">
      <formula>$A843="begin group"</formula>
    </cfRule>
  </conditionalFormatting>
  <conditionalFormatting sqref="A803:A837">
    <cfRule type="expression" dxfId="33" priority="5323" stopIfTrue="1">
      <formula>$A803="file"</formula>
    </cfRule>
  </conditionalFormatting>
  <conditionalFormatting sqref="A803:A837">
    <cfRule type="expression" dxfId="34" priority="5324" stopIfTrue="1">
      <formula>$A803="enumerator"</formula>
    </cfRule>
  </conditionalFormatting>
  <conditionalFormatting sqref="A803:A837">
    <cfRule type="expression" dxfId="35" priority="5325" stopIfTrue="1">
      <formula>OR(AND(LEFT($A803, 14)="sensor_stream ", LEN($A803)&gt;14, NOT(ISNUMBER(SEARCH(" ", $A803, 15)))), AND(LEFT($A803, 17)="sensor_statistic ", LEN($A803)&gt;17, NOT(ISNUMBER(SEARCH(" ", $A803, 18)))))</formula>
    </cfRule>
  </conditionalFormatting>
  <conditionalFormatting sqref="A803:A837">
    <cfRule type="expression" dxfId="14" priority="5326" stopIfTrue="1">
      <formula>$A803="comments"</formula>
    </cfRule>
  </conditionalFormatting>
  <conditionalFormatting sqref="A803:A837">
    <cfRule type="expression" dxfId="15" priority="5327" stopIfTrue="1">
      <formula>OR($A803="audio", $A803="video")</formula>
    </cfRule>
  </conditionalFormatting>
  <conditionalFormatting sqref="A803:A837">
    <cfRule type="expression" dxfId="16" priority="5328" stopIfTrue="1">
      <formula>$A803="image"</formula>
    </cfRule>
  </conditionalFormatting>
  <conditionalFormatting sqref="A803:A837">
    <cfRule type="expression" dxfId="17" priority="5329" stopIfTrue="1">
      <formula>OR($A803="date", $A803="datetime", $A803="time")</formula>
    </cfRule>
  </conditionalFormatting>
  <conditionalFormatting sqref="A803:A837">
    <cfRule type="expression" dxfId="18" priority="5330" stopIfTrue="1">
      <formula>OR($A803="calculate", $A803="calculate_here")</formula>
    </cfRule>
  </conditionalFormatting>
  <conditionalFormatting sqref="A803:A837">
    <cfRule type="expression" dxfId="19" priority="5331" stopIfTrue="1">
      <formula>$A803="note"</formula>
    </cfRule>
  </conditionalFormatting>
  <conditionalFormatting sqref="A803:A837">
    <cfRule type="expression" dxfId="20" priority="5332" stopIfTrue="1">
      <formula>$A803="barcode"</formula>
    </cfRule>
  </conditionalFormatting>
  <conditionalFormatting sqref="A803:A837">
    <cfRule type="expression" dxfId="21" priority="5333" stopIfTrue="1">
      <formula>OR($A803="geopoint", $A803="geoshape", $A803="geotrace")</formula>
    </cfRule>
  </conditionalFormatting>
  <conditionalFormatting sqref="A803:A837">
    <cfRule type="expression" dxfId="22" priority="5334" stopIfTrue="1">
      <formula>OR($A803="audio audit", $A803="text audit", $A803="speed violations count", $A803="speed violations list", $A803="speed violations audit")</formula>
    </cfRule>
  </conditionalFormatting>
  <conditionalFormatting sqref="A803:A837">
    <cfRule type="expression" dxfId="23" priority="5335" stopIfTrue="1">
      <formula>OR($A803="username", $A803="phonenumber", $A803="start", $A803="end", $A803="deviceid", $A803="subscriberid", $A803="simserial", $A803="caseid")</formula>
    </cfRule>
  </conditionalFormatting>
  <conditionalFormatting sqref="A803:A837">
    <cfRule type="expression" dxfId="24" priority="5336" stopIfTrue="1">
      <formula>OR(AND(LEFT($A803, 16)="select_multiple ", LEN($A803)&gt;16, NOT(ISNUMBER(SEARCH(" ", $A803, 17)))), AND(LEFT($A803, 11)="select_one ", LEN($A803)&gt;11, NOT(ISNUMBER(SEARCH(" ", $A803, 12)))))</formula>
    </cfRule>
  </conditionalFormatting>
  <conditionalFormatting sqref="A803:A837">
    <cfRule type="expression" dxfId="25" priority="5337" stopIfTrue="1">
      <formula>$A803="decimal"</formula>
    </cfRule>
  </conditionalFormatting>
  <conditionalFormatting sqref="A803:A837">
    <cfRule type="expression" dxfId="26" priority="5338" stopIfTrue="1">
      <formula>$A803="integer"</formula>
    </cfRule>
  </conditionalFormatting>
  <conditionalFormatting sqref="A803:A837">
    <cfRule type="expression" dxfId="27" priority="5339" stopIfTrue="1">
      <formula>$A803="text"</formula>
    </cfRule>
  </conditionalFormatting>
  <conditionalFormatting sqref="A803:A837">
    <cfRule type="expression" dxfId="28" priority="5340" stopIfTrue="1">
      <formula>$A803="end repeat"</formula>
    </cfRule>
  </conditionalFormatting>
  <conditionalFormatting sqref="A803:A837">
    <cfRule type="expression" dxfId="28" priority="5341" stopIfTrue="1">
      <formula>$A803="begin repeat"</formula>
    </cfRule>
  </conditionalFormatting>
  <conditionalFormatting sqref="A803:A837">
    <cfRule type="expression" dxfId="29" priority="5342" stopIfTrue="1">
      <formula>$A803="end group"</formula>
    </cfRule>
  </conditionalFormatting>
  <conditionalFormatting sqref="A803:A837">
    <cfRule type="expression" dxfId="29" priority="5343" stopIfTrue="1">
      <formula>$A803="begin group"</formula>
    </cfRule>
  </conditionalFormatting>
  <conditionalFormatting sqref="A794:A796">
    <cfRule type="expression" dxfId="33" priority="5344" stopIfTrue="1">
      <formula>$A794="file"</formula>
    </cfRule>
  </conditionalFormatting>
  <conditionalFormatting sqref="A794:A796">
    <cfRule type="expression" dxfId="34" priority="5345" stopIfTrue="1">
      <formula>$A794="enumerator"</formula>
    </cfRule>
  </conditionalFormatting>
  <conditionalFormatting sqref="A794:A796">
    <cfRule type="expression" dxfId="35" priority="5346" stopIfTrue="1">
      <formula>OR(AND(LEFT($A794, 14)="sensor_stream ", LEN($A794)&gt;14, NOT(ISNUMBER(SEARCH(" ", $A794, 15)))), AND(LEFT($A794, 17)="sensor_statistic ", LEN($A794)&gt;17, NOT(ISNUMBER(SEARCH(" ", $A794, 18)))))</formula>
    </cfRule>
  </conditionalFormatting>
  <conditionalFormatting sqref="A794:A796">
    <cfRule type="expression" dxfId="14" priority="5347" stopIfTrue="1">
      <formula>$A794="comments"</formula>
    </cfRule>
  </conditionalFormatting>
  <conditionalFormatting sqref="A794:A796">
    <cfRule type="expression" dxfId="15" priority="5348" stopIfTrue="1">
      <formula>OR($A794="audio", $A794="video")</formula>
    </cfRule>
  </conditionalFormatting>
  <conditionalFormatting sqref="A794:A796">
    <cfRule type="expression" dxfId="16" priority="5349" stopIfTrue="1">
      <formula>$A794="image"</formula>
    </cfRule>
  </conditionalFormatting>
  <conditionalFormatting sqref="A794:A796">
    <cfRule type="expression" dxfId="17" priority="5350" stopIfTrue="1">
      <formula>OR($A794="date", $A794="datetime", $A794="time")</formula>
    </cfRule>
  </conditionalFormatting>
  <conditionalFormatting sqref="A794:A796">
    <cfRule type="expression" dxfId="18" priority="5351" stopIfTrue="1">
      <formula>OR($A794="calculate", $A794="calculate_here")</formula>
    </cfRule>
  </conditionalFormatting>
  <conditionalFormatting sqref="A794:A796">
    <cfRule type="expression" dxfId="19" priority="5352" stopIfTrue="1">
      <formula>$A794="note"</formula>
    </cfRule>
  </conditionalFormatting>
  <conditionalFormatting sqref="A794:A796">
    <cfRule type="expression" dxfId="20" priority="5353" stopIfTrue="1">
      <formula>$A794="barcode"</formula>
    </cfRule>
  </conditionalFormatting>
  <conditionalFormatting sqref="A794:A796">
    <cfRule type="expression" dxfId="21" priority="5354" stopIfTrue="1">
      <formula>OR($A794="geopoint", $A794="geoshape", $A794="geotrace")</formula>
    </cfRule>
  </conditionalFormatting>
  <conditionalFormatting sqref="A794:A796">
    <cfRule type="expression" dxfId="22" priority="5355" stopIfTrue="1">
      <formula>OR($A794="audio audit", $A794="text audit", $A794="speed violations count", $A794="speed violations list", $A794="speed violations audit")</formula>
    </cfRule>
  </conditionalFormatting>
  <conditionalFormatting sqref="A794:A796">
    <cfRule type="expression" dxfId="23" priority="5356" stopIfTrue="1">
      <formula>OR($A794="username", $A794="phonenumber", $A794="start", $A794="end", $A794="deviceid", $A794="subscriberid", $A794="simserial", $A794="caseid")</formula>
    </cfRule>
  </conditionalFormatting>
  <conditionalFormatting sqref="A794:A796">
    <cfRule type="expression" dxfId="24" priority="5357" stopIfTrue="1">
      <formula>OR(AND(LEFT($A794, 16)="select_multiple ", LEN($A794)&gt;16, NOT(ISNUMBER(SEARCH(" ", $A794, 17)))), AND(LEFT($A794, 11)="select_one ", LEN($A794)&gt;11, NOT(ISNUMBER(SEARCH(" ", $A794, 12)))))</formula>
    </cfRule>
  </conditionalFormatting>
  <conditionalFormatting sqref="A794:A796">
    <cfRule type="expression" dxfId="25" priority="5358" stopIfTrue="1">
      <formula>$A794="decimal"</formula>
    </cfRule>
  </conditionalFormatting>
  <conditionalFormatting sqref="A794:A796">
    <cfRule type="expression" dxfId="26" priority="5359" stopIfTrue="1">
      <formula>$A794="integer"</formula>
    </cfRule>
  </conditionalFormatting>
  <conditionalFormatting sqref="A794:A796">
    <cfRule type="expression" dxfId="27" priority="5360" stopIfTrue="1">
      <formula>$A794="text"</formula>
    </cfRule>
  </conditionalFormatting>
  <conditionalFormatting sqref="A794:A796">
    <cfRule type="expression" dxfId="28" priority="5361" stopIfTrue="1">
      <formula>$A794="end repeat"</formula>
    </cfRule>
  </conditionalFormatting>
  <conditionalFormatting sqref="A794:A796">
    <cfRule type="expression" dxfId="28" priority="5362" stopIfTrue="1">
      <formula>$A794="begin repeat"</formula>
    </cfRule>
  </conditionalFormatting>
  <conditionalFormatting sqref="A794:A796">
    <cfRule type="expression" dxfId="29" priority="5363" stopIfTrue="1">
      <formula>$A794="end group"</formula>
    </cfRule>
  </conditionalFormatting>
  <conditionalFormatting sqref="A794:A796">
    <cfRule type="expression" dxfId="29" priority="5364" stopIfTrue="1">
      <formula>$A794="begin group"</formula>
    </cfRule>
  </conditionalFormatting>
  <conditionalFormatting sqref="A790:A792">
    <cfRule type="expression" dxfId="33" priority="5365" stopIfTrue="1">
      <formula>$A790="file"</formula>
    </cfRule>
  </conditionalFormatting>
  <conditionalFormatting sqref="A790:A792">
    <cfRule type="expression" dxfId="34" priority="5366" stopIfTrue="1">
      <formula>$A790="enumerator"</formula>
    </cfRule>
  </conditionalFormatting>
  <conditionalFormatting sqref="A790:A792">
    <cfRule type="expression" dxfId="35" priority="5367" stopIfTrue="1">
      <formula>OR(AND(LEFT($A790, 14)="sensor_stream ", LEN($A790)&gt;14, NOT(ISNUMBER(SEARCH(" ", $A790, 15)))), AND(LEFT($A790, 17)="sensor_statistic ", LEN($A790)&gt;17, NOT(ISNUMBER(SEARCH(" ", $A790, 18)))))</formula>
    </cfRule>
  </conditionalFormatting>
  <conditionalFormatting sqref="A790:A792">
    <cfRule type="expression" dxfId="14" priority="5368" stopIfTrue="1">
      <formula>$A790="comments"</formula>
    </cfRule>
  </conditionalFormatting>
  <conditionalFormatting sqref="A790:A792">
    <cfRule type="expression" dxfId="15" priority="5369" stopIfTrue="1">
      <formula>OR($A790="audio", $A790="video")</formula>
    </cfRule>
  </conditionalFormatting>
  <conditionalFormatting sqref="A790:A792">
    <cfRule type="expression" dxfId="16" priority="5370" stopIfTrue="1">
      <formula>$A790="image"</formula>
    </cfRule>
  </conditionalFormatting>
  <conditionalFormatting sqref="A790:A792">
    <cfRule type="expression" dxfId="17" priority="5371" stopIfTrue="1">
      <formula>OR($A790="date", $A790="datetime", $A790="time")</formula>
    </cfRule>
  </conditionalFormatting>
  <conditionalFormatting sqref="A790:A792">
    <cfRule type="expression" dxfId="18" priority="5372" stopIfTrue="1">
      <formula>OR($A790="calculate", $A790="calculate_here")</formula>
    </cfRule>
  </conditionalFormatting>
  <conditionalFormatting sqref="A790:A792">
    <cfRule type="expression" dxfId="19" priority="5373" stopIfTrue="1">
      <formula>$A790="note"</formula>
    </cfRule>
  </conditionalFormatting>
  <conditionalFormatting sqref="A790:A792">
    <cfRule type="expression" dxfId="20" priority="5374" stopIfTrue="1">
      <formula>$A790="barcode"</formula>
    </cfRule>
  </conditionalFormatting>
  <conditionalFormatting sqref="A790:A792">
    <cfRule type="expression" dxfId="21" priority="5375" stopIfTrue="1">
      <formula>OR($A790="geopoint", $A790="geoshape", $A790="geotrace")</formula>
    </cfRule>
  </conditionalFormatting>
  <conditionalFormatting sqref="A790:A792">
    <cfRule type="expression" dxfId="22" priority="5376" stopIfTrue="1">
      <formula>OR($A790="audio audit", $A790="text audit", $A790="speed violations count", $A790="speed violations list", $A790="speed violations audit")</formula>
    </cfRule>
  </conditionalFormatting>
  <conditionalFormatting sqref="A790:A792">
    <cfRule type="expression" dxfId="23" priority="5377" stopIfTrue="1">
      <formula>OR($A790="username", $A790="phonenumber", $A790="start", $A790="end", $A790="deviceid", $A790="subscriberid", $A790="simserial", $A790="caseid")</formula>
    </cfRule>
  </conditionalFormatting>
  <conditionalFormatting sqref="A790:A792">
    <cfRule type="expression" dxfId="24" priority="5378" stopIfTrue="1">
      <formula>OR(AND(LEFT($A790, 16)="select_multiple ", LEN($A790)&gt;16, NOT(ISNUMBER(SEARCH(" ", $A790, 17)))), AND(LEFT($A790, 11)="select_one ", LEN($A790)&gt;11, NOT(ISNUMBER(SEARCH(" ", $A790, 12)))))</formula>
    </cfRule>
  </conditionalFormatting>
  <conditionalFormatting sqref="A790:A792">
    <cfRule type="expression" dxfId="25" priority="5379" stopIfTrue="1">
      <formula>$A790="decimal"</formula>
    </cfRule>
  </conditionalFormatting>
  <conditionalFormatting sqref="A790:A792">
    <cfRule type="expression" dxfId="26" priority="5380" stopIfTrue="1">
      <formula>$A790="integer"</formula>
    </cfRule>
  </conditionalFormatting>
  <conditionalFormatting sqref="A790:A792">
    <cfRule type="expression" dxfId="27" priority="5381" stopIfTrue="1">
      <formula>$A790="text"</formula>
    </cfRule>
  </conditionalFormatting>
  <conditionalFormatting sqref="A790:A792">
    <cfRule type="expression" dxfId="28" priority="5382" stopIfTrue="1">
      <formula>$A790="end repeat"</formula>
    </cfRule>
  </conditionalFormatting>
  <conditionalFormatting sqref="A790:A792">
    <cfRule type="expression" dxfId="28" priority="5383" stopIfTrue="1">
      <formula>$A790="begin repeat"</formula>
    </cfRule>
  </conditionalFormatting>
  <conditionalFormatting sqref="A790:A792">
    <cfRule type="expression" dxfId="29" priority="5384" stopIfTrue="1">
      <formula>$A790="end group"</formula>
    </cfRule>
  </conditionalFormatting>
  <conditionalFormatting sqref="A790:A792">
    <cfRule type="expression" dxfId="29" priority="5385" stopIfTrue="1">
      <formula>$A790="begin group"</formula>
    </cfRule>
  </conditionalFormatting>
  <conditionalFormatting sqref="A784:A785">
    <cfRule type="expression" dxfId="33" priority="5386" stopIfTrue="1">
      <formula>$A784="file"</formula>
    </cfRule>
  </conditionalFormatting>
  <conditionalFormatting sqref="A784:A785">
    <cfRule type="expression" dxfId="34" priority="5387" stopIfTrue="1">
      <formula>$A784="enumerator"</formula>
    </cfRule>
  </conditionalFormatting>
  <conditionalFormatting sqref="A784:A785">
    <cfRule type="expression" dxfId="35" priority="5388" stopIfTrue="1">
      <formula>OR(AND(LEFT($A784, 14)="sensor_stream ", LEN($A784)&gt;14, NOT(ISNUMBER(SEARCH(" ", $A784, 15)))), AND(LEFT($A784, 17)="sensor_statistic ", LEN($A784)&gt;17, NOT(ISNUMBER(SEARCH(" ", $A784, 18)))))</formula>
    </cfRule>
  </conditionalFormatting>
  <conditionalFormatting sqref="A784:A785">
    <cfRule type="expression" dxfId="14" priority="5389" stopIfTrue="1">
      <formula>$A784="comments"</formula>
    </cfRule>
  </conditionalFormatting>
  <conditionalFormatting sqref="A784:A785">
    <cfRule type="expression" dxfId="15" priority="5390" stopIfTrue="1">
      <formula>OR($A784="audio", $A784="video")</formula>
    </cfRule>
  </conditionalFormatting>
  <conditionalFormatting sqref="A784:A785">
    <cfRule type="expression" dxfId="16" priority="5391" stopIfTrue="1">
      <formula>$A784="image"</formula>
    </cfRule>
  </conditionalFormatting>
  <conditionalFormatting sqref="A784:A785">
    <cfRule type="expression" dxfId="17" priority="5392" stopIfTrue="1">
      <formula>OR($A784="date", $A784="datetime", $A784="time")</formula>
    </cfRule>
  </conditionalFormatting>
  <conditionalFormatting sqref="A784:A785">
    <cfRule type="expression" dxfId="18" priority="5393" stopIfTrue="1">
      <formula>OR($A784="calculate", $A784="calculate_here")</formula>
    </cfRule>
  </conditionalFormatting>
  <conditionalFormatting sqref="A784:A785">
    <cfRule type="expression" dxfId="19" priority="5394" stopIfTrue="1">
      <formula>$A784="note"</formula>
    </cfRule>
  </conditionalFormatting>
  <conditionalFormatting sqref="A784:A785">
    <cfRule type="expression" dxfId="20" priority="5395" stopIfTrue="1">
      <formula>$A784="barcode"</formula>
    </cfRule>
  </conditionalFormatting>
  <conditionalFormatting sqref="A784:A785">
    <cfRule type="expression" dxfId="21" priority="5396" stopIfTrue="1">
      <formula>OR($A784="geopoint", $A784="geoshape", $A784="geotrace")</formula>
    </cfRule>
  </conditionalFormatting>
  <conditionalFormatting sqref="A784:A785">
    <cfRule type="expression" dxfId="22" priority="5397" stopIfTrue="1">
      <formula>OR($A784="audio audit", $A784="text audit", $A784="speed violations count", $A784="speed violations list", $A784="speed violations audit")</formula>
    </cfRule>
  </conditionalFormatting>
  <conditionalFormatting sqref="A784:A785">
    <cfRule type="expression" dxfId="23" priority="5398" stopIfTrue="1">
      <formula>OR($A784="username", $A784="phonenumber", $A784="start", $A784="end", $A784="deviceid", $A784="subscriberid", $A784="simserial", $A784="caseid")</formula>
    </cfRule>
  </conditionalFormatting>
  <conditionalFormatting sqref="A784:A785">
    <cfRule type="expression" dxfId="24" priority="5399" stopIfTrue="1">
      <formula>OR(AND(LEFT($A784, 16)="select_multiple ", LEN($A784)&gt;16, NOT(ISNUMBER(SEARCH(" ", $A784, 17)))), AND(LEFT($A784, 11)="select_one ", LEN($A784)&gt;11, NOT(ISNUMBER(SEARCH(" ", $A784, 12)))))</formula>
    </cfRule>
  </conditionalFormatting>
  <conditionalFormatting sqref="A784:A785">
    <cfRule type="expression" dxfId="25" priority="5400" stopIfTrue="1">
      <formula>$A784="decimal"</formula>
    </cfRule>
  </conditionalFormatting>
  <conditionalFormatting sqref="A784:A785">
    <cfRule type="expression" dxfId="26" priority="5401" stopIfTrue="1">
      <formula>$A784="integer"</formula>
    </cfRule>
  </conditionalFormatting>
  <conditionalFormatting sqref="A784:A785">
    <cfRule type="expression" dxfId="27" priority="5402" stopIfTrue="1">
      <formula>$A784="text"</formula>
    </cfRule>
  </conditionalFormatting>
  <conditionalFormatting sqref="A784:A785">
    <cfRule type="expression" dxfId="28" priority="5403" stopIfTrue="1">
      <formula>$A784="end repeat"</formula>
    </cfRule>
  </conditionalFormatting>
  <conditionalFormatting sqref="A784:A785">
    <cfRule type="expression" dxfId="28" priority="5404" stopIfTrue="1">
      <formula>$A784="begin repeat"</formula>
    </cfRule>
  </conditionalFormatting>
  <conditionalFormatting sqref="A784:A785">
    <cfRule type="expression" dxfId="29" priority="5405" stopIfTrue="1">
      <formula>$A784="end group"</formula>
    </cfRule>
  </conditionalFormatting>
  <conditionalFormatting sqref="A784:A785">
    <cfRule type="expression" dxfId="29" priority="5406" stopIfTrue="1">
      <formula>$A784="begin group"</formula>
    </cfRule>
  </conditionalFormatting>
  <conditionalFormatting sqref="A781:A782">
    <cfRule type="expression" dxfId="33" priority="5407" stopIfTrue="1">
      <formula>$A781="file"</formula>
    </cfRule>
  </conditionalFormatting>
  <conditionalFormatting sqref="A781:A782">
    <cfRule type="expression" dxfId="34" priority="5408" stopIfTrue="1">
      <formula>$A781="enumerator"</formula>
    </cfRule>
  </conditionalFormatting>
  <conditionalFormatting sqref="A781:A782">
    <cfRule type="expression" dxfId="35" priority="5409" stopIfTrue="1">
      <formula>OR(AND(LEFT($A781, 14)="sensor_stream ", LEN($A781)&gt;14, NOT(ISNUMBER(SEARCH(" ", $A781, 15)))), AND(LEFT($A781, 17)="sensor_statistic ", LEN($A781)&gt;17, NOT(ISNUMBER(SEARCH(" ", $A781, 18)))))</formula>
    </cfRule>
  </conditionalFormatting>
  <conditionalFormatting sqref="A781:A782">
    <cfRule type="expression" dxfId="14" priority="5410" stopIfTrue="1">
      <formula>$A781="comments"</formula>
    </cfRule>
  </conditionalFormatting>
  <conditionalFormatting sqref="A781:A782">
    <cfRule type="expression" dxfId="15" priority="5411" stopIfTrue="1">
      <formula>OR($A781="audio", $A781="video")</formula>
    </cfRule>
  </conditionalFormatting>
  <conditionalFormatting sqref="A781:A782">
    <cfRule type="expression" dxfId="16" priority="5412" stopIfTrue="1">
      <formula>$A781="image"</formula>
    </cfRule>
  </conditionalFormatting>
  <conditionalFormatting sqref="A781:A782">
    <cfRule type="expression" dxfId="17" priority="5413" stopIfTrue="1">
      <formula>OR($A781="date", $A781="datetime", $A781="time")</formula>
    </cfRule>
  </conditionalFormatting>
  <conditionalFormatting sqref="A781:A782">
    <cfRule type="expression" dxfId="18" priority="5414" stopIfTrue="1">
      <formula>OR($A781="calculate", $A781="calculate_here")</formula>
    </cfRule>
  </conditionalFormatting>
  <conditionalFormatting sqref="A781:A782">
    <cfRule type="expression" dxfId="19" priority="5415" stopIfTrue="1">
      <formula>$A781="note"</formula>
    </cfRule>
  </conditionalFormatting>
  <conditionalFormatting sqref="A781:A782">
    <cfRule type="expression" dxfId="20" priority="5416" stopIfTrue="1">
      <formula>$A781="barcode"</formula>
    </cfRule>
  </conditionalFormatting>
  <conditionalFormatting sqref="A781:A782">
    <cfRule type="expression" dxfId="21" priority="5417" stopIfTrue="1">
      <formula>OR($A781="geopoint", $A781="geoshape", $A781="geotrace")</formula>
    </cfRule>
  </conditionalFormatting>
  <conditionalFormatting sqref="A781:A782">
    <cfRule type="expression" dxfId="22" priority="5418" stopIfTrue="1">
      <formula>OR($A781="audio audit", $A781="text audit", $A781="speed violations count", $A781="speed violations list", $A781="speed violations audit")</formula>
    </cfRule>
  </conditionalFormatting>
  <conditionalFormatting sqref="A781:A782">
    <cfRule type="expression" dxfId="23" priority="5419" stopIfTrue="1">
      <formula>OR($A781="username", $A781="phonenumber", $A781="start", $A781="end", $A781="deviceid", $A781="subscriberid", $A781="simserial", $A781="caseid")</formula>
    </cfRule>
  </conditionalFormatting>
  <conditionalFormatting sqref="A781:A782">
    <cfRule type="expression" dxfId="24" priority="5420" stopIfTrue="1">
      <formula>OR(AND(LEFT($A781, 16)="select_multiple ", LEN($A781)&gt;16, NOT(ISNUMBER(SEARCH(" ", $A781, 17)))), AND(LEFT($A781, 11)="select_one ", LEN($A781)&gt;11, NOT(ISNUMBER(SEARCH(" ", $A781, 12)))))</formula>
    </cfRule>
  </conditionalFormatting>
  <conditionalFormatting sqref="A781:A782">
    <cfRule type="expression" dxfId="25" priority="5421" stopIfTrue="1">
      <formula>$A781="decimal"</formula>
    </cfRule>
  </conditionalFormatting>
  <conditionalFormatting sqref="A781:A782">
    <cfRule type="expression" dxfId="26" priority="5422" stopIfTrue="1">
      <formula>$A781="integer"</formula>
    </cfRule>
  </conditionalFormatting>
  <conditionalFormatting sqref="A781:A782">
    <cfRule type="expression" dxfId="27" priority="5423" stopIfTrue="1">
      <formula>$A781="text"</formula>
    </cfRule>
  </conditionalFormatting>
  <conditionalFormatting sqref="A781:A782">
    <cfRule type="expression" dxfId="28" priority="5424" stopIfTrue="1">
      <formula>$A781="end repeat"</formula>
    </cfRule>
  </conditionalFormatting>
  <conditionalFormatting sqref="A781:A782">
    <cfRule type="expression" dxfId="28" priority="5425" stopIfTrue="1">
      <formula>$A781="begin repeat"</formula>
    </cfRule>
  </conditionalFormatting>
  <conditionalFormatting sqref="A781:A782">
    <cfRule type="expression" dxfId="29" priority="5426" stopIfTrue="1">
      <formula>$A781="end group"</formula>
    </cfRule>
  </conditionalFormatting>
  <conditionalFormatting sqref="A781:A782">
    <cfRule type="expression" dxfId="29" priority="5427" stopIfTrue="1">
      <formula>$A781="begin group"</formula>
    </cfRule>
  </conditionalFormatting>
  <conditionalFormatting sqref="A777">
    <cfRule type="expression" dxfId="33" priority="5428" stopIfTrue="1">
      <formula>$A777="file"</formula>
    </cfRule>
  </conditionalFormatting>
  <conditionalFormatting sqref="A777">
    <cfRule type="expression" dxfId="34" priority="5429" stopIfTrue="1">
      <formula>$A777="enumerator"</formula>
    </cfRule>
  </conditionalFormatting>
  <conditionalFormatting sqref="A777">
    <cfRule type="expression" dxfId="35" priority="5430" stopIfTrue="1">
      <formula>OR(AND(LEFT($A777, 14)="sensor_stream ", LEN($A777)&gt;14, NOT(ISNUMBER(SEARCH(" ", $A777, 15)))), AND(LEFT($A777, 17)="sensor_statistic ", LEN($A777)&gt;17, NOT(ISNUMBER(SEARCH(" ", $A777, 18)))))</formula>
    </cfRule>
  </conditionalFormatting>
  <conditionalFormatting sqref="A777">
    <cfRule type="expression" dxfId="14" priority="5431" stopIfTrue="1">
      <formula>$A777="comments"</formula>
    </cfRule>
  </conditionalFormatting>
  <conditionalFormatting sqref="A777">
    <cfRule type="expression" dxfId="15" priority="5432" stopIfTrue="1">
      <formula>OR($A777="audio", $A777="video")</formula>
    </cfRule>
  </conditionalFormatting>
  <conditionalFormatting sqref="A777">
    <cfRule type="expression" dxfId="16" priority="5433" stopIfTrue="1">
      <formula>$A777="image"</formula>
    </cfRule>
  </conditionalFormatting>
  <conditionalFormatting sqref="A777">
    <cfRule type="expression" dxfId="17" priority="5434" stopIfTrue="1">
      <formula>OR($A777="date", $A777="datetime", $A777="time")</formula>
    </cfRule>
  </conditionalFormatting>
  <conditionalFormatting sqref="A777">
    <cfRule type="expression" dxfId="18" priority="5435" stopIfTrue="1">
      <formula>OR($A777="calculate", $A777="calculate_here")</formula>
    </cfRule>
  </conditionalFormatting>
  <conditionalFormatting sqref="A777">
    <cfRule type="expression" dxfId="19" priority="5436" stopIfTrue="1">
      <formula>$A777="note"</formula>
    </cfRule>
  </conditionalFormatting>
  <conditionalFormatting sqref="A777">
    <cfRule type="expression" dxfId="20" priority="5437" stopIfTrue="1">
      <formula>$A777="barcode"</formula>
    </cfRule>
  </conditionalFormatting>
  <conditionalFormatting sqref="A777">
    <cfRule type="expression" dxfId="21" priority="5438" stopIfTrue="1">
      <formula>OR($A777="geopoint", $A777="geoshape", $A777="geotrace")</formula>
    </cfRule>
  </conditionalFormatting>
  <conditionalFormatting sqref="A777">
    <cfRule type="expression" dxfId="22" priority="5439" stopIfTrue="1">
      <formula>OR($A777="audio audit", $A777="text audit", $A777="speed violations count", $A777="speed violations list", $A777="speed violations audit")</formula>
    </cfRule>
  </conditionalFormatting>
  <conditionalFormatting sqref="A777">
    <cfRule type="expression" dxfId="23" priority="5440" stopIfTrue="1">
      <formula>OR($A777="username", $A777="phonenumber", $A777="start", $A777="end", $A777="deviceid", $A777="subscriberid", $A777="simserial", $A777="caseid")</formula>
    </cfRule>
  </conditionalFormatting>
  <conditionalFormatting sqref="A777">
    <cfRule type="expression" dxfId="24" priority="5441" stopIfTrue="1">
      <formula>OR(AND(LEFT($A777, 16)="select_multiple ", LEN($A777)&gt;16, NOT(ISNUMBER(SEARCH(" ", $A777, 17)))), AND(LEFT($A777, 11)="select_one ", LEN($A777)&gt;11, NOT(ISNUMBER(SEARCH(" ", $A777, 12)))))</formula>
    </cfRule>
  </conditionalFormatting>
  <conditionalFormatting sqref="A777">
    <cfRule type="expression" dxfId="25" priority="5442" stopIfTrue="1">
      <formula>$A777="decimal"</formula>
    </cfRule>
  </conditionalFormatting>
  <conditionalFormatting sqref="A777">
    <cfRule type="expression" dxfId="26" priority="5443" stopIfTrue="1">
      <formula>$A777="integer"</formula>
    </cfRule>
  </conditionalFormatting>
  <conditionalFormatting sqref="A777">
    <cfRule type="expression" dxfId="27" priority="5444" stopIfTrue="1">
      <formula>$A777="text"</formula>
    </cfRule>
  </conditionalFormatting>
  <conditionalFormatting sqref="A777">
    <cfRule type="expression" dxfId="28" priority="5445" stopIfTrue="1">
      <formula>$A777="end repeat"</formula>
    </cfRule>
  </conditionalFormatting>
  <conditionalFormatting sqref="A777">
    <cfRule type="expression" dxfId="28" priority="5446" stopIfTrue="1">
      <formula>$A777="begin repeat"</formula>
    </cfRule>
  </conditionalFormatting>
  <conditionalFormatting sqref="A777">
    <cfRule type="expression" dxfId="29" priority="5447" stopIfTrue="1">
      <formula>$A777="end group"</formula>
    </cfRule>
  </conditionalFormatting>
  <conditionalFormatting sqref="A777">
    <cfRule type="expression" dxfId="29" priority="5448" stopIfTrue="1">
      <formula>$A777="begin group"</formula>
    </cfRule>
  </conditionalFormatting>
  <conditionalFormatting sqref="A769:A771">
    <cfRule type="expression" dxfId="33" priority="5449" stopIfTrue="1">
      <formula>$A769="file"</formula>
    </cfRule>
  </conditionalFormatting>
  <conditionalFormatting sqref="A769:A771">
    <cfRule type="expression" dxfId="34" priority="5450" stopIfTrue="1">
      <formula>$A769="enumerator"</formula>
    </cfRule>
  </conditionalFormatting>
  <conditionalFormatting sqref="A769:A771">
    <cfRule type="expression" dxfId="35" priority="5451" stopIfTrue="1">
      <formula>OR(AND(LEFT($A769, 14)="sensor_stream ", LEN($A769)&gt;14, NOT(ISNUMBER(SEARCH(" ", $A769, 15)))), AND(LEFT($A769, 17)="sensor_statistic ", LEN($A769)&gt;17, NOT(ISNUMBER(SEARCH(" ", $A769, 18)))))</formula>
    </cfRule>
  </conditionalFormatting>
  <conditionalFormatting sqref="A769:A771">
    <cfRule type="expression" dxfId="14" priority="5452" stopIfTrue="1">
      <formula>$A769="comments"</formula>
    </cfRule>
  </conditionalFormatting>
  <conditionalFormatting sqref="A769:A771">
    <cfRule type="expression" dxfId="15" priority="5453" stopIfTrue="1">
      <formula>OR($A769="audio", $A769="video")</formula>
    </cfRule>
  </conditionalFormatting>
  <conditionalFormatting sqref="A769:A771">
    <cfRule type="expression" dxfId="16" priority="5454" stopIfTrue="1">
      <formula>$A769="image"</formula>
    </cfRule>
  </conditionalFormatting>
  <conditionalFormatting sqref="A769:A771">
    <cfRule type="expression" dxfId="17" priority="5455" stopIfTrue="1">
      <formula>OR($A769="date", $A769="datetime", $A769="time")</formula>
    </cfRule>
  </conditionalFormatting>
  <conditionalFormatting sqref="A769:A771">
    <cfRule type="expression" dxfId="18" priority="5456" stopIfTrue="1">
      <formula>OR($A769="calculate", $A769="calculate_here")</formula>
    </cfRule>
  </conditionalFormatting>
  <conditionalFormatting sqref="A769:A771">
    <cfRule type="expression" dxfId="19" priority="5457" stopIfTrue="1">
      <formula>$A769="note"</formula>
    </cfRule>
  </conditionalFormatting>
  <conditionalFormatting sqref="A769:A771">
    <cfRule type="expression" dxfId="20" priority="5458" stopIfTrue="1">
      <formula>$A769="barcode"</formula>
    </cfRule>
  </conditionalFormatting>
  <conditionalFormatting sqref="A769:A771">
    <cfRule type="expression" dxfId="21" priority="5459" stopIfTrue="1">
      <formula>OR($A769="geopoint", $A769="geoshape", $A769="geotrace")</formula>
    </cfRule>
  </conditionalFormatting>
  <conditionalFormatting sqref="A769:A771">
    <cfRule type="expression" dxfId="22" priority="5460" stopIfTrue="1">
      <formula>OR($A769="audio audit", $A769="text audit", $A769="speed violations count", $A769="speed violations list", $A769="speed violations audit")</formula>
    </cfRule>
  </conditionalFormatting>
  <conditionalFormatting sqref="A769:A771">
    <cfRule type="expression" dxfId="23" priority="5461" stopIfTrue="1">
      <formula>OR($A769="username", $A769="phonenumber", $A769="start", $A769="end", $A769="deviceid", $A769="subscriberid", $A769="simserial", $A769="caseid")</formula>
    </cfRule>
  </conditionalFormatting>
  <conditionalFormatting sqref="A769:A771">
    <cfRule type="expression" dxfId="24" priority="5462" stopIfTrue="1">
      <formula>OR(AND(LEFT($A769, 16)="select_multiple ", LEN($A769)&gt;16, NOT(ISNUMBER(SEARCH(" ", $A769, 17)))), AND(LEFT($A769, 11)="select_one ", LEN($A769)&gt;11, NOT(ISNUMBER(SEARCH(" ", $A769, 12)))))</formula>
    </cfRule>
  </conditionalFormatting>
  <conditionalFormatting sqref="A769:A771">
    <cfRule type="expression" dxfId="25" priority="5463" stopIfTrue="1">
      <formula>$A769="decimal"</formula>
    </cfRule>
  </conditionalFormatting>
  <conditionalFormatting sqref="A769:A771">
    <cfRule type="expression" dxfId="26" priority="5464" stopIfTrue="1">
      <formula>$A769="integer"</formula>
    </cfRule>
  </conditionalFormatting>
  <conditionalFormatting sqref="A769:A771">
    <cfRule type="expression" dxfId="27" priority="5465" stopIfTrue="1">
      <formula>$A769="text"</formula>
    </cfRule>
  </conditionalFormatting>
  <conditionalFormatting sqref="A769:A771">
    <cfRule type="expression" dxfId="28" priority="5466" stopIfTrue="1">
      <formula>$A769="end repeat"</formula>
    </cfRule>
  </conditionalFormatting>
  <conditionalFormatting sqref="A769:A771">
    <cfRule type="expression" dxfId="28" priority="5467" stopIfTrue="1">
      <formula>$A769="begin repeat"</formula>
    </cfRule>
  </conditionalFormatting>
  <conditionalFormatting sqref="A769:A771">
    <cfRule type="expression" dxfId="29" priority="5468" stopIfTrue="1">
      <formula>$A769="end group"</formula>
    </cfRule>
  </conditionalFormatting>
  <conditionalFormatting sqref="A769:A771">
    <cfRule type="expression" dxfId="29" priority="5469" stopIfTrue="1">
      <formula>$A769="begin group"</formula>
    </cfRule>
  </conditionalFormatting>
  <conditionalFormatting sqref="A765:A767">
    <cfRule type="expression" dxfId="33" priority="5470" stopIfTrue="1">
      <formula>$A765="file"</formula>
    </cfRule>
  </conditionalFormatting>
  <conditionalFormatting sqref="A765:A767">
    <cfRule type="expression" dxfId="34" priority="5471" stopIfTrue="1">
      <formula>$A765="enumerator"</formula>
    </cfRule>
  </conditionalFormatting>
  <conditionalFormatting sqref="A765:A767">
    <cfRule type="expression" dxfId="35" priority="5472" stopIfTrue="1">
      <formula>OR(AND(LEFT($A765, 14)="sensor_stream ", LEN($A765)&gt;14, NOT(ISNUMBER(SEARCH(" ", $A765, 15)))), AND(LEFT($A765, 17)="sensor_statistic ", LEN($A765)&gt;17, NOT(ISNUMBER(SEARCH(" ", $A765, 18)))))</formula>
    </cfRule>
  </conditionalFormatting>
  <conditionalFormatting sqref="A765:A767">
    <cfRule type="expression" dxfId="14" priority="5473" stopIfTrue="1">
      <formula>$A765="comments"</formula>
    </cfRule>
  </conditionalFormatting>
  <conditionalFormatting sqref="A765:A767">
    <cfRule type="expression" dxfId="15" priority="5474" stopIfTrue="1">
      <formula>OR($A765="audio", $A765="video")</formula>
    </cfRule>
  </conditionalFormatting>
  <conditionalFormatting sqref="A765:A767">
    <cfRule type="expression" dxfId="16" priority="5475" stopIfTrue="1">
      <formula>$A765="image"</formula>
    </cfRule>
  </conditionalFormatting>
  <conditionalFormatting sqref="A765:A767">
    <cfRule type="expression" dxfId="17" priority="5476" stopIfTrue="1">
      <formula>OR($A765="date", $A765="datetime", $A765="time")</formula>
    </cfRule>
  </conditionalFormatting>
  <conditionalFormatting sqref="A765:A767">
    <cfRule type="expression" dxfId="18" priority="5477" stopIfTrue="1">
      <formula>OR($A765="calculate", $A765="calculate_here")</formula>
    </cfRule>
  </conditionalFormatting>
  <conditionalFormatting sqref="A765:A767">
    <cfRule type="expression" dxfId="19" priority="5478" stopIfTrue="1">
      <formula>$A765="note"</formula>
    </cfRule>
  </conditionalFormatting>
  <conditionalFormatting sqref="A765:A767">
    <cfRule type="expression" dxfId="20" priority="5479" stopIfTrue="1">
      <formula>$A765="barcode"</formula>
    </cfRule>
  </conditionalFormatting>
  <conditionalFormatting sqref="A765:A767">
    <cfRule type="expression" dxfId="21" priority="5480" stopIfTrue="1">
      <formula>OR($A765="geopoint", $A765="geoshape", $A765="geotrace")</formula>
    </cfRule>
  </conditionalFormatting>
  <conditionalFormatting sqref="A765:A767">
    <cfRule type="expression" dxfId="22" priority="5481" stopIfTrue="1">
      <formula>OR($A765="audio audit", $A765="text audit", $A765="speed violations count", $A765="speed violations list", $A765="speed violations audit")</formula>
    </cfRule>
  </conditionalFormatting>
  <conditionalFormatting sqref="A765:A767">
    <cfRule type="expression" dxfId="23" priority="5482" stopIfTrue="1">
      <formula>OR($A765="username", $A765="phonenumber", $A765="start", $A765="end", $A765="deviceid", $A765="subscriberid", $A765="simserial", $A765="caseid")</formula>
    </cfRule>
  </conditionalFormatting>
  <conditionalFormatting sqref="A765:A767">
    <cfRule type="expression" dxfId="24" priority="5483" stopIfTrue="1">
      <formula>OR(AND(LEFT($A765, 16)="select_multiple ", LEN($A765)&gt;16, NOT(ISNUMBER(SEARCH(" ", $A765, 17)))), AND(LEFT($A765, 11)="select_one ", LEN($A765)&gt;11, NOT(ISNUMBER(SEARCH(" ", $A765, 12)))))</formula>
    </cfRule>
  </conditionalFormatting>
  <conditionalFormatting sqref="A765:A767">
    <cfRule type="expression" dxfId="25" priority="5484" stopIfTrue="1">
      <formula>$A765="decimal"</formula>
    </cfRule>
  </conditionalFormatting>
  <conditionalFormatting sqref="A765:A767">
    <cfRule type="expression" dxfId="26" priority="5485" stopIfTrue="1">
      <formula>$A765="integer"</formula>
    </cfRule>
  </conditionalFormatting>
  <conditionalFormatting sqref="A765:A767">
    <cfRule type="expression" dxfId="27" priority="5486" stopIfTrue="1">
      <formula>$A765="text"</formula>
    </cfRule>
  </conditionalFormatting>
  <conditionalFormatting sqref="A765:A767">
    <cfRule type="expression" dxfId="28" priority="5487" stopIfTrue="1">
      <formula>$A765="end repeat"</formula>
    </cfRule>
  </conditionalFormatting>
  <conditionalFormatting sqref="A765:A767">
    <cfRule type="expression" dxfId="28" priority="5488" stopIfTrue="1">
      <formula>$A765="begin repeat"</formula>
    </cfRule>
  </conditionalFormatting>
  <conditionalFormatting sqref="A765:A767">
    <cfRule type="expression" dxfId="29" priority="5489" stopIfTrue="1">
      <formula>$A765="end group"</formula>
    </cfRule>
  </conditionalFormatting>
  <conditionalFormatting sqref="A765:A767">
    <cfRule type="expression" dxfId="29" priority="5490" stopIfTrue="1">
      <formula>$A765="begin group"</formula>
    </cfRule>
  </conditionalFormatting>
  <conditionalFormatting sqref="A753:A760">
    <cfRule type="expression" dxfId="33" priority="5491" stopIfTrue="1">
      <formula>$A753="file"</formula>
    </cfRule>
  </conditionalFormatting>
  <conditionalFormatting sqref="A753:A760">
    <cfRule type="expression" dxfId="34" priority="5492" stopIfTrue="1">
      <formula>$A753="enumerator"</formula>
    </cfRule>
  </conditionalFormatting>
  <conditionalFormatting sqref="A753:A760">
    <cfRule type="expression" dxfId="35" priority="5493" stopIfTrue="1">
      <formula>OR(AND(LEFT($A753, 14)="sensor_stream ", LEN($A753)&gt;14, NOT(ISNUMBER(SEARCH(" ", $A753, 15)))), AND(LEFT($A753, 17)="sensor_statistic ", LEN($A753)&gt;17, NOT(ISNUMBER(SEARCH(" ", $A753, 18)))))</formula>
    </cfRule>
  </conditionalFormatting>
  <conditionalFormatting sqref="A753:A760">
    <cfRule type="expression" dxfId="14" priority="5494" stopIfTrue="1">
      <formula>$A753="comments"</formula>
    </cfRule>
  </conditionalFormatting>
  <conditionalFormatting sqref="A753:A760">
    <cfRule type="expression" dxfId="15" priority="5495" stopIfTrue="1">
      <formula>OR($A753="audio", $A753="video")</formula>
    </cfRule>
  </conditionalFormatting>
  <conditionalFormatting sqref="A753:A760">
    <cfRule type="expression" dxfId="16" priority="5496" stopIfTrue="1">
      <formula>$A753="image"</formula>
    </cfRule>
  </conditionalFormatting>
  <conditionalFormatting sqref="A753:A760">
    <cfRule type="expression" dxfId="17" priority="5497" stopIfTrue="1">
      <formula>OR($A753="date", $A753="datetime", $A753="time")</formula>
    </cfRule>
  </conditionalFormatting>
  <conditionalFormatting sqref="A753:A760">
    <cfRule type="expression" dxfId="18" priority="5498" stopIfTrue="1">
      <formula>OR($A753="calculate", $A753="calculate_here")</formula>
    </cfRule>
  </conditionalFormatting>
  <conditionalFormatting sqref="A753:A760">
    <cfRule type="expression" dxfId="19" priority="5499" stopIfTrue="1">
      <formula>$A753="note"</formula>
    </cfRule>
  </conditionalFormatting>
  <conditionalFormatting sqref="A753:A760">
    <cfRule type="expression" dxfId="20" priority="5500" stopIfTrue="1">
      <formula>$A753="barcode"</formula>
    </cfRule>
  </conditionalFormatting>
  <conditionalFormatting sqref="A753:A760">
    <cfRule type="expression" dxfId="21" priority="5501" stopIfTrue="1">
      <formula>OR($A753="geopoint", $A753="geoshape", $A753="geotrace")</formula>
    </cfRule>
  </conditionalFormatting>
  <conditionalFormatting sqref="A753:A760">
    <cfRule type="expression" dxfId="22" priority="5502" stopIfTrue="1">
      <formula>OR($A753="audio audit", $A753="text audit", $A753="speed violations count", $A753="speed violations list", $A753="speed violations audit")</formula>
    </cfRule>
  </conditionalFormatting>
  <conditionalFormatting sqref="A753:A760">
    <cfRule type="expression" dxfId="23" priority="5503" stopIfTrue="1">
      <formula>OR($A753="username", $A753="phonenumber", $A753="start", $A753="end", $A753="deviceid", $A753="subscriberid", $A753="simserial", $A753="caseid")</formula>
    </cfRule>
  </conditionalFormatting>
  <conditionalFormatting sqref="A753:A760">
    <cfRule type="expression" dxfId="24" priority="5504" stopIfTrue="1">
      <formula>OR(AND(LEFT($A753, 16)="select_multiple ", LEN($A753)&gt;16, NOT(ISNUMBER(SEARCH(" ", $A753, 17)))), AND(LEFT($A753, 11)="select_one ", LEN($A753)&gt;11, NOT(ISNUMBER(SEARCH(" ", $A753, 12)))))</formula>
    </cfRule>
  </conditionalFormatting>
  <conditionalFormatting sqref="A753:A760">
    <cfRule type="expression" dxfId="25" priority="5505" stopIfTrue="1">
      <formula>$A753="decimal"</formula>
    </cfRule>
  </conditionalFormatting>
  <conditionalFormatting sqref="A753:A760">
    <cfRule type="expression" dxfId="26" priority="5506" stopIfTrue="1">
      <formula>$A753="integer"</formula>
    </cfRule>
  </conditionalFormatting>
  <conditionalFormatting sqref="A753:A760">
    <cfRule type="expression" dxfId="27" priority="5507" stopIfTrue="1">
      <formula>$A753="text"</formula>
    </cfRule>
  </conditionalFormatting>
  <conditionalFormatting sqref="A753:A760">
    <cfRule type="expression" dxfId="28" priority="5508" stopIfTrue="1">
      <formula>$A753="end repeat"</formula>
    </cfRule>
  </conditionalFormatting>
  <conditionalFormatting sqref="A753:A760">
    <cfRule type="expression" dxfId="28" priority="5509" stopIfTrue="1">
      <formula>$A753="begin repeat"</formula>
    </cfRule>
  </conditionalFormatting>
  <conditionalFormatting sqref="A753:A760">
    <cfRule type="expression" dxfId="29" priority="5510" stopIfTrue="1">
      <formula>$A753="end group"</formula>
    </cfRule>
  </conditionalFormatting>
  <conditionalFormatting sqref="A753:A760">
    <cfRule type="expression" dxfId="29" priority="5511" stopIfTrue="1">
      <formula>$A753="begin group"</formula>
    </cfRule>
  </conditionalFormatting>
  <conditionalFormatting sqref="A746:A751">
    <cfRule type="expression" dxfId="33" priority="5512" stopIfTrue="1">
      <formula>$A746="file"</formula>
    </cfRule>
  </conditionalFormatting>
  <conditionalFormatting sqref="A746:A751">
    <cfRule type="expression" dxfId="34" priority="5513" stopIfTrue="1">
      <formula>$A746="enumerator"</formula>
    </cfRule>
  </conditionalFormatting>
  <conditionalFormatting sqref="A746:A751">
    <cfRule type="expression" dxfId="35" priority="5514" stopIfTrue="1">
      <formula>OR(AND(LEFT($A746, 14)="sensor_stream ", LEN($A746)&gt;14, NOT(ISNUMBER(SEARCH(" ", $A746, 15)))), AND(LEFT($A746, 17)="sensor_statistic ", LEN($A746)&gt;17, NOT(ISNUMBER(SEARCH(" ", $A746, 18)))))</formula>
    </cfRule>
  </conditionalFormatting>
  <conditionalFormatting sqref="A746:A751">
    <cfRule type="expression" dxfId="14" priority="5515" stopIfTrue="1">
      <formula>$A746="comments"</formula>
    </cfRule>
  </conditionalFormatting>
  <conditionalFormatting sqref="A746:A751">
    <cfRule type="expression" dxfId="15" priority="5516" stopIfTrue="1">
      <formula>OR($A746="audio", $A746="video")</formula>
    </cfRule>
  </conditionalFormatting>
  <conditionalFormatting sqref="A746:A751">
    <cfRule type="expression" dxfId="16" priority="5517" stopIfTrue="1">
      <formula>$A746="image"</formula>
    </cfRule>
  </conditionalFormatting>
  <conditionalFormatting sqref="A746:A751">
    <cfRule type="expression" dxfId="17" priority="5518" stopIfTrue="1">
      <formula>OR($A746="date", $A746="datetime", $A746="time")</formula>
    </cfRule>
  </conditionalFormatting>
  <conditionalFormatting sqref="A746:A751">
    <cfRule type="expression" dxfId="18" priority="5519" stopIfTrue="1">
      <formula>OR($A746="calculate", $A746="calculate_here")</formula>
    </cfRule>
  </conditionalFormatting>
  <conditionalFormatting sqref="A746:A751">
    <cfRule type="expression" dxfId="19" priority="5520" stopIfTrue="1">
      <formula>$A746="note"</formula>
    </cfRule>
  </conditionalFormatting>
  <conditionalFormatting sqref="A746:A751">
    <cfRule type="expression" dxfId="20" priority="5521" stopIfTrue="1">
      <formula>$A746="barcode"</formula>
    </cfRule>
  </conditionalFormatting>
  <conditionalFormatting sqref="A746:A751">
    <cfRule type="expression" dxfId="21" priority="5522" stopIfTrue="1">
      <formula>OR($A746="geopoint", $A746="geoshape", $A746="geotrace")</formula>
    </cfRule>
  </conditionalFormatting>
  <conditionalFormatting sqref="A746:A751">
    <cfRule type="expression" dxfId="22" priority="5523" stopIfTrue="1">
      <formula>OR($A746="audio audit", $A746="text audit", $A746="speed violations count", $A746="speed violations list", $A746="speed violations audit")</formula>
    </cfRule>
  </conditionalFormatting>
  <conditionalFormatting sqref="A746:A751">
    <cfRule type="expression" dxfId="23" priority="5524" stopIfTrue="1">
      <formula>OR($A746="username", $A746="phonenumber", $A746="start", $A746="end", $A746="deviceid", $A746="subscriberid", $A746="simserial", $A746="caseid")</formula>
    </cfRule>
  </conditionalFormatting>
  <conditionalFormatting sqref="A746:A751">
    <cfRule type="expression" dxfId="24" priority="5525" stopIfTrue="1">
      <formula>OR(AND(LEFT($A746, 16)="select_multiple ", LEN($A746)&gt;16, NOT(ISNUMBER(SEARCH(" ", $A746, 17)))), AND(LEFT($A746, 11)="select_one ", LEN($A746)&gt;11, NOT(ISNUMBER(SEARCH(" ", $A746, 12)))))</formula>
    </cfRule>
  </conditionalFormatting>
  <conditionalFormatting sqref="A746:A751">
    <cfRule type="expression" dxfId="25" priority="5526" stopIfTrue="1">
      <formula>$A746="decimal"</formula>
    </cfRule>
  </conditionalFormatting>
  <conditionalFormatting sqref="A746:A751">
    <cfRule type="expression" dxfId="26" priority="5527" stopIfTrue="1">
      <formula>$A746="integer"</formula>
    </cfRule>
  </conditionalFormatting>
  <conditionalFormatting sqref="A746:A751">
    <cfRule type="expression" dxfId="27" priority="5528" stopIfTrue="1">
      <formula>$A746="text"</formula>
    </cfRule>
  </conditionalFormatting>
  <conditionalFormatting sqref="A746:A751">
    <cfRule type="expression" dxfId="28" priority="5529" stopIfTrue="1">
      <formula>$A746="end repeat"</formula>
    </cfRule>
  </conditionalFormatting>
  <conditionalFormatting sqref="A746:A751">
    <cfRule type="expression" dxfId="28" priority="5530" stopIfTrue="1">
      <formula>$A746="begin repeat"</formula>
    </cfRule>
  </conditionalFormatting>
  <conditionalFormatting sqref="A746:A751">
    <cfRule type="expression" dxfId="29" priority="5531" stopIfTrue="1">
      <formula>$A746="end group"</formula>
    </cfRule>
  </conditionalFormatting>
  <conditionalFormatting sqref="A746:A751">
    <cfRule type="expression" dxfId="29" priority="5532" stopIfTrue="1">
      <formula>$A746="begin group"</formula>
    </cfRule>
  </conditionalFormatting>
  <conditionalFormatting sqref="A740:A742">
    <cfRule type="expression" dxfId="33" priority="5533" stopIfTrue="1">
      <formula>$A740="file"</formula>
    </cfRule>
  </conditionalFormatting>
  <conditionalFormatting sqref="A740:A742">
    <cfRule type="expression" dxfId="34" priority="5534" stopIfTrue="1">
      <formula>$A740="enumerator"</formula>
    </cfRule>
  </conditionalFormatting>
  <conditionalFormatting sqref="A740:A742">
    <cfRule type="expression" dxfId="35" priority="5535" stopIfTrue="1">
      <formula>OR(AND(LEFT($A740, 14)="sensor_stream ", LEN($A740)&gt;14, NOT(ISNUMBER(SEARCH(" ", $A740, 15)))), AND(LEFT($A740, 17)="sensor_statistic ", LEN($A740)&gt;17, NOT(ISNUMBER(SEARCH(" ", $A740, 18)))))</formula>
    </cfRule>
  </conditionalFormatting>
  <conditionalFormatting sqref="A740:A742">
    <cfRule type="expression" dxfId="14" priority="5536" stopIfTrue="1">
      <formula>$A740="comments"</formula>
    </cfRule>
  </conditionalFormatting>
  <conditionalFormatting sqref="A740:A742">
    <cfRule type="expression" dxfId="15" priority="5537" stopIfTrue="1">
      <formula>OR($A740="audio", $A740="video")</formula>
    </cfRule>
  </conditionalFormatting>
  <conditionalFormatting sqref="A740:A742">
    <cfRule type="expression" dxfId="16" priority="5538" stopIfTrue="1">
      <formula>$A740="image"</formula>
    </cfRule>
  </conditionalFormatting>
  <conditionalFormatting sqref="A740:A742">
    <cfRule type="expression" dxfId="17" priority="5539" stopIfTrue="1">
      <formula>OR($A740="date", $A740="datetime", $A740="time")</formula>
    </cfRule>
  </conditionalFormatting>
  <conditionalFormatting sqref="A740:A742">
    <cfRule type="expression" dxfId="18" priority="5540" stopIfTrue="1">
      <formula>OR($A740="calculate", $A740="calculate_here")</formula>
    </cfRule>
  </conditionalFormatting>
  <conditionalFormatting sqref="A740:A742">
    <cfRule type="expression" dxfId="19" priority="5541" stopIfTrue="1">
      <formula>$A740="note"</formula>
    </cfRule>
  </conditionalFormatting>
  <conditionalFormatting sqref="A740:A742">
    <cfRule type="expression" dxfId="20" priority="5542" stopIfTrue="1">
      <formula>$A740="barcode"</formula>
    </cfRule>
  </conditionalFormatting>
  <conditionalFormatting sqref="A740:A742">
    <cfRule type="expression" dxfId="21" priority="5543" stopIfTrue="1">
      <formula>OR($A740="geopoint", $A740="geoshape", $A740="geotrace")</formula>
    </cfRule>
  </conditionalFormatting>
  <conditionalFormatting sqref="A740:A742">
    <cfRule type="expression" dxfId="22" priority="5544" stopIfTrue="1">
      <formula>OR($A740="audio audit", $A740="text audit", $A740="speed violations count", $A740="speed violations list", $A740="speed violations audit")</formula>
    </cfRule>
  </conditionalFormatting>
  <conditionalFormatting sqref="A740:A742">
    <cfRule type="expression" dxfId="23" priority="5545" stopIfTrue="1">
      <formula>OR($A740="username", $A740="phonenumber", $A740="start", $A740="end", $A740="deviceid", $A740="subscriberid", $A740="simserial", $A740="caseid")</formula>
    </cfRule>
  </conditionalFormatting>
  <conditionalFormatting sqref="A740:A742">
    <cfRule type="expression" dxfId="24" priority="5546" stopIfTrue="1">
      <formula>OR(AND(LEFT($A740, 16)="select_multiple ", LEN($A740)&gt;16, NOT(ISNUMBER(SEARCH(" ", $A740, 17)))), AND(LEFT($A740, 11)="select_one ", LEN($A740)&gt;11, NOT(ISNUMBER(SEARCH(" ", $A740, 12)))))</formula>
    </cfRule>
  </conditionalFormatting>
  <conditionalFormatting sqref="A740:A742">
    <cfRule type="expression" dxfId="25" priority="5547" stopIfTrue="1">
      <formula>$A740="decimal"</formula>
    </cfRule>
  </conditionalFormatting>
  <conditionalFormatting sqref="A740:A742">
    <cfRule type="expression" dxfId="26" priority="5548" stopIfTrue="1">
      <formula>$A740="integer"</formula>
    </cfRule>
  </conditionalFormatting>
  <conditionalFormatting sqref="A740:A742">
    <cfRule type="expression" dxfId="27" priority="5549" stopIfTrue="1">
      <formula>$A740="text"</formula>
    </cfRule>
  </conditionalFormatting>
  <conditionalFormatting sqref="A740:A742">
    <cfRule type="expression" dxfId="28" priority="5550" stopIfTrue="1">
      <formula>$A740="end repeat"</formula>
    </cfRule>
  </conditionalFormatting>
  <conditionalFormatting sqref="A740:A742">
    <cfRule type="expression" dxfId="28" priority="5551" stopIfTrue="1">
      <formula>$A740="begin repeat"</formula>
    </cfRule>
  </conditionalFormatting>
  <conditionalFormatting sqref="A740:A742">
    <cfRule type="expression" dxfId="29" priority="5552" stopIfTrue="1">
      <formula>$A740="end group"</formula>
    </cfRule>
  </conditionalFormatting>
  <conditionalFormatting sqref="A740:A742">
    <cfRule type="expression" dxfId="29" priority="5553" stopIfTrue="1">
      <formula>$A740="begin group"</formula>
    </cfRule>
  </conditionalFormatting>
  <conditionalFormatting sqref="A735:A736">
    <cfRule type="expression" dxfId="33" priority="5554" stopIfTrue="1">
      <formula>$A735="file"</formula>
    </cfRule>
  </conditionalFormatting>
  <conditionalFormatting sqref="A735:A736">
    <cfRule type="expression" dxfId="34" priority="5555" stopIfTrue="1">
      <formula>$A735="enumerator"</formula>
    </cfRule>
  </conditionalFormatting>
  <conditionalFormatting sqref="A735:A736">
    <cfRule type="expression" dxfId="35" priority="5556" stopIfTrue="1">
      <formula>OR(AND(LEFT($A735, 14)="sensor_stream ", LEN($A735)&gt;14, NOT(ISNUMBER(SEARCH(" ", $A735, 15)))), AND(LEFT($A735, 17)="sensor_statistic ", LEN($A735)&gt;17, NOT(ISNUMBER(SEARCH(" ", $A735, 18)))))</formula>
    </cfRule>
  </conditionalFormatting>
  <conditionalFormatting sqref="A735:A736">
    <cfRule type="expression" dxfId="14" priority="5557" stopIfTrue="1">
      <formula>$A735="comments"</formula>
    </cfRule>
  </conditionalFormatting>
  <conditionalFormatting sqref="A735:A736">
    <cfRule type="expression" dxfId="15" priority="5558" stopIfTrue="1">
      <formula>OR($A735="audio", $A735="video")</formula>
    </cfRule>
  </conditionalFormatting>
  <conditionalFormatting sqref="A735:A736">
    <cfRule type="expression" dxfId="16" priority="5559" stopIfTrue="1">
      <formula>$A735="image"</formula>
    </cfRule>
  </conditionalFormatting>
  <conditionalFormatting sqref="A735:A736">
    <cfRule type="expression" dxfId="17" priority="5560" stopIfTrue="1">
      <formula>OR($A735="date", $A735="datetime", $A735="time")</formula>
    </cfRule>
  </conditionalFormatting>
  <conditionalFormatting sqref="A735:A736">
    <cfRule type="expression" dxfId="18" priority="5561" stopIfTrue="1">
      <formula>OR($A735="calculate", $A735="calculate_here")</formula>
    </cfRule>
  </conditionalFormatting>
  <conditionalFormatting sqref="A735:A736">
    <cfRule type="expression" dxfId="19" priority="5562" stopIfTrue="1">
      <formula>$A735="note"</formula>
    </cfRule>
  </conditionalFormatting>
  <conditionalFormatting sqref="A735:A736">
    <cfRule type="expression" dxfId="20" priority="5563" stopIfTrue="1">
      <formula>$A735="barcode"</formula>
    </cfRule>
  </conditionalFormatting>
  <conditionalFormatting sqref="A735:A736">
    <cfRule type="expression" dxfId="21" priority="5564" stopIfTrue="1">
      <formula>OR($A735="geopoint", $A735="geoshape", $A735="geotrace")</formula>
    </cfRule>
  </conditionalFormatting>
  <conditionalFormatting sqref="A735:A736">
    <cfRule type="expression" dxfId="22" priority="5565" stopIfTrue="1">
      <formula>OR($A735="audio audit", $A735="text audit", $A735="speed violations count", $A735="speed violations list", $A735="speed violations audit")</formula>
    </cfRule>
  </conditionalFormatting>
  <conditionalFormatting sqref="A735:A736">
    <cfRule type="expression" dxfId="23" priority="5566" stopIfTrue="1">
      <formula>OR($A735="username", $A735="phonenumber", $A735="start", $A735="end", $A735="deviceid", $A735="subscriberid", $A735="simserial", $A735="caseid")</formula>
    </cfRule>
  </conditionalFormatting>
  <conditionalFormatting sqref="A735:A736">
    <cfRule type="expression" dxfId="24" priority="5567" stopIfTrue="1">
      <formula>OR(AND(LEFT($A735, 16)="select_multiple ", LEN($A735)&gt;16, NOT(ISNUMBER(SEARCH(" ", $A735, 17)))), AND(LEFT($A735, 11)="select_one ", LEN($A735)&gt;11, NOT(ISNUMBER(SEARCH(" ", $A735, 12)))))</formula>
    </cfRule>
  </conditionalFormatting>
  <conditionalFormatting sqref="A735:A736">
    <cfRule type="expression" dxfId="25" priority="5568" stopIfTrue="1">
      <formula>$A735="decimal"</formula>
    </cfRule>
  </conditionalFormatting>
  <conditionalFormatting sqref="A735:A736">
    <cfRule type="expression" dxfId="26" priority="5569" stopIfTrue="1">
      <formula>$A735="integer"</formula>
    </cfRule>
  </conditionalFormatting>
  <conditionalFormatting sqref="A735:A736">
    <cfRule type="expression" dxfId="27" priority="5570" stopIfTrue="1">
      <formula>$A735="text"</formula>
    </cfRule>
  </conditionalFormatting>
  <conditionalFormatting sqref="A735:A736">
    <cfRule type="expression" dxfId="28" priority="5571" stopIfTrue="1">
      <formula>$A735="end repeat"</formula>
    </cfRule>
  </conditionalFormatting>
  <conditionalFormatting sqref="A735:A736">
    <cfRule type="expression" dxfId="28" priority="5572" stopIfTrue="1">
      <formula>$A735="begin repeat"</formula>
    </cfRule>
  </conditionalFormatting>
  <conditionalFormatting sqref="A735:A736">
    <cfRule type="expression" dxfId="29" priority="5573" stopIfTrue="1">
      <formula>$A735="end group"</formula>
    </cfRule>
  </conditionalFormatting>
  <conditionalFormatting sqref="A735:A736">
    <cfRule type="expression" dxfId="29" priority="5574" stopIfTrue="1">
      <formula>$A735="begin group"</formula>
    </cfRule>
  </conditionalFormatting>
  <conditionalFormatting sqref="A723:A725">
    <cfRule type="expression" dxfId="33" priority="5575" stopIfTrue="1">
      <formula>$A723="file"</formula>
    </cfRule>
  </conditionalFormatting>
  <conditionalFormatting sqref="A723:A725">
    <cfRule type="expression" dxfId="34" priority="5576" stopIfTrue="1">
      <formula>$A723="enumerator"</formula>
    </cfRule>
  </conditionalFormatting>
  <conditionalFormatting sqref="A723:A725">
    <cfRule type="expression" dxfId="35" priority="5577" stopIfTrue="1">
      <formula>OR(AND(LEFT($A723, 14)="sensor_stream ", LEN($A723)&gt;14, NOT(ISNUMBER(SEARCH(" ", $A723, 15)))), AND(LEFT($A723, 17)="sensor_statistic ", LEN($A723)&gt;17, NOT(ISNUMBER(SEARCH(" ", $A723, 18)))))</formula>
    </cfRule>
  </conditionalFormatting>
  <conditionalFormatting sqref="A723:A725">
    <cfRule type="expression" dxfId="14" priority="5578" stopIfTrue="1">
      <formula>$A723="comments"</formula>
    </cfRule>
  </conditionalFormatting>
  <conditionalFormatting sqref="A723:A725">
    <cfRule type="expression" dxfId="15" priority="5579" stopIfTrue="1">
      <formula>OR($A723="audio", $A723="video")</formula>
    </cfRule>
  </conditionalFormatting>
  <conditionalFormatting sqref="A723:A725">
    <cfRule type="expression" dxfId="16" priority="5580" stopIfTrue="1">
      <formula>$A723="image"</formula>
    </cfRule>
  </conditionalFormatting>
  <conditionalFormatting sqref="A723:A725">
    <cfRule type="expression" dxfId="17" priority="5581" stopIfTrue="1">
      <formula>OR($A723="date", $A723="datetime", $A723="time")</formula>
    </cfRule>
  </conditionalFormatting>
  <conditionalFormatting sqref="A723:A725">
    <cfRule type="expression" dxfId="18" priority="5582" stopIfTrue="1">
      <formula>OR($A723="calculate", $A723="calculate_here")</formula>
    </cfRule>
  </conditionalFormatting>
  <conditionalFormatting sqref="A723:A725">
    <cfRule type="expression" dxfId="19" priority="5583" stopIfTrue="1">
      <formula>$A723="note"</formula>
    </cfRule>
  </conditionalFormatting>
  <conditionalFormatting sqref="A723:A725">
    <cfRule type="expression" dxfId="20" priority="5584" stopIfTrue="1">
      <formula>$A723="barcode"</formula>
    </cfRule>
  </conditionalFormatting>
  <conditionalFormatting sqref="A723:A725">
    <cfRule type="expression" dxfId="21" priority="5585" stopIfTrue="1">
      <formula>OR($A723="geopoint", $A723="geoshape", $A723="geotrace")</formula>
    </cfRule>
  </conditionalFormatting>
  <conditionalFormatting sqref="A723:A725">
    <cfRule type="expression" dxfId="22" priority="5586" stopIfTrue="1">
      <formula>OR($A723="audio audit", $A723="text audit", $A723="speed violations count", $A723="speed violations list", $A723="speed violations audit")</formula>
    </cfRule>
  </conditionalFormatting>
  <conditionalFormatting sqref="A723:A725">
    <cfRule type="expression" dxfId="23" priority="5587" stopIfTrue="1">
      <formula>OR($A723="username", $A723="phonenumber", $A723="start", $A723="end", $A723="deviceid", $A723="subscriberid", $A723="simserial", $A723="caseid")</formula>
    </cfRule>
  </conditionalFormatting>
  <conditionalFormatting sqref="A723:A725">
    <cfRule type="expression" dxfId="24" priority="5588" stopIfTrue="1">
      <formula>OR(AND(LEFT($A723, 16)="select_multiple ", LEN($A723)&gt;16, NOT(ISNUMBER(SEARCH(" ", $A723, 17)))), AND(LEFT($A723, 11)="select_one ", LEN($A723)&gt;11, NOT(ISNUMBER(SEARCH(" ", $A723, 12)))))</formula>
    </cfRule>
  </conditionalFormatting>
  <conditionalFormatting sqref="A723:A725">
    <cfRule type="expression" dxfId="25" priority="5589" stopIfTrue="1">
      <formula>$A723="decimal"</formula>
    </cfRule>
  </conditionalFormatting>
  <conditionalFormatting sqref="A723:A725">
    <cfRule type="expression" dxfId="26" priority="5590" stopIfTrue="1">
      <formula>$A723="integer"</formula>
    </cfRule>
  </conditionalFormatting>
  <conditionalFormatting sqref="A723:A725">
    <cfRule type="expression" dxfId="27" priority="5591" stopIfTrue="1">
      <formula>$A723="text"</formula>
    </cfRule>
  </conditionalFormatting>
  <conditionalFormatting sqref="A723:A725">
    <cfRule type="expression" dxfId="28" priority="5592" stopIfTrue="1">
      <formula>$A723="end repeat"</formula>
    </cfRule>
  </conditionalFormatting>
  <conditionalFormatting sqref="A723:A725">
    <cfRule type="expression" dxfId="28" priority="5593" stopIfTrue="1">
      <formula>$A723="begin repeat"</formula>
    </cfRule>
  </conditionalFormatting>
  <conditionalFormatting sqref="A723:A725">
    <cfRule type="expression" dxfId="29" priority="5594" stopIfTrue="1">
      <formula>$A723="end group"</formula>
    </cfRule>
  </conditionalFormatting>
  <conditionalFormatting sqref="A723:A725">
    <cfRule type="expression" dxfId="29" priority="5595" stopIfTrue="1">
      <formula>$A723="begin group"</formula>
    </cfRule>
  </conditionalFormatting>
  <conditionalFormatting sqref="A717:A718">
    <cfRule type="expression" dxfId="33" priority="5596" stopIfTrue="1">
      <formula>$A717="file"</formula>
    </cfRule>
  </conditionalFormatting>
  <conditionalFormatting sqref="A717:A718">
    <cfRule type="expression" dxfId="34" priority="5597" stopIfTrue="1">
      <formula>$A717="enumerator"</formula>
    </cfRule>
  </conditionalFormatting>
  <conditionalFormatting sqref="A717:A718">
    <cfRule type="expression" dxfId="35" priority="5598" stopIfTrue="1">
      <formula>OR(AND(LEFT($A717, 14)="sensor_stream ", LEN($A717)&gt;14, NOT(ISNUMBER(SEARCH(" ", $A717, 15)))), AND(LEFT($A717, 17)="sensor_statistic ", LEN($A717)&gt;17, NOT(ISNUMBER(SEARCH(" ", $A717, 18)))))</formula>
    </cfRule>
  </conditionalFormatting>
  <conditionalFormatting sqref="A717:A718">
    <cfRule type="expression" dxfId="14" priority="5599" stopIfTrue="1">
      <formula>$A717="comments"</formula>
    </cfRule>
  </conditionalFormatting>
  <conditionalFormatting sqref="A717:A718">
    <cfRule type="expression" dxfId="15" priority="5600" stopIfTrue="1">
      <formula>OR($A717="audio", $A717="video")</formula>
    </cfRule>
  </conditionalFormatting>
  <conditionalFormatting sqref="A717:A718">
    <cfRule type="expression" dxfId="16" priority="5601" stopIfTrue="1">
      <formula>$A717="image"</formula>
    </cfRule>
  </conditionalFormatting>
  <conditionalFormatting sqref="A717:A718">
    <cfRule type="expression" dxfId="17" priority="5602" stopIfTrue="1">
      <formula>OR($A717="date", $A717="datetime", $A717="time")</formula>
    </cfRule>
  </conditionalFormatting>
  <conditionalFormatting sqref="A717:A718">
    <cfRule type="expression" dxfId="18" priority="5603" stopIfTrue="1">
      <formula>OR($A717="calculate", $A717="calculate_here")</formula>
    </cfRule>
  </conditionalFormatting>
  <conditionalFormatting sqref="A717:A718">
    <cfRule type="expression" dxfId="19" priority="5604" stopIfTrue="1">
      <formula>$A717="note"</formula>
    </cfRule>
  </conditionalFormatting>
  <conditionalFormatting sqref="A717:A718">
    <cfRule type="expression" dxfId="20" priority="5605" stopIfTrue="1">
      <formula>$A717="barcode"</formula>
    </cfRule>
  </conditionalFormatting>
  <conditionalFormatting sqref="A717:A718">
    <cfRule type="expression" dxfId="21" priority="5606" stopIfTrue="1">
      <formula>OR($A717="geopoint", $A717="geoshape", $A717="geotrace")</formula>
    </cfRule>
  </conditionalFormatting>
  <conditionalFormatting sqref="A717:A718">
    <cfRule type="expression" dxfId="22" priority="5607" stopIfTrue="1">
      <formula>OR($A717="audio audit", $A717="text audit", $A717="speed violations count", $A717="speed violations list", $A717="speed violations audit")</formula>
    </cfRule>
  </conditionalFormatting>
  <conditionalFormatting sqref="A717:A718">
    <cfRule type="expression" dxfId="23" priority="5608" stopIfTrue="1">
      <formula>OR($A717="username", $A717="phonenumber", $A717="start", $A717="end", $A717="deviceid", $A717="subscriberid", $A717="simserial", $A717="caseid")</formula>
    </cfRule>
  </conditionalFormatting>
  <conditionalFormatting sqref="A717:A718">
    <cfRule type="expression" dxfId="24" priority="5609" stopIfTrue="1">
      <formula>OR(AND(LEFT($A717, 16)="select_multiple ", LEN($A717)&gt;16, NOT(ISNUMBER(SEARCH(" ", $A717, 17)))), AND(LEFT($A717, 11)="select_one ", LEN($A717)&gt;11, NOT(ISNUMBER(SEARCH(" ", $A717, 12)))))</formula>
    </cfRule>
  </conditionalFormatting>
  <conditionalFormatting sqref="A717:A718">
    <cfRule type="expression" dxfId="25" priority="5610" stopIfTrue="1">
      <formula>$A717="decimal"</formula>
    </cfRule>
  </conditionalFormatting>
  <conditionalFormatting sqref="A717:A718">
    <cfRule type="expression" dxfId="26" priority="5611" stopIfTrue="1">
      <formula>$A717="integer"</formula>
    </cfRule>
  </conditionalFormatting>
  <conditionalFormatting sqref="A717:A718">
    <cfRule type="expression" dxfId="27" priority="5612" stopIfTrue="1">
      <formula>$A717="text"</formula>
    </cfRule>
  </conditionalFormatting>
  <conditionalFormatting sqref="A717:A718">
    <cfRule type="expression" dxfId="28" priority="5613" stopIfTrue="1">
      <formula>$A717="end repeat"</formula>
    </cfRule>
  </conditionalFormatting>
  <conditionalFormatting sqref="A717:A718">
    <cfRule type="expression" dxfId="28" priority="5614" stopIfTrue="1">
      <formula>$A717="begin repeat"</formula>
    </cfRule>
  </conditionalFormatting>
  <conditionalFormatting sqref="A717:A718">
    <cfRule type="expression" dxfId="29" priority="5615" stopIfTrue="1">
      <formula>$A717="end group"</formula>
    </cfRule>
  </conditionalFormatting>
  <conditionalFormatting sqref="A717:A718">
    <cfRule type="expression" dxfId="29" priority="5616" stopIfTrue="1">
      <formula>$A717="begin group"</formula>
    </cfRule>
  </conditionalFormatting>
  <conditionalFormatting sqref="A708:A710">
    <cfRule type="expression" dxfId="33" priority="5617" stopIfTrue="1">
      <formula>$A708="file"</formula>
    </cfRule>
  </conditionalFormatting>
  <conditionalFormatting sqref="A708:A710">
    <cfRule type="expression" dxfId="34" priority="5618" stopIfTrue="1">
      <formula>$A708="enumerator"</formula>
    </cfRule>
  </conditionalFormatting>
  <conditionalFormatting sqref="A708:A710">
    <cfRule type="expression" dxfId="35" priority="5619" stopIfTrue="1">
      <formula>OR(AND(LEFT($A708, 14)="sensor_stream ", LEN($A708)&gt;14, NOT(ISNUMBER(SEARCH(" ", $A708, 15)))), AND(LEFT($A708, 17)="sensor_statistic ", LEN($A708)&gt;17, NOT(ISNUMBER(SEARCH(" ", $A708, 18)))))</formula>
    </cfRule>
  </conditionalFormatting>
  <conditionalFormatting sqref="A708:A710">
    <cfRule type="expression" dxfId="14" priority="5620" stopIfTrue="1">
      <formula>$A708="comments"</formula>
    </cfRule>
  </conditionalFormatting>
  <conditionalFormatting sqref="A708:A710">
    <cfRule type="expression" dxfId="15" priority="5621" stopIfTrue="1">
      <formula>OR($A708="audio", $A708="video")</formula>
    </cfRule>
  </conditionalFormatting>
  <conditionalFormatting sqref="A708:A710">
    <cfRule type="expression" dxfId="16" priority="5622" stopIfTrue="1">
      <formula>$A708="image"</formula>
    </cfRule>
  </conditionalFormatting>
  <conditionalFormatting sqref="A708:A710">
    <cfRule type="expression" dxfId="17" priority="5623" stopIfTrue="1">
      <formula>OR($A708="date", $A708="datetime", $A708="time")</formula>
    </cfRule>
  </conditionalFormatting>
  <conditionalFormatting sqref="A708:A710">
    <cfRule type="expression" dxfId="18" priority="5624" stopIfTrue="1">
      <formula>OR($A708="calculate", $A708="calculate_here")</formula>
    </cfRule>
  </conditionalFormatting>
  <conditionalFormatting sqref="A708:A710">
    <cfRule type="expression" dxfId="19" priority="5625" stopIfTrue="1">
      <formula>$A708="note"</formula>
    </cfRule>
  </conditionalFormatting>
  <conditionalFormatting sqref="A708:A710">
    <cfRule type="expression" dxfId="20" priority="5626" stopIfTrue="1">
      <formula>$A708="barcode"</formula>
    </cfRule>
  </conditionalFormatting>
  <conditionalFormatting sqref="A708:A710">
    <cfRule type="expression" dxfId="21" priority="5627" stopIfTrue="1">
      <formula>OR($A708="geopoint", $A708="geoshape", $A708="geotrace")</formula>
    </cfRule>
  </conditionalFormatting>
  <conditionalFormatting sqref="A708:A710">
    <cfRule type="expression" dxfId="22" priority="5628" stopIfTrue="1">
      <formula>OR($A708="audio audit", $A708="text audit", $A708="speed violations count", $A708="speed violations list", $A708="speed violations audit")</formula>
    </cfRule>
  </conditionalFormatting>
  <conditionalFormatting sqref="A708:A710">
    <cfRule type="expression" dxfId="23" priority="5629" stopIfTrue="1">
      <formula>OR($A708="username", $A708="phonenumber", $A708="start", $A708="end", $A708="deviceid", $A708="subscriberid", $A708="simserial", $A708="caseid")</formula>
    </cfRule>
  </conditionalFormatting>
  <conditionalFormatting sqref="A708:A710">
    <cfRule type="expression" dxfId="24" priority="5630" stopIfTrue="1">
      <formula>OR(AND(LEFT($A708, 16)="select_multiple ", LEN($A708)&gt;16, NOT(ISNUMBER(SEARCH(" ", $A708, 17)))), AND(LEFT($A708, 11)="select_one ", LEN($A708)&gt;11, NOT(ISNUMBER(SEARCH(" ", $A708, 12)))))</formula>
    </cfRule>
  </conditionalFormatting>
  <conditionalFormatting sqref="A708:A710">
    <cfRule type="expression" dxfId="25" priority="5631" stopIfTrue="1">
      <formula>$A708="decimal"</formula>
    </cfRule>
  </conditionalFormatting>
  <conditionalFormatting sqref="A708:A710">
    <cfRule type="expression" dxfId="26" priority="5632" stopIfTrue="1">
      <formula>$A708="integer"</formula>
    </cfRule>
  </conditionalFormatting>
  <conditionalFormatting sqref="A708:A710">
    <cfRule type="expression" dxfId="27" priority="5633" stopIfTrue="1">
      <formula>$A708="text"</formula>
    </cfRule>
  </conditionalFormatting>
  <conditionalFormatting sqref="A708:A710">
    <cfRule type="expression" dxfId="28" priority="5634" stopIfTrue="1">
      <formula>$A708="end repeat"</formula>
    </cfRule>
  </conditionalFormatting>
  <conditionalFormatting sqref="A708:A710">
    <cfRule type="expression" dxfId="28" priority="5635" stopIfTrue="1">
      <formula>$A708="begin repeat"</formula>
    </cfRule>
  </conditionalFormatting>
  <conditionalFormatting sqref="A708:A710">
    <cfRule type="expression" dxfId="29" priority="5636" stopIfTrue="1">
      <formula>$A708="end group"</formula>
    </cfRule>
  </conditionalFormatting>
  <conditionalFormatting sqref="A708:A710">
    <cfRule type="expression" dxfId="29" priority="5637" stopIfTrue="1">
      <formula>$A708="begin group"</formula>
    </cfRule>
  </conditionalFormatting>
  <conditionalFormatting sqref="A702:A706">
    <cfRule type="expression" dxfId="33" priority="5638" stopIfTrue="1">
      <formula>$A702="file"</formula>
    </cfRule>
  </conditionalFormatting>
  <conditionalFormatting sqref="A702:A706">
    <cfRule type="expression" dxfId="34" priority="5639" stopIfTrue="1">
      <formula>$A702="enumerator"</formula>
    </cfRule>
  </conditionalFormatting>
  <conditionalFormatting sqref="A702:A706">
    <cfRule type="expression" dxfId="35" priority="5640" stopIfTrue="1">
      <formula>OR(AND(LEFT($A702, 14)="sensor_stream ", LEN($A702)&gt;14, NOT(ISNUMBER(SEARCH(" ", $A702, 15)))), AND(LEFT($A702, 17)="sensor_statistic ", LEN($A702)&gt;17, NOT(ISNUMBER(SEARCH(" ", $A702, 18)))))</formula>
    </cfRule>
  </conditionalFormatting>
  <conditionalFormatting sqref="A702:A706">
    <cfRule type="expression" dxfId="14" priority="5641" stopIfTrue="1">
      <formula>$A702="comments"</formula>
    </cfRule>
  </conditionalFormatting>
  <conditionalFormatting sqref="A702:A706">
    <cfRule type="expression" dxfId="15" priority="5642" stopIfTrue="1">
      <formula>OR($A702="audio", $A702="video")</formula>
    </cfRule>
  </conditionalFormatting>
  <conditionalFormatting sqref="A702:A706">
    <cfRule type="expression" dxfId="16" priority="5643" stopIfTrue="1">
      <formula>$A702="image"</formula>
    </cfRule>
  </conditionalFormatting>
  <conditionalFormatting sqref="A702:A706">
    <cfRule type="expression" dxfId="17" priority="5644" stopIfTrue="1">
      <formula>OR($A702="date", $A702="datetime", $A702="time")</formula>
    </cfRule>
  </conditionalFormatting>
  <conditionalFormatting sqref="A702:A706">
    <cfRule type="expression" dxfId="18" priority="5645" stopIfTrue="1">
      <formula>OR($A702="calculate", $A702="calculate_here")</formula>
    </cfRule>
  </conditionalFormatting>
  <conditionalFormatting sqref="A702:A706">
    <cfRule type="expression" dxfId="19" priority="5646" stopIfTrue="1">
      <formula>$A702="note"</formula>
    </cfRule>
  </conditionalFormatting>
  <conditionalFormatting sqref="A702:A706">
    <cfRule type="expression" dxfId="20" priority="5647" stopIfTrue="1">
      <formula>$A702="barcode"</formula>
    </cfRule>
  </conditionalFormatting>
  <conditionalFormatting sqref="A702:A706">
    <cfRule type="expression" dxfId="21" priority="5648" stopIfTrue="1">
      <formula>OR($A702="geopoint", $A702="geoshape", $A702="geotrace")</formula>
    </cfRule>
  </conditionalFormatting>
  <conditionalFormatting sqref="A702:A706">
    <cfRule type="expression" dxfId="22" priority="5649" stopIfTrue="1">
      <formula>OR($A702="audio audit", $A702="text audit", $A702="speed violations count", $A702="speed violations list", $A702="speed violations audit")</formula>
    </cfRule>
  </conditionalFormatting>
  <conditionalFormatting sqref="A702:A706">
    <cfRule type="expression" dxfId="23" priority="5650" stopIfTrue="1">
      <formula>OR($A702="username", $A702="phonenumber", $A702="start", $A702="end", $A702="deviceid", $A702="subscriberid", $A702="simserial", $A702="caseid")</formula>
    </cfRule>
  </conditionalFormatting>
  <conditionalFormatting sqref="A702:A706">
    <cfRule type="expression" dxfId="24" priority="5651" stopIfTrue="1">
      <formula>OR(AND(LEFT($A702, 16)="select_multiple ", LEN($A702)&gt;16, NOT(ISNUMBER(SEARCH(" ", $A702, 17)))), AND(LEFT($A702, 11)="select_one ", LEN($A702)&gt;11, NOT(ISNUMBER(SEARCH(" ", $A702, 12)))))</formula>
    </cfRule>
  </conditionalFormatting>
  <conditionalFormatting sqref="A702:A706">
    <cfRule type="expression" dxfId="25" priority="5652" stopIfTrue="1">
      <formula>$A702="decimal"</formula>
    </cfRule>
  </conditionalFormatting>
  <conditionalFormatting sqref="A702:A706">
    <cfRule type="expression" dxfId="26" priority="5653" stopIfTrue="1">
      <formula>$A702="integer"</formula>
    </cfRule>
  </conditionalFormatting>
  <conditionalFormatting sqref="A702:A706">
    <cfRule type="expression" dxfId="27" priority="5654" stopIfTrue="1">
      <formula>$A702="text"</formula>
    </cfRule>
  </conditionalFormatting>
  <conditionalFormatting sqref="A702:A706">
    <cfRule type="expression" dxfId="28" priority="5655" stopIfTrue="1">
      <formula>$A702="end repeat"</formula>
    </cfRule>
  </conditionalFormatting>
  <conditionalFormatting sqref="A702:A706">
    <cfRule type="expression" dxfId="28" priority="5656" stopIfTrue="1">
      <formula>$A702="begin repeat"</formula>
    </cfRule>
  </conditionalFormatting>
  <conditionalFormatting sqref="A702:A706">
    <cfRule type="expression" dxfId="29" priority="5657" stopIfTrue="1">
      <formula>$A702="end group"</formula>
    </cfRule>
  </conditionalFormatting>
  <conditionalFormatting sqref="A702:A706">
    <cfRule type="expression" dxfId="29" priority="5658" stopIfTrue="1">
      <formula>$A702="begin group"</formula>
    </cfRule>
  </conditionalFormatting>
  <conditionalFormatting sqref="A700">
    <cfRule type="expression" dxfId="33" priority="5659" stopIfTrue="1">
      <formula>$A700="file"</formula>
    </cfRule>
  </conditionalFormatting>
  <conditionalFormatting sqref="A700">
    <cfRule type="expression" dxfId="34" priority="5660" stopIfTrue="1">
      <formula>$A700="enumerator"</formula>
    </cfRule>
  </conditionalFormatting>
  <conditionalFormatting sqref="A700">
    <cfRule type="expression" dxfId="35" priority="5661" stopIfTrue="1">
      <formula>OR(AND(LEFT($A700, 14)="sensor_stream ", LEN($A700)&gt;14, NOT(ISNUMBER(SEARCH(" ", $A700, 15)))), AND(LEFT($A700, 17)="sensor_statistic ", LEN($A700)&gt;17, NOT(ISNUMBER(SEARCH(" ", $A700, 18)))))</formula>
    </cfRule>
  </conditionalFormatting>
  <conditionalFormatting sqref="A700">
    <cfRule type="expression" dxfId="14" priority="5662" stopIfTrue="1">
      <formula>$A700="comments"</formula>
    </cfRule>
  </conditionalFormatting>
  <conditionalFormatting sqref="A700">
    <cfRule type="expression" dxfId="15" priority="5663" stopIfTrue="1">
      <formula>OR($A700="audio", $A700="video")</formula>
    </cfRule>
  </conditionalFormatting>
  <conditionalFormatting sqref="A700">
    <cfRule type="expression" dxfId="16" priority="5664" stopIfTrue="1">
      <formula>$A700="image"</formula>
    </cfRule>
  </conditionalFormatting>
  <conditionalFormatting sqref="A700">
    <cfRule type="expression" dxfId="17" priority="5665" stopIfTrue="1">
      <formula>OR($A700="date", $A700="datetime", $A700="time")</formula>
    </cfRule>
  </conditionalFormatting>
  <conditionalFormatting sqref="A700">
    <cfRule type="expression" dxfId="18" priority="5666" stopIfTrue="1">
      <formula>OR($A700="calculate", $A700="calculate_here")</formula>
    </cfRule>
  </conditionalFormatting>
  <conditionalFormatting sqref="A700">
    <cfRule type="expression" dxfId="19" priority="5667" stopIfTrue="1">
      <formula>$A700="note"</formula>
    </cfRule>
  </conditionalFormatting>
  <conditionalFormatting sqref="A700">
    <cfRule type="expression" dxfId="20" priority="5668" stopIfTrue="1">
      <formula>$A700="barcode"</formula>
    </cfRule>
  </conditionalFormatting>
  <conditionalFormatting sqref="A700">
    <cfRule type="expression" dxfId="21" priority="5669" stopIfTrue="1">
      <formula>OR($A700="geopoint", $A700="geoshape", $A700="geotrace")</formula>
    </cfRule>
  </conditionalFormatting>
  <conditionalFormatting sqref="A700">
    <cfRule type="expression" dxfId="22" priority="5670" stopIfTrue="1">
      <formula>OR($A700="audio audit", $A700="text audit", $A700="speed violations count", $A700="speed violations list", $A700="speed violations audit")</formula>
    </cfRule>
  </conditionalFormatting>
  <conditionalFormatting sqref="A700">
    <cfRule type="expression" dxfId="23" priority="5671" stopIfTrue="1">
      <formula>OR($A700="username", $A700="phonenumber", $A700="start", $A700="end", $A700="deviceid", $A700="subscriberid", $A700="simserial", $A700="caseid")</formula>
    </cfRule>
  </conditionalFormatting>
  <conditionalFormatting sqref="A700">
    <cfRule type="expression" dxfId="24" priority="5672" stopIfTrue="1">
      <formula>OR(AND(LEFT($A700, 16)="select_multiple ", LEN($A700)&gt;16, NOT(ISNUMBER(SEARCH(" ", $A700, 17)))), AND(LEFT($A700, 11)="select_one ", LEN($A700)&gt;11, NOT(ISNUMBER(SEARCH(" ", $A700, 12)))))</formula>
    </cfRule>
  </conditionalFormatting>
  <conditionalFormatting sqref="A700">
    <cfRule type="expression" dxfId="25" priority="5673" stopIfTrue="1">
      <formula>$A700="decimal"</formula>
    </cfRule>
  </conditionalFormatting>
  <conditionalFormatting sqref="A700">
    <cfRule type="expression" dxfId="26" priority="5674" stopIfTrue="1">
      <formula>$A700="integer"</formula>
    </cfRule>
  </conditionalFormatting>
  <conditionalFormatting sqref="A700">
    <cfRule type="expression" dxfId="27" priority="5675" stopIfTrue="1">
      <formula>$A700="text"</formula>
    </cfRule>
  </conditionalFormatting>
  <conditionalFormatting sqref="A700">
    <cfRule type="expression" dxfId="28" priority="5676" stopIfTrue="1">
      <formula>$A700="end repeat"</formula>
    </cfRule>
  </conditionalFormatting>
  <conditionalFormatting sqref="A700">
    <cfRule type="expression" dxfId="28" priority="5677" stopIfTrue="1">
      <formula>$A700="begin repeat"</formula>
    </cfRule>
  </conditionalFormatting>
  <conditionalFormatting sqref="A700">
    <cfRule type="expression" dxfId="29" priority="5678" stopIfTrue="1">
      <formula>$A700="end group"</formula>
    </cfRule>
  </conditionalFormatting>
  <conditionalFormatting sqref="A700">
    <cfRule type="expression" dxfId="29" priority="5679" stopIfTrue="1">
      <formula>$A700="begin group"</formula>
    </cfRule>
  </conditionalFormatting>
  <conditionalFormatting sqref="A693:A695">
    <cfRule type="expression" dxfId="33" priority="5680" stopIfTrue="1">
      <formula>$A693="file"</formula>
    </cfRule>
  </conditionalFormatting>
  <conditionalFormatting sqref="A693:A695">
    <cfRule type="expression" dxfId="34" priority="5681" stopIfTrue="1">
      <formula>$A693="enumerator"</formula>
    </cfRule>
  </conditionalFormatting>
  <conditionalFormatting sqref="A693:A695">
    <cfRule type="expression" dxfId="35" priority="5682" stopIfTrue="1">
      <formula>OR(AND(LEFT($A693, 14)="sensor_stream ", LEN($A693)&gt;14, NOT(ISNUMBER(SEARCH(" ", $A693, 15)))), AND(LEFT($A693, 17)="sensor_statistic ", LEN($A693)&gt;17, NOT(ISNUMBER(SEARCH(" ", $A693, 18)))))</formula>
    </cfRule>
  </conditionalFormatting>
  <conditionalFormatting sqref="A693:A695">
    <cfRule type="expression" dxfId="14" priority="5683" stopIfTrue="1">
      <formula>$A693="comments"</formula>
    </cfRule>
  </conditionalFormatting>
  <conditionalFormatting sqref="A693:A695">
    <cfRule type="expression" dxfId="15" priority="5684" stopIfTrue="1">
      <formula>OR($A693="audio", $A693="video")</formula>
    </cfRule>
  </conditionalFormatting>
  <conditionalFormatting sqref="A693:A695">
    <cfRule type="expression" dxfId="16" priority="5685" stopIfTrue="1">
      <formula>$A693="image"</formula>
    </cfRule>
  </conditionalFormatting>
  <conditionalFormatting sqref="A693:A695">
    <cfRule type="expression" dxfId="17" priority="5686" stopIfTrue="1">
      <formula>OR($A693="date", $A693="datetime", $A693="time")</formula>
    </cfRule>
  </conditionalFormatting>
  <conditionalFormatting sqref="A693:A695">
    <cfRule type="expression" dxfId="18" priority="5687" stopIfTrue="1">
      <formula>OR($A693="calculate", $A693="calculate_here")</formula>
    </cfRule>
  </conditionalFormatting>
  <conditionalFormatting sqref="A693:A695">
    <cfRule type="expression" dxfId="19" priority="5688" stopIfTrue="1">
      <formula>$A693="note"</formula>
    </cfRule>
  </conditionalFormatting>
  <conditionalFormatting sqref="A693:A695">
    <cfRule type="expression" dxfId="20" priority="5689" stopIfTrue="1">
      <formula>$A693="barcode"</formula>
    </cfRule>
  </conditionalFormatting>
  <conditionalFormatting sqref="A693:A695">
    <cfRule type="expression" dxfId="21" priority="5690" stopIfTrue="1">
      <formula>OR($A693="geopoint", $A693="geoshape", $A693="geotrace")</formula>
    </cfRule>
  </conditionalFormatting>
  <conditionalFormatting sqref="A693:A695">
    <cfRule type="expression" dxfId="22" priority="5691" stopIfTrue="1">
      <formula>OR($A693="audio audit", $A693="text audit", $A693="speed violations count", $A693="speed violations list", $A693="speed violations audit")</formula>
    </cfRule>
  </conditionalFormatting>
  <conditionalFormatting sqref="A693:A695">
    <cfRule type="expression" dxfId="23" priority="5692" stopIfTrue="1">
      <formula>OR($A693="username", $A693="phonenumber", $A693="start", $A693="end", $A693="deviceid", $A693="subscriberid", $A693="simserial", $A693="caseid")</formula>
    </cfRule>
  </conditionalFormatting>
  <conditionalFormatting sqref="A693:A695">
    <cfRule type="expression" dxfId="24" priority="5693" stopIfTrue="1">
      <formula>OR(AND(LEFT($A693, 16)="select_multiple ", LEN($A693)&gt;16, NOT(ISNUMBER(SEARCH(" ", $A693, 17)))), AND(LEFT($A693, 11)="select_one ", LEN($A693)&gt;11, NOT(ISNUMBER(SEARCH(" ", $A693, 12)))))</formula>
    </cfRule>
  </conditionalFormatting>
  <conditionalFormatting sqref="A693:A695">
    <cfRule type="expression" dxfId="25" priority="5694" stopIfTrue="1">
      <formula>$A693="decimal"</formula>
    </cfRule>
  </conditionalFormatting>
  <conditionalFormatting sqref="A693:A695">
    <cfRule type="expression" dxfId="26" priority="5695" stopIfTrue="1">
      <formula>$A693="integer"</formula>
    </cfRule>
  </conditionalFormatting>
  <conditionalFormatting sqref="A693:A695">
    <cfRule type="expression" dxfId="27" priority="5696" stopIfTrue="1">
      <formula>$A693="text"</formula>
    </cfRule>
  </conditionalFormatting>
  <conditionalFormatting sqref="A693:A695">
    <cfRule type="expression" dxfId="28" priority="5697" stopIfTrue="1">
      <formula>$A693="end repeat"</formula>
    </cfRule>
  </conditionalFormatting>
  <conditionalFormatting sqref="A693:A695">
    <cfRule type="expression" dxfId="28" priority="5698" stopIfTrue="1">
      <formula>$A693="begin repeat"</formula>
    </cfRule>
  </conditionalFormatting>
  <conditionalFormatting sqref="A693:A695">
    <cfRule type="expression" dxfId="29" priority="5699" stopIfTrue="1">
      <formula>$A693="end group"</formula>
    </cfRule>
  </conditionalFormatting>
  <conditionalFormatting sqref="A693:A695">
    <cfRule type="expression" dxfId="29" priority="5700" stopIfTrue="1">
      <formula>$A693="begin group"</formula>
    </cfRule>
  </conditionalFormatting>
  <conditionalFormatting sqref="A683:A687">
    <cfRule type="expression" dxfId="33" priority="5701" stopIfTrue="1">
      <formula>$A683="file"</formula>
    </cfRule>
  </conditionalFormatting>
  <conditionalFormatting sqref="A683:A687">
    <cfRule type="expression" dxfId="34" priority="5702" stopIfTrue="1">
      <formula>$A683="enumerator"</formula>
    </cfRule>
  </conditionalFormatting>
  <conditionalFormatting sqref="A683:A687">
    <cfRule type="expression" dxfId="35" priority="5703" stopIfTrue="1">
      <formula>OR(AND(LEFT($A683, 14)="sensor_stream ", LEN($A683)&gt;14, NOT(ISNUMBER(SEARCH(" ", $A683, 15)))), AND(LEFT($A683, 17)="sensor_statistic ", LEN($A683)&gt;17, NOT(ISNUMBER(SEARCH(" ", $A683, 18)))))</formula>
    </cfRule>
  </conditionalFormatting>
  <conditionalFormatting sqref="A683:A687">
    <cfRule type="expression" dxfId="14" priority="5704" stopIfTrue="1">
      <formula>$A683="comments"</formula>
    </cfRule>
  </conditionalFormatting>
  <conditionalFormatting sqref="A683:A687">
    <cfRule type="expression" dxfId="15" priority="5705" stopIfTrue="1">
      <formula>OR($A683="audio", $A683="video")</formula>
    </cfRule>
  </conditionalFormatting>
  <conditionalFormatting sqref="A683:A687">
    <cfRule type="expression" dxfId="16" priority="5706" stopIfTrue="1">
      <formula>$A683="image"</formula>
    </cfRule>
  </conditionalFormatting>
  <conditionalFormatting sqref="A683:A687">
    <cfRule type="expression" dxfId="17" priority="5707" stopIfTrue="1">
      <formula>OR($A683="date", $A683="datetime", $A683="time")</formula>
    </cfRule>
  </conditionalFormatting>
  <conditionalFormatting sqref="A683:A687">
    <cfRule type="expression" dxfId="18" priority="5708" stopIfTrue="1">
      <formula>OR($A683="calculate", $A683="calculate_here")</formula>
    </cfRule>
  </conditionalFormatting>
  <conditionalFormatting sqref="A683:A687">
    <cfRule type="expression" dxfId="19" priority="5709" stopIfTrue="1">
      <formula>$A683="note"</formula>
    </cfRule>
  </conditionalFormatting>
  <conditionalFormatting sqref="A683:A687">
    <cfRule type="expression" dxfId="20" priority="5710" stopIfTrue="1">
      <formula>$A683="barcode"</formula>
    </cfRule>
  </conditionalFormatting>
  <conditionalFormatting sqref="A683:A687">
    <cfRule type="expression" dxfId="21" priority="5711" stopIfTrue="1">
      <formula>OR($A683="geopoint", $A683="geoshape", $A683="geotrace")</formula>
    </cfRule>
  </conditionalFormatting>
  <conditionalFormatting sqref="A683:A687">
    <cfRule type="expression" dxfId="22" priority="5712" stopIfTrue="1">
      <formula>OR($A683="audio audit", $A683="text audit", $A683="speed violations count", $A683="speed violations list", $A683="speed violations audit")</formula>
    </cfRule>
  </conditionalFormatting>
  <conditionalFormatting sqref="A683:A687">
    <cfRule type="expression" dxfId="23" priority="5713" stopIfTrue="1">
      <formula>OR($A683="username", $A683="phonenumber", $A683="start", $A683="end", $A683="deviceid", $A683="subscriberid", $A683="simserial", $A683="caseid")</formula>
    </cfRule>
  </conditionalFormatting>
  <conditionalFormatting sqref="A683:A687">
    <cfRule type="expression" dxfId="24" priority="5714" stopIfTrue="1">
      <formula>OR(AND(LEFT($A683, 16)="select_multiple ", LEN($A683)&gt;16, NOT(ISNUMBER(SEARCH(" ", $A683, 17)))), AND(LEFT($A683, 11)="select_one ", LEN($A683)&gt;11, NOT(ISNUMBER(SEARCH(" ", $A683, 12)))))</formula>
    </cfRule>
  </conditionalFormatting>
  <conditionalFormatting sqref="A683:A687">
    <cfRule type="expression" dxfId="25" priority="5715" stopIfTrue="1">
      <formula>$A683="decimal"</formula>
    </cfRule>
  </conditionalFormatting>
  <conditionalFormatting sqref="A683:A687">
    <cfRule type="expression" dxfId="26" priority="5716" stopIfTrue="1">
      <formula>$A683="integer"</formula>
    </cfRule>
  </conditionalFormatting>
  <conditionalFormatting sqref="A683:A687">
    <cfRule type="expression" dxfId="27" priority="5717" stopIfTrue="1">
      <formula>$A683="text"</formula>
    </cfRule>
  </conditionalFormatting>
  <conditionalFormatting sqref="A683:A687">
    <cfRule type="expression" dxfId="28" priority="5718" stopIfTrue="1">
      <formula>$A683="end repeat"</formula>
    </cfRule>
  </conditionalFormatting>
  <conditionalFormatting sqref="A683:A687">
    <cfRule type="expression" dxfId="28" priority="5719" stopIfTrue="1">
      <formula>$A683="begin repeat"</formula>
    </cfRule>
  </conditionalFormatting>
  <conditionalFormatting sqref="A683:A687">
    <cfRule type="expression" dxfId="29" priority="5720" stopIfTrue="1">
      <formula>$A683="end group"</formula>
    </cfRule>
  </conditionalFormatting>
  <conditionalFormatting sqref="A683:A687">
    <cfRule type="expression" dxfId="29" priority="5721" stopIfTrue="1">
      <formula>$A683="begin group"</formula>
    </cfRule>
  </conditionalFormatting>
  <conditionalFormatting sqref="A677:A678">
    <cfRule type="expression" dxfId="33" priority="5722" stopIfTrue="1">
      <formula>$A677="file"</formula>
    </cfRule>
  </conditionalFormatting>
  <conditionalFormatting sqref="A677:A678">
    <cfRule type="expression" dxfId="34" priority="5723" stopIfTrue="1">
      <formula>$A677="enumerator"</formula>
    </cfRule>
  </conditionalFormatting>
  <conditionalFormatting sqref="A677:A678">
    <cfRule type="expression" dxfId="35" priority="5724" stopIfTrue="1">
      <formula>OR(AND(LEFT($A677, 14)="sensor_stream ", LEN($A677)&gt;14, NOT(ISNUMBER(SEARCH(" ", $A677, 15)))), AND(LEFT($A677, 17)="sensor_statistic ", LEN($A677)&gt;17, NOT(ISNUMBER(SEARCH(" ", $A677, 18)))))</formula>
    </cfRule>
  </conditionalFormatting>
  <conditionalFormatting sqref="A677:A678">
    <cfRule type="expression" dxfId="14" priority="5725" stopIfTrue="1">
      <formula>$A677="comments"</formula>
    </cfRule>
  </conditionalFormatting>
  <conditionalFormatting sqref="A677:A678">
    <cfRule type="expression" dxfId="15" priority="5726" stopIfTrue="1">
      <formula>OR($A677="audio", $A677="video")</formula>
    </cfRule>
  </conditionalFormatting>
  <conditionalFormatting sqref="A677:A678">
    <cfRule type="expression" dxfId="16" priority="5727" stopIfTrue="1">
      <formula>$A677="image"</formula>
    </cfRule>
  </conditionalFormatting>
  <conditionalFormatting sqref="A677:A678">
    <cfRule type="expression" dxfId="17" priority="5728" stopIfTrue="1">
      <formula>OR($A677="date", $A677="datetime", $A677="time")</formula>
    </cfRule>
  </conditionalFormatting>
  <conditionalFormatting sqref="A677:A678">
    <cfRule type="expression" dxfId="18" priority="5729" stopIfTrue="1">
      <formula>OR($A677="calculate", $A677="calculate_here")</formula>
    </cfRule>
  </conditionalFormatting>
  <conditionalFormatting sqref="A677:A678">
    <cfRule type="expression" dxfId="19" priority="5730" stopIfTrue="1">
      <formula>$A677="note"</formula>
    </cfRule>
  </conditionalFormatting>
  <conditionalFormatting sqref="A677:A678">
    <cfRule type="expression" dxfId="20" priority="5731" stopIfTrue="1">
      <formula>$A677="barcode"</formula>
    </cfRule>
  </conditionalFormatting>
  <conditionalFormatting sqref="A677:A678">
    <cfRule type="expression" dxfId="21" priority="5732" stopIfTrue="1">
      <formula>OR($A677="geopoint", $A677="geoshape", $A677="geotrace")</formula>
    </cfRule>
  </conditionalFormatting>
  <conditionalFormatting sqref="A677:A678">
    <cfRule type="expression" dxfId="22" priority="5733" stopIfTrue="1">
      <formula>OR($A677="audio audit", $A677="text audit", $A677="speed violations count", $A677="speed violations list", $A677="speed violations audit")</formula>
    </cfRule>
  </conditionalFormatting>
  <conditionalFormatting sqref="A677:A678">
    <cfRule type="expression" dxfId="23" priority="5734" stopIfTrue="1">
      <formula>OR($A677="username", $A677="phonenumber", $A677="start", $A677="end", $A677="deviceid", $A677="subscriberid", $A677="simserial", $A677="caseid")</formula>
    </cfRule>
  </conditionalFormatting>
  <conditionalFormatting sqref="A677:A678">
    <cfRule type="expression" dxfId="24" priority="5735" stopIfTrue="1">
      <formula>OR(AND(LEFT($A677, 16)="select_multiple ", LEN($A677)&gt;16, NOT(ISNUMBER(SEARCH(" ", $A677, 17)))), AND(LEFT($A677, 11)="select_one ", LEN($A677)&gt;11, NOT(ISNUMBER(SEARCH(" ", $A677, 12)))))</formula>
    </cfRule>
  </conditionalFormatting>
  <conditionalFormatting sqref="A677:A678">
    <cfRule type="expression" dxfId="25" priority="5736" stopIfTrue="1">
      <formula>$A677="decimal"</formula>
    </cfRule>
  </conditionalFormatting>
  <conditionalFormatting sqref="A677:A678">
    <cfRule type="expression" dxfId="26" priority="5737" stopIfTrue="1">
      <formula>$A677="integer"</formula>
    </cfRule>
  </conditionalFormatting>
  <conditionalFormatting sqref="A677:A678">
    <cfRule type="expression" dxfId="27" priority="5738" stopIfTrue="1">
      <formula>$A677="text"</formula>
    </cfRule>
  </conditionalFormatting>
  <conditionalFormatting sqref="A677:A678">
    <cfRule type="expression" dxfId="28" priority="5739" stopIfTrue="1">
      <formula>$A677="end repeat"</formula>
    </cfRule>
  </conditionalFormatting>
  <conditionalFormatting sqref="A677:A678">
    <cfRule type="expression" dxfId="28" priority="5740" stopIfTrue="1">
      <formula>$A677="begin repeat"</formula>
    </cfRule>
  </conditionalFormatting>
  <conditionalFormatting sqref="A677:A678">
    <cfRule type="expression" dxfId="29" priority="5741" stopIfTrue="1">
      <formula>$A677="end group"</formula>
    </cfRule>
  </conditionalFormatting>
  <conditionalFormatting sqref="A677:A678">
    <cfRule type="expression" dxfId="29" priority="5742" stopIfTrue="1">
      <formula>$A677="begin group"</formula>
    </cfRule>
  </conditionalFormatting>
  <conditionalFormatting sqref="A673:A675">
    <cfRule type="expression" dxfId="33" priority="5743" stopIfTrue="1">
      <formula>$A673="file"</formula>
    </cfRule>
  </conditionalFormatting>
  <conditionalFormatting sqref="A673:A675">
    <cfRule type="expression" dxfId="34" priority="5744" stopIfTrue="1">
      <formula>$A673="enumerator"</formula>
    </cfRule>
  </conditionalFormatting>
  <conditionalFormatting sqref="A673:A675">
    <cfRule type="expression" dxfId="35" priority="5745" stopIfTrue="1">
      <formula>OR(AND(LEFT($A673, 14)="sensor_stream ", LEN($A673)&gt;14, NOT(ISNUMBER(SEARCH(" ", $A673, 15)))), AND(LEFT($A673, 17)="sensor_statistic ", LEN($A673)&gt;17, NOT(ISNUMBER(SEARCH(" ", $A673, 18)))))</formula>
    </cfRule>
  </conditionalFormatting>
  <conditionalFormatting sqref="A673:A675">
    <cfRule type="expression" dxfId="14" priority="5746" stopIfTrue="1">
      <formula>$A673="comments"</formula>
    </cfRule>
  </conditionalFormatting>
  <conditionalFormatting sqref="A673:A675">
    <cfRule type="expression" dxfId="15" priority="5747" stopIfTrue="1">
      <formula>OR($A673="audio", $A673="video")</formula>
    </cfRule>
  </conditionalFormatting>
  <conditionalFormatting sqref="A673:A675">
    <cfRule type="expression" dxfId="16" priority="5748" stopIfTrue="1">
      <formula>$A673="image"</formula>
    </cfRule>
  </conditionalFormatting>
  <conditionalFormatting sqref="A673:A675">
    <cfRule type="expression" dxfId="17" priority="5749" stopIfTrue="1">
      <formula>OR($A673="date", $A673="datetime", $A673="time")</formula>
    </cfRule>
  </conditionalFormatting>
  <conditionalFormatting sqref="A673:A675">
    <cfRule type="expression" dxfId="18" priority="5750" stopIfTrue="1">
      <formula>OR($A673="calculate", $A673="calculate_here")</formula>
    </cfRule>
  </conditionalFormatting>
  <conditionalFormatting sqref="A673:A675">
    <cfRule type="expression" dxfId="19" priority="5751" stopIfTrue="1">
      <formula>$A673="note"</formula>
    </cfRule>
  </conditionalFormatting>
  <conditionalFormatting sqref="A673:A675">
    <cfRule type="expression" dxfId="20" priority="5752" stopIfTrue="1">
      <formula>$A673="barcode"</formula>
    </cfRule>
  </conditionalFormatting>
  <conditionalFormatting sqref="A673:A675">
    <cfRule type="expression" dxfId="21" priority="5753" stopIfTrue="1">
      <formula>OR($A673="geopoint", $A673="geoshape", $A673="geotrace")</formula>
    </cfRule>
  </conditionalFormatting>
  <conditionalFormatting sqref="A673:A675">
    <cfRule type="expression" dxfId="22" priority="5754" stopIfTrue="1">
      <formula>OR($A673="audio audit", $A673="text audit", $A673="speed violations count", $A673="speed violations list", $A673="speed violations audit")</formula>
    </cfRule>
  </conditionalFormatting>
  <conditionalFormatting sqref="A673:A675">
    <cfRule type="expression" dxfId="23" priority="5755" stopIfTrue="1">
      <formula>OR($A673="username", $A673="phonenumber", $A673="start", $A673="end", $A673="deviceid", $A673="subscriberid", $A673="simserial", $A673="caseid")</formula>
    </cfRule>
  </conditionalFormatting>
  <conditionalFormatting sqref="A673:A675">
    <cfRule type="expression" dxfId="24" priority="5756" stopIfTrue="1">
      <formula>OR(AND(LEFT($A673, 16)="select_multiple ", LEN($A673)&gt;16, NOT(ISNUMBER(SEARCH(" ", $A673, 17)))), AND(LEFT($A673, 11)="select_one ", LEN($A673)&gt;11, NOT(ISNUMBER(SEARCH(" ", $A673, 12)))))</formula>
    </cfRule>
  </conditionalFormatting>
  <conditionalFormatting sqref="A673:A675">
    <cfRule type="expression" dxfId="25" priority="5757" stopIfTrue="1">
      <formula>$A673="decimal"</formula>
    </cfRule>
  </conditionalFormatting>
  <conditionalFormatting sqref="A673:A675">
    <cfRule type="expression" dxfId="26" priority="5758" stopIfTrue="1">
      <formula>$A673="integer"</formula>
    </cfRule>
  </conditionalFormatting>
  <conditionalFormatting sqref="A673:A675">
    <cfRule type="expression" dxfId="27" priority="5759" stopIfTrue="1">
      <formula>$A673="text"</formula>
    </cfRule>
  </conditionalFormatting>
  <conditionalFormatting sqref="A673:A675">
    <cfRule type="expression" dxfId="28" priority="5760" stopIfTrue="1">
      <formula>$A673="end repeat"</formula>
    </cfRule>
  </conditionalFormatting>
  <conditionalFormatting sqref="A673:A675">
    <cfRule type="expression" dxfId="28" priority="5761" stopIfTrue="1">
      <formula>$A673="begin repeat"</formula>
    </cfRule>
  </conditionalFormatting>
  <conditionalFormatting sqref="A673:A675">
    <cfRule type="expression" dxfId="29" priority="5762" stopIfTrue="1">
      <formula>$A673="end group"</formula>
    </cfRule>
  </conditionalFormatting>
  <conditionalFormatting sqref="A673:A675">
    <cfRule type="expression" dxfId="29" priority="5763" stopIfTrue="1">
      <formula>$A673="begin group"</formula>
    </cfRule>
  </conditionalFormatting>
  <conditionalFormatting sqref="A671">
    <cfRule type="expression" dxfId="33" priority="5764" stopIfTrue="1">
      <formula>$A671="file"</formula>
    </cfRule>
  </conditionalFormatting>
  <conditionalFormatting sqref="A671">
    <cfRule type="expression" dxfId="34" priority="5765" stopIfTrue="1">
      <formula>$A671="enumerator"</formula>
    </cfRule>
  </conditionalFormatting>
  <conditionalFormatting sqref="A671">
    <cfRule type="expression" dxfId="35" priority="5766" stopIfTrue="1">
      <formula>OR(AND(LEFT($A671, 14)="sensor_stream ", LEN($A671)&gt;14, NOT(ISNUMBER(SEARCH(" ", $A671, 15)))), AND(LEFT($A671, 17)="sensor_statistic ", LEN($A671)&gt;17, NOT(ISNUMBER(SEARCH(" ", $A671, 18)))))</formula>
    </cfRule>
  </conditionalFormatting>
  <conditionalFormatting sqref="A671">
    <cfRule type="expression" dxfId="14" priority="5767" stopIfTrue="1">
      <formula>$A671="comments"</formula>
    </cfRule>
  </conditionalFormatting>
  <conditionalFormatting sqref="A671">
    <cfRule type="expression" dxfId="15" priority="5768" stopIfTrue="1">
      <formula>OR($A671="audio", $A671="video")</formula>
    </cfRule>
  </conditionalFormatting>
  <conditionalFormatting sqref="A671">
    <cfRule type="expression" dxfId="16" priority="5769" stopIfTrue="1">
      <formula>$A671="image"</formula>
    </cfRule>
  </conditionalFormatting>
  <conditionalFormatting sqref="A671">
    <cfRule type="expression" dxfId="17" priority="5770" stopIfTrue="1">
      <formula>OR($A671="date", $A671="datetime", $A671="time")</formula>
    </cfRule>
  </conditionalFormatting>
  <conditionalFormatting sqref="A671">
    <cfRule type="expression" dxfId="18" priority="5771" stopIfTrue="1">
      <formula>OR($A671="calculate", $A671="calculate_here")</formula>
    </cfRule>
  </conditionalFormatting>
  <conditionalFormatting sqref="A671">
    <cfRule type="expression" dxfId="19" priority="5772" stopIfTrue="1">
      <formula>$A671="note"</formula>
    </cfRule>
  </conditionalFormatting>
  <conditionalFormatting sqref="A671">
    <cfRule type="expression" dxfId="20" priority="5773" stopIfTrue="1">
      <formula>$A671="barcode"</formula>
    </cfRule>
  </conditionalFormatting>
  <conditionalFormatting sqref="A671">
    <cfRule type="expression" dxfId="21" priority="5774" stopIfTrue="1">
      <formula>OR($A671="geopoint", $A671="geoshape", $A671="geotrace")</formula>
    </cfRule>
  </conditionalFormatting>
  <conditionalFormatting sqref="A671">
    <cfRule type="expression" dxfId="22" priority="5775" stopIfTrue="1">
      <formula>OR($A671="audio audit", $A671="text audit", $A671="speed violations count", $A671="speed violations list", $A671="speed violations audit")</formula>
    </cfRule>
  </conditionalFormatting>
  <conditionalFormatting sqref="A671">
    <cfRule type="expression" dxfId="23" priority="5776" stopIfTrue="1">
      <formula>OR($A671="username", $A671="phonenumber", $A671="start", $A671="end", $A671="deviceid", $A671="subscriberid", $A671="simserial", $A671="caseid")</formula>
    </cfRule>
  </conditionalFormatting>
  <conditionalFormatting sqref="A671">
    <cfRule type="expression" dxfId="24" priority="5777" stopIfTrue="1">
      <formula>OR(AND(LEFT($A671, 16)="select_multiple ", LEN($A671)&gt;16, NOT(ISNUMBER(SEARCH(" ", $A671, 17)))), AND(LEFT($A671, 11)="select_one ", LEN($A671)&gt;11, NOT(ISNUMBER(SEARCH(" ", $A671, 12)))))</formula>
    </cfRule>
  </conditionalFormatting>
  <conditionalFormatting sqref="A671">
    <cfRule type="expression" dxfId="25" priority="5778" stopIfTrue="1">
      <formula>$A671="decimal"</formula>
    </cfRule>
  </conditionalFormatting>
  <conditionalFormatting sqref="A671">
    <cfRule type="expression" dxfId="26" priority="5779" stopIfTrue="1">
      <formula>$A671="integer"</formula>
    </cfRule>
  </conditionalFormatting>
  <conditionalFormatting sqref="A671">
    <cfRule type="expression" dxfId="27" priority="5780" stopIfTrue="1">
      <formula>$A671="text"</formula>
    </cfRule>
  </conditionalFormatting>
  <conditionalFormatting sqref="A671">
    <cfRule type="expression" dxfId="28" priority="5781" stopIfTrue="1">
      <formula>$A671="end repeat"</formula>
    </cfRule>
  </conditionalFormatting>
  <conditionalFormatting sqref="A671">
    <cfRule type="expression" dxfId="28" priority="5782" stopIfTrue="1">
      <formula>$A671="begin repeat"</formula>
    </cfRule>
  </conditionalFormatting>
  <conditionalFormatting sqref="A671">
    <cfRule type="expression" dxfId="29" priority="5783" stopIfTrue="1">
      <formula>$A671="end group"</formula>
    </cfRule>
  </conditionalFormatting>
  <conditionalFormatting sqref="A671">
    <cfRule type="expression" dxfId="29" priority="5784" stopIfTrue="1">
      <formula>$A671="begin group"</formula>
    </cfRule>
  </conditionalFormatting>
  <conditionalFormatting sqref="A668:A669">
    <cfRule type="expression" dxfId="33" priority="5785" stopIfTrue="1">
      <formula>$A668="file"</formula>
    </cfRule>
  </conditionalFormatting>
  <conditionalFormatting sqref="A668:A669">
    <cfRule type="expression" dxfId="34" priority="5786" stopIfTrue="1">
      <formula>$A668="enumerator"</formula>
    </cfRule>
  </conditionalFormatting>
  <conditionalFormatting sqref="A668:A669">
    <cfRule type="expression" dxfId="35" priority="5787" stopIfTrue="1">
      <formula>OR(AND(LEFT($A668, 14)="sensor_stream ", LEN($A668)&gt;14, NOT(ISNUMBER(SEARCH(" ", $A668, 15)))), AND(LEFT($A668, 17)="sensor_statistic ", LEN($A668)&gt;17, NOT(ISNUMBER(SEARCH(" ", $A668, 18)))))</formula>
    </cfRule>
  </conditionalFormatting>
  <conditionalFormatting sqref="A668:A669">
    <cfRule type="expression" dxfId="14" priority="5788" stopIfTrue="1">
      <formula>$A668="comments"</formula>
    </cfRule>
  </conditionalFormatting>
  <conditionalFormatting sqref="A668:A669">
    <cfRule type="expression" dxfId="15" priority="5789" stopIfTrue="1">
      <formula>OR($A668="audio", $A668="video")</formula>
    </cfRule>
  </conditionalFormatting>
  <conditionalFormatting sqref="A668:A669">
    <cfRule type="expression" dxfId="16" priority="5790" stopIfTrue="1">
      <formula>$A668="image"</formula>
    </cfRule>
  </conditionalFormatting>
  <conditionalFormatting sqref="A668:A669">
    <cfRule type="expression" dxfId="17" priority="5791" stopIfTrue="1">
      <formula>OR($A668="date", $A668="datetime", $A668="time")</formula>
    </cfRule>
  </conditionalFormatting>
  <conditionalFormatting sqref="A668:A669">
    <cfRule type="expression" dxfId="18" priority="5792" stopIfTrue="1">
      <formula>OR($A668="calculate", $A668="calculate_here")</formula>
    </cfRule>
  </conditionalFormatting>
  <conditionalFormatting sqref="A668:A669">
    <cfRule type="expression" dxfId="19" priority="5793" stopIfTrue="1">
      <formula>$A668="note"</formula>
    </cfRule>
  </conditionalFormatting>
  <conditionalFormatting sqref="A668:A669">
    <cfRule type="expression" dxfId="20" priority="5794" stopIfTrue="1">
      <formula>$A668="barcode"</formula>
    </cfRule>
  </conditionalFormatting>
  <conditionalFormatting sqref="A668:A669">
    <cfRule type="expression" dxfId="21" priority="5795" stopIfTrue="1">
      <formula>OR($A668="geopoint", $A668="geoshape", $A668="geotrace")</formula>
    </cfRule>
  </conditionalFormatting>
  <conditionalFormatting sqref="A668:A669">
    <cfRule type="expression" dxfId="22" priority="5796" stopIfTrue="1">
      <formula>OR($A668="audio audit", $A668="text audit", $A668="speed violations count", $A668="speed violations list", $A668="speed violations audit")</formula>
    </cfRule>
  </conditionalFormatting>
  <conditionalFormatting sqref="A668:A669">
    <cfRule type="expression" dxfId="23" priority="5797" stopIfTrue="1">
      <formula>OR($A668="username", $A668="phonenumber", $A668="start", $A668="end", $A668="deviceid", $A668="subscriberid", $A668="simserial", $A668="caseid")</formula>
    </cfRule>
  </conditionalFormatting>
  <conditionalFormatting sqref="A668:A669">
    <cfRule type="expression" dxfId="24" priority="5798" stopIfTrue="1">
      <formula>OR(AND(LEFT($A668, 16)="select_multiple ", LEN($A668)&gt;16, NOT(ISNUMBER(SEARCH(" ", $A668, 17)))), AND(LEFT($A668, 11)="select_one ", LEN($A668)&gt;11, NOT(ISNUMBER(SEARCH(" ", $A668, 12)))))</formula>
    </cfRule>
  </conditionalFormatting>
  <conditionalFormatting sqref="A668:A669">
    <cfRule type="expression" dxfId="25" priority="5799" stopIfTrue="1">
      <formula>$A668="decimal"</formula>
    </cfRule>
  </conditionalFormatting>
  <conditionalFormatting sqref="A668:A669">
    <cfRule type="expression" dxfId="26" priority="5800" stopIfTrue="1">
      <formula>$A668="integer"</formula>
    </cfRule>
  </conditionalFormatting>
  <conditionalFormatting sqref="A668:A669">
    <cfRule type="expression" dxfId="27" priority="5801" stopIfTrue="1">
      <formula>$A668="text"</formula>
    </cfRule>
  </conditionalFormatting>
  <conditionalFormatting sqref="A668:A669">
    <cfRule type="expression" dxfId="28" priority="5802" stopIfTrue="1">
      <formula>$A668="end repeat"</formula>
    </cfRule>
  </conditionalFormatting>
  <conditionalFormatting sqref="A668:A669">
    <cfRule type="expression" dxfId="28" priority="5803" stopIfTrue="1">
      <formula>$A668="begin repeat"</formula>
    </cfRule>
  </conditionalFormatting>
  <conditionalFormatting sqref="A668:A669">
    <cfRule type="expression" dxfId="29" priority="5804" stopIfTrue="1">
      <formula>$A668="end group"</formula>
    </cfRule>
  </conditionalFormatting>
  <conditionalFormatting sqref="A668:A669">
    <cfRule type="expression" dxfId="29" priority="5805" stopIfTrue="1">
      <formula>$A668="begin group"</formula>
    </cfRule>
  </conditionalFormatting>
  <conditionalFormatting sqref="A661:A663">
    <cfRule type="expression" dxfId="33" priority="5806" stopIfTrue="1">
      <formula>$A661="file"</formula>
    </cfRule>
  </conditionalFormatting>
  <conditionalFormatting sqref="A661:A663">
    <cfRule type="expression" dxfId="34" priority="5807" stopIfTrue="1">
      <formula>$A661="enumerator"</formula>
    </cfRule>
  </conditionalFormatting>
  <conditionalFormatting sqref="A661:A663">
    <cfRule type="expression" dxfId="35" priority="5808" stopIfTrue="1">
      <formula>OR(AND(LEFT($A661, 14)="sensor_stream ", LEN($A661)&gt;14, NOT(ISNUMBER(SEARCH(" ", $A661, 15)))), AND(LEFT($A661, 17)="sensor_statistic ", LEN($A661)&gt;17, NOT(ISNUMBER(SEARCH(" ", $A661, 18)))))</formula>
    </cfRule>
  </conditionalFormatting>
  <conditionalFormatting sqref="A661:A663">
    <cfRule type="expression" dxfId="14" priority="5809" stopIfTrue="1">
      <formula>$A661="comments"</formula>
    </cfRule>
  </conditionalFormatting>
  <conditionalFormatting sqref="A661:A663">
    <cfRule type="expression" dxfId="15" priority="5810" stopIfTrue="1">
      <formula>OR($A661="audio", $A661="video")</formula>
    </cfRule>
  </conditionalFormatting>
  <conditionalFormatting sqref="A661:A663">
    <cfRule type="expression" dxfId="16" priority="5811" stopIfTrue="1">
      <formula>$A661="image"</formula>
    </cfRule>
  </conditionalFormatting>
  <conditionalFormatting sqref="A661:A663">
    <cfRule type="expression" dxfId="17" priority="5812" stopIfTrue="1">
      <formula>OR($A661="date", $A661="datetime", $A661="time")</formula>
    </cfRule>
  </conditionalFormatting>
  <conditionalFormatting sqref="A661:A663">
    <cfRule type="expression" dxfId="18" priority="5813" stopIfTrue="1">
      <formula>OR($A661="calculate", $A661="calculate_here")</formula>
    </cfRule>
  </conditionalFormatting>
  <conditionalFormatting sqref="A661:A663">
    <cfRule type="expression" dxfId="19" priority="5814" stopIfTrue="1">
      <formula>$A661="note"</formula>
    </cfRule>
  </conditionalFormatting>
  <conditionalFormatting sqref="A661:A663">
    <cfRule type="expression" dxfId="20" priority="5815" stopIfTrue="1">
      <formula>$A661="barcode"</formula>
    </cfRule>
  </conditionalFormatting>
  <conditionalFormatting sqref="A661:A663">
    <cfRule type="expression" dxfId="21" priority="5816" stopIfTrue="1">
      <formula>OR($A661="geopoint", $A661="geoshape", $A661="geotrace")</formula>
    </cfRule>
  </conditionalFormatting>
  <conditionalFormatting sqref="A661:A663">
    <cfRule type="expression" dxfId="22" priority="5817" stopIfTrue="1">
      <formula>OR($A661="audio audit", $A661="text audit", $A661="speed violations count", $A661="speed violations list", $A661="speed violations audit")</formula>
    </cfRule>
  </conditionalFormatting>
  <conditionalFormatting sqref="A661:A663">
    <cfRule type="expression" dxfId="23" priority="5818" stopIfTrue="1">
      <formula>OR($A661="username", $A661="phonenumber", $A661="start", $A661="end", $A661="deviceid", $A661="subscriberid", $A661="simserial", $A661="caseid")</formula>
    </cfRule>
  </conditionalFormatting>
  <conditionalFormatting sqref="A661:A663">
    <cfRule type="expression" dxfId="24" priority="5819" stopIfTrue="1">
      <formula>OR(AND(LEFT($A661, 16)="select_multiple ", LEN($A661)&gt;16, NOT(ISNUMBER(SEARCH(" ", $A661, 17)))), AND(LEFT($A661, 11)="select_one ", LEN($A661)&gt;11, NOT(ISNUMBER(SEARCH(" ", $A661, 12)))))</formula>
    </cfRule>
  </conditionalFormatting>
  <conditionalFormatting sqref="A661:A663">
    <cfRule type="expression" dxfId="25" priority="5820" stopIfTrue="1">
      <formula>$A661="decimal"</formula>
    </cfRule>
  </conditionalFormatting>
  <conditionalFormatting sqref="A661:A663">
    <cfRule type="expression" dxfId="26" priority="5821" stopIfTrue="1">
      <formula>$A661="integer"</formula>
    </cfRule>
  </conditionalFormatting>
  <conditionalFormatting sqref="A661:A663">
    <cfRule type="expression" dxfId="27" priority="5822" stopIfTrue="1">
      <formula>$A661="text"</formula>
    </cfRule>
  </conditionalFormatting>
  <conditionalFormatting sqref="A661:A663">
    <cfRule type="expression" dxfId="28" priority="5823" stopIfTrue="1">
      <formula>$A661="end repeat"</formula>
    </cfRule>
  </conditionalFormatting>
  <conditionalFormatting sqref="A661:A663">
    <cfRule type="expression" dxfId="28" priority="5824" stopIfTrue="1">
      <formula>$A661="begin repeat"</formula>
    </cfRule>
  </conditionalFormatting>
  <conditionalFormatting sqref="A661:A663">
    <cfRule type="expression" dxfId="29" priority="5825" stopIfTrue="1">
      <formula>$A661="end group"</formula>
    </cfRule>
  </conditionalFormatting>
  <conditionalFormatting sqref="A661:A663">
    <cfRule type="expression" dxfId="29" priority="5826" stopIfTrue="1">
      <formula>$A661="begin group"</formula>
    </cfRule>
  </conditionalFormatting>
  <conditionalFormatting sqref="A652:A658">
    <cfRule type="expression" dxfId="33" priority="5827" stopIfTrue="1">
      <formula>$A652="file"</formula>
    </cfRule>
  </conditionalFormatting>
  <conditionalFormatting sqref="A652:A658">
    <cfRule type="expression" dxfId="34" priority="5828" stopIfTrue="1">
      <formula>$A652="enumerator"</formula>
    </cfRule>
  </conditionalFormatting>
  <conditionalFormatting sqref="A652:A658">
    <cfRule type="expression" dxfId="35" priority="5829" stopIfTrue="1">
      <formula>OR(AND(LEFT($A652, 14)="sensor_stream ", LEN($A652)&gt;14, NOT(ISNUMBER(SEARCH(" ", $A652, 15)))), AND(LEFT($A652, 17)="sensor_statistic ", LEN($A652)&gt;17, NOT(ISNUMBER(SEARCH(" ", $A652, 18)))))</formula>
    </cfRule>
  </conditionalFormatting>
  <conditionalFormatting sqref="A652:A658">
    <cfRule type="expression" dxfId="14" priority="5830" stopIfTrue="1">
      <formula>$A652="comments"</formula>
    </cfRule>
  </conditionalFormatting>
  <conditionalFormatting sqref="A652:A658">
    <cfRule type="expression" dxfId="15" priority="5831" stopIfTrue="1">
      <formula>OR($A652="audio", $A652="video")</formula>
    </cfRule>
  </conditionalFormatting>
  <conditionalFormatting sqref="A652:A658">
    <cfRule type="expression" dxfId="16" priority="5832" stopIfTrue="1">
      <formula>$A652="image"</formula>
    </cfRule>
  </conditionalFormatting>
  <conditionalFormatting sqref="A652:A658">
    <cfRule type="expression" dxfId="17" priority="5833" stopIfTrue="1">
      <formula>OR($A652="date", $A652="datetime", $A652="time")</formula>
    </cfRule>
  </conditionalFormatting>
  <conditionalFormatting sqref="A652:A658">
    <cfRule type="expression" dxfId="18" priority="5834" stopIfTrue="1">
      <formula>OR($A652="calculate", $A652="calculate_here")</formula>
    </cfRule>
  </conditionalFormatting>
  <conditionalFormatting sqref="A652:A658">
    <cfRule type="expression" dxfId="19" priority="5835" stopIfTrue="1">
      <formula>$A652="note"</formula>
    </cfRule>
  </conditionalFormatting>
  <conditionalFormatting sqref="A652:A658">
    <cfRule type="expression" dxfId="20" priority="5836" stopIfTrue="1">
      <formula>$A652="barcode"</formula>
    </cfRule>
  </conditionalFormatting>
  <conditionalFormatting sqref="A652:A658">
    <cfRule type="expression" dxfId="21" priority="5837" stopIfTrue="1">
      <formula>OR($A652="geopoint", $A652="geoshape", $A652="geotrace")</formula>
    </cfRule>
  </conditionalFormatting>
  <conditionalFormatting sqref="A652:A658">
    <cfRule type="expression" dxfId="22" priority="5838" stopIfTrue="1">
      <formula>OR($A652="audio audit", $A652="text audit", $A652="speed violations count", $A652="speed violations list", $A652="speed violations audit")</formula>
    </cfRule>
  </conditionalFormatting>
  <conditionalFormatting sqref="A652:A658">
    <cfRule type="expression" dxfId="23" priority="5839" stopIfTrue="1">
      <formula>OR($A652="username", $A652="phonenumber", $A652="start", $A652="end", $A652="deviceid", $A652="subscriberid", $A652="simserial", $A652="caseid")</formula>
    </cfRule>
  </conditionalFormatting>
  <conditionalFormatting sqref="A652:A658">
    <cfRule type="expression" dxfId="24" priority="5840" stopIfTrue="1">
      <formula>OR(AND(LEFT($A652, 16)="select_multiple ", LEN($A652)&gt;16, NOT(ISNUMBER(SEARCH(" ", $A652, 17)))), AND(LEFT($A652, 11)="select_one ", LEN($A652)&gt;11, NOT(ISNUMBER(SEARCH(" ", $A652, 12)))))</formula>
    </cfRule>
  </conditionalFormatting>
  <conditionalFormatting sqref="A652:A658">
    <cfRule type="expression" dxfId="25" priority="5841" stopIfTrue="1">
      <formula>$A652="decimal"</formula>
    </cfRule>
  </conditionalFormatting>
  <conditionalFormatting sqref="A652:A658">
    <cfRule type="expression" dxfId="26" priority="5842" stopIfTrue="1">
      <formula>$A652="integer"</formula>
    </cfRule>
  </conditionalFormatting>
  <conditionalFormatting sqref="A652:A658">
    <cfRule type="expression" dxfId="27" priority="5843" stopIfTrue="1">
      <formula>$A652="text"</formula>
    </cfRule>
  </conditionalFormatting>
  <conditionalFormatting sqref="A652:A658">
    <cfRule type="expression" dxfId="28" priority="5844" stopIfTrue="1">
      <formula>$A652="end repeat"</formula>
    </cfRule>
  </conditionalFormatting>
  <conditionalFormatting sqref="A652:A658">
    <cfRule type="expression" dxfId="28" priority="5845" stopIfTrue="1">
      <formula>$A652="begin repeat"</formula>
    </cfRule>
  </conditionalFormatting>
  <conditionalFormatting sqref="A652:A658">
    <cfRule type="expression" dxfId="29" priority="5846" stopIfTrue="1">
      <formula>$A652="end group"</formula>
    </cfRule>
  </conditionalFormatting>
  <conditionalFormatting sqref="A652:A658">
    <cfRule type="expression" dxfId="29" priority="5847" stopIfTrue="1">
      <formula>$A652="begin group"</formula>
    </cfRule>
  </conditionalFormatting>
  <conditionalFormatting sqref="A646:A647">
    <cfRule type="expression" dxfId="33" priority="5848" stopIfTrue="1">
      <formula>$A646="file"</formula>
    </cfRule>
  </conditionalFormatting>
  <conditionalFormatting sqref="A646:A647">
    <cfRule type="expression" dxfId="34" priority="5849" stopIfTrue="1">
      <formula>$A646="enumerator"</formula>
    </cfRule>
  </conditionalFormatting>
  <conditionalFormatting sqref="A646:A647">
    <cfRule type="expression" dxfId="35" priority="5850" stopIfTrue="1">
      <formula>OR(AND(LEFT($A646, 14)="sensor_stream ", LEN($A646)&gt;14, NOT(ISNUMBER(SEARCH(" ", $A646, 15)))), AND(LEFT($A646, 17)="sensor_statistic ", LEN($A646)&gt;17, NOT(ISNUMBER(SEARCH(" ", $A646, 18)))))</formula>
    </cfRule>
  </conditionalFormatting>
  <conditionalFormatting sqref="A646:A647">
    <cfRule type="expression" dxfId="14" priority="5851" stopIfTrue="1">
      <formula>$A646="comments"</formula>
    </cfRule>
  </conditionalFormatting>
  <conditionalFormatting sqref="A646:A647">
    <cfRule type="expression" dxfId="15" priority="5852" stopIfTrue="1">
      <formula>OR($A646="audio", $A646="video")</formula>
    </cfRule>
  </conditionalFormatting>
  <conditionalFormatting sqref="A646:A647">
    <cfRule type="expression" dxfId="16" priority="5853" stopIfTrue="1">
      <formula>$A646="image"</formula>
    </cfRule>
  </conditionalFormatting>
  <conditionalFormatting sqref="A646:A647">
    <cfRule type="expression" dxfId="17" priority="5854" stopIfTrue="1">
      <formula>OR($A646="date", $A646="datetime", $A646="time")</formula>
    </cfRule>
  </conditionalFormatting>
  <conditionalFormatting sqref="A646:A647">
    <cfRule type="expression" dxfId="18" priority="5855" stopIfTrue="1">
      <formula>OR($A646="calculate", $A646="calculate_here")</formula>
    </cfRule>
  </conditionalFormatting>
  <conditionalFormatting sqref="A646:A647">
    <cfRule type="expression" dxfId="19" priority="5856" stopIfTrue="1">
      <formula>$A646="note"</formula>
    </cfRule>
  </conditionalFormatting>
  <conditionalFormatting sqref="A646:A647">
    <cfRule type="expression" dxfId="20" priority="5857" stopIfTrue="1">
      <formula>$A646="barcode"</formula>
    </cfRule>
  </conditionalFormatting>
  <conditionalFormatting sqref="A646:A647">
    <cfRule type="expression" dxfId="21" priority="5858" stopIfTrue="1">
      <formula>OR($A646="geopoint", $A646="geoshape", $A646="geotrace")</formula>
    </cfRule>
  </conditionalFormatting>
  <conditionalFormatting sqref="A646:A647">
    <cfRule type="expression" dxfId="22" priority="5859" stopIfTrue="1">
      <formula>OR($A646="audio audit", $A646="text audit", $A646="speed violations count", $A646="speed violations list", $A646="speed violations audit")</formula>
    </cfRule>
  </conditionalFormatting>
  <conditionalFormatting sqref="A646:A647">
    <cfRule type="expression" dxfId="23" priority="5860" stopIfTrue="1">
      <formula>OR($A646="username", $A646="phonenumber", $A646="start", $A646="end", $A646="deviceid", $A646="subscriberid", $A646="simserial", $A646="caseid")</formula>
    </cfRule>
  </conditionalFormatting>
  <conditionalFormatting sqref="A646:A647">
    <cfRule type="expression" dxfId="24" priority="5861" stopIfTrue="1">
      <formula>OR(AND(LEFT($A646, 16)="select_multiple ", LEN($A646)&gt;16, NOT(ISNUMBER(SEARCH(" ", $A646, 17)))), AND(LEFT($A646, 11)="select_one ", LEN($A646)&gt;11, NOT(ISNUMBER(SEARCH(" ", $A646, 12)))))</formula>
    </cfRule>
  </conditionalFormatting>
  <conditionalFormatting sqref="A646:A647">
    <cfRule type="expression" dxfId="25" priority="5862" stopIfTrue="1">
      <formula>$A646="decimal"</formula>
    </cfRule>
  </conditionalFormatting>
  <conditionalFormatting sqref="A646:A647">
    <cfRule type="expression" dxfId="26" priority="5863" stopIfTrue="1">
      <formula>$A646="integer"</formula>
    </cfRule>
  </conditionalFormatting>
  <conditionalFormatting sqref="A646:A647">
    <cfRule type="expression" dxfId="27" priority="5864" stopIfTrue="1">
      <formula>$A646="text"</formula>
    </cfRule>
  </conditionalFormatting>
  <conditionalFormatting sqref="A646:A647">
    <cfRule type="expression" dxfId="28" priority="5865" stopIfTrue="1">
      <formula>$A646="end repeat"</formula>
    </cfRule>
  </conditionalFormatting>
  <conditionalFormatting sqref="A646:A647">
    <cfRule type="expression" dxfId="28" priority="5866" stopIfTrue="1">
      <formula>$A646="begin repeat"</formula>
    </cfRule>
  </conditionalFormatting>
  <conditionalFormatting sqref="A646:A647">
    <cfRule type="expression" dxfId="29" priority="5867" stopIfTrue="1">
      <formula>$A646="end group"</formula>
    </cfRule>
  </conditionalFormatting>
  <conditionalFormatting sqref="A646:A647">
    <cfRule type="expression" dxfId="29" priority="5868" stopIfTrue="1">
      <formula>$A646="begin group"</formula>
    </cfRule>
  </conditionalFormatting>
  <conditionalFormatting sqref="A638:A642">
    <cfRule type="expression" dxfId="33" priority="5869" stopIfTrue="1">
      <formula>$A638="file"</formula>
    </cfRule>
  </conditionalFormatting>
  <conditionalFormatting sqref="A638:A642">
    <cfRule type="expression" dxfId="34" priority="5870" stopIfTrue="1">
      <formula>$A638="enumerator"</formula>
    </cfRule>
  </conditionalFormatting>
  <conditionalFormatting sqref="A638:A642">
    <cfRule type="expression" dxfId="35" priority="5871" stopIfTrue="1">
      <formula>OR(AND(LEFT($A638, 14)="sensor_stream ", LEN($A638)&gt;14, NOT(ISNUMBER(SEARCH(" ", $A638, 15)))), AND(LEFT($A638, 17)="sensor_statistic ", LEN($A638)&gt;17, NOT(ISNUMBER(SEARCH(" ", $A638, 18)))))</formula>
    </cfRule>
  </conditionalFormatting>
  <conditionalFormatting sqref="A638:A642">
    <cfRule type="expression" dxfId="14" priority="5872" stopIfTrue="1">
      <formula>$A638="comments"</formula>
    </cfRule>
  </conditionalFormatting>
  <conditionalFormatting sqref="A638:A642">
    <cfRule type="expression" dxfId="15" priority="5873" stopIfTrue="1">
      <formula>OR($A638="audio", $A638="video")</formula>
    </cfRule>
  </conditionalFormatting>
  <conditionalFormatting sqref="A638:A642">
    <cfRule type="expression" dxfId="16" priority="5874" stopIfTrue="1">
      <formula>$A638="image"</formula>
    </cfRule>
  </conditionalFormatting>
  <conditionalFormatting sqref="A638:A642">
    <cfRule type="expression" dxfId="17" priority="5875" stopIfTrue="1">
      <formula>OR($A638="date", $A638="datetime", $A638="time")</formula>
    </cfRule>
  </conditionalFormatting>
  <conditionalFormatting sqref="A638:A642">
    <cfRule type="expression" dxfId="18" priority="5876" stopIfTrue="1">
      <formula>OR($A638="calculate", $A638="calculate_here")</formula>
    </cfRule>
  </conditionalFormatting>
  <conditionalFormatting sqref="A638:A642">
    <cfRule type="expression" dxfId="19" priority="5877" stopIfTrue="1">
      <formula>$A638="note"</formula>
    </cfRule>
  </conditionalFormatting>
  <conditionalFormatting sqref="A638:A642">
    <cfRule type="expression" dxfId="20" priority="5878" stopIfTrue="1">
      <formula>$A638="barcode"</formula>
    </cfRule>
  </conditionalFormatting>
  <conditionalFormatting sqref="A638:A642">
    <cfRule type="expression" dxfId="21" priority="5879" stopIfTrue="1">
      <formula>OR($A638="geopoint", $A638="geoshape", $A638="geotrace")</formula>
    </cfRule>
  </conditionalFormatting>
  <conditionalFormatting sqref="A638:A642">
    <cfRule type="expression" dxfId="22" priority="5880" stopIfTrue="1">
      <formula>OR($A638="audio audit", $A638="text audit", $A638="speed violations count", $A638="speed violations list", $A638="speed violations audit")</formula>
    </cfRule>
  </conditionalFormatting>
  <conditionalFormatting sqref="A638:A642">
    <cfRule type="expression" dxfId="23" priority="5881" stopIfTrue="1">
      <formula>OR($A638="username", $A638="phonenumber", $A638="start", $A638="end", $A638="deviceid", $A638="subscriberid", $A638="simserial", $A638="caseid")</formula>
    </cfRule>
  </conditionalFormatting>
  <conditionalFormatting sqref="A638:A642">
    <cfRule type="expression" dxfId="24" priority="5882" stopIfTrue="1">
      <formula>OR(AND(LEFT($A638, 16)="select_multiple ", LEN($A638)&gt;16, NOT(ISNUMBER(SEARCH(" ", $A638, 17)))), AND(LEFT($A638, 11)="select_one ", LEN($A638)&gt;11, NOT(ISNUMBER(SEARCH(" ", $A638, 12)))))</formula>
    </cfRule>
  </conditionalFormatting>
  <conditionalFormatting sqref="A638:A642">
    <cfRule type="expression" dxfId="25" priority="5883" stopIfTrue="1">
      <formula>$A638="decimal"</formula>
    </cfRule>
  </conditionalFormatting>
  <conditionalFormatting sqref="A638:A642">
    <cfRule type="expression" dxfId="26" priority="5884" stopIfTrue="1">
      <formula>$A638="integer"</formula>
    </cfRule>
  </conditionalFormatting>
  <conditionalFormatting sqref="A638:A642">
    <cfRule type="expression" dxfId="27" priority="5885" stopIfTrue="1">
      <formula>$A638="text"</formula>
    </cfRule>
  </conditionalFormatting>
  <conditionalFormatting sqref="A638:A642">
    <cfRule type="expression" dxfId="28" priority="5886" stopIfTrue="1">
      <formula>$A638="end repeat"</formula>
    </cfRule>
  </conditionalFormatting>
  <conditionalFormatting sqref="A638:A642">
    <cfRule type="expression" dxfId="28" priority="5887" stopIfTrue="1">
      <formula>$A638="begin repeat"</formula>
    </cfRule>
  </conditionalFormatting>
  <conditionalFormatting sqref="A638:A642">
    <cfRule type="expression" dxfId="29" priority="5888" stopIfTrue="1">
      <formula>$A638="end group"</formula>
    </cfRule>
  </conditionalFormatting>
  <conditionalFormatting sqref="A638:A642">
    <cfRule type="expression" dxfId="29" priority="5889" stopIfTrue="1">
      <formula>$A638="begin group"</formula>
    </cfRule>
  </conditionalFormatting>
  <conditionalFormatting sqref="A616:A622">
    <cfRule type="expression" dxfId="33" priority="5890" stopIfTrue="1">
      <formula>$A616="file"</formula>
    </cfRule>
  </conditionalFormatting>
  <conditionalFormatting sqref="A616:A622">
    <cfRule type="expression" dxfId="34" priority="5891" stopIfTrue="1">
      <formula>$A616="enumerator"</formula>
    </cfRule>
  </conditionalFormatting>
  <conditionalFormatting sqref="A616:A622">
    <cfRule type="expression" dxfId="35" priority="5892" stopIfTrue="1">
      <formula>OR(AND(LEFT($A616, 14)="sensor_stream ", LEN($A616)&gt;14, NOT(ISNUMBER(SEARCH(" ", $A616, 15)))), AND(LEFT($A616, 17)="sensor_statistic ", LEN($A616)&gt;17, NOT(ISNUMBER(SEARCH(" ", $A616, 18)))))</formula>
    </cfRule>
  </conditionalFormatting>
  <conditionalFormatting sqref="A616:A622">
    <cfRule type="expression" dxfId="14" priority="5893" stopIfTrue="1">
      <formula>$A616="comments"</formula>
    </cfRule>
  </conditionalFormatting>
  <conditionalFormatting sqref="A616:A622">
    <cfRule type="expression" dxfId="15" priority="5894" stopIfTrue="1">
      <formula>OR($A616="audio", $A616="video")</formula>
    </cfRule>
  </conditionalFormatting>
  <conditionalFormatting sqref="A616:A622">
    <cfRule type="expression" dxfId="16" priority="5895" stopIfTrue="1">
      <formula>$A616="image"</formula>
    </cfRule>
  </conditionalFormatting>
  <conditionalFormatting sqref="A616:A622">
    <cfRule type="expression" dxfId="17" priority="5896" stopIfTrue="1">
      <formula>OR($A616="date", $A616="datetime", $A616="time")</formula>
    </cfRule>
  </conditionalFormatting>
  <conditionalFormatting sqref="A616:A622">
    <cfRule type="expression" dxfId="18" priority="5897" stopIfTrue="1">
      <formula>OR($A616="calculate", $A616="calculate_here")</formula>
    </cfRule>
  </conditionalFormatting>
  <conditionalFormatting sqref="A616:A622">
    <cfRule type="expression" dxfId="19" priority="5898" stopIfTrue="1">
      <formula>$A616="note"</formula>
    </cfRule>
  </conditionalFormatting>
  <conditionalFormatting sqref="A616:A622">
    <cfRule type="expression" dxfId="20" priority="5899" stopIfTrue="1">
      <formula>$A616="barcode"</formula>
    </cfRule>
  </conditionalFormatting>
  <conditionalFormatting sqref="A616:A622">
    <cfRule type="expression" dxfId="21" priority="5900" stopIfTrue="1">
      <formula>OR($A616="geopoint", $A616="geoshape", $A616="geotrace")</formula>
    </cfRule>
  </conditionalFormatting>
  <conditionalFormatting sqref="A616:A622">
    <cfRule type="expression" dxfId="22" priority="5901" stopIfTrue="1">
      <formula>OR($A616="audio audit", $A616="text audit", $A616="speed violations count", $A616="speed violations list", $A616="speed violations audit")</formula>
    </cfRule>
  </conditionalFormatting>
  <conditionalFormatting sqref="A616:A622">
    <cfRule type="expression" dxfId="23" priority="5902" stopIfTrue="1">
      <formula>OR($A616="username", $A616="phonenumber", $A616="start", $A616="end", $A616="deviceid", $A616="subscriberid", $A616="simserial", $A616="caseid")</formula>
    </cfRule>
  </conditionalFormatting>
  <conditionalFormatting sqref="A616:A622">
    <cfRule type="expression" dxfId="24" priority="5903" stopIfTrue="1">
      <formula>OR(AND(LEFT($A616, 16)="select_multiple ", LEN($A616)&gt;16, NOT(ISNUMBER(SEARCH(" ", $A616, 17)))), AND(LEFT($A616, 11)="select_one ", LEN($A616)&gt;11, NOT(ISNUMBER(SEARCH(" ", $A616, 12)))))</formula>
    </cfRule>
  </conditionalFormatting>
  <conditionalFormatting sqref="A616:A622">
    <cfRule type="expression" dxfId="25" priority="5904" stopIfTrue="1">
      <formula>$A616="decimal"</formula>
    </cfRule>
  </conditionalFormatting>
  <conditionalFormatting sqref="A616:A622">
    <cfRule type="expression" dxfId="26" priority="5905" stopIfTrue="1">
      <formula>$A616="integer"</formula>
    </cfRule>
  </conditionalFormatting>
  <conditionalFormatting sqref="A616:A622">
    <cfRule type="expression" dxfId="27" priority="5906" stopIfTrue="1">
      <formula>$A616="text"</formula>
    </cfRule>
  </conditionalFormatting>
  <conditionalFormatting sqref="A616:A622">
    <cfRule type="expression" dxfId="28" priority="5907" stopIfTrue="1">
      <formula>$A616="end repeat"</formula>
    </cfRule>
  </conditionalFormatting>
  <conditionalFormatting sqref="A616:A622">
    <cfRule type="expression" dxfId="28" priority="5908" stopIfTrue="1">
      <formula>$A616="begin repeat"</formula>
    </cfRule>
  </conditionalFormatting>
  <conditionalFormatting sqref="A616:A622">
    <cfRule type="expression" dxfId="29" priority="5909" stopIfTrue="1">
      <formula>$A616="end group"</formula>
    </cfRule>
  </conditionalFormatting>
  <conditionalFormatting sqref="A616:A622">
    <cfRule type="expression" dxfId="29" priority="5910" stopIfTrue="1">
      <formula>$A616="begin group"</formula>
    </cfRule>
  </conditionalFormatting>
  <conditionalFormatting sqref="A609:A611">
    <cfRule type="expression" dxfId="33" priority="5911" stopIfTrue="1">
      <formula>$A609="file"</formula>
    </cfRule>
  </conditionalFormatting>
  <conditionalFormatting sqref="A609:A611">
    <cfRule type="expression" dxfId="34" priority="5912" stopIfTrue="1">
      <formula>$A609="enumerator"</formula>
    </cfRule>
  </conditionalFormatting>
  <conditionalFormatting sqref="A609:A611">
    <cfRule type="expression" dxfId="35" priority="5913" stopIfTrue="1">
      <formula>OR(AND(LEFT($A609, 14)="sensor_stream ", LEN($A609)&gt;14, NOT(ISNUMBER(SEARCH(" ", $A609, 15)))), AND(LEFT($A609, 17)="sensor_statistic ", LEN($A609)&gt;17, NOT(ISNUMBER(SEARCH(" ", $A609, 18)))))</formula>
    </cfRule>
  </conditionalFormatting>
  <conditionalFormatting sqref="A609:A611">
    <cfRule type="expression" dxfId="14" priority="5914" stopIfTrue="1">
      <formula>$A609="comments"</formula>
    </cfRule>
  </conditionalFormatting>
  <conditionalFormatting sqref="A609:A611">
    <cfRule type="expression" dxfId="15" priority="5915" stopIfTrue="1">
      <formula>OR($A609="audio", $A609="video")</formula>
    </cfRule>
  </conditionalFormatting>
  <conditionalFormatting sqref="A609:A611">
    <cfRule type="expression" dxfId="16" priority="5916" stopIfTrue="1">
      <formula>$A609="image"</formula>
    </cfRule>
  </conditionalFormatting>
  <conditionalFormatting sqref="A609:A611">
    <cfRule type="expression" dxfId="17" priority="5917" stopIfTrue="1">
      <formula>OR($A609="date", $A609="datetime", $A609="time")</formula>
    </cfRule>
  </conditionalFormatting>
  <conditionalFormatting sqref="A609:A611">
    <cfRule type="expression" dxfId="18" priority="5918" stopIfTrue="1">
      <formula>OR($A609="calculate", $A609="calculate_here")</formula>
    </cfRule>
  </conditionalFormatting>
  <conditionalFormatting sqref="A609:A611">
    <cfRule type="expression" dxfId="19" priority="5919" stopIfTrue="1">
      <formula>$A609="note"</formula>
    </cfRule>
  </conditionalFormatting>
  <conditionalFormatting sqref="A609:A611">
    <cfRule type="expression" dxfId="20" priority="5920" stopIfTrue="1">
      <formula>$A609="barcode"</formula>
    </cfRule>
  </conditionalFormatting>
  <conditionalFormatting sqref="A609:A611">
    <cfRule type="expression" dxfId="21" priority="5921" stopIfTrue="1">
      <formula>OR($A609="geopoint", $A609="geoshape", $A609="geotrace")</formula>
    </cfRule>
  </conditionalFormatting>
  <conditionalFormatting sqref="A609:A611">
    <cfRule type="expression" dxfId="22" priority="5922" stopIfTrue="1">
      <formula>OR($A609="audio audit", $A609="text audit", $A609="speed violations count", $A609="speed violations list", $A609="speed violations audit")</formula>
    </cfRule>
  </conditionalFormatting>
  <conditionalFormatting sqref="A609:A611">
    <cfRule type="expression" dxfId="23" priority="5923" stopIfTrue="1">
      <formula>OR($A609="username", $A609="phonenumber", $A609="start", $A609="end", $A609="deviceid", $A609="subscriberid", $A609="simserial", $A609="caseid")</formula>
    </cfRule>
  </conditionalFormatting>
  <conditionalFormatting sqref="A609:A611">
    <cfRule type="expression" dxfId="24" priority="5924" stopIfTrue="1">
      <formula>OR(AND(LEFT($A609, 16)="select_multiple ", LEN($A609)&gt;16, NOT(ISNUMBER(SEARCH(" ", $A609, 17)))), AND(LEFT($A609, 11)="select_one ", LEN($A609)&gt;11, NOT(ISNUMBER(SEARCH(" ", $A609, 12)))))</formula>
    </cfRule>
  </conditionalFormatting>
  <conditionalFormatting sqref="A609:A611">
    <cfRule type="expression" dxfId="25" priority="5925" stopIfTrue="1">
      <formula>$A609="decimal"</formula>
    </cfRule>
  </conditionalFormatting>
  <conditionalFormatting sqref="A609:A611">
    <cfRule type="expression" dxfId="26" priority="5926" stopIfTrue="1">
      <formula>$A609="integer"</formula>
    </cfRule>
  </conditionalFormatting>
  <conditionalFormatting sqref="A609:A611">
    <cfRule type="expression" dxfId="27" priority="5927" stopIfTrue="1">
      <formula>$A609="text"</formula>
    </cfRule>
  </conditionalFormatting>
  <conditionalFormatting sqref="A609:A611">
    <cfRule type="expression" dxfId="28" priority="5928" stopIfTrue="1">
      <formula>$A609="end repeat"</formula>
    </cfRule>
  </conditionalFormatting>
  <conditionalFormatting sqref="A609:A611">
    <cfRule type="expression" dxfId="28" priority="5929" stopIfTrue="1">
      <formula>$A609="begin repeat"</formula>
    </cfRule>
  </conditionalFormatting>
  <conditionalFormatting sqref="A609:A611">
    <cfRule type="expression" dxfId="29" priority="5930" stopIfTrue="1">
      <formula>$A609="end group"</formula>
    </cfRule>
  </conditionalFormatting>
  <conditionalFormatting sqref="A609:A611">
    <cfRule type="expression" dxfId="29" priority="5931" stopIfTrue="1">
      <formula>$A609="begin group"</formula>
    </cfRule>
  </conditionalFormatting>
  <conditionalFormatting sqref="A601:A605">
    <cfRule type="expression" dxfId="33" priority="5932" stopIfTrue="1">
      <formula>$A601="file"</formula>
    </cfRule>
  </conditionalFormatting>
  <conditionalFormatting sqref="A601:A605">
    <cfRule type="expression" dxfId="34" priority="5933" stopIfTrue="1">
      <formula>$A601="enumerator"</formula>
    </cfRule>
  </conditionalFormatting>
  <conditionalFormatting sqref="A601:A605">
    <cfRule type="expression" dxfId="35" priority="5934" stopIfTrue="1">
      <formula>OR(AND(LEFT($A601, 14)="sensor_stream ", LEN($A601)&gt;14, NOT(ISNUMBER(SEARCH(" ", $A601, 15)))), AND(LEFT($A601, 17)="sensor_statistic ", LEN($A601)&gt;17, NOT(ISNUMBER(SEARCH(" ", $A601, 18)))))</formula>
    </cfRule>
  </conditionalFormatting>
  <conditionalFormatting sqref="A601:A605">
    <cfRule type="expression" dxfId="14" priority="5935" stopIfTrue="1">
      <formula>$A601="comments"</formula>
    </cfRule>
  </conditionalFormatting>
  <conditionalFormatting sqref="A601:A605">
    <cfRule type="expression" dxfId="15" priority="5936" stopIfTrue="1">
      <formula>OR($A601="audio", $A601="video")</formula>
    </cfRule>
  </conditionalFormatting>
  <conditionalFormatting sqref="A601:A605">
    <cfRule type="expression" dxfId="16" priority="5937" stopIfTrue="1">
      <formula>$A601="image"</formula>
    </cfRule>
  </conditionalFormatting>
  <conditionalFormatting sqref="A601:A605">
    <cfRule type="expression" dxfId="17" priority="5938" stopIfTrue="1">
      <formula>OR($A601="date", $A601="datetime", $A601="time")</formula>
    </cfRule>
  </conditionalFormatting>
  <conditionalFormatting sqref="A601:A605">
    <cfRule type="expression" dxfId="18" priority="5939" stopIfTrue="1">
      <formula>OR($A601="calculate", $A601="calculate_here")</formula>
    </cfRule>
  </conditionalFormatting>
  <conditionalFormatting sqref="A601:A605">
    <cfRule type="expression" dxfId="19" priority="5940" stopIfTrue="1">
      <formula>$A601="note"</formula>
    </cfRule>
  </conditionalFormatting>
  <conditionalFormatting sqref="A601:A605">
    <cfRule type="expression" dxfId="20" priority="5941" stopIfTrue="1">
      <formula>$A601="barcode"</formula>
    </cfRule>
  </conditionalFormatting>
  <conditionalFormatting sqref="A601:A605">
    <cfRule type="expression" dxfId="21" priority="5942" stopIfTrue="1">
      <formula>OR($A601="geopoint", $A601="geoshape", $A601="geotrace")</formula>
    </cfRule>
  </conditionalFormatting>
  <conditionalFormatting sqref="A601:A605">
    <cfRule type="expression" dxfId="22" priority="5943" stopIfTrue="1">
      <formula>OR($A601="audio audit", $A601="text audit", $A601="speed violations count", $A601="speed violations list", $A601="speed violations audit")</formula>
    </cfRule>
  </conditionalFormatting>
  <conditionalFormatting sqref="A601:A605">
    <cfRule type="expression" dxfId="23" priority="5944" stopIfTrue="1">
      <formula>OR($A601="username", $A601="phonenumber", $A601="start", $A601="end", $A601="deviceid", $A601="subscriberid", $A601="simserial", $A601="caseid")</formula>
    </cfRule>
  </conditionalFormatting>
  <conditionalFormatting sqref="A601:A605">
    <cfRule type="expression" dxfId="24" priority="5945" stopIfTrue="1">
      <formula>OR(AND(LEFT($A601, 16)="select_multiple ", LEN($A601)&gt;16, NOT(ISNUMBER(SEARCH(" ", $A601, 17)))), AND(LEFT($A601, 11)="select_one ", LEN($A601)&gt;11, NOT(ISNUMBER(SEARCH(" ", $A601, 12)))))</formula>
    </cfRule>
  </conditionalFormatting>
  <conditionalFormatting sqref="A601:A605">
    <cfRule type="expression" dxfId="25" priority="5946" stopIfTrue="1">
      <formula>$A601="decimal"</formula>
    </cfRule>
  </conditionalFormatting>
  <conditionalFormatting sqref="A601:A605">
    <cfRule type="expression" dxfId="26" priority="5947" stopIfTrue="1">
      <formula>$A601="integer"</formula>
    </cfRule>
  </conditionalFormatting>
  <conditionalFormatting sqref="A601:A605">
    <cfRule type="expression" dxfId="27" priority="5948" stopIfTrue="1">
      <formula>$A601="text"</formula>
    </cfRule>
  </conditionalFormatting>
  <conditionalFormatting sqref="A601:A605">
    <cfRule type="expression" dxfId="28" priority="5949" stopIfTrue="1">
      <formula>$A601="end repeat"</formula>
    </cfRule>
  </conditionalFormatting>
  <conditionalFormatting sqref="A601:A605">
    <cfRule type="expression" dxfId="28" priority="5950" stopIfTrue="1">
      <formula>$A601="begin repeat"</formula>
    </cfRule>
  </conditionalFormatting>
  <conditionalFormatting sqref="A601:A605">
    <cfRule type="expression" dxfId="29" priority="5951" stopIfTrue="1">
      <formula>$A601="end group"</formula>
    </cfRule>
  </conditionalFormatting>
  <conditionalFormatting sqref="A601:A605">
    <cfRule type="expression" dxfId="29" priority="5952" stopIfTrue="1">
      <formula>$A601="begin group"</formula>
    </cfRule>
  </conditionalFormatting>
  <conditionalFormatting sqref="A588:A591">
    <cfRule type="expression" dxfId="33" priority="5953" stopIfTrue="1">
      <formula>$A588="file"</formula>
    </cfRule>
  </conditionalFormatting>
  <conditionalFormatting sqref="A588:A591">
    <cfRule type="expression" dxfId="34" priority="5954" stopIfTrue="1">
      <formula>$A588="enumerator"</formula>
    </cfRule>
  </conditionalFormatting>
  <conditionalFormatting sqref="A588:A591">
    <cfRule type="expression" dxfId="35" priority="5955" stopIfTrue="1">
      <formula>OR(AND(LEFT($A588, 14)="sensor_stream ", LEN($A588)&gt;14, NOT(ISNUMBER(SEARCH(" ", $A588, 15)))), AND(LEFT($A588, 17)="sensor_statistic ", LEN($A588)&gt;17, NOT(ISNUMBER(SEARCH(" ", $A588, 18)))))</formula>
    </cfRule>
  </conditionalFormatting>
  <conditionalFormatting sqref="A588:A591">
    <cfRule type="expression" dxfId="14" priority="5956" stopIfTrue="1">
      <formula>$A588="comments"</formula>
    </cfRule>
  </conditionalFormatting>
  <conditionalFormatting sqref="A588:A591">
    <cfRule type="expression" dxfId="15" priority="5957" stopIfTrue="1">
      <formula>OR($A588="audio", $A588="video")</formula>
    </cfRule>
  </conditionalFormatting>
  <conditionalFormatting sqref="A588:A591">
    <cfRule type="expression" dxfId="16" priority="5958" stopIfTrue="1">
      <formula>$A588="image"</formula>
    </cfRule>
  </conditionalFormatting>
  <conditionalFormatting sqref="A588:A591">
    <cfRule type="expression" dxfId="17" priority="5959" stopIfTrue="1">
      <formula>OR($A588="date", $A588="datetime", $A588="time")</formula>
    </cfRule>
  </conditionalFormatting>
  <conditionalFormatting sqref="A588:A591">
    <cfRule type="expression" dxfId="18" priority="5960" stopIfTrue="1">
      <formula>OR($A588="calculate", $A588="calculate_here")</formula>
    </cfRule>
  </conditionalFormatting>
  <conditionalFormatting sqref="A588:A591">
    <cfRule type="expression" dxfId="19" priority="5961" stopIfTrue="1">
      <formula>$A588="note"</formula>
    </cfRule>
  </conditionalFormatting>
  <conditionalFormatting sqref="A588:A591">
    <cfRule type="expression" dxfId="20" priority="5962" stopIfTrue="1">
      <formula>$A588="barcode"</formula>
    </cfRule>
  </conditionalFormatting>
  <conditionalFormatting sqref="A588:A591">
    <cfRule type="expression" dxfId="21" priority="5963" stopIfTrue="1">
      <formula>OR($A588="geopoint", $A588="geoshape", $A588="geotrace")</formula>
    </cfRule>
  </conditionalFormatting>
  <conditionalFormatting sqref="A588:A591">
    <cfRule type="expression" dxfId="22" priority="5964" stopIfTrue="1">
      <formula>OR($A588="audio audit", $A588="text audit", $A588="speed violations count", $A588="speed violations list", $A588="speed violations audit")</formula>
    </cfRule>
  </conditionalFormatting>
  <conditionalFormatting sqref="A588:A591">
    <cfRule type="expression" dxfId="23" priority="5965" stopIfTrue="1">
      <formula>OR($A588="username", $A588="phonenumber", $A588="start", $A588="end", $A588="deviceid", $A588="subscriberid", $A588="simserial", $A588="caseid")</formula>
    </cfRule>
  </conditionalFormatting>
  <conditionalFormatting sqref="A588:A591">
    <cfRule type="expression" dxfId="24" priority="5966" stopIfTrue="1">
      <formula>OR(AND(LEFT($A588, 16)="select_multiple ", LEN($A588)&gt;16, NOT(ISNUMBER(SEARCH(" ", $A588, 17)))), AND(LEFT($A588, 11)="select_one ", LEN($A588)&gt;11, NOT(ISNUMBER(SEARCH(" ", $A588, 12)))))</formula>
    </cfRule>
  </conditionalFormatting>
  <conditionalFormatting sqref="A588:A591">
    <cfRule type="expression" dxfId="25" priority="5967" stopIfTrue="1">
      <formula>$A588="decimal"</formula>
    </cfRule>
  </conditionalFormatting>
  <conditionalFormatting sqref="A588:A591">
    <cfRule type="expression" dxfId="26" priority="5968" stopIfTrue="1">
      <formula>$A588="integer"</formula>
    </cfRule>
  </conditionalFormatting>
  <conditionalFormatting sqref="A588:A591">
    <cfRule type="expression" dxfId="27" priority="5969" stopIfTrue="1">
      <formula>$A588="text"</formula>
    </cfRule>
  </conditionalFormatting>
  <conditionalFormatting sqref="A588:A591">
    <cfRule type="expression" dxfId="28" priority="5970" stopIfTrue="1">
      <formula>$A588="end repeat"</formula>
    </cfRule>
  </conditionalFormatting>
  <conditionalFormatting sqref="A588:A591">
    <cfRule type="expression" dxfId="28" priority="5971" stopIfTrue="1">
      <formula>$A588="begin repeat"</formula>
    </cfRule>
  </conditionalFormatting>
  <conditionalFormatting sqref="A588:A591">
    <cfRule type="expression" dxfId="29" priority="5972" stopIfTrue="1">
      <formula>$A588="end group"</formula>
    </cfRule>
  </conditionalFormatting>
  <conditionalFormatting sqref="A588:A591">
    <cfRule type="expression" dxfId="29" priority="5973" stopIfTrue="1">
      <formula>$A588="begin group"</formula>
    </cfRule>
  </conditionalFormatting>
  <conditionalFormatting sqref="A577">
    <cfRule type="expression" dxfId="10" priority="5974" stopIfTrue="1">
      <formula>OR($A577="calculate", $A577="calculate_here")</formula>
    </cfRule>
  </conditionalFormatting>
  <conditionalFormatting sqref="A572:A584">
    <cfRule type="expression" dxfId="33" priority="5975" stopIfTrue="1">
      <formula>$A572="file"</formula>
    </cfRule>
  </conditionalFormatting>
  <conditionalFormatting sqref="A572:A584">
    <cfRule type="expression" dxfId="34" priority="5976" stopIfTrue="1">
      <formula>$A572="enumerator"</formula>
    </cfRule>
  </conditionalFormatting>
  <conditionalFormatting sqref="A572:A584">
    <cfRule type="expression" dxfId="35" priority="5977" stopIfTrue="1">
      <formula>OR(AND(LEFT($A572, 14)="sensor_stream ", LEN($A572)&gt;14, NOT(ISNUMBER(SEARCH(" ", $A572, 15)))), AND(LEFT($A572, 17)="sensor_statistic ", LEN($A572)&gt;17, NOT(ISNUMBER(SEARCH(" ", $A572, 18)))))</formula>
    </cfRule>
  </conditionalFormatting>
  <conditionalFormatting sqref="A572:A584">
    <cfRule type="expression" dxfId="14" priority="5978" stopIfTrue="1">
      <formula>$A572="comments"</formula>
    </cfRule>
  </conditionalFormatting>
  <conditionalFormatting sqref="A572:A584">
    <cfRule type="expression" dxfId="15" priority="5979" stopIfTrue="1">
      <formula>OR($A572="audio", $A572="video")</formula>
    </cfRule>
  </conditionalFormatting>
  <conditionalFormatting sqref="A572:A584">
    <cfRule type="expression" dxfId="16" priority="5980" stopIfTrue="1">
      <formula>$A572="image"</formula>
    </cfRule>
  </conditionalFormatting>
  <conditionalFormatting sqref="A572:A584">
    <cfRule type="expression" dxfId="17" priority="5981" stopIfTrue="1">
      <formula>OR($A572="date", $A572="datetime", $A572="time")</formula>
    </cfRule>
  </conditionalFormatting>
  <conditionalFormatting sqref="A572:A584">
    <cfRule type="expression" dxfId="18" priority="5982" stopIfTrue="1">
      <formula>OR($A572="calculate", $A572="calculate_here")</formula>
    </cfRule>
  </conditionalFormatting>
  <conditionalFormatting sqref="A572:A584">
    <cfRule type="expression" dxfId="19" priority="5983" stopIfTrue="1">
      <formula>$A572="note"</formula>
    </cfRule>
  </conditionalFormatting>
  <conditionalFormatting sqref="A572:A584">
    <cfRule type="expression" dxfId="20" priority="5984" stopIfTrue="1">
      <formula>$A572="barcode"</formula>
    </cfRule>
  </conditionalFormatting>
  <conditionalFormatting sqref="A572:A584">
    <cfRule type="expression" dxfId="21" priority="5985" stopIfTrue="1">
      <formula>OR($A572="geopoint", $A572="geoshape", $A572="geotrace")</formula>
    </cfRule>
  </conditionalFormatting>
  <conditionalFormatting sqref="A572:A584">
    <cfRule type="expression" dxfId="22" priority="5986" stopIfTrue="1">
      <formula>OR($A572="audio audit", $A572="text audit", $A572="speed violations count", $A572="speed violations list", $A572="speed violations audit")</formula>
    </cfRule>
  </conditionalFormatting>
  <conditionalFormatting sqref="A572:A584">
    <cfRule type="expression" dxfId="23" priority="5987" stopIfTrue="1">
      <formula>OR($A572="username", $A572="phonenumber", $A572="start", $A572="end", $A572="deviceid", $A572="subscriberid", $A572="simserial", $A572="caseid")</formula>
    </cfRule>
  </conditionalFormatting>
  <conditionalFormatting sqref="A572:A584">
    <cfRule type="expression" dxfId="24" priority="5988" stopIfTrue="1">
      <formula>OR(AND(LEFT($A572, 16)="select_multiple ", LEN($A572)&gt;16, NOT(ISNUMBER(SEARCH(" ", $A572, 17)))), AND(LEFT($A572, 11)="select_one ", LEN($A572)&gt;11, NOT(ISNUMBER(SEARCH(" ", $A572, 12)))))</formula>
    </cfRule>
  </conditionalFormatting>
  <conditionalFormatting sqref="A572:A584">
    <cfRule type="expression" dxfId="25" priority="5989" stopIfTrue="1">
      <formula>$A572="decimal"</formula>
    </cfRule>
  </conditionalFormatting>
  <conditionalFormatting sqref="A572:A584">
    <cfRule type="expression" dxfId="26" priority="5990" stopIfTrue="1">
      <formula>$A572="integer"</formula>
    </cfRule>
  </conditionalFormatting>
  <conditionalFormatting sqref="A572:A584">
    <cfRule type="expression" dxfId="27" priority="5991" stopIfTrue="1">
      <formula>$A572="text"</formula>
    </cfRule>
  </conditionalFormatting>
  <conditionalFormatting sqref="A572:A584">
    <cfRule type="expression" dxfId="28" priority="5992" stopIfTrue="1">
      <formula>$A572="end repeat"</formula>
    </cfRule>
  </conditionalFormatting>
  <conditionalFormatting sqref="A572:A584">
    <cfRule type="expression" dxfId="28" priority="5993" stopIfTrue="1">
      <formula>$A572="begin repeat"</formula>
    </cfRule>
  </conditionalFormatting>
  <conditionalFormatting sqref="A572:A584">
    <cfRule type="expression" dxfId="29" priority="5994" stopIfTrue="1">
      <formula>$A572="end group"</formula>
    </cfRule>
  </conditionalFormatting>
  <conditionalFormatting sqref="A572:A584">
    <cfRule type="expression" dxfId="29" priority="5995" stopIfTrue="1">
      <formula>$A572="begin group"</formula>
    </cfRule>
  </conditionalFormatting>
  <conditionalFormatting sqref="A557 A562">
    <cfRule type="expression" dxfId="10" priority="5996" stopIfTrue="1">
      <formula>OR($A557="calculate", $A557="calculate_here")</formula>
    </cfRule>
  </conditionalFormatting>
  <conditionalFormatting sqref="A556:A570">
    <cfRule type="expression" dxfId="33" priority="5997" stopIfTrue="1">
      <formula>$A556="file"</formula>
    </cfRule>
  </conditionalFormatting>
  <conditionalFormatting sqref="A556:A570">
    <cfRule type="expression" dxfId="34" priority="5998" stopIfTrue="1">
      <formula>$A556="enumerator"</formula>
    </cfRule>
  </conditionalFormatting>
  <conditionalFormatting sqref="A556:A570">
    <cfRule type="expression" dxfId="35" priority="5999" stopIfTrue="1">
      <formula>OR(AND(LEFT($A556, 14)="sensor_stream ", LEN($A556)&gt;14, NOT(ISNUMBER(SEARCH(" ", $A556, 15)))), AND(LEFT($A556, 17)="sensor_statistic ", LEN($A556)&gt;17, NOT(ISNUMBER(SEARCH(" ", $A556, 18)))))</formula>
    </cfRule>
  </conditionalFormatting>
  <conditionalFormatting sqref="A556:A570">
    <cfRule type="expression" dxfId="14" priority="6000" stopIfTrue="1">
      <formula>$A556="comments"</formula>
    </cfRule>
  </conditionalFormatting>
  <conditionalFormatting sqref="A556:A570">
    <cfRule type="expression" dxfId="15" priority="6001" stopIfTrue="1">
      <formula>OR($A556="audio", $A556="video")</formula>
    </cfRule>
  </conditionalFormatting>
  <conditionalFormatting sqref="A556:A570">
    <cfRule type="expression" dxfId="16" priority="6002" stopIfTrue="1">
      <formula>$A556="image"</formula>
    </cfRule>
  </conditionalFormatting>
  <conditionalFormatting sqref="A556:A570">
    <cfRule type="expression" dxfId="17" priority="6003" stopIfTrue="1">
      <formula>OR($A556="date", $A556="datetime", $A556="time")</formula>
    </cfRule>
  </conditionalFormatting>
  <conditionalFormatting sqref="A556:A570">
    <cfRule type="expression" dxfId="18" priority="6004" stopIfTrue="1">
      <formula>OR($A556="calculate", $A556="calculate_here")</formula>
    </cfRule>
  </conditionalFormatting>
  <conditionalFormatting sqref="A556:A570">
    <cfRule type="expression" dxfId="19" priority="6005" stopIfTrue="1">
      <formula>$A556="note"</formula>
    </cfRule>
  </conditionalFormatting>
  <conditionalFormatting sqref="A556:A570">
    <cfRule type="expression" dxfId="20" priority="6006" stopIfTrue="1">
      <formula>$A556="barcode"</formula>
    </cfRule>
  </conditionalFormatting>
  <conditionalFormatting sqref="A556:A570">
    <cfRule type="expression" dxfId="21" priority="6007" stopIfTrue="1">
      <formula>OR($A556="geopoint", $A556="geoshape", $A556="geotrace")</formula>
    </cfRule>
  </conditionalFormatting>
  <conditionalFormatting sqref="A556:A570">
    <cfRule type="expression" dxfId="22" priority="6008" stopIfTrue="1">
      <formula>OR($A556="audio audit", $A556="text audit", $A556="speed violations count", $A556="speed violations list", $A556="speed violations audit")</formula>
    </cfRule>
  </conditionalFormatting>
  <conditionalFormatting sqref="A556:A570">
    <cfRule type="expression" dxfId="23" priority="6009" stopIfTrue="1">
      <formula>OR($A556="username", $A556="phonenumber", $A556="start", $A556="end", $A556="deviceid", $A556="subscriberid", $A556="simserial", $A556="caseid")</formula>
    </cfRule>
  </conditionalFormatting>
  <conditionalFormatting sqref="A556:A570">
    <cfRule type="expression" dxfId="24" priority="6010" stopIfTrue="1">
      <formula>OR(AND(LEFT($A556, 16)="select_multiple ", LEN($A556)&gt;16, NOT(ISNUMBER(SEARCH(" ", $A556, 17)))), AND(LEFT($A556, 11)="select_one ", LEN($A556)&gt;11, NOT(ISNUMBER(SEARCH(" ", $A556, 12)))))</formula>
    </cfRule>
  </conditionalFormatting>
  <conditionalFormatting sqref="A556:A570">
    <cfRule type="expression" dxfId="25" priority="6011" stopIfTrue="1">
      <formula>$A556="decimal"</formula>
    </cfRule>
  </conditionalFormatting>
  <conditionalFormatting sqref="A556:A570">
    <cfRule type="expression" dxfId="26" priority="6012" stopIfTrue="1">
      <formula>$A556="integer"</formula>
    </cfRule>
  </conditionalFormatting>
  <conditionalFormatting sqref="A556:A570">
    <cfRule type="expression" dxfId="27" priority="6013" stopIfTrue="1">
      <formula>$A556="text"</formula>
    </cfRule>
  </conditionalFormatting>
  <conditionalFormatting sqref="A556:A570">
    <cfRule type="expression" dxfId="28" priority="6014" stopIfTrue="1">
      <formula>$A556="end repeat"</formula>
    </cfRule>
  </conditionalFormatting>
  <conditionalFormatting sqref="A556:A570">
    <cfRule type="expression" dxfId="28" priority="6015" stopIfTrue="1">
      <formula>$A556="begin repeat"</formula>
    </cfRule>
  </conditionalFormatting>
  <conditionalFormatting sqref="A556:A570">
    <cfRule type="expression" dxfId="29" priority="6016" stopIfTrue="1">
      <formula>$A556="end group"</formula>
    </cfRule>
  </conditionalFormatting>
  <conditionalFormatting sqref="A556:A570">
    <cfRule type="expression" dxfId="29" priority="6017" stopIfTrue="1">
      <formula>$A556="begin group"</formula>
    </cfRule>
  </conditionalFormatting>
  <conditionalFormatting sqref="A542">
    <cfRule type="expression" dxfId="33" priority="6018" stopIfTrue="1">
      <formula>$A542="file"</formula>
    </cfRule>
  </conditionalFormatting>
  <conditionalFormatting sqref="A542">
    <cfRule type="expression" dxfId="34" priority="6019" stopIfTrue="1">
      <formula>$A542="enumerator"</formula>
    </cfRule>
  </conditionalFormatting>
  <conditionalFormatting sqref="A542">
    <cfRule type="expression" dxfId="35" priority="6020" stopIfTrue="1">
      <formula>OR(AND(LEFT($A542, 14)="sensor_stream ", LEN($A542)&gt;14, NOT(ISNUMBER(SEARCH(" ", $A542, 15)))), AND(LEFT($A542, 17)="sensor_statistic ", LEN($A542)&gt;17, NOT(ISNUMBER(SEARCH(" ", $A542, 18)))))</formula>
    </cfRule>
  </conditionalFormatting>
  <conditionalFormatting sqref="A542">
    <cfRule type="expression" dxfId="14" priority="6021" stopIfTrue="1">
      <formula>$A542="comments"</formula>
    </cfRule>
  </conditionalFormatting>
  <conditionalFormatting sqref="A542">
    <cfRule type="expression" dxfId="15" priority="6022" stopIfTrue="1">
      <formula>OR($A542="audio", $A542="video")</formula>
    </cfRule>
  </conditionalFormatting>
  <conditionalFormatting sqref="A542">
    <cfRule type="expression" dxfId="16" priority="6023" stopIfTrue="1">
      <formula>$A542="image"</formula>
    </cfRule>
  </conditionalFormatting>
  <conditionalFormatting sqref="A542">
    <cfRule type="expression" dxfId="17" priority="6024" stopIfTrue="1">
      <formula>OR($A542="date", $A542="datetime", $A542="time")</formula>
    </cfRule>
  </conditionalFormatting>
  <conditionalFormatting sqref="A542">
    <cfRule type="expression" dxfId="18" priority="6025" stopIfTrue="1">
      <formula>OR($A542="calculate", $A542="calculate_here")</formula>
    </cfRule>
  </conditionalFormatting>
  <conditionalFormatting sqref="A542">
    <cfRule type="expression" dxfId="19" priority="6026" stopIfTrue="1">
      <formula>$A542="note"</formula>
    </cfRule>
  </conditionalFormatting>
  <conditionalFormatting sqref="A542">
    <cfRule type="expression" dxfId="20" priority="6027" stopIfTrue="1">
      <formula>$A542="barcode"</formula>
    </cfRule>
  </conditionalFormatting>
  <conditionalFormatting sqref="A542">
    <cfRule type="expression" dxfId="21" priority="6028" stopIfTrue="1">
      <formula>OR($A542="geopoint", $A542="geoshape", $A542="geotrace")</formula>
    </cfRule>
  </conditionalFormatting>
  <conditionalFormatting sqref="A542">
    <cfRule type="expression" dxfId="22" priority="6029" stopIfTrue="1">
      <formula>OR($A542="audio audit", $A542="text audit", $A542="speed violations count", $A542="speed violations list", $A542="speed violations audit")</formula>
    </cfRule>
  </conditionalFormatting>
  <conditionalFormatting sqref="A542">
    <cfRule type="expression" dxfId="23" priority="6030" stopIfTrue="1">
      <formula>OR($A542="username", $A542="phonenumber", $A542="start", $A542="end", $A542="deviceid", $A542="subscriberid", $A542="simserial", $A542="caseid")</formula>
    </cfRule>
  </conditionalFormatting>
  <conditionalFormatting sqref="A542">
    <cfRule type="expression" dxfId="24" priority="6031" stopIfTrue="1">
      <formula>OR(AND(LEFT($A542, 16)="select_multiple ", LEN($A542)&gt;16, NOT(ISNUMBER(SEARCH(" ", $A542, 17)))), AND(LEFT($A542, 11)="select_one ", LEN($A542)&gt;11, NOT(ISNUMBER(SEARCH(" ", $A542, 12)))))</formula>
    </cfRule>
  </conditionalFormatting>
  <conditionalFormatting sqref="A542">
    <cfRule type="expression" dxfId="25" priority="6032" stopIfTrue="1">
      <formula>$A542="decimal"</formula>
    </cfRule>
  </conditionalFormatting>
  <conditionalFormatting sqref="A542">
    <cfRule type="expression" dxfId="26" priority="6033" stopIfTrue="1">
      <formula>$A542="integer"</formula>
    </cfRule>
  </conditionalFormatting>
  <conditionalFormatting sqref="A542">
    <cfRule type="expression" dxfId="27" priority="6034" stopIfTrue="1">
      <formula>$A542="text"</formula>
    </cfRule>
  </conditionalFormatting>
  <conditionalFormatting sqref="A542">
    <cfRule type="expression" dxfId="28" priority="6035" stopIfTrue="1">
      <formula>$A542="end repeat"</formula>
    </cfRule>
  </conditionalFormatting>
  <conditionalFormatting sqref="A542">
    <cfRule type="expression" dxfId="28" priority="6036" stopIfTrue="1">
      <formula>$A542="begin repeat"</formula>
    </cfRule>
  </conditionalFormatting>
  <conditionalFormatting sqref="A542">
    <cfRule type="expression" dxfId="29" priority="6037" stopIfTrue="1">
      <formula>$A542="end group"</formula>
    </cfRule>
  </conditionalFormatting>
  <conditionalFormatting sqref="A542">
    <cfRule type="expression" dxfId="29" priority="6038" stopIfTrue="1">
      <formula>$A542="begin group"</formula>
    </cfRule>
  </conditionalFormatting>
  <conditionalFormatting sqref="A534:A536">
    <cfRule type="expression" dxfId="33" priority="6039" stopIfTrue="1">
      <formula>$A534="file"</formula>
    </cfRule>
  </conditionalFormatting>
  <conditionalFormatting sqref="A534:A536">
    <cfRule type="expression" dxfId="34" priority="6040" stopIfTrue="1">
      <formula>$A534="enumerator"</formula>
    </cfRule>
  </conditionalFormatting>
  <conditionalFormatting sqref="A534:A536">
    <cfRule type="expression" dxfId="35" priority="6041" stopIfTrue="1">
      <formula>OR(AND(LEFT($A534, 14)="sensor_stream ", LEN($A534)&gt;14, NOT(ISNUMBER(SEARCH(" ", $A534, 15)))), AND(LEFT($A534, 17)="sensor_statistic ", LEN($A534)&gt;17, NOT(ISNUMBER(SEARCH(" ", $A534, 18)))))</formula>
    </cfRule>
  </conditionalFormatting>
  <conditionalFormatting sqref="A534:A536">
    <cfRule type="expression" dxfId="14" priority="6042" stopIfTrue="1">
      <formula>$A534="comments"</formula>
    </cfRule>
  </conditionalFormatting>
  <conditionalFormatting sqref="A534:A536">
    <cfRule type="expression" dxfId="15" priority="6043" stopIfTrue="1">
      <formula>OR($A534="audio", $A534="video")</formula>
    </cfRule>
  </conditionalFormatting>
  <conditionalFormatting sqref="A534:A536">
    <cfRule type="expression" dxfId="16" priority="6044" stopIfTrue="1">
      <formula>$A534="image"</formula>
    </cfRule>
  </conditionalFormatting>
  <conditionalFormatting sqref="A534:A536">
    <cfRule type="expression" dxfId="17" priority="6045" stopIfTrue="1">
      <formula>OR($A534="date", $A534="datetime", $A534="time")</formula>
    </cfRule>
  </conditionalFormatting>
  <conditionalFormatting sqref="A534:A536">
    <cfRule type="expression" dxfId="18" priority="6046" stopIfTrue="1">
      <formula>OR($A534="calculate", $A534="calculate_here")</formula>
    </cfRule>
  </conditionalFormatting>
  <conditionalFormatting sqref="A534:A536">
    <cfRule type="expression" dxfId="19" priority="6047" stopIfTrue="1">
      <formula>$A534="note"</formula>
    </cfRule>
  </conditionalFormatting>
  <conditionalFormatting sqref="A534:A536">
    <cfRule type="expression" dxfId="20" priority="6048" stopIfTrue="1">
      <formula>$A534="barcode"</formula>
    </cfRule>
  </conditionalFormatting>
  <conditionalFormatting sqref="A534:A536">
    <cfRule type="expression" dxfId="21" priority="6049" stopIfTrue="1">
      <formula>OR($A534="geopoint", $A534="geoshape", $A534="geotrace")</formula>
    </cfRule>
  </conditionalFormatting>
  <conditionalFormatting sqref="A534:A536">
    <cfRule type="expression" dxfId="22" priority="6050" stopIfTrue="1">
      <formula>OR($A534="audio audit", $A534="text audit", $A534="speed violations count", $A534="speed violations list", $A534="speed violations audit")</formula>
    </cfRule>
  </conditionalFormatting>
  <conditionalFormatting sqref="A534:A536">
    <cfRule type="expression" dxfId="23" priority="6051" stopIfTrue="1">
      <formula>OR($A534="username", $A534="phonenumber", $A534="start", $A534="end", $A534="deviceid", $A534="subscriberid", $A534="simserial", $A534="caseid")</formula>
    </cfRule>
  </conditionalFormatting>
  <conditionalFormatting sqref="A534:A536">
    <cfRule type="expression" dxfId="24" priority="6052" stopIfTrue="1">
      <formula>OR(AND(LEFT($A534, 16)="select_multiple ", LEN($A534)&gt;16, NOT(ISNUMBER(SEARCH(" ", $A534, 17)))), AND(LEFT($A534, 11)="select_one ", LEN($A534)&gt;11, NOT(ISNUMBER(SEARCH(" ", $A534, 12)))))</formula>
    </cfRule>
  </conditionalFormatting>
  <conditionalFormatting sqref="A534:A536">
    <cfRule type="expression" dxfId="25" priority="6053" stopIfTrue="1">
      <formula>$A534="decimal"</formula>
    </cfRule>
  </conditionalFormatting>
  <conditionalFormatting sqref="A534:A536">
    <cfRule type="expression" dxfId="26" priority="6054" stopIfTrue="1">
      <formula>$A534="integer"</formula>
    </cfRule>
  </conditionalFormatting>
  <conditionalFormatting sqref="A534:A536">
    <cfRule type="expression" dxfId="27" priority="6055" stopIfTrue="1">
      <formula>$A534="text"</formula>
    </cfRule>
  </conditionalFormatting>
  <conditionalFormatting sqref="A534:A536">
    <cfRule type="expression" dxfId="28" priority="6056" stopIfTrue="1">
      <formula>$A534="end repeat"</formula>
    </cfRule>
  </conditionalFormatting>
  <conditionalFormatting sqref="A534:A536">
    <cfRule type="expression" dxfId="28" priority="6057" stopIfTrue="1">
      <formula>$A534="begin repeat"</formula>
    </cfRule>
  </conditionalFormatting>
  <conditionalFormatting sqref="A534:A536">
    <cfRule type="expression" dxfId="29" priority="6058" stopIfTrue="1">
      <formula>$A534="end group"</formula>
    </cfRule>
  </conditionalFormatting>
  <conditionalFormatting sqref="A534:A536">
    <cfRule type="expression" dxfId="29" priority="6059" stopIfTrue="1">
      <formula>$A534="begin group"</formula>
    </cfRule>
  </conditionalFormatting>
  <conditionalFormatting sqref="A530:A531">
    <cfRule type="expression" dxfId="33" priority="6060" stopIfTrue="1">
      <formula>$A530="file"</formula>
    </cfRule>
  </conditionalFormatting>
  <conditionalFormatting sqref="A530:A531">
    <cfRule type="expression" dxfId="34" priority="6061" stopIfTrue="1">
      <formula>$A530="enumerator"</formula>
    </cfRule>
  </conditionalFormatting>
  <conditionalFormatting sqref="A530:A531">
    <cfRule type="expression" dxfId="35" priority="6062" stopIfTrue="1">
      <formula>OR(AND(LEFT($A530, 14)="sensor_stream ", LEN($A530)&gt;14, NOT(ISNUMBER(SEARCH(" ", $A530, 15)))), AND(LEFT($A530, 17)="sensor_statistic ", LEN($A530)&gt;17, NOT(ISNUMBER(SEARCH(" ", $A530, 18)))))</formula>
    </cfRule>
  </conditionalFormatting>
  <conditionalFormatting sqref="A530:A531">
    <cfRule type="expression" dxfId="14" priority="6063" stopIfTrue="1">
      <formula>$A530="comments"</formula>
    </cfRule>
  </conditionalFormatting>
  <conditionalFormatting sqref="A530:A531">
    <cfRule type="expression" dxfId="15" priority="6064" stopIfTrue="1">
      <formula>OR($A530="audio", $A530="video")</formula>
    </cfRule>
  </conditionalFormatting>
  <conditionalFormatting sqref="A530:A531">
    <cfRule type="expression" dxfId="16" priority="6065" stopIfTrue="1">
      <formula>$A530="image"</formula>
    </cfRule>
  </conditionalFormatting>
  <conditionalFormatting sqref="A530:A531">
    <cfRule type="expression" dxfId="17" priority="6066" stopIfTrue="1">
      <formula>OR($A530="date", $A530="datetime", $A530="time")</formula>
    </cfRule>
  </conditionalFormatting>
  <conditionalFormatting sqref="A530:A531">
    <cfRule type="expression" dxfId="18" priority="6067" stopIfTrue="1">
      <formula>OR($A530="calculate", $A530="calculate_here")</formula>
    </cfRule>
  </conditionalFormatting>
  <conditionalFormatting sqref="A530:A531">
    <cfRule type="expression" dxfId="19" priority="6068" stopIfTrue="1">
      <formula>$A530="note"</formula>
    </cfRule>
  </conditionalFormatting>
  <conditionalFormatting sqref="A530:A531">
    <cfRule type="expression" dxfId="20" priority="6069" stopIfTrue="1">
      <formula>$A530="barcode"</formula>
    </cfRule>
  </conditionalFormatting>
  <conditionalFormatting sqref="A530:A531">
    <cfRule type="expression" dxfId="21" priority="6070" stopIfTrue="1">
      <formula>OR($A530="geopoint", $A530="geoshape", $A530="geotrace")</formula>
    </cfRule>
  </conditionalFormatting>
  <conditionalFormatting sqref="A530:A531">
    <cfRule type="expression" dxfId="22" priority="6071" stopIfTrue="1">
      <formula>OR($A530="audio audit", $A530="text audit", $A530="speed violations count", $A530="speed violations list", $A530="speed violations audit")</formula>
    </cfRule>
  </conditionalFormatting>
  <conditionalFormatting sqref="A530:A531">
    <cfRule type="expression" dxfId="23" priority="6072" stopIfTrue="1">
      <formula>OR($A530="username", $A530="phonenumber", $A530="start", $A530="end", $A530="deviceid", $A530="subscriberid", $A530="simserial", $A530="caseid")</formula>
    </cfRule>
  </conditionalFormatting>
  <conditionalFormatting sqref="A530:A531">
    <cfRule type="expression" dxfId="24" priority="6073" stopIfTrue="1">
      <formula>OR(AND(LEFT($A530, 16)="select_multiple ", LEN($A530)&gt;16, NOT(ISNUMBER(SEARCH(" ", $A530, 17)))), AND(LEFT($A530, 11)="select_one ", LEN($A530)&gt;11, NOT(ISNUMBER(SEARCH(" ", $A530, 12)))))</formula>
    </cfRule>
  </conditionalFormatting>
  <conditionalFormatting sqref="A530:A531">
    <cfRule type="expression" dxfId="25" priority="6074" stopIfTrue="1">
      <formula>$A530="decimal"</formula>
    </cfRule>
  </conditionalFormatting>
  <conditionalFormatting sqref="A530:A531">
    <cfRule type="expression" dxfId="26" priority="6075" stopIfTrue="1">
      <formula>$A530="integer"</formula>
    </cfRule>
  </conditionalFormatting>
  <conditionalFormatting sqref="A530:A531">
    <cfRule type="expression" dxfId="27" priority="6076" stopIfTrue="1">
      <formula>$A530="text"</formula>
    </cfRule>
  </conditionalFormatting>
  <conditionalFormatting sqref="A530:A531">
    <cfRule type="expression" dxfId="28" priority="6077" stopIfTrue="1">
      <formula>$A530="end repeat"</formula>
    </cfRule>
  </conditionalFormatting>
  <conditionalFormatting sqref="A530:A531">
    <cfRule type="expression" dxfId="28" priority="6078" stopIfTrue="1">
      <formula>$A530="begin repeat"</formula>
    </cfRule>
  </conditionalFormatting>
  <conditionalFormatting sqref="A530:A531">
    <cfRule type="expression" dxfId="29" priority="6079" stopIfTrue="1">
      <formula>$A530="end group"</formula>
    </cfRule>
  </conditionalFormatting>
  <conditionalFormatting sqref="A530:A531">
    <cfRule type="expression" dxfId="29" priority="6080" stopIfTrue="1">
      <formula>$A530="begin group"</formula>
    </cfRule>
  </conditionalFormatting>
  <conditionalFormatting sqref="A520:A522">
    <cfRule type="expression" dxfId="33" priority="6081" stopIfTrue="1">
      <formula>$A520="file"</formula>
    </cfRule>
  </conditionalFormatting>
  <conditionalFormatting sqref="A520:A522">
    <cfRule type="expression" dxfId="34" priority="6082" stopIfTrue="1">
      <formula>$A520="enumerator"</formula>
    </cfRule>
  </conditionalFormatting>
  <conditionalFormatting sqref="A520:A522">
    <cfRule type="expression" dxfId="35" priority="6083" stopIfTrue="1">
      <formula>OR(AND(LEFT($A520, 14)="sensor_stream ", LEN($A520)&gt;14, NOT(ISNUMBER(SEARCH(" ", $A520, 15)))), AND(LEFT($A520, 17)="sensor_statistic ", LEN($A520)&gt;17, NOT(ISNUMBER(SEARCH(" ", $A520, 18)))))</formula>
    </cfRule>
  </conditionalFormatting>
  <conditionalFormatting sqref="A520:A522">
    <cfRule type="expression" dxfId="14" priority="6084" stopIfTrue="1">
      <formula>$A520="comments"</formula>
    </cfRule>
  </conditionalFormatting>
  <conditionalFormatting sqref="A520:A522">
    <cfRule type="expression" dxfId="15" priority="6085" stopIfTrue="1">
      <formula>OR($A520="audio", $A520="video")</formula>
    </cfRule>
  </conditionalFormatting>
  <conditionalFormatting sqref="A520:A522">
    <cfRule type="expression" dxfId="16" priority="6086" stopIfTrue="1">
      <formula>$A520="image"</formula>
    </cfRule>
  </conditionalFormatting>
  <conditionalFormatting sqref="A520:A522">
    <cfRule type="expression" dxfId="17" priority="6087" stopIfTrue="1">
      <formula>OR($A520="date", $A520="datetime", $A520="time")</formula>
    </cfRule>
  </conditionalFormatting>
  <conditionalFormatting sqref="A520:A522">
    <cfRule type="expression" dxfId="18" priority="6088" stopIfTrue="1">
      <formula>OR($A520="calculate", $A520="calculate_here")</formula>
    </cfRule>
  </conditionalFormatting>
  <conditionalFormatting sqref="A520:A522">
    <cfRule type="expression" dxfId="19" priority="6089" stopIfTrue="1">
      <formula>$A520="note"</formula>
    </cfRule>
  </conditionalFormatting>
  <conditionalFormatting sqref="A520:A522">
    <cfRule type="expression" dxfId="20" priority="6090" stopIfTrue="1">
      <formula>$A520="barcode"</formula>
    </cfRule>
  </conditionalFormatting>
  <conditionalFormatting sqref="A520:A522">
    <cfRule type="expression" dxfId="21" priority="6091" stopIfTrue="1">
      <formula>OR($A520="geopoint", $A520="geoshape", $A520="geotrace")</formula>
    </cfRule>
  </conditionalFormatting>
  <conditionalFormatting sqref="A520:A522">
    <cfRule type="expression" dxfId="22" priority="6092" stopIfTrue="1">
      <formula>OR($A520="audio audit", $A520="text audit", $A520="speed violations count", $A520="speed violations list", $A520="speed violations audit")</formula>
    </cfRule>
  </conditionalFormatting>
  <conditionalFormatting sqref="A520:A522">
    <cfRule type="expression" dxfId="23" priority="6093" stopIfTrue="1">
      <formula>OR($A520="username", $A520="phonenumber", $A520="start", $A520="end", $A520="deviceid", $A520="subscriberid", $A520="simserial", $A520="caseid")</formula>
    </cfRule>
  </conditionalFormatting>
  <conditionalFormatting sqref="A520:A522">
    <cfRule type="expression" dxfId="24" priority="6094" stopIfTrue="1">
      <formula>OR(AND(LEFT($A520, 16)="select_multiple ", LEN($A520)&gt;16, NOT(ISNUMBER(SEARCH(" ", $A520, 17)))), AND(LEFT($A520, 11)="select_one ", LEN($A520)&gt;11, NOT(ISNUMBER(SEARCH(" ", $A520, 12)))))</formula>
    </cfRule>
  </conditionalFormatting>
  <conditionalFormatting sqref="A520:A522">
    <cfRule type="expression" dxfId="25" priority="6095" stopIfTrue="1">
      <formula>$A520="decimal"</formula>
    </cfRule>
  </conditionalFormatting>
  <conditionalFormatting sqref="A520:A522">
    <cfRule type="expression" dxfId="26" priority="6096" stopIfTrue="1">
      <formula>$A520="integer"</formula>
    </cfRule>
  </conditionalFormatting>
  <conditionalFormatting sqref="A520:A522">
    <cfRule type="expression" dxfId="27" priority="6097" stopIfTrue="1">
      <formula>$A520="text"</formula>
    </cfRule>
  </conditionalFormatting>
  <conditionalFormatting sqref="A520:A522">
    <cfRule type="expression" dxfId="28" priority="6098" stopIfTrue="1">
      <formula>$A520="end repeat"</formula>
    </cfRule>
  </conditionalFormatting>
  <conditionalFormatting sqref="A520:A522">
    <cfRule type="expression" dxfId="28" priority="6099" stopIfTrue="1">
      <formula>$A520="begin repeat"</formula>
    </cfRule>
  </conditionalFormatting>
  <conditionalFormatting sqref="A520:A522">
    <cfRule type="expression" dxfId="29" priority="6100" stopIfTrue="1">
      <formula>$A520="end group"</formula>
    </cfRule>
  </conditionalFormatting>
  <conditionalFormatting sqref="A520:A522">
    <cfRule type="expression" dxfId="29" priority="6101" stopIfTrue="1">
      <formula>$A520="begin group"</formula>
    </cfRule>
  </conditionalFormatting>
  <conditionalFormatting sqref="A510">
    <cfRule type="expression" dxfId="33" priority="6102" stopIfTrue="1">
      <formula>$A510="file"</formula>
    </cfRule>
  </conditionalFormatting>
  <conditionalFormatting sqref="A510">
    <cfRule type="expression" dxfId="34" priority="6103" stopIfTrue="1">
      <formula>$A510="enumerator"</formula>
    </cfRule>
  </conditionalFormatting>
  <conditionalFormatting sqref="A510">
    <cfRule type="expression" dxfId="35" priority="6104" stopIfTrue="1">
      <formula>OR(AND(LEFT($A510, 14)="sensor_stream ", LEN($A510)&gt;14, NOT(ISNUMBER(SEARCH(" ", $A510, 15)))), AND(LEFT($A510, 17)="sensor_statistic ", LEN($A510)&gt;17, NOT(ISNUMBER(SEARCH(" ", $A510, 18)))))</formula>
    </cfRule>
  </conditionalFormatting>
  <conditionalFormatting sqref="A510">
    <cfRule type="expression" dxfId="14" priority="6105" stopIfTrue="1">
      <formula>$A510="comments"</formula>
    </cfRule>
  </conditionalFormatting>
  <conditionalFormatting sqref="A510">
    <cfRule type="expression" dxfId="15" priority="6106" stopIfTrue="1">
      <formula>OR($A510="audio", $A510="video")</formula>
    </cfRule>
  </conditionalFormatting>
  <conditionalFormatting sqref="A510">
    <cfRule type="expression" dxfId="16" priority="6107" stopIfTrue="1">
      <formula>$A510="image"</formula>
    </cfRule>
  </conditionalFormatting>
  <conditionalFormatting sqref="A510">
    <cfRule type="expression" dxfId="17" priority="6108" stopIfTrue="1">
      <formula>OR($A510="date", $A510="datetime", $A510="time")</formula>
    </cfRule>
  </conditionalFormatting>
  <conditionalFormatting sqref="A510">
    <cfRule type="expression" dxfId="18" priority="6109" stopIfTrue="1">
      <formula>OR($A510="calculate", $A510="calculate_here")</formula>
    </cfRule>
  </conditionalFormatting>
  <conditionalFormatting sqref="A510">
    <cfRule type="expression" dxfId="19" priority="6110" stopIfTrue="1">
      <formula>$A510="note"</formula>
    </cfRule>
  </conditionalFormatting>
  <conditionalFormatting sqref="A510">
    <cfRule type="expression" dxfId="20" priority="6111" stopIfTrue="1">
      <formula>$A510="barcode"</formula>
    </cfRule>
  </conditionalFormatting>
  <conditionalFormatting sqref="A510">
    <cfRule type="expression" dxfId="21" priority="6112" stopIfTrue="1">
      <formula>OR($A510="geopoint", $A510="geoshape", $A510="geotrace")</formula>
    </cfRule>
  </conditionalFormatting>
  <conditionalFormatting sqref="A510">
    <cfRule type="expression" dxfId="22" priority="6113" stopIfTrue="1">
      <formula>OR($A510="audio audit", $A510="text audit", $A510="speed violations count", $A510="speed violations list", $A510="speed violations audit")</formula>
    </cfRule>
  </conditionalFormatting>
  <conditionalFormatting sqref="A510">
    <cfRule type="expression" dxfId="23" priority="6114" stopIfTrue="1">
      <formula>OR($A510="username", $A510="phonenumber", $A510="start", $A510="end", $A510="deviceid", $A510="subscriberid", $A510="simserial", $A510="caseid")</formula>
    </cfRule>
  </conditionalFormatting>
  <conditionalFormatting sqref="A510">
    <cfRule type="expression" dxfId="24" priority="6115" stopIfTrue="1">
      <formula>OR(AND(LEFT($A510, 16)="select_multiple ", LEN($A510)&gt;16, NOT(ISNUMBER(SEARCH(" ", $A510, 17)))), AND(LEFT($A510, 11)="select_one ", LEN($A510)&gt;11, NOT(ISNUMBER(SEARCH(" ", $A510, 12)))))</formula>
    </cfRule>
  </conditionalFormatting>
  <conditionalFormatting sqref="A510">
    <cfRule type="expression" dxfId="25" priority="6116" stopIfTrue="1">
      <formula>$A510="decimal"</formula>
    </cfRule>
  </conditionalFormatting>
  <conditionalFormatting sqref="A510">
    <cfRule type="expression" dxfId="26" priority="6117" stopIfTrue="1">
      <formula>$A510="integer"</formula>
    </cfRule>
  </conditionalFormatting>
  <conditionalFormatting sqref="A510">
    <cfRule type="expression" dxfId="27" priority="6118" stopIfTrue="1">
      <formula>$A510="text"</formula>
    </cfRule>
  </conditionalFormatting>
  <conditionalFormatting sqref="A510">
    <cfRule type="expression" dxfId="28" priority="6119" stopIfTrue="1">
      <formula>$A510="end repeat"</formula>
    </cfRule>
  </conditionalFormatting>
  <conditionalFormatting sqref="A510">
    <cfRule type="expression" dxfId="28" priority="6120" stopIfTrue="1">
      <formula>$A510="begin repeat"</formula>
    </cfRule>
  </conditionalFormatting>
  <conditionalFormatting sqref="A510">
    <cfRule type="expression" dxfId="29" priority="6121" stopIfTrue="1">
      <formula>$A510="end group"</formula>
    </cfRule>
  </conditionalFormatting>
  <conditionalFormatting sqref="A510">
    <cfRule type="expression" dxfId="29" priority="6122" stopIfTrue="1">
      <formula>$A510="begin group"</formula>
    </cfRule>
  </conditionalFormatting>
  <conditionalFormatting sqref="A503">
    <cfRule type="expression" dxfId="33" priority="6123" stopIfTrue="1">
      <formula>$A503="file"</formula>
    </cfRule>
  </conditionalFormatting>
  <conditionalFormatting sqref="A503">
    <cfRule type="expression" dxfId="34" priority="6124" stopIfTrue="1">
      <formula>$A503="enumerator"</formula>
    </cfRule>
  </conditionalFormatting>
  <conditionalFormatting sqref="A503">
    <cfRule type="expression" dxfId="35" priority="6125" stopIfTrue="1">
      <formula>OR(AND(LEFT($A503, 14)="sensor_stream ", LEN($A503)&gt;14, NOT(ISNUMBER(SEARCH(" ", $A503, 15)))), AND(LEFT($A503, 17)="sensor_statistic ", LEN($A503)&gt;17, NOT(ISNUMBER(SEARCH(" ", $A503, 18)))))</formula>
    </cfRule>
  </conditionalFormatting>
  <conditionalFormatting sqref="A503">
    <cfRule type="expression" dxfId="14" priority="6126" stopIfTrue="1">
      <formula>$A503="comments"</formula>
    </cfRule>
  </conditionalFormatting>
  <conditionalFormatting sqref="A503">
    <cfRule type="expression" dxfId="15" priority="6127" stopIfTrue="1">
      <formula>OR($A503="audio", $A503="video")</formula>
    </cfRule>
  </conditionalFormatting>
  <conditionalFormatting sqref="A503">
    <cfRule type="expression" dxfId="16" priority="6128" stopIfTrue="1">
      <formula>$A503="image"</formula>
    </cfRule>
  </conditionalFormatting>
  <conditionalFormatting sqref="A503">
    <cfRule type="expression" dxfId="17" priority="6129" stopIfTrue="1">
      <formula>OR($A503="date", $A503="datetime", $A503="time")</formula>
    </cfRule>
  </conditionalFormatting>
  <conditionalFormatting sqref="A503">
    <cfRule type="expression" dxfId="18" priority="6130" stopIfTrue="1">
      <formula>OR($A503="calculate", $A503="calculate_here")</formula>
    </cfRule>
  </conditionalFormatting>
  <conditionalFormatting sqref="A503">
    <cfRule type="expression" dxfId="19" priority="6131" stopIfTrue="1">
      <formula>$A503="note"</formula>
    </cfRule>
  </conditionalFormatting>
  <conditionalFormatting sqref="A503">
    <cfRule type="expression" dxfId="20" priority="6132" stopIfTrue="1">
      <formula>$A503="barcode"</formula>
    </cfRule>
  </conditionalFormatting>
  <conditionalFormatting sqref="A503">
    <cfRule type="expression" dxfId="21" priority="6133" stopIfTrue="1">
      <formula>OR($A503="geopoint", $A503="geoshape", $A503="geotrace")</formula>
    </cfRule>
  </conditionalFormatting>
  <conditionalFormatting sqref="A503">
    <cfRule type="expression" dxfId="22" priority="6134" stopIfTrue="1">
      <formula>OR($A503="audio audit", $A503="text audit", $A503="speed violations count", $A503="speed violations list", $A503="speed violations audit")</formula>
    </cfRule>
  </conditionalFormatting>
  <conditionalFormatting sqref="A503">
    <cfRule type="expression" dxfId="23" priority="6135" stopIfTrue="1">
      <formula>OR($A503="username", $A503="phonenumber", $A503="start", $A503="end", $A503="deviceid", $A503="subscriberid", $A503="simserial", $A503="caseid")</formula>
    </cfRule>
  </conditionalFormatting>
  <conditionalFormatting sqref="A503">
    <cfRule type="expression" dxfId="24" priority="6136" stopIfTrue="1">
      <formula>OR(AND(LEFT($A503, 16)="select_multiple ", LEN($A503)&gt;16, NOT(ISNUMBER(SEARCH(" ", $A503, 17)))), AND(LEFT($A503, 11)="select_one ", LEN($A503)&gt;11, NOT(ISNUMBER(SEARCH(" ", $A503, 12)))))</formula>
    </cfRule>
  </conditionalFormatting>
  <conditionalFormatting sqref="A503">
    <cfRule type="expression" dxfId="25" priority="6137" stopIfTrue="1">
      <formula>$A503="decimal"</formula>
    </cfRule>
  </conditionalFormatting>
  <conditionalFormatting sqref="A503">
    <cfRule type="expression" dxfId="26" priority="6138" stopIfTrue="1">
      <formula>$A503="integer"</formula>
    </cfRule>
  </conditionalFormatting>
  <conditionalFormatting sqref="A503">
    <cfRule type="expression" dxfId="27" priority="6139" stopIfTrue="1">
      <formula>$A503="text"</formula>
    </cfRule>
  </conditionalFormatting>
  <conditionalFormatting sqref="A503">
    <cfRule type="expression" dxfId="28" priority="6140" stopIfTrue="1">
      <formula>$A503="end repeat"</formula>
    </cfRule>
  </conditionalFormatting>
  <conditionalFormatting sqref="A503">
    <cfRule type="expression" dxfId="28" priority="6141" stopIfTrue="1">
      <formula>$A503="begin repeat"</formula>
    </cfRule>
  </conditionalFormatting>
  <conditionalFormatting sqref="A503">
    <cfRule type="expression" dxfId="29" priority="6142" stopIfTrue="1">
      <formula>$A503="end group"</formula>
    </cfRule>
  </conditionalFormatting>
  <conditionalFormatting sqref="A503">
    <cfRule type="expression" dxfId="29" priority="6143" stopIfTrue="1">
      <formula>$A503="begin group"</formula>
    </cfRule>
  </conditionalFormatting>
  <conditionalFormatting sqref="A491">
    <cfRule type="expression" dxfId="10" priority="6144" stopIfTrue="1">
      <formula>OR($A491="calculate", $A491="calculate_here")</formula>
    </cfRule>
  </conditionalFormatting>
  <conditionalFormatting sqref="A490:A500">
    <cfRule type="expression" dxfId="33" priority="6145" stopIfTrue="1">
      <formula>$A490="file"</formula>
    </cfRule>
  </conditionalFormatting>
  <conditionalFormatting sqref="A490:A500">
    <cfRule type="expression" dxfId="34" priority="6146" stopIfTrue="1">
      <formula>$A490="enumerator"</formula>
    </cfRule>
  </conditionalFormatting>
  <conditionalFormatting sqref="A490:A500">
    <cfRule type="expression" dxfId="35" priority="6147" stopIfTrue="1">
      <formula>OR(AND(LEFT($A490, 14)="sensor_stream ", LEN($A490)&gt;14, NOT(ISNUMBER(SEARCH(" ", $A490, 15)))), AND(LEFT($A490, 17)="sensor_statistic ", LEN($A490)&gt;17, NOT(ISNUMBER(SEARCH(" ", $A490, 18)))))</formula>
    </cfRule>
  </conditionalFormatting>
  <conditionalFormatting sqref="A490:A500">
    <cfRule type="expression" dxfId="14" priority="6148" stopIfTrue="1">
      <formula>$A490="comments"</formula>
    </cfRule>
  </conditionalFormatting>
  <conditionalFormatting sqref="A490:A500">
    <cfRule type="expression" dxfId="15" priority="6149" stopIfTrue="1">
      <formula>OR($A490="audio", $A490="video")</formula>
    </cfRule>
  </conditionalFormatting>
  <conditionalFormatting sqref="A490:A500">
    <cfRule type="expression" dxfId="16" priority="6150" stopIfTrue="1">
      <formula>$A490="image"</formula>
    </cfRule>
  </conditionalFormatting>
  <conditionalFormatting sqref="A490:A500">
    <cfRule type="expression" dxfId="17" priority="6151" stopIfTrue="1">
      <formula>OR($A490="date", $A490="datetime", $A490="time")</formula>
    </cfRule>
  </conditionalFormatting>
  <conditionalFormatting sqref="A490:A500">
    <cfRule type="expression" dxfId="18" priority="6152" stopIfTrue="1">
      <formula>OR($A490="calculate", $A490="calculate_here")</formula>
    </cfRule>
  </conditionalFormatting>
  <conditionalFormatting sqref="A490:A500">
    <cfRule type="expression" dxfId="19" priority="6153" stopIfTrue="1">
      <formula>$A490="note"</formula>
    </cfRule>
  </conditionalFormatting>
  <conditionalFormatting sqref="A490:A500">
    <cfRule type="expression" dxfId="20" priority="6154" stopIfTrue="1">
      <formula>$A490="barcode"</formula>
    </cfRule>
  </conditionalFormatting>
  <conditionalFormatting sqref="A490:A500">
    <cfRule type="expression" dxfId="21" priority="6155" stopIfTrue="1">
      <formula>OR($A490="geopoint", $A490="geoshape", $A490="geotrace")</formula>
    </cfRule>
  </conditionalFormatting>
  <conditionalFormatting sqref="A490:A500">
    <cfRule type="expression" dxfId="22" priority="6156" stopIfTrue="1">
      <formula>OR($A490="audio audit", $A490="text audit", $A490="speed violations count", $A490="speed violations list", $A490="speed violations audit")</formula>
    </cfRule>
  </conditionalFormatting>
  <conditionalFormatting sqref="A490:A500">
    <cfRule type="expression" dxfId="23" priority="6157" stopIfTrue="1">
      <formula>OR($A490="username", $A490="phonenumber", $A490="start", $A490="end", $A490="deviceid", $A490="subscriberid", $A490="simserial", $A490="caseid")</formula>
    </cfRule>
  </conditionalFormatting>
  <conditionalFormatting sqref="A490:A500">
    <cfRule type="expression" dxfId="24" priority="6158" stopIfTrue="1">
      <formula>OR(AND(LEFT($A490, 16)="select_multiple ", LEN($A490)&gt;16, NOT(ISNUMBER(SEARCH(" ", $A490, 17)))), AND(LEFT($A490, 11)="select_one ", LEN($A490)&gt;11, NOT(ISNUMBER(SEARCH(" ", $A490, 12)))))</formula>
    </cfRule>
  </conditionalFormatting>
  <conditionalFormatting sqref="A490:A500">
    <cfRule type="expression" dxfId="25" priority="6159" stopIfTrue="1">
      <formula>$A490="decimal"</formula>
    </cfRule>
  </conditionalFormatting>
  <conditionalFormatting sqref="A490:A500">
    <cfRule type="expression" dxfId="26" priority="6160" stopIfTrue="1">
      <formula>$A490="integer"</formula>
    </cfRule>
  </conditionalFormatting>
  <conditionalFormatting sqref="A490:A500">
    <cfRule type="expression" dxfId="27" priority="6161" stopIfTrue="1">
      <formula>$A490="text"</formula>
    </cfRule>
  </conditionalFormatting>
  <conditionalFormatting sqref="A490:A500">
    <cfRule type="expression" dxfId="28" priority="6162" stopIfTrue="1">
      <formula>$A490="end repeat"</formula>
    </cfRule>
  </conditionalFormatting>
  <conditionalFormatting sqref="A490:A500">
    <cfRule type="expression" dxfId="28" priority="6163" stopIfTrue="1">
      <formula>$A490="begin repeat"</formula>
    </cfRule>
  </conditionalFormatting>
  <conditionalFormatting sqref="A490:A500">
    <cfRule type="expression" dxfId="29" priority="6164" stopIfTrue="1">
      <formula>$A490="end group"</formula>
    </cfRule>
  </conditionalFormatting>
  <conditionalFormatting sqref="A490:A500">
    <cfRule type="expression" dxfId="29" priority="6165" stopIfTrue="1">
      <formula>$A490="begin group"</formula>
    </cfRule>
  </conditionalFormatting>
  <conditionalFormatting sqref="A484:A487">
    <cfRule type="expression" dxfId="33" priority="6166" stopIfTrue="1">
      <formula>$A484="file"</formula>
    </cfRule>
  </conditionalFormatting>
  <conditionalFormatting sqref="A484:A487">
    <cfRule type="expression" dxfId="34" priority="6167" stopIfTrue="1">
      <formula>$A484="enumerator"</formula>
    </cfRule>
  </conditionalFormatting>
  <conditionalFormatting sqref="A484:A487">
    <cfRule type="expression" dxfId="35" priority="6168" stopIfTrue="1">
      <formula>OR(AND(LEFT($A484, 14)="sensor_stream ", LEN($A484)&gt;14, NOT(ISNUMBER(SEARCH(" ", $A484, 15)))), AND(LEFT($A484, 17)="sensor_statistic ", LEN($A484)&gt;17, NOT(ISNUMBER(SEARCH(" ", $A484, 18)))))</formula>
    </cfRule>
  </conditionalFormatting>
  <conditionalFormatting sqref="A484:A487">
    <cfRule type="expression" dxfId="14" priority="6169" stopIfTrue="1">
      <formula>$A484="comments"</formula>
    </cfRule>
  </conditionalFormatting>
  <conditionalFormatting sqref="A484:A487">
    <cfRule type="expression" dxfId="15" priority="6170" stopIfTrue="1">
      <formula>OR($A484="audio", $A484="video")</formula>
    </cfRule>
  </conditionalFormatting>
  <conditionalFormatting sqref="A484:A487">
    <cfRule type="expression" dxfId="16" priority="6171" stopIfTrue="1">
      <formula>$A484="image"</formula>
    </cfRule>
  </conditionalFormatting>
  <conditionalFormatting sqref="A484:A487">
    <cfRule type="expression" dxfId="17" priority="6172" stopIfTrue="1">
      <formula>OR($A484="date", $A484="datetime", $A484="time")</formula>
    </cfRule>
  </conditionalFormatting>
  <conditionalFormatting sqref="A484:A487">
    <cfRule type="expression" dxfId="18" priority="6173" stopIfTrue="1">
      <formula>OR($A484="calculate", $A484="calculate_here")</formula>
    </cfRule>
  </conditionalFormatting>
  <conditionalFormatting sqref="A484:A487">
    <cfRule type="expression" dxfId="19" priority="6174" stopIfTrue="1">
      <formula>$A484="note"</formula>
    </cfRule>
  </conditionalFormatting>
  <conditionalFormatting sqref="A484:A487">
    <cfRule type="expression" dxfId="20" priority="6175" stopIfTrue="1">
      <formula>$A484="barcode"</formula>
    </cfRule>
  </conditionalFormatting>
  <conditionalFormatting sqref="A484:A487">
    <cfRule type="expression" dxfId="21" priority="6176" stopIfTrue="1">
      <formula>OR($A484="geopoint", $A484="geoshape", $A484="geotrace")</formula>
    </cfRule>
  </conditionalFormatting>
  <conditionalFormatting sqref="A484:A487">
    <cfRule type="expression" dxfId="22" priority="6177" stopIfTrue="1">
      <formula>OR($A484="audio audit", $A484="text audit", $A484="speed violations count", $A484="speed violations list", $A484="speed violations audit")</formula>
    </cfRule>
  </conditionalFormatting>
  <conditionalFormatting sqref="A484:A487">
    <cfRule type="expression" dxfId="23" priority="6178" stopIfTrue="1">
      <formula>OR($A484="username", $A484="phonenumber", $A484="start", $A484="end", $A484="deviceid", $A484="subscriberid", $A484="simserial", $A484="caseid")</formula>
    </cfRule>
  </conditionalFormatting>
  <conditionalFormatting sqref="A484:A487">
    <cfRule type="expression" dxfId="24" priority="6179" stopIfTrue="1">
      <formula>OR(AND(LEFT($A484, 16)="select_multiple ", LEN($A484)&gt;16, NOT(ISNUMBER(SEARCH(" ", $A484, 17)))), AND(LEFT($A484, 11)="select_one ", LEN($A484)&gt;11, NOT(ISNUMBER(SEARCH(" ", $A484, 12)))))</formula>
    </cfRule>
  </conditionalFormatting>
  <conditionalFormatting sqref="A484:A487">
    <cfRule type="expression" dxfId="25" priority="6180" stopIfTrue="1">
      <formula>$A484="decimal"</formula>
    </cfRule>
  </conditionalFormatting>
  <conditionalFormatting sqref="A484:A487">
    <cfRule type="expression" dxfId="26" priority="6181" stopIfTrue="1">
      <formula>$A484="integer"</formula>
    </cfRule>
  </conditionalFormatting>
  <conditionalFormatting sqref="A484:A487">
    <cfRule type="expression" dxfId="27" priority="6182" stopIfTrue="1">
      <formula>$A484="text"</formula>
    </cfRule>
  </conditionalFormatting>
  <conditionalFormatting sqref="A484:A487">
    <cfRule type="expression" dxfId="28" priority="6183" stopIfTrue="1">
      <formula>$A484="end repeat"</formula>
    </cfRule>
  </conditionalFormatting>
  <conditionalFormatting sqref="A484:A487">
    <cfRule type="expression" dxfId="28" priority="6184" stopIfTrue="1">
      <formula>$A484="begin repeat"</formula>
    </cfRule>
  </conditionalFormatting>
  <conditionalFormatting sqref="A484:A487">
    <cfRule type="expression" dxfId="29" priority="6185" stopIfTrue="1">
      <formula>$A484="end group"</formula>
    </cfRule>
  </conditionalFormatting>
  <conditionalFormatting sqref="A484:A487">
    <cfRule type="expression" dxfId="29" priority="6186" stopIfTrue="1">
      <formula>$A484="begin group"</formula>
    </cfRule>
  </conditionalFormatting>
  <conditionalFormatting sqref="A478:A481">
    <cfRule type="expression" dxfId="33" priority="6187" stopIfTrue="1">
      <formula>$A478="file"</formula>
    </cfRule>
  </conditionalFormatting>
  <conditionalFormatting sqref="A478:A481">
    <cfRule type="expression" dxfId="34" priority="6188" stopIfTrue="1">
      <formula>$A478="enumerator"</formula>
    </cfRule>
  </conditionalFormatting>
  <conditionalFormatting sqref="A478:A481">
    <cfRule type="expression" dxfId="35" priority="6189" stopIfTrue="1">
      <formula>OR(AND(LEFT($A478, 14)="sensor_stream ", LEN($A478)&gt;14, NOT(ISNUMBER(SEARCH(" ", $A478, 15)))), AND(LEFT($A478, 17)="sensor_statistic ", LEN($A478)&gt;17, NOT(ISNUMBER(SEARCH(" ", $A478, 18)))))</formula>
    </cfRule>
  </conditionalFormatting>
  <conditionalFormatting sqref="A478:A481">
    <cfRule type="expression" dxfId="14" priority="6190" stopIfTrue="1">
      <formula>$A478="comments"</formula>
    </cfRule>
  </conditionalFormatting>
  <conditionalFormatting sqref="A478:A481">
    <cfRule type="expression" dxfId="15" priority="6191" stopIfTrue="1">
      <formula>OR($A478="audio", $A478="video")</formula>
    </cfRule>
  </conditionalFormatting>
  <conditionalFormatting sqref="A478:A481">
    <cfRule type="expression" dxfId="16" priority="6192" stopIfTrue="1">
      <formula>$A478="image"</formula>
    </cfRule>
  </conditionalFormatting>
  <conditionalFormatting sqref="A478:A481">
    <cfRule type="expression" dxfId="17" priority="6193" stopIfTrue="1">
      <formula>OR($A478="date", $A478="datetime", $A478="time")</formula>
    </cfRule>
  </conditionalFormatting>
  <conditionalFormatting sqref="A478:A481">
    <cfRule type="expression" dxfId="18" priority="6194" stopIfTrue="1">
      <formula>OR($A478="calculate", $A478="calculate_here")</formula>
    </cfRule>
  </conditionalFormatting>
  <conditionalFormatting sqref="A478:A481">
    <cfRule type="expression" dxfId="19" priority="6195" stopIfTrue="1">
      <formula>$A478="note"</formula>
    </cfRule>
  </conditionalFormatting>
  <conditionalFormatting sqref="A478:A481">
    <cfRule type="expression" dxfId="20" priority="6196" stopIfTrue="1">
      <formula>$A478="barcode"</formula>
    </cfRule>
  </conditionalFormatting>
  <conditionalFormatting sqref="A478:A481">
    <cfRule type="expression" dxfId="21" priority="6197" stopIfTrue="1">
      <formula>OR($A478="geopoint", $A478="geoshape", $A478="geotrace")</formula>
    </cfRule>
  </conditionalFormatting>
  <conditionalFormatting sqref="A478:A481">
    <cfRule type="expression" dxfId="22" priority="6198" stopIfTrue="1">
      <formula>OR($A478="audio audit", $A478="text audit", $A478="speed violations count", $A478="speed violations list", $A478="speed violations audit")</formula>
    </cfRule>
  </conditionalFormatting>
  <conditionalFormatting sqref="A478:A481">
    <cfRule type="expression" dxfId="23" priority="6199" stopIfTrue="1">
      <formula>OR($A478="username", $A478="phonenumber", $A478="start", $A478="end", $A478="deviceid", $A478="subscriberid", $A478="simserial", $A478="caseid")</formula>
    </cfRule>
  </conditionalFormatting>
  <conditionalFormatting sqref="A478:A481">
    <cfRule type="expression" dxfId="24" priority="6200" stopIfTrue="1">
      <formula>OR(AND(LEFT($A478, 16)="select_multiple ", LEN($A478)&gt;16, NOT(ISNUMBER(SEARCH(" ", $A478, 17)))), AND(LEFT($A478, 11)="select_one ", LEN($A478)&gt;11, NOT(ISNUMBER(SEARCH(" ", $A478, 12)))))</formula>
    </cfRule>
  </conditionalFormatting>
  <conditionalFormatting sqref="A478:A481">
    <cfRule type="expression" dxfId="25" priority="6201" stopIfTrue="1">
      <formula>$A478="decimal"</formula>
    </cfRule>
  </conditionalFormatting>
  <conditionalFormatting sqref="A478:A481">
    <cfRule type="expression" dxfId="26" priority="6202" stopIfTrue="1">
      <formula>$A478="integer"</formula>
    </cfRule>
  </conditionalFormatting>
  <conditionalFormatting sqref="A478:A481">
    <cfRule type="expression" dxfId="27" priority="6203" stopIfTrue="1">
      <formula>$A478="text"</formula>
    </cfRule>
  </conditionalFormatting>
  <conditionalFormatting sqref="A478:A481">
    <cfRule type="expression" dxfId="28" priority="6204" stopIfTrue="1">
      <formula>$A478="end repeat"</formula>
    </cfRule>
  </conditionalFormatting>
  <conditionalFormatting sqref="A478:A481">
    <cfRule type="expression" dxfId="28" priority="6205" stopIfTrue="1">
      <formula>$A478="begin repeat"</formula>
    </cfRule>
  </conditionalFormatting>
  <conditionalFormatting sqref="A478:A481">
    <cfRule type="expression" dxfId="29" priority="6206" stopIfTrue="1">
      <formula>$A478="end group"</formula>
    </cfRule>
  </conditionalFormatting>
  <conditionalFormatting sqref="A478:A481">
    <cfRule type="expression" dxfId="29" priority="6207" stopIfTrue="1">
      <formula>$A478="begin group"</formula>
    </cfRule>
  </conditionalFormatting>
  <conditionalFormatting sqref="A470:A472">
    <cfRule type="expression" dxfId="33" priority="6208" stopIfTrue="1">
      <formula>$A470="file"</formula>
    </cfRule>
  </conditionalFormatting>
  <conditionalFormatting sqref="A470:A472">
    <cfRule type="expression" dxfId="34" priority="6209" stopIfTrue="1">
      <formula>$A470="enumerator"</formula>
    </cfRule>
  </conditionalFormatting>
  <conditionalFormatting sqref="A470:A472">
    <cfRule type="expression" dxfId="35" priority="6210" stopIfTrue="1">
      <formula>OR(AND(LEFT($A470, 14)="sensor_stream ", LEN($A470)&gt;14, NOT(ISNUMBER(SEARCH(" ", $A470, 15)))), AND(LEFT($A470, 17)="sensor_statistic ", LEN($A470)&gt;17, NOT(ISNUMBER(SEARCH(" ", $A470, 18)))))</formula>
    </cfRule>
  </conditionalFormatting>
  <conditionalFormatting sqref="A470:A472">
    <cfRule type="expression" dxfId="14" priority="6211" stopIfTrue="1">
      <formula>$A470="comments"</formula>
    </cfRule>
  </conditionalFormatting>
  <conditionalFormatting sqref="A470:A472">
    <cfRule type="expression" dxfId="15" priority="6212" stopIfTrue="1">
      <formula>OR($A470="audio", $A470="video")</formula>
    </cfRule>
  </conditionalFormatting>
  <conditionalFormatting sqref="A470:A472">
    <cfRule type="expression" dxfId="16" priority="6213" stopIfTrue="1">
      <formula>$A470="image"</formula>
    </cfRule>
  </conditionalFormatting>
  <conditionalFormatting sqref="A470:A472">
    <cfRule type="expression" dxfId="17" priority="6214" stopIfTrue="1">
      <formula>OR($A470="date", $A470="datetime", $A470="time")</formula>
    </cfRule>
  </conditionalFormatting>
  <conditionalFormatting sqref="A470:A472">
    <cfRule type="expression" dxfId="18" priority="6215" stopIfTrue="1">
      <formula>OR($A470="calculate", $A470="calculate_here")</formula>
    </cfRule>
  </conditionalFormatting>
  <conditionalFormatting sqref="A470:A472">
    <cfRule type="expression" dxfId="19" priority="6216" stopIfTrue="1">
      <formula>$A470="note"</formula>
    </cfRule>
  </conditionalFormatting>
  <conditionalFormatting sqref="A470:A472">
    <cfRule type="expression" dxfId="20" priority="6217" stopIfTrue="1">
      <formula>$A470="barcode"</formula>
    </cfRule>
  </conditionalFormatting>
  <conditionalFormatting sqref="A470:A472">
    <cfRule type="expression" dxfId="21" priority="6218" stopIfTrue="1">
      <formula>OR($A470="geopoint", $A470="geoshape", $A470="geotrace")</formula>
    </cfRule>
  </conditionalFormatting>
  <conditionalFormatting sqref="A470:A472">
    <cfRule type="expression" dxfId="22" priority="6219" stopIfTrue="1">
      <formula>OR($A470="audio audit", $A470="text audit", $A470="speed violations count", $A470="speed violations list", $A470="speed violations audit")</formula>
    </cfRule>
  </conditionalFormatting>
  <conditionalFormatting sqref="A470:A472">
    <cfRule type="expression" dxfId="23" priority="6220" stopIfTrue="1">
      <formula>OR($A470="username", $A470="phonenumber", $A470="start", $A470="end", $A470="deviceid", $A470="subscriberid", $A470="simserial", $A470="caseid")</formula>
    </cfRule>
  </conditionalFormatting>
  <conditionalFormatting sqref="A470:A472">
    <cfRule type="expression" dxfId="24" priority="6221" stopIfTrue="1">
      <formula>OR(AND(LEFT($A470, 16)="select_multiple ", LEN($A470)&gt;16, NOT(ISNUMBER(SEARCH(" ", $A470, 17)))), AND(LEFT($A470, 11)="select_one ", LEN($A470)&gt;11, NOT(ISNUMBER(SEARCH(" ", $A470, 12)))))</formula>
    </cfRule>
  </conditionalFormatting>
  <conditionalFormatting sqref="A470:A472">
    <cfRule type="expression" dxfId="25" priority="6222" stopIfTrue="1">
      <formula>$A470="decimal"</formula>
    </cfRule>
  </conditionalFormatting>
  <conditionalFormatting sqref="A470:A472">
    <cfRule type="expression" dxfId="26" priority="6223" stopIfTrue="1">
      <formula>$A470="integer"</formula>
    </cfRule>
  </conditionalFormatting>
  <conditionalFormatting sqref="A470:A472">
    <cfRule type="expression" dxfId="27" priority="6224" stopIfTrue="1">
      <formula>$A470="text"</formula>
    </cfRule>
  </conditionalFormatting>
  <conditionalFormatting sqref="A470:A472">
    <cfRule type="expression" dxfId="28" priority="6225" stopIfTrue="1">
      <formula>$A470="end repeat"</formula>
    </cfRule>
  </conditionalFormatting>
  <conditionalFormatting sqref="A470:A472">
    <cfRule type="expression" dxfId="28" priority="6226" stopIfTrue="1">
      <formula>$A470="begin repeat"</formula>
    </cfRule>
  </conditionalFormatting>
  <conditionalFormatting sqref="A470:A472">
    <cfRule type="expression" dxfId="29" priority="6227" stopIfTrue="1">
      <formula>$A470="end group"</formula>
    </cfRule>
  </conditionalFormatting>
  <conditionalFormatting sqref="A470:A472">
    <cfRule type="expression" dxfId="29" priority="6228" stopIfTrue="1">
      <formula>$A470="begin group"</formula>
    </cfRule>
  </conditionalFormatting>
  <conditionalFormatting sqref="A464:A465">
    <cfRule type="expression" dxfId="33" priority="6229" stopIfTrue="1">
      <formula>$A464="file"</formula>
    </cfRule>
  </conditionalFormatting>
  <conditionalFormatting sqref="A464:A465">
    <cfRule type="expression" dxfId="34" priority="6230" stopIfTrue="1">
      <formula>$A464="enumerator"</formula>
    </cfRule>
  </conditionalFormatting>
  <conditionalFormatting sqref="A464:A465">
    <cfRule type="expression" dxfId="35" priority="6231" stopIfTrue="1">
      <formula>OR(AND(LEFT($A464, 14)="sensor_stream ", LEN($A464)&gt;14, NOT(ISNUMBER(SEARCH(" ", $A464, 15)))), AND(LEFT($A464, 17)="sensor_statistic ", LEN($A464)&gt;17, NOT(ISNUMBER(SEARCH(" ", $A464, 18)))))</formula>
    </cfRule>
  </conditionalFormatting>
  <conditionalFormatting sqref="A464:A465">
    <cfRule type="expression" dxfId="14" priority="6232" stopIfTrue="1">
      <formula>$A464="comments"</formula>
    </cfRule>
  </conditionalFormatting>
  <conditionalFormatting sqref="A464:A465">
    <cfRule type="expression" dxfId="15" priority="6233" stopIfTrue="1">
      <formula>OR($A464="audio", $A464="video")</formula>
    </cfRule>
  </conditionalFormatting>
  <conditionalFormatting sqref="A464:A465">
    <cfRule type="expression" dxfId="16" priority="6234" stopIfTrue="1">
      <formula>$A464="image"</formula>
    </cfRule>
  </conditionalFormatting>
  <conditionalFormatting sqref="A464:A465">
    <cfRule type="expression" dxfId="17" priority="6235" stopIfTrue="1">
      <formula>OR($A464="date", $A464="datetime", $A464="time")</formula>
    </cfRule>
  </conditionalFormatting>
  <conditionalFormatting sqref="A464:A465">
    <cfRule type="expression" dxfId="18" priority="6236" stopIfTrue="1">
      <formula>OR($A464="calculate", $A464="calculate_here")</formula>
    </cfRule>
  </conditionalFormatting>
  <conditionalFormatting sqref="A464:A465">
    <cfRule type="expression" dxfId="19" priority="6237" stopIfTrue="1">
      <formula>$A464="note"</formula>
    </cfRule>
  </conditionalFormatting>
  <conditionalFormatting sqref="A464:A465">
    <cfRule type="expression" dxfId="20" priority="6238" stopIfTrue="1">
      <formula>$A464="barcode"</formula>
    </cfRule>
  </conditionalFormatting>
  <conditionalFormatting sqref="A464:A465">
    <cfRule type="expression" dxfId="21" priority="6239" stopIfTrue="1">
      <formula>OR($A464="geopoint", $A464="geoshape", $A464="geotrace")</formula>
    </cfRule>
  </conditionalFormatting>
  <conditionalFormatting sqref="A464:A465">
    <cfRule type="expression" dxfId="22" priority="6240" stopIfTrue="1">
      <formula>OR($A464="audio audit", $A464="text audit", $A464="speed violations count", $A464="speed violations list", $A464="speed violations audit")</formula>
    </cfRule>
  </conditionalFormatting>
  <conditionalFormatting sqref="A464:A465">
    <cfRule type="expression" dxfId="23" priority="6241" stopIfTrue="1">
      <formula>OR($A464="username", $A464="phonenumber", $A464="start", $A464="end", $A464="deviceid", $A464="subscriberid", $A464="simserial", $A464="caseid")</formula>
    </cfRule>
  </conditionalFormatting>
  <conditionalFormatting sqref="A464:A465">
    <cfRule type="expression" dxfId="24" priority="6242" stopIfTrue="1">
      <formula>OR(AND(LEFT($A464, 16)="select_multiple ", LEN($A464)&gt;16, NOT(ISNUMBER(SEARCH(" ", $A464, 17)))), AND(LEFT($A464, 11)="select_one ", LEN($A464)&gt;11, NOT(ISNUMBER(SEARCH(" ", $A464, 12)))))</formula>
    </cfRule>
  </conditionalFormatting>
  <conditionalFormatting sqref="A464:A465">
    <cfRule type="expression" dxfId="25" priority="6243" stopIfTrue="1">
      <formula>$A464="decimal"</formula>
    </cfRule>
  </conditionalFormatting>
  <conditionalFormatting sqref="A464:A465">
    <cfRule type="expression" dxfId="26" priority="6244" stopIfTrue="1">
      <formula>$A464="integer"</formula>
    </cfRule>
  </conditionalFormatting>
  <conditionalFormatting sqref="A464:A465">
    <cfRule type="expression" dxfId="27" priority="6245" stopIfTrue="1">
      <formula>$A464="text"</formula>
    </cfRule>
  </conditionalFormatting>
  <conditionalFormatting sqref="A464:A465">
    <cfRule type="expression" dxfId="28" priority="6246" stopIfTrue="1">
      <formula>$A464="end repeat"</formula>
    </cfRule>
  </conditionalFormatting>
  <conditionalFormatting sqref="A464:A465">
    <cfRule type="expression" dxfId="28" priority="6247" stopIfTrue="1">
      <formula>$A464="begin repeat"</formula>
    </cfRule>
  </conditionalFormatting>
  <conditionalFormatting sqref="A464:A465">
    <cfRule type="expression" dxfId="29" priority="6248" stopIfTrue="1">
      <formula>$A464="end group"</formula>
    </cfRule>
  </conditionalFormatting>
  <conditionalFormatting sqref="A464:A465">
    <cfRule type="expression" dxfId="29" priority="6249" stopIfTrue="1">
      <formula>$A464="begin group"</formula>
    </cfRule>
  </conditionalFormatting>
  <conditionalFormatting sqref="A458:A462">
    <cfRule type="expression" dxfId="33" priority="6250" stopIfTrue="1">
      <formula>$A458="file"</formula>
    </cfRule>
  </conditionalFormatting>
  <conditionalFormatting sqref="A458:A462">
    <cfRule type="expression" dxfId="34" priority="6251" stopIfTrue="1">
      <formula>$A458="enumerator"</formula>
    </cfRule>
  </conditionalFormatting>
  <conditionalFormatting sqref="A458:A462">
    <cfRule type="expression" dxfId="35" priority="6252" stopIfTrue="1">
      <formula>OR(AND(LEFT($A458, 14)="sensor_stream ", LEN($A458)&gt;14, NOT(ISNUMBER(SEARCH(" ", $A458, 15)))), AND(LEFT($A458, 17)="sensor_statistic ", LEN($A458)&gt;17, NOT(ISNUMBER(SEARCH(" ", $A458, 18)))))</formula>
    </cfRule>
  </conditionalFormatting>
  <conditionalFormatting sqref="A458:A462">
    <cfRule type="expression" dxfId="14" priority="6253" stopIfTrue="1">
      <formula>$A458="comments"</formula>
    </cfRule>
  </conditionalFormatting>
  <conditionalFormatting sqref="A458:A462">
    <cfRule type="expression" dxfId="15" priority="6254" stopIfTrue="1">
      <formula>OR($A458="audio", $A458="video")</formula>
    </cfRule>
  </conditionalFormatting>
  <conditionalFormatting sqref="A458:A462">
    <cfRule type="expression" dxfId="16" priority="6255" stopIfTrue="1">
      <formula>$A458="image"</formula>
    </cfRule>
  </conditionalFormatting>
  <conditionalFormatting sqref="A458:A462">
    <cfRule type="expression" dxfId="17" priority="6256" stopIfTrue="1">
      <formula>OR($A458="date", $A458="datetime", $A458="time")</formula>
    </cfRule>
  </conditionalFormatting>
  <conditionalFormatting sqref="A458:A462">
    <cfRule type="expression" dxfId="18" priority="6257" stopIfTrue="1">
      <formula>OR($A458="calculate", $A458="calculate_here")</formula>
    </cfRule>
  </conditionalFormatting>
  <conditionalFormatting sqref="A458:A462">
    <cfRule type="expression" dxfId="19" priority="6258" stopIfTrue="1">
      <formula>$A458="note"</formula>
    </cfRule>
  </conditionalFormatting>
  <conditionalFormatting sqref="A458:A462">
    <cfRule type="expression" dxfId="20" priority="6259" stopIfTrue="1">
      <formula>$A458="barcode"</formula>
    </cfRule>
  </conditionalFormatting>
  <conditionalFormatting sqref="A458:A462">
    <cfRule type="expression" dxfId="21" priority="6260" stopIfTrue="1">
      <formula>OR($A458="geopoint", $A458="geoshape", $A458="geotrace")</formula>
    </cfRule>
  </conditionalFormatting>
  <conditionalFormatting sqref="A458:A462">
    <cfRule type="expression" dxfId="22" priority="6261" stopIfTrue="1">
      <formula>OR($A458="audio audit", $A458="text audit", $A458="speed violations count", $A458="speed violations list", $A458="speed violations audit")</formula>
    </cfRule>
  </conditionalFormatting>
  <conditionalFormatting sqref="A458:A462">
    <cfRule type="expression" dxfId="23" priority="6262" stopIfTrue="1">
      <formula>OR($A458="username", $A458="phonenumber", $A458="start", $A458="end", $A458="deviceid", $A458="subscriberid", $A458="simserial", $A458="caseid")</formula>
    </cfRule>
  </conditionalFormatting>
  <conditionalFormatting sqref="A458:A462">
    <cfRule type="expression" dxfId="24" priority="6263" stopIfTrue="1">
      <formula>OR(AND(LEFT($A458, 16)="select_multiple ", LEN($A458)&gt;16, NOT(ISNUMBER(SEARCH(" ", $A458, 17)))), AND(LEFT($A458, 11)="select_one ", LEN($A458)&gt;11, NOT(ISNUMBER(SEARCH(" ", $A458, 12)))))</formula>
    </cfRule>
  </conditionalFormatting>
  <conditionalFormatting sqref="A458:A462">
    <cfRule type="expression" dxfId="25" priority="6264" stopIfTrue="1">
      <formula>$A458="decimal"</formula>
    </cfRule>
  </conditionalFormatting>
  <conditionalFormatting sqref="A458:A462">
    <cfRule type="expression" dxfId="26" priority="6265" stopIfTrue="1">
      <formula>$A458="integer"</formula>
    </cfRule>
  </conditionalFormatting>
  <conditionalFormatting sqref="A458:A462">
    <cfRule type="expression" dxfId="27" priority="6266" stopIfTrue="1">
      <formula>$A458="text"</formula>
    </cfRule>
  </conditionalFormatting>
  <conditionalFormatting sqref="A458:A462">
    <cfRule type="expression" dxfId="28" priority="6267" stopIfTrue="1">
      <formula>$A458="end repeat"</formula>
    </cfRule>
  </conditionalFormatting>
  <conditionalFormatting sqref="A458:A462">
    <cfRule type="expression" dxfId="28" priority="6268" stopIfTrue="1">
      <formula>$A458="begin repeat"</formula>
    </cfRule>
  </conditionalFormatting>
  <conditionalFormatting sqref="A458:A462">
    <cfRule type="expression" dxfId="29" priority="6269" stopIfTrue="1">
      <formula>$A458="end group"</formula>
    </cfRule>
  </conditionalFormatting>
  <conditionalFormatting sqref="A458:A462">
    <cfRule type="expression" dxfId="29" priority="6270" stopIfTrue="1">
      <formula>$A458="begin group"</formula>
    </cfRule>
  </conditionalFormatting>
  <conditionalFormatting sqref="A416:A456">
    <cfRule type="expression" dxfId="33" priority="6271" stopIfTrue="1">
      <formula>$A416="file"</formula>
    </cfRule>
  </conditionalFormatting>
  <conditionalFormatting sqref="A416:A456">
    <cfRule type="expression" dxfId="34" priority="6272" stopIfTrue="1">
      <formula>$A416="enumerator"</formula>
    </cfRule>
  </conditionalFormatting>
  <conditionalFormatting sqref="A416:A456">
    <cfRule type="expression" dxfId="35" priority="6273" stopIfTrue="1">
      <formula>OR(AND(LEFT($A416, 14)="sensor_stream ", LEN($A416)&gt;14, NOT(ISNUMBER(SEARCH(" ", $A416, 15)))), AND(LEFT($A416, 17)="sensor_statistic ", LEN($A416)&gt;17, NOT(ISNUMBER(SEARCH(" ", $A416, 18)))))</formula>
    </cfRule>
  </conditionalFormatting>
  <conditionalFormatting sqref="A416:A456">
    <cfRule type="expression" dxfId="14" priority="6274" stopIfTrue="1">
      <formula>$A416="comments"</formula>
    </cfRule>
  </conditionalFormatting>
  <conditionalFormatting sqref="A416:A456">
    <cfRule type="expression" dxfId="15" priority="6275" stopIfTrue="1">
      <formula>OR($A416="audio", $A416="video")</formula>
    </cfRule>
  </conditionalFormatting>
  <conditionalFormatting sqref="A416:A456">
    <cfRule type="expression" dxfId="16" priority="6276" stopIfTrue="1">
      <formula>$A416="image"</formula>
    </cfRule>
  </conditionalFormatting>
  <conditionalFormatting sqref="A416:A456">
    <cfRule type="expression" dxfId="17" priority="6277" stopIfTrue="1">
      <formula>OR($A416="date", $A416="datetime", $A416="time")</formula>
    </cfRule>
  </conditionalFormatting>
  <conditionalFormatting sqref="A416:A456">
    <cfRule type="expression" dxfId="18" priority="6278" stopIfTrue="1">
      <formula>OR($A416="calculate", $A416="calculate_here")</formula>
    </cfRule>
  </conditionalFormatting>
  <conditionalFormatting sqref="A416:A456">
    <cfRule type="expression" dxfId="19" priority="6279" stopIfTrue="1">
      <formula>$A416="note"</formula>
    </cfRule>
  </conditionalFormatting>
  <conditionalFormatting sqref="A416:A456">
    <cfRule type="expression" dxfId="20" priority="6280" stopIfTrue="1">
      <formula>$A416="barcode"</formula>
    </cfRule>
  </conditionalFormatting>
  <conditionalFormatting sqref="A416:A456">
    <cfRule type="expression" dxfId="21" priority="6281" stopIfTrue="1">
      <formula>OR($A416="geopoint", $A416="geoshape", $A416="geotrace")</formula>
    </cfRule>
  </conditionalFormatting>
  <conditionalFormatting sqref="A416:A456">
    <cfRule type="expression" dxfId="22" priority="6282" stopIfTrue="1">
      <formula>OR($A416="audio audit", $A416="text audit", $A416="speed violations count", $A416="speed violations list", $A416="speed violations audit")</formula>
    </cfRule>
  </conditionalFormatting>
  <conditionalFormatting sqref="A416:A456">
    <cfRule type="expression" dxfId="23" priority="6283" stopIfTrue="1">
      <formula>OR($A416="username", $A416="phonenumber", $A416="start", $A416="end", $A416="deviceid", $A416="subscriberid", $A416="simserial", $A416="caseid")</formula>
    </cfRule>
  </conditionalFormatting>
  <conditionalFormatting sqref="A416:A456">
    <cfRule type="expression" dxfId="24" priority="6284" stopIfTrue="1">
      <formula>OR(AND(LEFT($A416, 16)="select_multiple ", LEN($A416)&gt;16, NOT(ISNUMBER(SEARCH(" ", $A416, 17)))), AND(LEFT($A416, 11)="select_one ", LEN($A416)&gt;11, NOT(ISNUMBER(SEARCH(" ", $A416, 12)))))</formula>
    </cfRule>
  </conditionalFormatting>
  <conditionalFormatting sqref="A416:A456">
    <cfRule type="expression" dxfId="25" priority="6285" stopIfTrue="1">
      <formula>$A416="decimal"</formula>
    </cfRule>
  </conditionalFormatting>
  <conditionalFormatting sqref="A416:A456">
    <cfRule type="expression" dxfId="26" priority="6286" stopIfTrue="1">
      <formula>$A416="integer"</formula>
    </cfRule>
  </conditionalFormatting>
  <conditionalFormatting sqref="A416:A456">
    <cfRule type="expression" dxfId="27" priority="6287" stopIfTrue="1">
      <formula>$A416="text"</formula>
    </cfRule>
  </conditionalFormatting>
  <conditionalFormatting sqref="A416:A456">
    <cfRule type="expression" dxfId="28" priority="6288" stopIfTrue="1">
      <formula>$A416="end repeat"</formula>
    </cfRule>
  </conditionalFormatting>
  <conditionalFormatting sqref="A416:A456">
    <cfRule type="expression" dxfId="28" priority="6289" stopIfTrue="1">
      <formula>$A416="begin repeat"</formula>
    </cfRule>
  </conditionalFormatting>
  <conditionalFormatting sqref="A416:A456">
    <cfRule type="expression" dxfId="29" priority="6290" stopIfTrue="1">
      <formula>$A416="end group"</formula>
    </cfRule>
  </conditionalFormatting>
  <conditionalFormatting sqref="A416:A456">
    <cfRule type="expression" dxfId="29" priority="6291" stopIfTrue="1">
      <formula>$A416="begin group"</formula>
    </cfRule>
  </conditionalFormatting>
  <conditionalFormatting sqref="A408:A414">
    <cfRule type="expression" dxfId="33" priority="6292" stopIfTrue="1">
      <formula>$A408="file"</formula>
    </cfRule>
  </conditionalFormatting>
  <conditionalFormatting sqref="A408:A414">
    <cfRule type="expression" dxfId="34" priority="6293" stopIfTrue="1">
      <formula>$A408="enumerator"</formula>
    </cfRule>
  </conditionalFormatting>
  <conditionalFormatting sqref="A408:A414">
    <cfRule type="expression" dxfId="35" priority="6294" stopIfTrue="1">
      <formula>OR(AND(LEFT($A408, 14)="sensor_stream ", LEN($A408)&gt;14, NOT(ISNUMBER(SEARCH(" ", $A408, 15)))), AND(LEFT($A408, 17)="sensor_statistic ", LEN($A408)&gt;17, NOT(ISNUMBER(SEARCH(" ", $A408, 18)))))</formula>
    </cfRule>
  </conditionalFormatting>
  <conditionalFormatting sqref="A408:A414">
    <cfRule type="expression" dxfId="14" priority="6295" stopIfTrue="1">
      <formula>$A408="comments"</formula>
    </cfRule>
  </conditionalFormatting>
  <conditionalFormatting sqref="A408:A414">
    <cfRule type="expression" dxfId="15" priority="6296" stopIfTrue="1">
      <formula>OR($A408="audio", $A408="video")</formula>
    </cfRule>
  </conditionalFormatting>
  <conditionalFormatting sqref="A408:A414">
    <cfRule type="expression" dxfId="16" priority="6297" stopIfTrue="1">
      <formula>$A408="image"</formula>
    </cfRule>
  </conditionalFormatting>
  <conditionalFormatting sqref="A408:A414">
    <cfRule type="expression" dxfId="17" priority="6298" stopIfTrue="1">
      <formula>OR($A408="date", $A408="datetime", $A408="time")</formula>
    </cfRule>
  </conditionalFormatting>
  <conditionalFormatting sqref="A408:A414">
    <cfRule type="expression" dxfId="18" priority="6299" stopIfTrue="1">
      <formula>OR($A408="calculate", $A408="calculate_here")</formula>
    </cfRule>
  </conditionalFormatting>
  <conditionalFormatting sqref="A408:A414">
    <cfRule type="expression" dxfId="19" priority="6300" stopIfTrue="1">
      <formula>$A408="note"</formula>
    </cfRule>
  </conditionalFormatting>
  <conditionalFormatting sqref="A408:A414">
    <cfRule type="expression" dxfId="20" priority="6301" stopIfTrue="1">
      <formula>$A408="barcode"</formula>
    </cfRule>
  </conditionalFormatting>
  <conditionalFormatting sqref="A408:A414">
    <cfRule type="expression" dxfId="21" priority="6302" stopIfTrue="1">
      <formula>OR($A408="geopoint", $A408="geoshape", $A408="geotrace")</formula>
    </cfRule>
  </conditionalFormatting>
  <conditionalFormatting sqref="A408:A414">
    <cfRule type="expression" dxfId="22" priority="6303" stopIfTrue="1">
      <formula>OR($A408="audio audit", $A408="text audit", $A408="speed violations count", $A408="speed violations list", $A408="speed violations audit")</formula>
    </cfRule>
  </conditionalFormatting>
  <conditionalFormatting sqref="A408:A414">
    <cfRule type="expression" dxfId="23" priority="6304" stopIfTrue="1">
      <formula>OR($A408="username", $A408="phonenumber", $A408="start", $A408="end", $A408="deviceid", $A408="subscriberid", $A408="simserial", $A408="caseid")</formula>
    </cfRule>
  </conditionalFormatting>
  <conditionalFormatting sqref="A408:A414">
    <cfRule type="expression" dxfId="24" priority="6305" stopIfTrue="1">
      <formula>OR(AND(LEFT($A408, 16)="select_multiple ", LEN($A408)&gt;16, NOT(ISNUMBER(SEARCH(" ", $A408, 17)))), AND(LEFT($A408, 11)="select_one ", LEN($A408)&gt;11, NOT(ISNUMBER(SEARCH(" ", $A408, 12)))))</formula>
    </cfRule>
  </conditionalFormatting>
  <conditionalFormatting sqref="A408:A414">
    <cfRule type="expression" dxfId="25" priority="6306" stopIfTrue="1">
      <formula>$A408="decimal"</formula>
    </cfRule>
  </conditionalFormatting>
  <conditionalFormatting sqref="A408:A414">
    <cfRule type="expression" dxfId="26" priority="6307" stopIfTrue="1">
      <formula>$A408="integer"</formula>
    </cfRule>
  </conditionalFormatting>
  <conditionalFormatting sqref="A408:A414">
    <cfRule type="expression" dxfId="27" priority="6308" stopIfTrue="1">
      <formula>$A408="text"</formula>
    </cfRule>
  </conditionalFormatting>
  <conditionalFormatting sqref="A408:A414">
    <cfRule type="expression" dxfId="28" priority="6309" stopIfTrue="1">
      <formula>$A408="end repeat"</formula>
    </cfRule>
  </conditionalFormatting>
  <conditionalFormatting sqref="A408:A414">
    <cfRule type="expression" dxfId="28" priority="6310" stopIfTrue="1">
      <formula>$A408="begin repeat"</formula>
    </cfRule>
  </conditionalFormatting>
  <conditionalFormatting sqref="A408:A414">
    <cfRule type="expression" dxfId="29" priority="6311" stopIfTrue="1">
      <formula>$A408="end group"</formula>
    </cfRule>
  </conditionalFormatting>
  <conditionalFormatting sqref="A408:A414">
    <cfRule type="expression" dxfId="29" priority="6312" stopIfTrue="1">
      <formula>$A408="begin group"</formula>
    </cfRule>
  </conditionalFormatting>
  <conditionalFormatting sqref="A406">
    <cfRule type="expression" dxfId="33" priority="6313" stopIfTrue="1">
      <formula>$A406="file"</formula>
    </cfRule>
  </conditionalFormatting>
  <conditionalFormatting sqref="A406">
    <cfRule type="expression" dxfId="34" priority="6314" stopIfTrue="1">
      <formula>$A406="enumerator"</formula>
    </cfRule>
  </conditionalFormatting>
  <conditionalFormatting sqref="A406">
    <cfRule type="expression" dxfId="35" priority="6315" stopIfTrue="1">
      <formula>OR(AND(LEFT($A406, 14)="sensor_stream ", LEN($A406)&gt;14, NOT(ISNUMBER(SEARCH(" ", $A406, 15)))), AND(LEFT($A406, 17)="sensor_statistic ", LEN($A406)&gt;17, NOT(ISNUMBER(SEARCH(" ", $A406, 18)))))</formula>
    </cfRule>
  </conditionalFormatting>
  <conditionalFormatting sqref="A406">
    <cfRule type="expression" dxfId="14" priority="6316" stopIfTrue="1">
      <formula>$A406="comments"</formula>
    </cfRule>
  </conditionalFormatting>
  <conditionalFormatting sqref="A406">
    <cfRule type="expression" dxfId="15" priority="6317" stopIfTrue="1">
      <formula>OR($A406="audio", $A406="video")</formula>
    </cfRule>
  </conditionalFormatting>
  <conditionalFormatting sqref="A406">
    <cfRule type="expression" dxfId="16" priority="6318" stopIfTrue="1">
      <formula>$A406="image"</formula>
    </cfRule>
  </conditionalFormatting>
  <conditionalFormatting sqref="A406">
    <cfRule type="expression" dxfId="17" priority="6319" stopIfTrue="1">
      <formula>OR($A406="date", $A406="datetime", $A406="time")</formula>
    </cfRule>
  </conditionalFormatting>
  <conditionalFormatting sqref="A406">
    <cfRule type="expression" dxfId="18" priority="6320" stopIfTrue="1">
      <formula>OR($A406="calculate", $A406="calculate_here")</formula>
    </cfRule>
  </conditionalFormatting>
  <conditionalFormatting sqref="A406">
    <cfRule type="expression" dxfId="19" priority="6321" stopIfTrue="1">
      <formula>$A406="note"</formula>
    </cfRule>
  </conditionalFormatting>
  <conditionalFormatting sqref="A406">
    <cfRule type="expression" dxfId="20" priority="6322" stopIfTrue="1">
      <formula>$A406="barcode"</formula>
    </cfRule>
  </conditionalFormatting>
  <conditionalFormatting sqref="A406">
    <cfRule type="expression" dxfId="21" priority="6323" stopIfTrue="1">
      <formula>OR($A406="geopoint", $A406="geoshape", $A406="geotrace")</formula>
    </cfRule>
  </conditionalFormatting>
  <conditionalFormatting sqref="A406">
    <cfRule type="expression" dxfId="22" priority="6324" stopIfTrue="1">
      <formula>OR($A406="audio audit", $A406="text audit", $A406="speed violations count", $A406="speed violations list", $A406="speed violations audit")</formula>
    </cfRule>
  </conditionalFormatting>
  <conditionalFormatting sqref="A406">
    <cfRule type="expression" dxfId="23" priority="6325" stopIfTrue="1">
      <formula>OR($A406="username", $A406="phonenumber", $A406="start", $A406="end", $A406="deviceid", $A406="subscriberid", $A406="simserial", $A406="caseid")</formula>
    </cfRule>
  </conditionalFormatting>
  <conditionalFormatting sqref="A406">
    <cfRule type="expression" dxfId="24" priority="6326" stopIfTrue="1">
      <formula>OR(AND(LEFT($A406, 16)="select_multiple ", LEN($A406)&gt;16, NOT(ISNUMBER(SEARCH(" ", $A406, 17)))), AND(LEFT($A406, 11)="select_one ", LEN($A406)&gt;11, NOT(ISNUMBER(SEARCH(" ", $A406, 12)))))</formula>
    </cfRule>
  </conditionalFormatting>
  <conditionalFormatting sqref="A406">
    <cfRule type="expression" dxfId="25" priority="6327" stopIfTrue="1">
      <formula>$A406="decimal"</formula>
    </cfRule>
  </conditionalFormatting>
  <conditionalFormatting sqref="A406">
    <cfRule type="expression" dxfId="26" priority="6328" stopIfTrue="1">
      <formula>$A406="integer"</formula>
    </cfRule>
  </conditionalFormatting>
  <conditionalFormatting sqref="A406">
    <cfRule type="expression" dxfId="27" priority="6329" stopIfTrue="1">
      <formula>$A406="text"</formula>
    </cfRule>
  </conditionalFormatting>
  <conditionalFormatting sqref="A406">
    <cfRule type="expression" dxfId="28" priority="6330" stopIfTrue="1">
      <formula>$A406="end repeat"</formula>
    </cfRule>
  </conditionalFormatting>
  <conditionalFormatting sqref="A406">
    <cfRule type="expression" dxfId="28" priority="6331" stopIfTrue="1">
      <formula>$A406="begin repeat"</formula>
    </cfRule>
  </conditionalFormatting>
  <conditionalFormatting sqref="A406">
    <cfRule type="expression" dxfId="29" priority="6332" stopIfTrue="1">
      <formula>$A406="end group"</formula>
    </cfRule>
  </conditionalFormatting>
  <conditionalFormatting sqref="A406">
    <cfRule type="expression" dxfId="29" priority="6333" stopIfTrue="1">
      <formula>$A406="begin group"</formula>
    </cfRule>
  </conditionalFormatting>
  <conditionalFormatting sqref="A399:A402">
    <cfRule type="expression" dxfId="33" priority="6334" stopIfTrue="1">
      <formula>$A399="file"</formula>
    </cfRule>
  </conditionalFormatting>
  <conditionalFormatting sqref="A399:A402">
    <cfRule type="expression" dxfId="34" priority="6335" stopIfTrue="1">
      <formula>$A399="enumerator"</formula>
    </cfRule>
  </conditionalFormatting>
  <conditionalFormatting sqref="A399:A402">
    <cfRule type="expression" dxfId="35" priority="6336" stopIfTrue="1">
      <formula>OR(AND(LEFT($A399, 14)="sensor_stream ", LEN($A399)&gt;14, NOT(ISNUMBER(SEARCH(" ", $A399, 15)))), AND(LEFT($A399, 17)="sensor_statistic ", LEN($A399)&gt;17, NOT(ISNUMBER(SEARCH(" ", $A399, 18)))))</formula>
    </cfRule>
  </conditionalFormatting>
  <conditionalFormatting sqref="A399:A402">
    <cfRule type="expression" dxfId="14" priority="6337" stopIfTrue="1">
      <formula>$A399="comments"</formula>
    </cfRule>
  </conditionalFormatting>
  <conditionalFormatting sqref="A399:A402">
    <cfRule type="expression" dxfId="15" priority="6338" stopIfTrue="1">
      <formula>OR($A399="audio", $A399="video")</formula>
    </cfRule>
  </conditionalFormatting>
  <conditionalFormatting sqref="A399:A402">
    <cfRule type="expression" dxfId="16" priority="6339" stopIfTrue="1">
      <formula>$A399="image"</formula>
    </cfRule>
  </conditionalFormatting>
  <conditionalFormatting sqref="A399:A402">
    <cfRule type="expression" dxfId="17" priority="6340" stopIfTrue="1">
      <formula>OR($A399="date", $A399="datetime", $A399="time")</formula>
    </cfRule>
  </conditionalFormatting>
  <conditionalFormatting sqref="A399:A402">
    <cfRule type="expression" dxfId="18" priority="6341" stopIfTrue="1">
      <formula>OR($A399="calculate", $A399="calculate_here")</formula>
    </cfRule>
  </conditionalFormatting>
  <conditionalFormatting sqref="A399:A402">
    <cfRule type="expression" dxfId="19" priority="6342" stopIfTrue="1">
      <formula>$A399="note"</formula>
    </cfRule>
  </conditionalFormatting>
  <conditionalFormatting sqref="A399:A402">
    <cfRule type="expression" dxfId="20" priority="6343" stopIfTrue="1">
      <formula>$A399="barcode"</formula>
    </cfRule>
  </conditionalFormatting>
  <conditionalFormatting sqref="A399:A402">
    <cfRule type="expression" dxfId="21" priority="6344" stopIfTrue="1">
      <formula>OR($A399="geopoint", $A399="geoshape", $A399="geotrace")</formula>
    </cfRule>
  </conditionalFormatting>
  <conditionalFormatting sqref="A399:A402">
    <cfRule type="expression" dxfId="22" priority="6345" stopIfTrue="1">
      <formula>OR($A399="audio audit", $A399="text audit", $A399="speed violations count", $A399="speed violations list", $A399="speed violations audit")</formula>
    </cfRule>
  </conditionalFormatting>
  <conditionalFormatting sqref="A399:A402">
    <cfRule type="expression" dxfId="23" priority="6346" stopIfTrue="1">
      <formula>OR($A399="username", $A399="phonenumber", $A399="start", $A399="end", $A399="deviceid", $A399="subscriberid", $A399="simserial", $A399="caseid")</formula>
    </cfRule>
  </conditionalFormatting>
  <conditionalFormatting sqref="A399:A402">
    <cfRule type="expression" dxfId="24" priority="6347" stopIfTrue="1">
      <formula>OR(AND(LEFT($A399, 16)="select_multiple ", LEN($A399)&gt;16, NOT(ISNUMBER(SEARCH(" ", $A399, 17)))), AND(LEFT($A399, 11)="select_one ", LEN($A399)&gt;11, NOT(ISNUMBER(SEARCH(" ", $A399, 12)))))</formula>
    </cfRule>
  </conditionalFormatting>
  <conditionalFormatting sqref="A399:A402">
    <cfRule type="expression" dxfId="25" priority="6348" stopIfTrue="1">
      <formula>$A399="decimal"</formula>
    </cfRule>
  </conditionalFormatting>
  <conditionalFormatting sqref="A399:A402">
    <cfRule type="expression" dxfId="26" priority="6349" stopIfTrue="1">
      <formula>$A399="integer"</formula>
    </cfRule>
  </conditionalFormatting>
  <conditionalFormatting sqref="A399:A402">
    <cfRule type="expression" dxfId="27" priority="6350" stopIfTrue="1">
      <formula>$A399="text"</formula>
    </cfRule>
  </conditionalFormatting>
  <conditionalFormatting sqref="A399:A402">
    <cfRule type="expression" dxfId="28" priority="6351" stopIfTrue="1">
      <formula>$A399="end repeat"</formula>
    </cfRule>
  </conditionalFormatting>
  <conditionalFormatting sqref="A399:A402">
    <cfRule type="expression" dxfId="28" priority="6352" stopIfTrue="1">
      <formula>$A399="begin repeat"</formula>
    </cfRule>
  </conditionalFormatting>
  <conditionalFormatting sqref="A399:A402">
    <cfRule type="expression" dxfId="29" priority="6353" stopIfTrue="1">
      <formula>$A399="end group"</formula>
    </cfRule>
  </conditionalFormatting>
  <conditionalFormatting sqref="A399:A402">
    <cfRule type="expression" dxfId="29" priority="6354" stopIfTrue="1">
      <formula>$A399="begin group"</formula>
    </cfRule>
  </conditionalFormatting>
  <conditionalFormatting sqref="A392:A396">
    <cfRule type="expression" dxfId="33" priority="6355" stopIfTrue="1">
      <formula>$A392="file"</formula>
    </cfRule>
  </conditionalFormatting>
  <conditionalFormatting sqref="A392:A396">
    <cfRule type="expression" dxfId="34" priority="6356" stopIfTrue="1">
      <formula>$A392="enumerator"</formula>
    </cfRule>
  </conditionalFormatting>
  <conditionalFormatting sqref="A392:A396">
    <cfRule type="expression" dxfId="35" priority="6357" stopIfTrue="1">
      <formula>OR(AND(LEFT($A392, 14)="sensor_stream ", LEN($A392)&gt;14, NOT(ISNUMBER(SEARCH(" ", $A392, 15)))), AND(LEFT($A392, 17)="sensor_statistic ", LEN($A392)&gt;17, NOT(ISNUMBER(SEARCH(" ", $A392, 18)))))</formula>
    </cfRule>
  </conditionalFormatting>
  <conditionalFormatting sqref="A392:A396">
    <cfRule type="expression" dxfId="14" priority="6358" stopIfTrue="1">
      <formula>$A392="comments"</formula>
    </cfRule>
  </conditionalFormatting>
  <conditionalFormatting sqref="A392:A396">
    <cfRule type="expression" dxfId="15" priority="6359" stopIfTrue="1">
      <formula>OR($A392="audio", $A392="video")</formula>
    </cfRule>
  </conditionalFormatting>
  <conditionalFormatting sqref="A392:A396">
    <cfRule type="expression" dxfId="16" priority="6360" stopIfTrue="1">
      <formula>$A392="image"</formula>
    </cfRule>
  </conditionalFormatting>
  <conditionalFormatting sqref="A392:A396">
    <cfRule type="expression" dxfId="17" priority="6361" stopIfTrue="1">
      <formula>OR($A392="date", $A392="datetime", $A392="time")</formula>
    </cfRule>
  </conditionalFormatting>
  <conditionalFormatting sqref="A392:A396">
    <cfRule type="expression" dxfId="18" priority="6362" stopIfTrue="1">
      <formula>OR($A392="calculate", $A392="calculate_here")</formula>
    </cfRule>
  </conditionalFormatting>
  <conditionalFormatting sqref="A392:A396">
    <cfRule type="expression" dxfId="19" priority="6363" stopIfTrue="1">
      <formula>$A392="note"</formula>
    </cfRule>
  </conditionalFormatting>
  <conditionalFormatting sqref="A392:A396">
    <cfRule type="expression" dxfId="20" priority="6364" stopIfTrue="1">
      <formula>$A392="barcode"</formula>
    </cfRule>
  </conditionalFormatting>
  <conditionalFormatting sqref="A392:A396">
    <cfRule type="expression" dxfId="21" priority="6365" stopIfTrue="1">
      <formula>OR($A392="geopoint", $A392="geoshape", $A392="geotrace")</formula>
    </cfRule>
  </conditionalFormatting>
  <conditionalFormatting sqref="A392:A396">
    <cfRule type="expression" dxfId="22" priority="6366" stopIfTrue="1">
      <formula>OR($A392="audio audit", $A392="text audit", $A392="speed violations count", $A392="speed violations list", $A392="speed violations audit")</formula>
    </cfRule>
  </conditionalFormatting>
  <conditionalFormatting sqref="A392:A396">
    <cfRule type="expression" dxfId="23" priority="6367" stopIfTrue="1">
      <formula>OR($A392="username", $A392="phonenumber", $A392="start", $A392="end", $A392="deviceid", $A392="subscriberid", $A392="simserial", $A392="caseid")</formula>
    </cfRule>
  </conditionalFormatting>
  <conditionalFormatting sqref="A392:A396">
    <cfRule type="expression" dxfId="24" priority="6368" stopIfTrue="1">
      <formula>OR(AND(LEFT($A392, 16)="select_multiple ", LEN($A392)&gt;16, NOT(ISNUMBER(SEARCH(" ", $A392, 17)))), AND(LEFT($A392, 11)="select_one ", LEN($A392)&gt;11, NOT(ISNUMBER(SEARCH(" ", $A392, 12)))))</formula>
    </cfRule>
  </conditionalFormatting>
  <conditionalFormatting sqref="A392:A396">
    <cfRule type="expression" dxfId="25" priority="6369" stopIfTrue="1">
      <formula>$A392="decimal"</formula>
    </cfRule>
  </conditionalFormatting>
  <conditionalFormatting sqref="A392:A396">
    <cfRule type="expression" dxfId="26" priority="6370" stopIfTrue="1">
      <formula>$A392="integer"</formula>
    </cfRule>
  </conditionalFormatting>
  <conditionalFormatting sqref="A392:A396">
    <cfRule type="expression" dxfId="27" priority="6371" stopIfTrue="1">
      <formula>$A392="text"</formula>
    </cfRule>
  </conditionalFormatting>
  <conditionalFormatting sqref="A392:A396">
    <cfRule type="expression" dxfId="28" priority="6372" stopIfTrue="1">
      <formula>$A392="end repeat"</formula>
    </cfRule>
  </conditionalFormatting>
  <conditionalFormatting sqref="A392:A396">
    <cfRule type="expression" dxfId="28" priority="6373" stopIfTrue="1">
      <formula>$A392="begin repeat"</formula>
    </cfRule>
  </conditionalFormatting>
  <conditionalFormatting sqref="A392:A396">
    <cfRule type="expression" dxfId="29" priority="6374" stopIfTrue="1">
      <formula>$A392="end group"</formula>
    </cfRule>
  </conditionalFormatting>
  <conditionalFormatting sqref="A392:A396">
    <cfRule type="expression" dxfId="29" priority="6375" stopIfTrue="1">
      <formula>$A392="begin group"</formula>
    </cfRule>
  </conditionalFormatting>
  <conditionalFormatting sqref="A387:A388">
    <cfRule type="expression" dxfId="33" priority="6376" stopIfTrue="1">
      <formula>$A387="file"</formula>
    </cfRule>
  </conditionalFormatting>
  <conditionalFormatting sqref="A387:A388">
    <cfRule type="expression" dxfId="34" priority="6377" stopIfTrue="1">
      <formula>$A387="enumerator"</formula>
    </cfRule>
  </conditionalFormatting>
  <conditionalFormatting sqref="A387:A388">
    <cfRule type="expression" dxfId="35" priority="6378" stopIfTrue="1">
      <formula>OR(AND(LEFT($A387, 14)="sensor_stream ", LEN($A387)&gt;14, NOT(ISNUMBER(SEARCH(" ", $A387, 15)))), AND(LEFT($A387, 17)="sensor_statistic ", LEN($A387)&gt;17, NOT(ISNUMBER(SEARCH(" ", $A387, 18)))))</formula>
    </cfRule>
  </conditionalFormatting>
  <conditionalFormatting sqref="A387:A388">
    <cfRule type="expression" dxfId="14" priority="6379" stopIfTrue="1">
      <formula>$A387="comments"</formula>
    </cfRule>
  </conditionalFormatting>
  <conditionalFormatting sqref="A387:A388">
    <cfRule type="expression" dxfId="15" priority="6380" stopIfTrue="1">
      <formula>OR($A387="audio", $A387="video")</formula>
    </cfRule>
  </conditionalFormatting>
  <conditionalFormatting sqref="A387:A388">
    <cfRule type="expression" dxfId="16" priority="6381" stopIfTrue="1">
      <formula>$A387="image"</formula>
    </cfRule>
  </conditionalFormatting>
  <conditionalFormatting sqref="A387:A388">
    <cfRule type="expression" dxfId="17" priority="6382" stopIfTrue="1">
      <formula>OR($A387="date", $A387="datetime", $A387="time")</formula>
    </cfRule>
  </conditionalFormatting>
  <conditionalFormatting sqref="A387:A388">
    <cfRule type="expression" dxfId="18" priority="6383" stopIfTrue="1">
      <formula>OR($A387="calculate", $A387="calculate_here")</formula>
    </cfRule>
  </conditionalFormatting>
  <conditionalFormatting sqref="A387:A388">
    <cfRule type="expression" dxfId="19" priority="6384" stopIfTrue="1">
      <formula>$A387="note"</formula>
    </cfRule>
  </conditionalFormatting>
  <conditionalFormatting sqref="A387:A388">
    <cfRule type="expression" dxfId="20" priority="6385" stopIfTrue="1">
      <formula>$A387="barcode"</formula>
    </cfRule>
  </conditionalFormatting>
  <conditionalFormatting sqref="A387:A388">
    <cfRule type="expression" dxfId="21" priority="6386" stopIfTrue="1">
      <formula>OR($A387="geopoint", $A387="geoshape", $A387="geotrace")</formula>
    </cfRule>
  </conditionalFormatting>
  <conditionalFormatting sqref="A387:A388">
    <cfRule type="expression" dxfId="22" priority="6387" stopIfTrue="1">
      <formula>OR($A387="audio audit", $A387="text audit", $A387="speed violations count", $A387="speed violations list", $A387="speed violations audit")</formula>
    </cfRule>
  </conditionalFormatting>
  <conditionalFormatting sqref="A387:A388">
    <cfRule type="expression" dxfId="23" priority="6388" stopIfTrue="1">
      <formula>OR($A387="username", $A387="phonenumber", $A387="start", $A387="end", $A387="deviceid", $A387="subscriberid", $A387="simserial", $A387="caseid")</formula>
    </cfRule>
  </conditionalFormatting>
  <conditionalFormatting sqref="A387:A388">
    <cfRule type="expression" dxfId="24" priority="6389" stopIfTrue="1">
      <formula>OR(AND(LEFT($A387, 16)="select_multiple ", LEN($A387)&gt;16, NOT(ISNUMBER(SEARCH(" ", $A387, 17)))), AND(LEFT($A387, 11)="select_one ", LEN($A387)&gt;11, NOT(ISNUMBER(SEARCH(" ", $A387, 12)))))</formula>
    </cfRule>
  </conditionalFormatting>
  <conditionalFormatting sqref="A387:A388">
    <cfRule type="expression" dxfId="25" priority="6390" stopIfTrue="1">
      <formula>$A387="decimal"</formula>
    </cfRule>
  </conditionalFormatting>
  <conditionalFormatting sqref="A387:A388">
    <cfRule type="expression" dxfId="26" priority="6391" stopIfTrue="1">
      <formula>$A387="integer"</formula>
    </cfRule>
  </conditionalFormatting>
  <conditionalFormatting sqref="A387:A388">
    <cfRule type="expression" dxfId="27" priority="6392" stopIfTrue="1">
      <formula>$A387="text"</formula>
    </cfRule>
  </conditionalFormatting>
  <conditionalFormatting sqref="A387:A388">
    <cfRule type="expression" dxfId="28" priority="6393" stopIfTrue="1">
      <formula>$A387="end repeat"</formula>
    </cfRule>
  </conditionalFormatting>
  <conditionalFormatting sqref="A387:A388">
    <cfRule type="expression" dxfId="28" priority="6394" stopIfTrue="1">
      <formula>$A387="begin repeat"</formula>
    </cfRule>
  </conditionalFormatting>
  <conditionalFormatting sqref="A387:A388">
    <cfRule type="expression" dxfId="29" priority="6395" stopIfTrue="1">
      <formula>$A387="end group"</formula>
    </cfRule>
  </conditionalFormatting>
  <conditionalFormatting sqref="A387:A388">
    <cfRule type="expression" dxfId="29" priority="6396" stopIfTrue="1">
      <formula>$A387="begin group"</formula>
    </cfRule>
  </conditionalFormatting>
  <conditionalFormatting sqref="A379:A383">
    <cfRule type="expression" dxfId="33" priority="6397" stopIfTrue="1">
      <formula>$A379="file"</formula>
    </cfRule>
  </conditionalFormatting>
  <conditionalFormatting sqref="A379:A383">
    <cfRule type="expression" dxfId="34" priority="6398" stopIfTrue="1">
      <formula>$A379="enumerator"</formula>
    </cfRule>
  </conditionalFormatting>
  <conditionalFormatting sqref="A379:A383">
    <cfRule type="expression" dxfId="35" priority="6399" stopIfTrue="1">
      <formula>OR(AND(LEFT($A379, 14)="sensor_stream ", LEN($A379)&gt;14, NOT(ISNUMBER(SEARCH(" ", $A379, 15)))), AND(LEFT($A379, 17)="sensor_statistic ", LEN($A379)&gt;17, NOT(ISNUMBER(SEARCH(" ", $A379, 18)))))</formula>
    </cfRule>
  </conditionalFormatting>
  <conditionalFormatting sqref="A379:A383">
    <cfRule type="expression" dxfId="14" priority="6400" stopIfTrue="1">
      <formula>$A379="comments"</formula>
    </cfRule>
  </conditionalFormatting>
  <conditionalFormatting sqref="A379:A383">
    <cfRule type="expression" dxfId="15" priority="6401" stopIfTrue="1">
      <formula>OR($A379="audio", $A379="video")</formula>
    </cfRule>
  </conditionalFormatting>
  <conditionalFormatting sqref="A379:A383">
    <cfRule type="expression" dxfId="16" priority="6402" stopIfTrue="1">
      <formula>$A379="image"</formula>
    </cfRule>
  </conditionalFormatting>
  <conditionalFormatting sqref="A379:A383">
    <cfRule type="expression" dxfId="17" priority="6403" stopIfTrue="1">
      <formula>OR($A379="date", $A379="datetime", $A379="time")</formula>
    </cfRule>
  </conditionalFormatting>
  <conditionalFormatting sqref="A379:A383">
    <cfRule type="expression" dxfId="18" priority="6404" stopIfTrue="1">
      <formula>OR($A379="calculate", $A379="calculate_here")</formula>
    </cfRule>
  </conditionalFormatting>
  <conditionalFormatting sqref="A379:A383">
    <cfRule type="expression" dxfId="19" priority="6405" stopIfTrue="1">
      <formula>$A379="note"</formula>
    </cfRule>
  </conditionalFormatting>
  <conditionalFormatting sqref="A379:A383">
    <cfRule type="expression" dxfId="20" priority="6406" stopIfTrue="1">
      <formula>$A379="barcode"</formula>
    </cfRule>
  </conditionalFormatting>
  <conditionalFormatting sqref="A379:A383">
    <cfRule type="expression" dxfId="21" priority="6407" stopIfTrue="1">
      <formula>OR($A379="geopoint", $A379="geoshape", $A379="geotrace")</formula>
    </cfRule>
  </conditionalFormatting>
  <conditionalFormatting sqref="A379:A383">
    <cfRule type="expression" dxfId="22" priority="6408" stopIfTrue="1">
      <formula>OR($A379="audio audit", $A379="text audit", $A379="speed violations count", $A379="speed violations list", $A379="speed violations audit")</formula>
    </cfRule>
  </conditionalFormatting>
  <conditionalFormatting sqref="A379:A383">
    <cfRule type="expression" dxfId="23" priority="6409" stopIfTrue="1">
      <formula>OR($A379="username", $A379="phonenumber", $A379="start", $A379="end", $A379="deviceid", $A379="subscriberid", $A379="simserial", $A379="caseid")</formula>
    </cfRule>
  </conditionalFormatting>
  <conditionalFormatting sqref="A379:A383">
    <cfRule type="expression" dxfId="24" priority="6410" stopIfTrue="1">
      <formula>OR(AND(LEFT($A379, 16)="select_multiple ", LEN($A379)&gt;16, NOT(ISNUMBER(SEARCH(" ", $A379, 17)))), AND(LEFT($A379, 11)="select_one ", LEN($A379)&gt;11, NOT(ISNUMBER(SEARCH(" ", $A379, 12)))))</formula>
    </cfRule>
  </conditionalFormatting>
  <conditionalFormatting sqref="A379:A383">
    <cfRule type="expression" dxfId="25" priority="6411" stopIfTrue="1">
      <formula>$A379="decimal"</formula>
    </cfRule>
  </conditionalFormatting>
  <conditionalFormatting sqref="A379:A383">
    <cfRule type="expression" dxfId="26" priority="6412" stopIfTrue="1">
      <formula>$A379="integer"</formula>
    </cfRule>
  </conditionalFormatting>
  <conditionalFormatting sqref="A379:A383">
    <cfRule type="expression" dxfId="27" priority="6413" stopIfTrue="1">
      <formula>$A379="text"</formula>
    </cfRule>
  </conditionalFormatting>
  <conditionalFormatting sqref="A379:A383">
    <cfRule type="expression" dxfId="28" priority="6414" stopIfTrue="1">
      <formula>$A379="end repeat"</formula>
    </cfRule>
  </conditionalFormatting>
  <conditionalFormatting sqref="A379:A383">
    <cfRule type="expression" dxfId="28" priority="6415" stopIfTrue="1">
      <formula>$A379="begin repeat"</formula>
    </cfRule>
  </conditionalFormatting>
  <conditionalFormatting sqref="A379:A383">
    <cfRule type="expression" dxfId="29" priority="6416" stopIfTrue="1">
      <formula>$A379="end group"</formula>
    </cfRule>
  </conditionalFormatting>
  <conditionalFormatting sqref="A379:A383">
    <cfRule type="expression" dxfId="29" priority="6417" stopIfTrue="1">
      <formula>$A379="begin group"</formula>
    </cfRule>
  </conditionalFormatting>
  <conditionalFormatting sqref="A376">
    <cfRule type="expression" dxfId="33" priority="6418" stopIfTrue="1">
      <formula>$A376="file"</formula>
    </cfRule>
  </conditionalFormatting>
  <conditionalFormatting sqref="A376">
    <cfRule type="expression" dxfId="34" priority="6419" stopIfTrue="1">
      <formula>$A376="enumerator"</formula>
    </cfRule>
  </conditionalFormatting>
  <conditionalFormatting sqref="A376">
    <cfRule type="expression" dxfId="35" priority="6420" stopIfTrue="1">
      <formula>OR(AND(LEFT($A376, 14)="sensor_stream ", LEN($A376)&gt;14, NOT(ISNUMBER(SEARCH(" ", $A376, 15)))), AND(LEFT($A376, 17)="sensor_statistic ", LEN($A376)&gt;17, NOT(ISNUMBER(SEARCH(" ", $A376, 18)))))</formula>
    </cfRule>
  </conditionalFormatting>
  <conditionalFormatting sqref="A376">
    <cfRule type="expression" dxfId="14" priority="6421" stopIfTrue="1">
      <formula>$A376="comments"</formula>
    </cfRule>
  </conditionalFormatting>
  <conditionalFormatting sqref="A376">
    <cfRule type="expression" dxfId="15" priority="6422" stopIfTrue="1">
      <formula>OR($A376="audio", $A376="video")</formula>
    </cfRule>
  </conditionalFormatting>
  <conditionalFormatting sqref="A376">
    <cfRule type="expression" dxfId="16" priority="6423" stopIfTrue="1">
      <formula>$A376="image"</formula>
    </cfRule>
  </conditionalFormatting>
  <conditionalFormatting sqref="A376">
    <cfRule type="expression" dxfId="17" priority="6424" stopIfTrue="1">
      <formula>OR($A376="date", $A376="datetime", $A376="time")</formula>
    </cfRule>
  </conditionalFormatting>
  <conditionalFormatting sqref="A376">
    <cfRule type="expression" dxfId="18" priority="6425" stopIfTrue="1">
      <formula>OR($A376="calculate", $A376="calculate_here")</formula>
    </cfRule>
  </conditionalFormatting>
  <conditionalFormatting sqref="A376">
    <cfRule type="expression" dxfId="19" priority="6426" stopIfTrue="1">
      <formula>$A376="note"</formula>
    </cfRule>
  </conditionalFormatting>
  <conditionalFormatting sqref="A376">
    <cfRule type="expression" dxfId="20" priority="6427" stopIfTrue="1">
      <formula>$A376="barcode"</formula>
    </cfRule>
  </conditionalFormatting>
  <conditionalFormatting sqref="A376">
    <cfRule type="expression" dxfId="21" priority="6428" stopIfTrue="1">
      <formula>OR($A376="geopoint", $A376="geoshape", $A376="geotrace")</formula>
    </cfRule>
  </conditionalFormatting>
  <conditionalFormatting sqref="A376">
    <cfRule type="expression" dxfId="22" priority="6429" stopIfTrue="1">
      <formula>OR($A376="audio audit", $A376="text audit", $A376="speed violations count", $A376="speed violations list", $A376="speed violations audit")</formula>
    </cfRule>
  </conditionalFormatting>
  <conditionalFormatting sqref="A376">
    <cfRule type="expression" dxfId="23" priority="6430" stopIfTrue="1">
      <formula>OR($A376="username", $A376="phonenumber", $A376="start", $A376="end", $A376="deviceid", $A376="subscriberid", $A376="simserial", $A376="caseid")</formula>
    </cfRule>
  </conditionalFormatting>
  <conditionalFormatting sqref="A376">
    <cfRule type="expression" dxfId="24" priority="6431" stopIfTrue="1">
      <formula>OR(AND(LEFT($A376, 16)="select_multiple ", LEN($A376)&gt;16, NOT(ISNUMBER(SEARCH(" ", $A376, 17)))), AND(LEFT($A376, 11)="select_one ", LEN($A376)&gt;11, NOT(ISNUMBER(SEARCH(" ", $A376, 12)))))</formula>
    </cfRule>
  </conditionalFormatting>
  <conditionalFormatting sqref="A376">
    <cfRule type="expression" dxfId="25" priority="6432" stopIfTrue="1">
      <formula>$A376="decimal"</formula>
    </cfRule>
  </conditionalFormatting>
  <conditionalFormatting sqref="A376">
    <cfRule type="expression" dxfId="26" priority="6433" stopIfTrue="1">
      <formula>$A376="integer"</formula>
    </cfRule>
  </conditionalFormatting>
  <conditionalFormatting sqref="A376">
    <cfRule type="expression" dxfId="27" priority="6434" stopIfTrue="1">
      <formula>$A376="text"</formula>
    </cfRule>
  </conditionalFormatting>
  <conditionalFormatting sqref="A376">
    <cfRule type="expression" dxfId="28" priority="6435" stopIfTrue="1">
      <formula>$A376="end repeat"</formula>
    </cfRule>
  </conditionalFormatting>
  <conditionalFormatting sqref="A376">
    <cfRule type="expression" dxfId="28" priority="6436" stopIfTrue="1">
      <formula>$A376="begin repeat"</formula>
    </cfRule>
  </conditionalFormatting>
  <conditionalFormatting sqref="A376">
    <cfRule type="expression" dxfId="29" priority="6437" stopIfTrue="1">
      <formula>$A376="end group"</formula>
    </cfRule>
  </conditionalFormatting>
  <conditionalFormatting sqref="A376">
    <cfRule type="expression" dxfId="29" priority="6438" stopIfTrue="1">
      <formula>$A376="begin group"</formula>
    </cfRule>
  </conditionalFormatting>
  <conditionalFormatting sqref="A373">
    <cfRule type="expression" dxfId="33" priority="6439" stopIfTrue="1">
      <formula>$A373="file"</formula>
    </cfRule>
  </conditionalFormatting>
  <conditionalFormatting sqref="A373">
    <cfRule type="expression" dxfId="34" priority="6440" stopIfTrue="1">
      <formula>$A373="enumerator"</formula>
    </cfRule>
  </conditionalFormatting>
  <conditionalFormatting sqref="A373">
    <cfRule type="expression" dxfId="35" priority="6441" stopIfTrue="1">
      <formula>OR(AND(LEFT($A373, 14)="sensor_stream ", LEN($A373)&gt;14, NOT(ISNUMBER(SEARCH(" ", $A373, 15)))), AND(LEFT($A373, 17)="sensor_statistic ", LEN($A373)&gt;17, NOT(ISNUMBER(SEARCH(" ", $A373, 18)))))</formula>
    </cfRule>
  </conditionalFormatting>
  <conditionalFormatting sqref="A373">
    <cfRule type="expression" dxfId="14" priority="6442" stopIfTrue="1">
      <formula>$A373="comments"</formula>
    </cfRule>
  </conditionalFormatting>
  <conditionalFormatting sqref="A373">
    <cfRule type="expression" dxfId="15" priority="6443" stopIfTrue="1">
      <formula>OR($A373="audio", $A373="video")</formula>
    </cfRule>
  </conditionalFormatting>
  <conditionalFormatting sqref="A373">
    <cfRule type="expression" dxfId="16" priority="6444" stopIfTrue="1">
      <formula>$A373="image"</formula>
    </cfRule>
  </conditionalFormatting>
  <conditionalFormatting sqref="A373">
    <cfRule type="expression" dxfId="17" priority="6445" stopIfTrue="1">
      <formula>OR($A373="date", $A373="datetime", $A373="time")</formula>
    </cfRule>
  </conditionalFormatting>
  <conditionalFormatting sqref="A373">
    <cfRule type="expression" dxfId="18" priority="6446" stopIfTrue="1">
      <formula>OR($A373="calculate", $A373="calculate_here")</formula>
    </cfRule>
  </conditionalFormatting>
  <conditionalFormatting sqref="A373">
    <cfRule type="expression" dxfId="19" priority="6447" stopIfTrue="1">
      <formula>$A373="note"</formula>
    </cfRule>
  </conditionalFormatting>
  <conditionalFormatting sqref="A373">
    <cfRule type="expression" dxfId="20" priority="6448" stopIfTrue="1">
      <formula>$A373="barcode"</formula>
    </cfRule>
  </conditionalFormatting>
  <conditionalFormatting sqref="A373">
    <cfRule type="expression" dxfId="21" priority="6449" stopIfTrue="1">
      <formula>OR($A373="geopoint", $A373="geoshape", $A373="geotrace")</formula>
    </cfRule>
  </conditionalFormatting>
  <conditionalFormatting sqref="A373">
    <cfRule type="expression" dxfId="22" priority="6450" stopIfTrue="1">
      <formula>OR($A373="audio audit", $A373="text audit", $A373="speed violations count", $A373="speed violations list", $A373="speed violations audit")</formula>
    </cfRule>
  </conditionalFormatting>
  <conditionalFormatting sqref="A373">
    <cfRule type="expression" dxfId="23" priority="6451" stopIfTrue="1">
      <formula>OR($A373="username", $A373="phonenumber", $A373="start", $A373="end", $A373="deviceid", $A373="subscriberid", $A373="simserial", $A373="caseid")</formula>
    </cfRule>
  </conditionalFormatting>
  <conditionalFormatting sqref="A373">
    <cfRule type="expression" dxfId="24" priority="6452" stopIfTrue="1">
      <formula>OR(AND(LEFT($A373, 16)="select_multiple ", LEN($A373)&gt;16, NOT(ISNUMBER(SEARCH(" ", $A373, 17)))), AND(LEFT($A373, 11)="select_one ", LEN($A373)&gt;11, NOT(ISNUMBER(SEARCH(" ", $A373, 12)))))</formula>
    </cfRule>
  </conditionalFormatting>
  <conditionalFormatting sqref="A373">
    <cfRule type="expression" dxfId="25" priority="6453" stopIfTrue="1">
      <formula>$A373="decimal"</formula>
    </cfRule>
  </conditionalFormatting>
  <conditionalFormatting sqref="A373">
    <cfRule type="expression" dxfId="26" priority="6454" stopIfTrue="1">
      <formula>$A373="integer"</formula>
    </cfRule>
  </conditionalFormatting>
  <conditionalFormatting sqref="A373">
    <cfRule type="expression" dxfId="27" priority="6455" stopIfTrue="1">
      <formula>$A373="text"</formula>
    </cfRule>
  </conditionalFormatting>
  <conditionalFormatting sqref="A373">
    <cfRule type="expression" dxfId="28" priority="6456" stopIfTrue="1">
      <formula>$A373="end repeat"</formula>
    </cfRule>
  </conditionalFormatting>
  <conditionalFormatting sqref="A373">
    <cfRule type="expression" dxfId="28" priority="6457" stopIfTrue="1">
      <formula>$A373="begin repeat"</formula>
    </cfRule>
  </conditionalFormatting>
  <conditionalFormatting sqref="A373">
    <cfRule type="expression" dxfId="29" priority="6458" stopIfTrue="1">
      <formula>$A373="end group"</formula>
    </cfRule>
  </conditionalFormatting>
  <conditionalFormatting sqref="A373">
    <cfRule type="expression" dxfId="29" priority="6459" stopIfTrue="1">
      <formula>$A373="begin group"</formula>
    </cfRule>
  </conditionalFormatting>
  <conditionalFormatting sqref="A371">
    <cfRule type="expression" dxfId="33" priority="6460" stopIfTrue="1">
      <formula>$A371="file"</formula>
    </cfRule>
  </conditionalFormatting>
  <conditionalFormatting sqref="A371">
    <cfRule type="expression" dxfId="34" priority="6461" stopIfTrue="1">
      <formula>$A371="enumerator"</formula>
    </cfRule>
  </conditionalFormatting>
  <conditionalFormatting sqref="A371">
    <cfRule type="expression" dxfId="35" priority="6462" stopIfTrue="1">
      <formula>OR(AND(LEFT($A371, 14)="sensor_stream ", LEN($A371)&gt;14, NOT(ISNUMBER(SEARCH(" ", $A371, 15)))), AND(LEFT($A371, 17)="sensor_statistic ", LEN($A371)&gt;17, NOT(ISNUMBER(SEARCH(" ", $A371, 18)))))</formula>
    </cfRule>
  </conditionalFormatting>
  <conditionalFormatting sqref="A371">
    <cfRule type="expression" dxfId="14" priority="6463" stopIfTrue="1">
      <formula>$A371="comments"</formula>
    </cfRule>
  </conditionalFormatting>
  <conditionalFormatting sqref="A371">
    <cfRule type="expression" dxfId="15" priority="6464" stopIfTrue="1">
      <formula>OR($A371="audio", $A371="video")</formula>
    </cfRule>
  </conditionalFormatting>
  <conditionalFormatting sqref="A371">
    <cfRule type="expression" dxfId="16" priority="6465" stopIfTrue="1">
      <formula>$A371="image"</formula>
    </cfRule>
  </conditionalFormatting>
  <conditionalFormatting sqref="A371">
    <cfRule type="expression" dxfId="17" priority="6466" stopIfTrue="1">
      <formula>OR($A371="date", $A371="datetime", $A371="time")</formula>
    </cfRule>
  </conditionalFormatting>
  <conditionalFormatting sqref="A371">
    <cfRule type="expression" dxfId="18" priority="6467" stopIfTrue="1">
      <formula>OR($A371="calculate", $A371="calculate_here")</formula>
    </cfRule>
  </conditionalFormatting>
  <conditionalFormatting sqref="A371">
    <cfRule type="expression" dxfId="19" priority="6468" stopIfTrue="1">
      <formula>$A371="note"</formula>
    </cfRule>
  </conditionalFormatting>
  <conditionalFormatting sqref="A371">
    <cfRule type="expression" dxfId="20" priority="6469" stopIfTrue="1">
      <formula>$A371="barcode"</formula>
    </cfRule>
  </conditionalFormatting>
  <conditionalFormatting sqref="A371">
    <cfRule type="expression" dxfId="21" priority="6470" stopIfTrue="1">
      <formula>OR($A371="geopoint", $A371="geoshape", $A371="geotrace")</formula>
    </cfRule>
  </conditionalFormatting>
  <conditionalFormatting sqref="A371">
    <cfRule type="expression" dxfId="22" priority="6471" stopIfTrue="1">
      <formula>OR($A371="audio audit", $A371="text audit", $A371="speed violations count", $A371="speed violations list", $A371="speed violations audit")</formula>
    </cfRule>
  </conditionalFormatting>
  <conditionalFormatting sqref="A371">
    <cfRule type="expression" dxfId="23" priority="6472" stopIfTrue="1">
      <formula>OR($A371="username", $A371="phonenumber", $A371="start", $A371="end", $A371="deviceid", $A371="subscriberid", $A371="simserial", $A371="caseid")</formula>
    </cfRule>
  </conditionalFormatting>
  <conditionalFormatting sqref="A371">
    <cfRule type="expression" dxfId="24" priority="6473" stopIfTrue="1">
      <formula>OR(AND(LEFT($A371, 16)="select_multiple ", LEN($A371)&gt;16, NOT(ISNUMBER(SEARCH(" ", $A371, 17)))), AND(LEFT($A371, 11)="select_one ", LEN($A371)&gt;11, NOT(ISNUMBER(SEARCH(" ", $A371, 12)))))</formula>
    </cfRule>
  </conditionalFormatting>
  <conditionalFormatting sqref="A371">
    <cfRule type="expression" dxfId="25" priority="6474" stopIfTrue="1">
      <formula>$A371="decimal"</formula>
    </cfRule>
  </conditionalFormatting>
  <conditionalFormatting sqref="A371">
    <cfRule type="expression" dxfId="26" priority="6475" stopIfTrue="1">
      <formula>$A371="integer"</formula>
    </cfRule>
  </conditionalFormatting>
  <conditionalFormatting sqref="A371">
    <cfRule type="expression" dxfId="27" priority="6476" stopIfTrue="1">
      <formula>$A371="text"</formula>
    </cfRule>
  </conditionalFormatting>
  <conditionalFormatting sqref="A371">
    <cfRule type="expression" dxfId="28" priority="6477" stopIfTrue="1">
      <formula>$A371="end repeat"</formula>
    </cfRule>
  </conditionalFormatting>
  <conditionalFormatting sqref="A371">
    <cfRule type="expression" dxfId="28" priority="6478" stopIfTrue="1">
      <formula>$A371="begin repeat"</formula>
    </cfRule>
  </conditionalFormatting>
  <conditionalFormatting sqref="A371">
    <cfRule type="expression" dxfId="29" priority="6479" stopIfTrue="1">
      <formula>$A371="end group"</formula>
    </cfRule>
  </conditionalFormatting>
  <conditionalFormatting sqref="A371">
    <cfRule type="expression" dxfId="29" priority="6480" stopIfTrue="1">
      <formula>$A371="begin group"</formula>
    </cfRule>
  </conditionalFormatting>
  <conditionalFormatting sqref="A368">
    <cfRule type="expression" dxfId="33" priority="6481" stopIfTrue="1">
      <formula>$A368="file"</formula>
    </cfRule>
  </conditionalFormatting>
  <conditionalFormatting sqref="A368">
    <cfRule type="expression" dxfId="34" priority="6482" stopIfTrue="1">
      <formula>$A368="enumerator"</formula>
    </cfRule>
  </conditionalFormatting>
  <conditionalFormatting sqref="A368">
    <cfRule type="expression" dxfId="35" priority="6483" stopIfTrue="1">
      <formula>OR(AND(LEFT($A368, 14)="sensor_stream ", LEN($A368)&gt;14, NOT(ISNUMBER(SEARCH(" ", $A368, 15)))), AND(LEFT($A368, 17)="sensor_statistic ", LEN($A368)&gt;17, NOT(ISNUMBER(SEARCH(" ", $A368, 18)))))</formula>
    </cfRule>
  </conditionalFormatting>
  <conditionalFormatting sqref="A368">
    <cfRule type="expression" dxfId="14" priority="6484" stopIfTrue="1">
      <formula>$A368="comments"</formula>
    </cfRule>
  </conditionalFormatting>
  <conditionalFormatting sqref="A368">
    <cfRule type="expression" dxfId="15" priority="6485" stopIfTrue="1">
      <formula>OR($A368="audio", $A368="video")</formula>
    </cfRule>
  </conditionalFormatting>
  <conditionalFormatting sqref="A368">
    <cfRule type="expression" dxfId="16" priority="6486" stopIfTrue="1">
      <formula>$A368="image"</formula>
    </cfRule>
  </conditionalFormatting>
  <conditionalFormatting sqref="A368">
    <cfRule type="expression" dxfId="17" priority="6487" stopIfTrue="1">
      <formula>OR($A368="date", $A368="datetime", $A368="time")</formula>
    </cfRule>
  </conditionalFormatting>
  <conditionalFormatting sqref="A368">
    <cfRule type="expression" dxfId="18" priority="6488" stopIfTrue="1">
      <formula>OR($A368="calculate", $A368="calculate_here")</formula>
    </cfRule>
  </conditionalFormatting>
  <conditionalFormatting sqref="A368">
    <cfRule type="expression" dxfId="19" priority="6489" stopIfTrue="1">
      <formula>$A368="note"</formula>
    </cfRule>
  </conditionalFormatting>
  <conditionalFormatting sqref="A368">
    <cfRule type="expression" dxfId="20" priority="6490" stopIfTrue="1">
      <formula>$A368="barcode"</formula>
    </cfRule>
  </conditionalFormatting>
  <conditionalFormatting sqref="A368">
    <cfRule type="expression" dxfId="21" priority="6491" stopIfTrue="1">
      <formula>OR($A368="geopoint", $A368="geoshape", $A368="geotrace")</formula>
    </cfRule>
  </conditionalFormatting>
  <conditionalFormatting sqref="A368">
    <cfRule type="expression" dxfId="22" priority="6492" stopIfTrue="1">
      <formula>OR($A368="audio audit", $A368="text audit", $A368="speed violations count", $A368="speed violations list", $A368="speed violations audit")</formula>
    </cfRule>
  </conditionalFormatting>
  <conditionalFormatting sqref="A368">
    <cfRule type="expression" dxfId="23" priority="6493" stopIfTrue="1">
      <formula>OR($A368="username", $A368="phonenumber", $A368="start", $A368="end", $A368="deviceid", $A368="subscriberid", $A368="simserial", $A368="caseid")</formula>
    </cfRule>
  </conditionalFormatting>
  <conditionalFormatting sqref="A368">
    <cfRule type="expression" dxfId="24" priority="6494" stopIfTrue="1">
      <formula>OR(AND(LEFT($A368, 16)="select_multiple ", LEN($A368)&gt;16, NOT(ISNUMBER(SEARCH(" ", $A368, 17)))), AND(LEFT($A368, 11)="select_one ", LEN($A368)&gt;11, NOT(ISNUMBER(SEARCH(" ", $A368, 12)))))</formula>
    </cfRule>
  </conditionalFormatting>
  <conditionalFormatting sqref="A368">
    <cfRule type="expression" dxfId="25" priority="6495" stopIfTrue="1">
      <formula>$A368="decimal"</formula>
    </cfRule>
  </conditionalFormatting>
  <conditionalFormatting sqref="A368">
    <cfRule type="expression" dxfId="26" priority="6496" stopIfTrue="1">
      <formula>$A368="integer"</formula>
    </cfRule>
  </conditionalFormatting>
  <conditionalFormatting sqref="A368">
    <cfRule type="expression" dxfId="27" priority="6497" stopIfTrue="1">
      <formula>$A368="text"</formula>
    </cfRule>
  </conditionalFormatting>
  <conditionalFormatting sqref="A368">
    <cfRule type="expression" dxfId="28" priority="6498" stopIfTrue="1">
      <formula>$A368="end repeat"</formula>
    </cfRule>
  </conditionalFormatting>
  <conditionalFormatting sqref="A368">
    <cfRule type="expression" dxfId="28" priority="6499" stopIfTrue="1">
      <formula>$A368="begin repeat"</formula>
    </cfRule>
  </conditionalFormatting>
  <conditionalFormatting sqref="A368">
    <cfRule type="expression" dxfId="29" priority="6500" stopIfTrue="1">
      <formula>$A368="end group"</formula>
    </cfRule>
  </conditionalFormatting>
  <conditionalFormatting sqref="A368">
    <cfRule type="expression" dxfId="29" priority="6501" stopIfTrue="1">
      <formula>$A368="begin group"</formula>
    </cfRule>
  </conditionalFormatting>
  <conditionalFormatting sqref="A355:A365">
    <cfRule type="expression" dxfId="33" priority="6502" stopIfTrue="1">
      <formula>$A355="file"</formula>
    </cfRule>
  </conditionalFormatting>
  <conditionalFormatting sqref="A355:A365">
    <cfRule type="expression" dxfId="34" priority="6503" stopIfTrue="1">
      <formula>$A355="enumerator"</formula>
    </cfRule>
  </conditionalFormatting>
  <conditionalFormatting sqref="A355:A365">
    <cfRule type="expression" dxfId="35" priority="6504" stopIfTrue="1">
      <formula>OR(AND(LEFT($A355, 14)="sensor_stream ", LEN($A355)&gt;14, NOT(ISNUMBER(SEARCH(" ", $A355, 15)))), AND(LEFT($A355, 17)="sensor_statistic ", LEN($A355)&gt;17, NOT(ISNUMBER(SEARCH(" ", $A355, 18)))))</formula>
    </cfRule>
  </conditionalFormatting>
  <conditionalFormatting sqref="A355:A365">
    <cfRule type="expression" dxfId="14" priority="6505" stopIfTrue="1">
      <formula>$A355="comments"</formula>
    </cfRule>
  </conditionalFormatting>
  <conditionalFormatting sqref="A355:A365">
    <cfRule type="expression" dxfId="15" priority="6506" stopIfTrue="1">
      <formula>OR($A355="audio", $A355="video")</formula>
    </cfRule>
  </conditionalFormatting>
  <conditionalFormatting sqref="A355:A365">
    <cfRule type="expression" dxfId="16" priority="6507" stopIfTrue="1">
      <formula>$A355="image"</formula>
    </cfRule>
  </conditionalFormatting>
  <conditionalFormatting sqref="A355:A365">
    <cfRule type="expression" dxfId="17" priority="6508" stopIfTrue="1">
      <formula>OR($A355="date", $A355="datetime", $A355="time")</formula>
    </cfRule>
  </conditionalFormatting>
  <conditionalFormatting sqref="A355:A365">
    <cfRule type="expression" dxfId="18" priority="6509" stopIfTrue="1">
      <formula>OR($A355="calculate", $A355="calculate_here")</formula>
    </cfRule>
  </conditionalFormatting>
  <conditionalFormatting sqref="A355:A365">
    <cfRule type="expression" dxfId="19" priority="6510" stopIfTrue="1">
      <formula>$A355="note"</formula>
    </cfRule>
  </conditionalFormatting>
  <conditionalFormatting sqref="A355:A365">
    <cfRule type="expression" dxfId="20" priority="6511" stopIfTrue="1">
      <formula>$A355="barcode"</formula>
    </cfRule>
  </conditionalFormatting>
  <conditionalFormatting sqref="A355:A365">
    <cfRule type="expression" dxfId="21" priority="6512" stopIfTrue="1">
      <formula>OR($A355="geopoint", $A355="geoshape", $A355="geotrace")</formula>
    </cfRule>
  </conditionalFormatting>
  <conditionalFormatting sqref="A355:A365">
    <cfRule type="expression" dxfId="22" priority="6513" stopIfTrue="1">
      <formula>OR($A355="audio audit", $A355="text audit", $A355="speed violations count", $A355="speed violations list", $A355="speed violations audit")</formula>
    </cfRule>
  </conditionalFormatting>
  <conditionalFormatting sqref="A355:A365">
    <cfRule type="expression" dxfId="23" priority="6514" stopIfTrue="1">
      <formula>OR($A355="username", $A355="phonenumber", $A355="start", $A355="end", $A355="deviceid", $A355="subscriberid", $A355="simserial", $A355="caseid")</formula>
    </cfRule>
  </conditionalFormatting>
  <conditionalFormatting sqref="A355:A365">
    <cfRule type="expression" dxfId="24" priority="6515" stopIfTrue="1">
      <formula>OR(AND(LEFT($A355, 16)="select_multiple ", LEN($A355)&gt;16, NOT(ISNUMBER(SEARCH(" ", $A355, 17)))), AND(LEFT($A355, 11)="select_one ", LEN($A355)&gt;11, NOT(ISNUMBER(SEARCH(" ", $A355, 12)))))</formula>
    </cfRule>
  </conditionalFormatting>
  <conditionalFormatting sqref="A355:A365">
    <cfRule type="expression" dxfId="25" priority="6516" stopIfTrue="1">
      <formula>$A355="decimal"</formula>
    </cfRule>
  </conditionalFormatting>
  <conditionalFormatting sqref="A355:A365">
    <cfRule type="expression" dxfId="26" priority="6517" stopIfTrue="1">
      <formula>$A355="integer"</formula>
    </cfRule>
  </conditionalFormatting>
  <conditionalFormatting sqref="A355:A365">
    <cfRule type="expression" dxfId="27" priority="6518" stopIfTrue="1">
      <formula>$A355="text"</formula>
    </cfRule>
  </conditionalFormatting>
  <conditionalFormatting sqref="A355:A365">
    <cfRule type="expression" dxfId="28" priority="6519" stopIfTrue="1">
      <formula>$A355="end repeat"</formula>
    </cfRule>
  </conditionalFormatting>
  <conditionalFormatting sqref="A355:A365">
    <cfRule type="expression" dxfId="28" priority="6520" stopIfTrue="1">
      <formula>$A355="begin repeat"</formula>
    </cfRule>
  </conditionalFormatting>
  <conditionalFormatting sqref="A355:A365">
    <cfRule type="expression" dxfId="29" priority="6521" stopIfTrue="1">
      <formula>$A355="end group"</formula>
    </cfRule>
  </conditionalFormatting>
  <conditionalFormatting sqref="A355:A365">
    <cfRule type="expression" dxfId="29" priority="6522" stopIfTrue="1">
      <formula>$A355="begin group"</formula>
    </cfRule>
  </conditionalFormatting>
  <conditionalFormatting sqref="A348:A352">
    <cfRule type="expression" dxfId="33" priority="6523" stopIfTrue="1">
      <formula>$A348="file"</formula>
    </cfRule>
  </conditionalFormatting>
  <conditionalFormatting sqref="A348:A352">
    <cfRule type="expression" dxfId="34" priority="6524" stopIfTrue="1">
      <formula>$A348="enumerator"</formula>
    </cfRule>
  </conditionalFormatting>
  <conditionalFormatting sqref="A348:A352">
    <cfRule type="expression" dxfId="35" priority="6525" stopIfTrue="1">
      <formula>OR(AND(LEFT($A348, 14)="sensor_stream ", LEN($A348)&gt;14, NOT(ISNUMBER(SEARCH(" ", $A348, 15)))), AND(LEFT($A348, 17)="sensor_statistic ", LEN($A348)&gt;17, NOT(ISNUMBER(SEARCH(" ", $A348, 18)))))</formula>
    </cfRule>
  </conditionalFormatting>
  <conditionalFormatting sqref="A348:A352">
    <cfRule type="expression" dxfId="14" priority="6526" stopIfTrue="1">
      <formula>$A348="comments"</formula>
    </cfRule>
  </conditionalFormatting>
  <conditionalFormatting sqref="A348:A352">
    <cfRule type="expression" dxfId="15" priority="6527" stopIfTrue="1">
      <formula>OR($A348="audio", $A348="video")</formula>
    </cfRule>
  </conditionalFormatting>
  <conditionalFormatting sqref="A348:A352">
    <cfRule type="expression" dxfId="16" priority="6528" stopIfTrue="1">
      <formula>$A348="image"</formula>
    </cfRule>
  </conditionalFormatting>
  <conditionalFormatting sqref="A348:A352">
    <cfRule type="expression" dxfId="17" priority="6529" stopIfTrue="1">
      <formula>OR($A348="date", $A348="datetime", $A348="time")</formula>
    </cfRule>
  </conditionalFormatting>
  <conditionalFormatting sqref="A348:A352">
    <cfRule type="expression" dxfId="18" priority="6530" stopIfTrue="1">
      <formula>OR($A348="calculate", $A348="calculate_here")</formula>
    </cfRule>
  </conditionalFormatting>
  <conditionalFormatting sqref="A348:A352">
    <cfRule type="expression" dxfId="19" priority="6531" stopIfTrue="1">
      <formula>$A348="note"</formula>
    </cfRule>
  </conditionalFormatting>
  <conditionalFormatting sqref="A348:A352">
    <cfRule type="expression" dxfId="20" priority="6532" stopIfTrue="1">
      <formula>$A348="barcode"</formula>
    </cfRule>
  </conditionalFormatting>
  <conditionalFormatting sqref="A348:A352">
    <cfRule type="expression" dxfId="21" priority="6533" stopIfTrue="1">
      <formula>OR($A348="geopoint", $A348="geoshape", $A348="geotrace")</formula>
    </cfRule>
  </conditionalFormatting>
  <conditionalFormatting sqref="A348:A352">
    <cfRule type="expression" dxfId="22" priority="6534" stopIfTrue="1">
      <formula>OR($A348="audio audit", $A348="text audit", $A348="speed violations count", $A348="speed violations list", $A348="speed violations audit")</formula>
    </cfRule>
  </conditionalFormatting>
  <conditionalFormatting sqref="A348:A352">
    <cfRule type="expression" dxfId="23" priority="6535" stopIfTrue="1">
      <formula>OR($A348="username", $A348="phonenumber", $A348="start", $A348="end", $A348="deviceid", $A348="subscriberid", $A348="simserial", $A348="caseid")</formula>
    </cfRule>
  </conditionalFormatting>
  <conditionalFormatting sqref="A348:A352">
    <cfRule type="expression" dxfId="24" priority="6536" stopIfTrue="1">
      <formula>OR(AND(LEFT($A348, 16)="select_multiple ", LEN($A348)&gt;16, NOT(ISNUMBER(SEARCH(" ", $A348, 17)))), AND(LEFT($A348, 11)="select_one ", LEN($A348)&gt;11, NOT(ISNUMBER(SEARCH(" ", $A348, 12)))))</formula>
    </cfRule>
  </conditionalFormatting>
  <conditionalFormatting sqref="A348:A352">
    <cfRule type="expression" dxfId="25" priority="6537" stopIfTrue="1">
      <formula>$A348="decimal"</formula>
    </cfRule>
  </conditionalFormatting>
  <conditionalFormatting sqref="A348:A352">
    <cfRule type="expression" dxfId="26" priority="6538" stopIfTrue="1">
      <formula>$A348="integer"</formula>
    </cfRule>
  </conditionalFormatting>
  <conditionalFormatting sqref="A348:A352">
    <cfRule type="expression" dxfId="27" priority="6539" stopIfTrue="1">
      <formula>$A348="text"</formula>
    </cfRule>
  </conditionalFormatting>
  <conditionalFormatting sqref="A348:A352">
    <cfRule type="expression" dxfId="28" priority="6540" stopIfTrue="1">
      <formula>$A348="end repeat"</formula>
    </cfRule>
  </conditionalFormatting>
  <conditionalFormatting sqref="A348:A352">
    <cfRule type="expression" dxfId="28" priority="6541" stopIfTrue="1">
      <formula>$A348="begin repeat"</formula>
    </cfRule>
  </conditionalFormatting>
  <conditionalFormatting sqref="A348:A352">
    <cfRule type="expression" dxfId="29" priority="6542" stopIfTrue="1">
      <formula>$A348="end group"</formula>
    </cfRule>
  </conditionalFormatting>
  <conditionalFormatting sqref="A348:A352">
    <cfRule type="expression" dxfId="29" priority="6543" stopIfTrue="1">
      <formula>$A348="begin group"</formula>
    </cfRule>
  </conditionalFormatting>
  <conditionalFormatting sqref="A341:A345">
    <cfRule type="expression" dxfId="33" priority="6544" stopIfTrue="1">
      <formula>$A341="file"</formula>
    </cfRule>
  </conditionalFormatting>
  <conditionalFormatting sqref="A341:A345">
    <cfRule type="expression" dxfId="34" priority="6545" stopIfTrue="1">
      <formula>$A341="enumerator"</formula>
    </cfRule>
  </conditionalFormatting>
  <conditionalFormatting sqref="A341:A345">
    <cfRule type="expression" dxfId="35" priority="6546" stopIfTrue="1">
      <formula>OR(AND(LEFT($A341, 14)="sensor_stream ", LEN($A341)&gt;14, NOT(ISNUMBER(SEARCH(" ", $A341, 15)))), AND(LEFT($A341, 17)="sensor_statistic ", LEN($A341)&gt;17, NOT(ISNUMBER(SEARCH(" ", $A341, 18)))))</formula>
    </cfRule>
  </conditionalFormatting>
  <conditionalFormatting sqref="A341:A345">
    <cfRule type="expression" dxfId="14" priority="6547" stopIfTrue="1">
      <formula>$A341="comments"</formula>
    </cfRule>
  </conditionalFormatting>
  <conditionalFormatting sqref="A341:A345">
    <cfRule type="expression" dxfId="15" priority="6548" stopIfTrue="1">
      <formula>OR($A341="audio", $A341="video")</formula>
    </cfRule>
  </conditionalFormatting>
  <conditionalFormatting sqref="A341:A345">
    <cfRule type="expression" dxfId="16" priority="6549" stopIfTrue="1">
      <formula>$A341="image"</formula>
    </cfRule>
  </conditionalFormatting>
  <conditionalFormatting sqref="A341:A345">
    <cfRule type="expression" dxfId="17" priority="6550" stopIfTrue="1">
      <formula>OR($A341="date", $A341="datetime", $A341="time")</formula>
    </cfRule>
  </conditionalFormatting>
  <conditionalFormatting sqref="A341:A345">
    <cfRule type="expression" dxfId="18" priority="6551" stopIfTrue="1">
      <formula>OR($A341="calculate", $A341="calculate_here")</formula>
    </cfRule>
  </conditionalFormatting>
  <conditionalFormatting sqref="A341:A345">
    <cfRule type="expression" dxfId="19" priority="6552" stopIfTrue="1">
      <formula>$A341="note"</formula>
    </cfRule>
  </conditionalFormatting>
  <conditionalFormatting sqref="A341:A345">
    <cfRule type="expression" dxfId="20" priority="6553" stopIfTrue="1">
      <formula>$A341="barcode"</formula>
    </cfRule>
  </conditionalFormatting>
  <conditionalFormatting sqref="A341:A345">
    <cfRule type="expression" dxfId="21" priority="6554" stopIfTrue="1">
      <formula>OR($A341="geopoint", $A341="geoshape", $A341="geotrace")</formula>
    </cfRule>
  </conditionalFormatting>
  <conditionalFormatting sqref="A341:A345">
    <cfRule type="expression" dxfId="22" priority="6555" stopIfTrue="1">
      <formula>OR($A341="audio audit", $A341="text audit", $A341="speed violations count", $A341="speed violations list", $A341="speed violations audit")</formula>
    </cfRule>
  </conditionalFormatting>
  <conditionalFormatting sqref="A341:A345">
    <cfRule type="expression" dxfId="23" priority="6556" stopIfTrue="1">
      <formula>OR($A341="username", $A341="phonenumber", $A341="start", $A341="end", $A341="deviceid", $A341="subscriberid", $A341="simserial", $A341="caseid")</formula>
    </cfRule>
  </conditionalFormatting>
  <conditionalFormatting sqref="A341:A345">
    <cfRule type="expression" dxfId="24" priority="6557" stopIfTrue="1">
      <formula>OR(AND(LEFT($A341, 16)="select_multiple ", LEN($A341)&gt;16, NOT(ISNUMBER(SEARCH(" ", $A341, 17)))), AND(LEFT($A341, 11)="select_one ", LEN($A341)&gt;11, NOT(ISNUMBER(SEARCH(" ", $A341, 12)))))</formula>
    </cfRule>
  </conditionalFormatting>
  <conditionalFormatting sqref="A341:A345">
    <cfRule type="expression" dxfId="25" priority="6558" stopIfTrue="1">
      <formula>$A341="decimal"</formula>
    </cfRule>
  </conditionalFormatting>
  <conditionalFormatting sqref="A341:A345">
    <cfRule type="expression" dxfId="26" priority="6559" stopIfTrue="1">
      <formula>$A341="integer"</formula>
    </cfRule>
  </conditionalFormatting>
  <conditionalFormatting sqref="A341:A345">
    <cfRule type="expression" dxfId="27" priority="6560" stopIfTrue="1">
      <formula>$A341="text"</formula>
    </cfRule>
  </conditionalFormatting>
  <conditionalFormatting sqref="A341:A345">
    <cfRule type="expression" dxfId="28" priority="6561" stopIfTrue="1">
      <formula>$A341="end repeat"</formula>
    </cfRule>
  </conditionalFormatting>
  <conditionalFormatting sqref="A341:A345">
    <cfRule type="expression" dxfId="28" priority="6562" stopIfTrue="1">
      <formula>$A341="begin repeat"</formula>
    </cfRule>
  </conditionalFormatting>
  <conditionalFormatting sqref="A341:A345">
    <cfRule type="expression" dxfId="29" priority="6563" stopIfTrue="1">
      <formula>$A341="end group"</formula>
    </cfRule>
  </conditionalFormatting>
  <conditionalFormatting sqref="A341:A345">
    <cfRule type="expression" dxfId="29" priority="6564" stopIfTrue="1">
      <formula>$A341="begin group"</formula>
    </cfRule>
  </conditionalFormatting>
  <conditionalFormatting sqref="A336:A338">
    <cfRule type="expression" dxfId="33" priority="6565" stopIfTrue="1">
      <formula>$A336="file"</formula>
    </cfRule>
  </conditionalFormatting>
  <conditionalFormatting sqref="A336:A338">
    <cfRule type="expression" dxfId="34" priority="6566" stopIfTrue="1">
      <formula>$A336="enumerator"</formula>
    </cfRule>
  </conditionalFormatting>
  <conditionalFormatting sqref="A336:A338">
    <cfRule type="expression" dxfId="35" priority="6567" stopIfTrue="1">
      <formula>OR(AND(LEFT($A336, 14)="sensor_stream ", LEN($A336)&gt;14, NOT(ISNUMBER(SEARCH(" ", $A336, 15)))), AND(LEFT($A336, 17)="sensor_statistic ", LEN($A336)&gt;17, NOT(ISNUMBER(SEARCH(" ", $A336, 18)))))</formula>
    </cfRule>
  </conditionalFormatting>
  <conditionalFormatting sqref="A336:A338">
    <cfRule type="expression" dxfId="14" priority="6568" stopIfTrue="1">
      <formula>$A336="comments"</formula>
    </cfRule>
  </conditionalFormatting>
  <conditionalFormatting sqref="A336:A338">
    <cfRule type="expression" dxfId="15" priority="6569" stopIfTrue="1">
      <formula>OR($A336="audio", $A336="video")</formula>
    </cfRule>
  </conditionalFormatting>
  <conditionalFormatting sqref="A336:A338">
    <cfRule type="expression" dxfId="16" priority="6570" stopIfTrue="1">
      <formula>$A336="image"</formula>
    </cfRule>
  </conditionalFormatting>
  <conditionalFormatting sqref="A336:A338">
    <cfRule type="expression" dxfId="17" priority="6571" stopIfTrue="1">
      <formula>OR($A336="date", $A336="datetime", $A336="time")</formula>
    </cfRule>
  </conditionalFormatting>
  <conditionalFormatting sqref="A336:A338">
    <cfRule type="expression" dxfId="18" priority="6572" stopIfTrue="1">
      <formula>OR($A336="calculate", $A336="calculate_here")</formula>
    </cfRule>
  </conditionalFormatting>
  <conditionalFormatting sqref="A336:A338">
    <cfRule type="expression" dxfId="19" priority="6573" stopIfTrue="1">
      <formula>$A336="note"</formula>
    </cfRule>
  </conditionalFormatting>
  <conditionalFormatting sqref="A336:A338">
    <cfRule type="expression" dxfId="20" priority="6574" stopIfTrue="1">
      <formula>$A336="barcode"</formula>
    </cfRule>
  </conditionalFormatting>
  <conditionalFormatting sqref="A336:A338">
    <cfRule type="expression" dxfId="21" priority="6575" stopIfTrue="1">
      <formula>OR($A336="geopoint", $A336="geoshape", $A336="geotrace")</formula>
    </cfRule>
  </conditionalFormatting>
  <conditionalFormatting sqref="A336:A338">
    <cfRule type="expression" dxfId="22" priority="6576" stopIfTrue="1">
      <formula>OR($A336="audio audit", $A336="text audit", $A336="speed violations count", $A336="speed violations list", $A336="speed violations audit")</formula>
    </cfRule>
  </conditionalFormatting>
  <conditionalFormatting sqref="A336:A338">
    <cfRule type="expression" dxfId="23" priority="6577" stopIfTrue="1">
      <formula>OR($A336="username", $A336="phonenumber", $A336="start", $A336="end", $A336="deviceid", $A336="subscriberid", $A336="simserial", $A336="caseid")</formula>
    </cfRule>
  </conditionalFormatting>
  <conditionalFormatting sqref="A336:A338">
    <cfRule type="expression" dxfId="24" priority="6578" stopIfTrue="1">
      <formula>OR(AND(LEFT($A336, 16)="select_multiple ", LEN($A336)&gt;16, NOT(ISNUMBER(SEARCH(" ", $A336, 17)))), AND(LEFT($A336, 11)="select_one ", LEN($A336)&gt;11, NOT(ISNUMBER(SEARCH(" ", $A336, 12)))))</formula>
    </cfRule>
  </conditionalFormatting>
  <conditionalFormatting sqref="A336:A338">
    <cfRule type="expression" dxfId="25" priority="6579" stopIfTrue="1">
      <formula>$A336="decimal"</formula>
    </cfRule>
  </conditionalFormatting>
  <conditionalFormatting sqref="A336:A338">
    <cfRule type="expression" dxfId="26" priority="6580" stopIfTrue="1">
      <formula>$A336="integer"</formula>
    </cfRule>
  </conditionalFormatting>
  <conditionalFormatting sqref="A336:A338">
    <cfRule type="expression" dxfId="27" priority="6581" stopIfTrue="1">
      <formula>$A336="text"</formula>
    </cfRule>
  </conditionalFormatting>
  <conditionalFormatting sqref="A336:A338">
    <cfRule type="expression" dxfId="28" priority="6582" stopIfTrue="1">
      <formula>$A336="end repeat"</formula>
    </cfRule>
  </conditionalFormatting>
  <conditionalFormatting sqref="A336:A338">
    <cfRule type="expression" dxfId="28" priority="6583" stopIfTrue="1">
      <formula>$A336="begin repeat"</formula>
    </cfRule>
  </conditionalFormatting>
  <conditionalFormatting sqref="A336:A338">
    <cfRule type="expression" dxfId="29" priority="6584" stopIfTrue="1">
      <formula>$A336="end group"</formula>
    </cfRule>
  </conditionalFormatting>
  <conditionalFormatting sqref="A336:A338">
    <cfRule type="expression" dxfId="29" priority="6585" stopIfTrue="1">
      <formula>$A336="begin group"</formula>
    </cfRule>
  </conditionalFormatting>
  <conditionalFormatting sqref="A322:A333">
    <cfRule type="expression" dxfId="33" priority="6586" stopIfTrue="1">
      <formula>$A322="file"</formula>
    </cfRule>
  </conditionalFormatting>
  <conditionalFormatting sqref="A322:A333">
    <cfRule type="expression" dxfId="34" priority="6587" stopIfTrue="1">
      <formula>$A322="enumerator"</formula>
    </cfRule>
  </conditionalFormatting>
  <conditionalFormatting sqref="A322:A333">
    <cfRule type="expression" dxfId="35" priority="6588" stopIfTrue="1">
      <formula>OR(AND(LEFT($A322, 14)="sensor_stream ", LEN($A322)&gt;14, NOT(ISNUMBER(SEARCH(" ", $A322, 15)))), AND(LEFT($A322, 17)="sensor_statistic ", LEN($A322)&gt;17, NOT(ISNUMBER(SEARCH(" ", $A322, 18)))))</formula>
    </cfRule>
  </conditionalFormatting>
  <conditionalFormatting sqref="A322:A333">
    <cfRule type="expression" dxfId="14" priority="6589" stopIfTrue="1">
      <formula>$A322="comments"</formula>
    </cfRule>
  </conditionalFormatting>
  <conditionalFormatting sqref="A322:A333">
    <cfRule type="expression" dxfId="15" priority="6590" stopIfTrue="1">
      <formula>OR($A322="audio", $A322="video")</formula>
    </cfRule>
  </conditionalFormatting>
  <conditionalFormatting sqref="A322:A333">
    <cfRule type="expression" dxfId="16" priority="6591" stopIfTrue="1">
      <formula>$A322="image"</formula>
    </cfRule>
  </conditionalFormatting>
  <conditionalFormatting sqref="A322:A333">
    <cfRule type="expression" dxfId="17" priority="6592" stopIfTrue="1">
      <formula>OR($A322="date", $A322="datetime", $A322="time")</formula>
    </cfRule>
  </conditionalFormatting>
  <conditionalFormatting sqref="A322:A333">
    <cfRule type="expression" dxfId="18" priority="6593" stopIfTrue="1">
      <formula>OR($A322="calculate", $A322="calculate_here")</formula>
    </cfRule>
  </conditionalFormatting>
  <conditionalFormatting sqref="A322:A333">
    <cfRule type="expression" dxfId="19" priority="6594" stopIfTrue="1">
      <formula>$A322="note"</formula>
    </cfRule>
  </conditionalFormatting>
  <conditionalFormatting sqref="A322:A333">
    <cfRule type="expression" dxfId="20" priority="6595" stopIfTrue="1">
      <formula>$A322="barcode"</formula>
    </cfRule>
  </conditionalFormatting>
  <conditionalFormatting sqref="A322:A333">
    <cfRule type="expression" dxfId="21" priority="6596" stopIfTrue="1">
      <formula>OR($A322="geopoint", $A322="geoshape", $A322="geotrace")</formula>
    </cfRule>
  </conditionalFormatting>
  <conditionalFormatting sqref="A322:A333">
    <cfRule type="expression" dxfId="22" priority="6597" stopIfTrue="1">
      <formula>OR($A322="audio audit", $A322="text audit", $A322="speed violations count", $A322="speed violations list", $A322="speed violations audit")</formula>
    </cfRule>
  </conditionalFormatting>
  <conditionalFormatting sqref="A322:A333">
    <cfRule type="expression" dxfId="23" priority="6598" stopIfTrue="1">
      <formula>OR($A322="username", $A322="phonenumber", $A322="start", $A322="end", $A322="deviceid", $A322="subscriberid", $A322="simserial", $A322="caseid")</formula>
    </cfRule>
  </conditionalFormatting>
  <conditionalFormatting sqref="A322:A333">
    <cfRule type="expression" dxfId="24" priority="6599" stopIfTrue="1">
      <formula>OR(AND(LEFT($A322, 16)="select_multiple ", LEN($A322)&gt;16, NOT(ISNUMBER(SEARCH(" ", $A322, 17)))), AND(LEFT($A322, 11)="select_one ", LEN($A322)&gt;11, NOT(ISNUMBER(SEARCH(" ", $A322, 12)))))</formula>
    </cfRule>
  </conditionalFormatting>
  <conditionalFormatting sqref="A322:A333">
    <cfRule type="expression" dxfId="25" priority="6600" stopIfTrue="1">
      <formula>$A322="decimal"</formula>
    </cfRule>
  </conditionalFormatting>
  <conditionalFormatting sqref="A322:A333">
    <cfRule type="expression" dxfId="26" priority="6601" stopIfTrue="1">
      <formula>$A322="integer"</formula>
    </cfRule>
  </conditionalFormatting>
  <conditionalFormatting sqref="A322:A333">
    <cfRule type="expression" dxfId="27" priority="6602" stopIfTrue="1">
      <formula>$A322="text"</formula>
    </cfRule>
  </conditionalFormatting>
  <conditionalFormatting sqref="A322:A333">
    <cfRule type="expression" dxfId="28" priority="6603" stopIfTrue="1">
      <formula>$A322="end repeat"</formula>
    </cfRule>
  </conditionalFormatting>
  <conditionalFormatting sqref="A322:A333">
    <cfRule type="expression" dxfId="28" priority="6604" stopIfTrue="1">
      <formula>$A322="begin repeat"</formula>
    </cfRule>
  </conditionalFormatting>
  <conditionalFormatting sqref="A322:A333">
    <cfRule type="expression" dxfId="29" priority="6605" stopIfTrue="1">
      <formula>$A322="end group"</formula>
    </cfRule>
  </conditionalFormatting>
  <conditionalFormatting sqref="A322:A333">
    <cfRule type="expression" dxfId="29" priority="6606" stopIfTrue="1">
      <formula>$A322="begin group"</formula>
    </cfRule>
  </conditionalFormatting>
  <conditionalFormatting sqref="A319">
    <cfRule type="expression" dxfId="33" priority="6607" stopIfTrue="1">
      <formula>$A319="file"</formula>
    </cfRule>
  </conditionalFormatting>
  <conditionalFormatting sqref="A319">
    <cfRule type="expression" dxfId="34" priority="6608" stopIfTrue="1">
      <formula>$A319="enumerator"</formula>
    </cfRule>
  </conditionalFormatting>
  <conditionalFormatting sqref="A319">
    <cfRule type="expression" dxfId="35" priority="6609" stopIfTrue="1">
      <formula>OR(AND(LEFT($A319, 14)="sensor_stream ", LEN($A319)&gt;14, NOT(ISNUMBER(SEARCH(" ", $A319, 15)))), AND(LEFT($A319, 17)="sensor_statistic ", LEN($A319)&gt;17, NOT(ISNUMBER(SEARCH(" ", $A319, 18)))))</formula>
    </cfRule>
  </conditionalFormatting>
  <conditionalFormatting sqref="A319">
    <cfRule type="expression" dxfId="14" priority="6610" stopIfTrue="1">
      <formula>$A319="comments"</formula>
    </cfRule>
  </conditionalFormatting>
  <conditionalFormatting sqref="A319">
    <cfRule type="expression" dxfId="15" priority="6611" stopIfTrue="1">
      <formula>OR($A319="audio", $A319="video")</formula>
    </cfRule>
  </conditionalFormatting>
  <conditionalFormatting sqref="A319">
    <cfRule type="expression" dxfId="16" priority="6612" stopIfTrue="1">
      <formula>$A319="image"</formula>
    </cfRule>
  </conditionalFormatting>
  <conditionalFormatting sqref="A319">
    <cfRule type="expression" dxfId="17" priority="6613" stopIfTrue="1">
      <formula>OR($A319="date", $A319="datetime", $A319="time")</formula>
    </cfRule>
  </conditionalFormatting>
  <conditionalFormatting sqref="A319">
    <cfRule type="expression" dxfId="18" priority="6614" stopIfTrue="1">
      <formula>OR($A319="calculate", $A319="calculate_here")</formula>
    </cfRule>
  </conditionalFormatting>
  <conditionalFormatting sqref="A319">
    <cfRule type="expression" dxfId="19" priority="6615" stopIfTrue="1">
      <formula>$A319="note"</formula>
    </cfRule>
  </conditionalFormatting>
  <conditionalFormatting sqref="A319">
    <cfRule type="expression" dxfId="20" priority="6616" stopIfTrue="1">
      <formula>$A319="barcode"</formula>
    </cfRule>
  </conditionalFormatting>
  <conditionalFormatting sqref="A319">
    <cfRule type="expression" dxfId="21" priority="6617" stopIfTrue="1">
      <formula>OR($A319="geopoint", $A319="geoshape", $A319="geotrace")</formula>
    </cfRule>
  </conditionalFormatting>
  <conditionalFormatting sqref="A319">
    <cfRule type="expression" dxfId="22" priority="6618" stopIfTrue="1">
      <formula>OR($A319="audio audit", $A319="text audit", $A319="speed violations count", $A319="speed violations list", $A319="speed violations audit")</formula>
    </cfRule>
  </conditionalFormatting>
  <conditionalFormatting sqref="A319">
    <cfRule type="expression" dxfId="23" priority="6619" stopIfTrue="1">
      <formula>OR($A319="username", $A319="phonenumber", $A319="start", $A319="end", $A319="deviceid", $A319="subscriberid", $A319="simserial", $A319="caseid")</formula>
    </cfRule>
  </conditionalFormatting>
  <conditionalFormatting sqref="A319">
    <cfRule type="expression" dxfId="24" priority="6620" stopIfTrue="1">
      <formula>OR(AND(LEFT($A319, 16)="select_multiple ", LEN($A319)&gt;16, NOT(ISNUMBER(SEARCH(" ", $A319, 17)))), AND(LEFT($A319, 11)="select_one ", LEN($A319)&gt;11, NOT(ISNUMBER(SEARCH(" ", $A319, 12)))))</formula>
    </cfRule>
  </conditionalFormatting>
  <conditionalFormatting sqref="A319">
    <cfRule type="expression" dxfId="25" priority="6621" stopIfTrue="1">
      <formula>$A319="decimal"</formula>
    </cfRule>
  </conditionalFormatting>
  <conditionalFormatting sqref="A319">
    <cfRule type="expression" dxfId="26" priority="6622" stopIfTrue="1">
      <formula>$A319="integer"</formula>
    </cfRule>
  </conditionalFormatting>
  <conditionalFormatting sqref="A319">
    <cfRule type="expression" dxfId="27" priority="6623" stopIfTrue="1">
      <formula>$A319="text"</formula>
    </cfRule>
  </conditionalFormatting>
  <conditionalFormatting sqref="A319">
    <cfRule type="expression" dxfId="28" priority="6624" stopIfTrue="1">
      <formula>$A319="end repeat"</formula>
    </cfRule>
  </conditionalFormatting>
  <conditionalFormatting sqref="A319">
    <cfRule type="expression" dxfId="28" priority="6625" stopIfTrue="1">
      <formula>$A319="begin repeat"</formula>
    </cfRule>
  </conditionalFormatting>
  <conditionalFormatting sqref="A319">
    <cfRule type="expression" dxfId="29" priority="6626" stopIfTrue="1">
      <formula>$A319="end group"</formula>
    </cfRule>
  </conditionalFormatting>
  <conditionalFormatting sqref="A319">
    <cfRule type="expression" dxfId="29" priority="6627" stopIfTrue="1">
      <formula>$A319="begin group"</formula>
    </cfRule>
  </conditionalFormatting>
  <conditionalFormatting sqref="A315:A317">
    <cfRule type="expression" dxfId="33" priority="6628" stopIfTrue="1">
      <formula>$A315="file"</formula>
    </cfRule>
  </conditionalFormatting>
  <conditionalFormatting sqref="A315:A317">
    <cfRule type="expression" dxfId="34" priority="6629" stopIfTrue="1">
      <formula>$A315="enumerator"</formula>
    </cfRule>
  </conditionalFormatting>
  <conditionalFormatting sqref="A315:A317">
    <cfRule type="expression" dxfId="35" priority="6630" stopIfTrue="1">
      <formula>OR(AND(LEFT($A315, 14)="sensor_stream ", LEN($A315)&gt;14, NOT(ISNUMBER(SEARCH(" ", $A315, 15)))), AND(LEFT($A315, 17)="sensor_statistic ", LEN($A315)&gt;17, NOT(ISNUMBER(SEARCH(" ", $A315, 18)))))</formula>
    </cfRule>
  </conditionalFormatting>
  <conditionalFormatting sqref="A315:A317">
    <cfRule type="expression" dxfId="14" priority="6631" stopIfTrue="1">
      <formula>$A315="comments"</formula>
    </cfRule>
  </conditionalFormatting>
  <conditionalFormatting sqref="A315:A317">
    <cfRule type="expression" dxfId="15" priority="6632" stopIfTrue="1">
      <formula>OR($A315="audio", $A315="video")</formula>
    </cfRule>
  </conditionalFormatting>
  <conditionalFormatting sqref="A315:A317">
    <cfRule type="expression" dxfId="16" priority="6633" stopIfTrue="1">
      <formula>$A315="image"</formula>
    </cfRule>
  </conditionalFormatting>
  <conditionalFormatting sqref="A315:A317">
    <cfRule type="expression" dxfId="17" priority="6634" stopIfTrue="1">
      <formula>OR($A315="date", $A315="datetime", $A315="time")</formula>
    </cfRule>
  </conditionalFormatting>
  <conditionalFormatting sqref="A315:A317">
    <cfRule type="expression" dxfId="18" priority="6635" stopIfTrue="1">
      <formula>OR($A315="calculate", $A315="calculate_here")</formula>
    </cfRule>
  </conditionalFormatting>
  <conditionalFormatting sqref="A315:A317">
    <cfRule type="expression" dxfId="19" priority="6636" stopIfTrue="1">
      <formula>$A315="note"</formula>
    </cfRule>
  </conditionalFormatting>
  <conditionalFormatting sqref="A315:A317">
    <cfRule type="expression" dxfId="20" priority="6637" stopIfTrue="1">
      <formula>$A315="barcode"</formula>
    </cfRule>
  </conditionalFormatting>
  <conditionalFormatting sqref="A315:A317">
    <cfRule type="expression" dxfId="21" priority="6638" stopIfTrue="1">
      <formula>OR($A315="geopoint", $A315="geoshape", $A315="geotrace")</formula>
    </cfRule>
  </conditionalFormatting>
  <conditionalFormatting sqref="A315:A317">
    <cfRule type="expression" dxfId="22" priority="6639" stopIfTrue="1">
      <formula>OR($A315="audio audit", $A315="text audit", $A315="speed violations count", $A315="speed violations list", $A315="speed violations audit")</formula>
    </cfRule>
  </conditionalFormatting>
  <conditionalFormatting sqref="A315:A317">
    <cfRule type="expression" dxfId="23" priority="6640" stopIfTrue="1">
      <formula>OR($A315="username", $A315="phonenumber", $A315="start", $A315="end", $A315="deviceid", $A315="subscriberid", $A315="simserial", $A315="caseid")</formula>
    </cfRule>
  </conditionalFormatting>
  <conditionalFormatting sqref="A315:A317">
    <cfRule type="expression" dxfId="24" priority="6641" stopIfTrue="1">
      <formula>OR(AND(LEFT($A315, 16)="select_multiple ", LEN($A315)&gt;16, NOT(ISNUMBER(SEARCH(" ", $A315, 17)))), AND(LEFT($A315, 11)="select_one ", LEN($A315)&gt;11, NOT(ISNUMBER(SEARCH(" ", $A315, 12)))))</formula>
    </cfRule>
  </conditionalFormatting>
  <conditionalFormatting sqref="A315:A317">
    <cfRule type="expression" dxfId="25" priority="6642" stopIfTrue="1">
      <formula>$A315="decimal"</formula>
    </cfRule>
  </conditionalFormatting>
  <conditionalFormatting sqref="A315:A317">
    <cfRule type="expression" dxfId="26" priority="6643" stopIfTrue="1">
      <formula>$A315="integer"</formula>
    </cfRule>
  </conditionalFormatting>
  <conditionalFormatting sqref="A315:A317">
    <cfRule type="expression" dxfId="27" priority="6644" stopIfTrue="1">
      <formula>$A315="text"</formula>
    </cfRule>
  </conditionalFormatting>
  <conditionalFormatting sqref="A315:A317">
    <cfRule type="expression" dxfId="28" priority="6645" stopIfTrue="1">
      <formula>$A315="end repeat"</formula>
    </cfRule>
  </conditionalFormatting>
  <conditionalFormatting sqref="A315:A317">
    <cfRule type="expression" dxfId="28" priority="6646" stopIfTrue="1">
      <formula>$A315="begin repeat"</formula>
    </cfRule>
  </conditionalFormatting>
  <conditionalFormatting sqref="A315:A317">
    <cfRule type="expression" dxfId="29" priority="6647" stopIfTrue="1">
      <formula>$A315="end group"</formula>
    </cfRule>
  </conditionalFormatting>
  <conditionalFormatting sqref="A315:A317">
    <cfRule type="expression" dxfId="29" priority="6648" stopIfTrue="1">
      <formula>$A315="begin group"</formula>
    </cfRule>
  </conditionalFormatting>
  <conditionalFormatting sqref="A305:A312">
    <cfRule type="expression" dxfId="33" priority="6649" stopIfTrue="1">
      <formula>$A305="file"</formula>
    </cfRule>
  </conditionalFormatting>
  <conditionalFormatting sqref="A305:A312">
    <cfRule type="expression" dxfId="34" priority="6650" stopIfTrue="1">
      <formula>$A305="enumerator"</formula>
    </cfRule>
  </conditionalFormatting>
  <conditionalFormatting sqref="A305:A312">
    <cfRule type="expression" dxfId="35" priority="6651" stopIfTrue="1">
      <formula>OR(AND(LEFT($A305, 14)="sensor_stream ", LEN($A305)&gt;14, NOT(ISNUMBER(SEARCH(" ", $A305, 15)))), AND(LEFT($A305, 17)="sensor_statistic ", LEN($A305)&gt;17, NOT(ISNUMBER(SEARCH(" ", $A305, 18)))))</formula>
    </cfRule>
  </conditionalFormatting>
  <conditionalFormatting sqref="A305:A312">
    <cfRule type="expression" dxfId="14" priority="6652" stopIfTrue="1">
      <formula>$A305="comments"</formula>
    </cfRule>
  </conditionalFormatting>
  <conditionalFormatting sqref="A305:A312">
    <cfRule type="expression" dxfId="15" priority="6653" stopIfTrue="1">
      <formula>OR($A305="audio", $A305="video")</formula>
    </cfRule>
  </conditionalFormatting>
  <conditionalFormatting sqref="A305:A312">
    <cfRule type="expression" dxfId="16" priority="6654" stopIfTrue="1">
      <formula>$A305="image"</formula>
    </cfRule>
  </conditionalFormatting>
  <conditionalFormatting sqref="A305:A312">
    <cfRule type="expression" dxfId="17" priority="6655" stopIfTrue="1">
      <formula>OR($A305="date", $A305="datetime", $A305="time")</formula>
    </cfRule>
  </conditionalFormatting>
  <conditionalFormatting sqref="A305:A312">
    <cfRule type="expression" dxfId="18" priority="6656" stopIfTrue="1">
      <formula>OR($A305="calculate", $A305="calculate_here")</formula>
    </cfRule>
  </conditionalFormatting>
  <conditionalFormatting sqref="A305:A312">
    <cfRule type="expression" dxfId="19" priority="6657" stopIfTrue="1">
      <formula>$A305="note"</formula>
    </cfRule>
  </conditionalFormatting>
  <conditionalFormatting sqref="A305:A312">
    <cfRule type="expression" dxfId="20" priority="6658" stopIfTrue="1">
      <formula>$A305="barcode"</formula>
    </cfRule>
  </conditionalFormatting>
  <conditionalFormatting sqref="A305:A312">
    <cfRule type="expression" dxfId="21" priority="6659" stopIfTrue="1">
      <formula>OR($A305="geopoint", $A305="geoshape", $A305="geotrace")</formula>
    </cfRule>
  </conditionalFormatting>
  <conditionalFormatting sqref="A305:A312">
    <cfRule type="expression" dxfId="22" priority="6660" stopIfTrue="1">
      <formula>OR($A305="audio audit", $A305="text audit", $A305="speed violations count", $A305="speed violations list", $A305="speed violations audit")</formula>
    </cfRule>
  </conditionalFormatting>
  <conditionalFormatting sqref="A305:A312">
    <cfRule type="expression" dxfId="23" priority="6661" stopIfTrue="1">
      <formula>OR($A305="username", $A305="phonenumber", $A305="start", $A305="end", $A305="deviceid", $A305="subscriberid", $A305="simserial", $A305="caseid")</formula>
    </cfRule>
  </conditionalFormatting>
  <conditionalFormatting sqref="A305:A312">
    <cfRule type="expression" dxfId="24" priority="6662" stopIfTrue="1">
      <formula>OR(AND(LEFT($A305, 16)="select_multiple ", LEN($A305)&gt;16, NOT(ISNUMBER(SEARCH(" ", $A305, 17)))), AND(LEFT($A305, 11)="select_one ", LEN($A305)&gt;11, NOT(ISNUMBER(SEARCH(" ", $A305, 12)))))</formula>
    </cfRule>
  </conditionalFormatting>
  <conditionalFormatting sqref="A305:A312">
    <cfRule type="expression" dxfId="25" priority="6663" stopIfTrue="1">
      <formula>$A305="decimal"</formula>
    </cfRule>
  </conditionalFormatting>
  <conditionalFormatting sqref="A305:A312">
    <cfRule type="expression" dxfId="26" priority="6664" stopIfTrue="1">
      <formula>$A305="integer"</formula>
    </cfRule>
  </conditionalFormatting>
  <conditionalFormatting sqref="A305:A312">
    <cfRule type="expression" dxfId="27" priority="6665" stopIfTrue="1">
      <formula>$A305="text"</formula>
    </cfRule>
  </conditionalFormatting>
  <conditionalFormatting sqref="A305:A312">
    <cfRule type="expression" dxfId="28" priority="6666" stopIfTrue="1">
      <formula>$A305="end repeat"</formula>
    </cfRule>
  </conditionalFormatting>
  <conditionalFormatting sqref="A305:A312">
    <cfRule type="expression" dxfId="28" priority="6667" stopIfTrue="1">
      <formula>$A305="begin repeat"</formula>
    </cfRule>
  </conditionalFormatting>
  <conditionalFormatting sqref="A305:A312">
    <cfRule type="expression" dxfId="29" priority="6668" stopIfTrue="1">
      <formula>$A305="end group"</formula>
    </cfRule>
  </conditionalFormatting>
  <conditionalFormatting sqref="A305:A312">
    <cfRule type="expression" dxfId="29" priority="6669" stopIfTrue="1">
      <formula>$A305="begin group"</formula>
    </cfRule>
  </conditionalFormatting>
  <conditionalFormatting sqref="A292:A302">
    <cfRule type="expression" dxfId="33" priority="6670" stopIfTrue="1">
      <formula>$A292="file"</formula>
    </cfRule>
  </conditionalFormatting>
  <conditionalFormatting sqref="A292:A302">
    <cfRule type="expression" dxfId="34" priority="6671" stopIfTrue="1">
      <formula>$A292="enumerator"</formula>
    </cfRule>
  </conditionalFormatting>
  <conditionalFormatting sqref="A292:A302">
    <cfRule type="expression" dxfId="35" priority="6672" stopIfTrue="1">
      <formula>OR(AND(LEFT($A292, 14)="sensor_stream ", LEN($A292)&gt;14, NOT(ISNUMBER(SEARCH(" ", $A292, 15)))), AND(LEFT($A292, 17)="sensor_statistic ", LEN($A292)&gt;17, NOT(ISNUMBER(SEARCH(" ", $A292, 18)))))</formula>
    </cfRule>
  </conditionalFormatting>
  <conditionalFormatting sqref="A292:A302">
    <cfRule type="expression" dxfId="14" priority="6673" stopIfTrue="1">
      <formula>$A292="comments"</formula>
    </cfRule>
  </conditionalFormatting>
  <conditionalFormatting sqref="A292:A302">
    <cfRule type="expression" dxfId="15" priority="6674" stopIfTrue="1">
      <formula>OR($A292="audio", $A292="video")</formula>
    </cfRule>
  </conditionalFormatting>
  <conditionalFormatting sqref="A292:A302">
    <cfRule type="expression" dxfId="16" priority="6675" stopIfTrue="1">
      <formula>$A292="image"</formula>
    </cfRule>
  </conditionalFormatting>
  <conditionalFormatting sqref="A292:A302">
    <cfRule type="expression" dxfId="17" priority="6676" stopIfTrue="1">
      <formula>OR($A292="date", $A292="datetime", $A292="time")</formula>
    </cfRule>
  </conditionalFormatting>
  <conditionalFormatting sqref="A292:A302">
    <cfRule type="expression" dxfId="18" priority="6677" stopIfTrue="1">
      <formula>OR($A292="calculate", $A292="calculate_here")</formula>
    </cfRule>
  </conditionalFormatting>
  <conditionalFormatting sqref="A292:A302">
    <cfRule type="expression" dxfId="19" priority="6678" stopIfTrue="1">
      <formula>$A292="note"</formula>
    </cfRule>
  </conditionalFormatting>
  <conditionalFormatting sqref="A292:A302">
    <cfRule type="expression" dxfId="20" priority="6679" stopIfTrue="1">
      <formula>$A292="barcode"</formula>
    </cfRule>
  </conditionalFormatting>
  <conditionalFormatting sqref="A292:A302">
    <cfRule type="expression" dxfId="21" priority="6680" stopIfTrue="1">
      <formula>OR($A292="geopoint", $A292="geoshape", $A292="geotrace")</formula>
    </cfRule>
  </conditionalFormatting>
  <conditionalFormatting sqref="A292:A302">
    <cfRule type="expression" dxfId="22" priority="6681" stopIfTrue="1">
      <formula>OR($A292="audio audit", $A292="text audit", $A292="speed violations count", $A292="speed violations list", $A292="speed violations audit")</formula>
    </cfRule>
  </conditionalFormatting>
  <conditionalFormatting sqref="A292:A302">
    <cfRule type="expression" dxfId="23" priority="6682" stopIfTrue="1">
      <formula>OR($A292="username", $A292="phonenumber", $A292="start", $A292="end", $A292="deviceid", $A292="subscriberid", $A292="simserial", $A292="caseid")</formula>
    </cfRule>
  </conditionalFormatting>
  <conditionalFormatting sqref="A292:A302">
    <cfRule type="expression" dxfId="24" priority="6683" stopIfTrue="1">
      <formula>OR(AND(LEFT($A292, 16)="select_multiple ", LEN($A292)&gt;16, NOT(ISNUMBER(SEARCH(" ", $A292, 17)))), AND(LEFT($A292, 11)="select_one ", LEN($A292)&gt;11, NOT(ISNUMBER(SEARCH(" ", $A292, 12)))))</formula>
    </cfRule>
  </conditionalFormatting>
  <conditionalFormatting sqref="A292:A302">
    <cfRule type="expression" dxfId="25" priority="6684" stopIfTrue="1">
      <formula>$A292="decimal"</formula>
    </cfRule>
  </conditionalFormatting>
  <conditionalFormatting sqref="A292:A302">
    <cfRule type="expression" dxfId="26" priority="6685" stopIfTrue="1">
      <formula>$A292="integer"</formula>
    </cfRule>
  </conditionalFormatting>
  <conditionalFormatting sqref="A292:A302">
    <cfRule type="expression" dxfId="27" priority="6686" stopIfTrue="1">
      <formula>$A292="text"</formula>
    </cfRule>
  </conditionalFormatting>
  <conditionalFormatting sqref="A292:A302">
    <cfRule type="expression" dxfId="28" priority="6687" stopIfTrue="1">
      <formula>$A292="end repeat"</formula>
    </cfRule>
  </conditionalFormatting>
  <conditionalFormatting sqref="A292:A302">
    <cfRule type="expression" dxfId="28" priority="6688" stopIfTrue="1">
      <formula>$A292="begin repeat"</formula>
    </cfRule>
  </conditionalFormatting>
  <conditionalFormatting sqref="A292:A302">
    <cfRule type="expression" dxfId="29" priority="6689" stopIfTrue="1">
      <formula>$A292="end group"</formula>
    </cfRule>
  </conditionalFormatting>
  <conditionalFormatting sqref="A292:A302">
    <cfRule type="expression" dxfId="29" priority="6690" stopIfTrue="1">
      <formula>$A292="begin group"</formula>
    </cfRule>
  </conditionalFormatting>
  <conditionalFormatting sqref="A284:A285">
    <cfRule type="expression" dxfId="33" priority="6691" stopIfTrue="1">
      <formula>$A284="file"</formula>
    </cfRule>
  </conditionalFormatting>
  <conditionalFormatting sqref="A284:A285">
    <cfRule type="expression" dxfId="34" priority="6692" stopIfTrue="1">
      <formula>$A284="enumerator"</formula>
    </cfRule>
  </conditionalFormatting>
  <conditionalFormatting sqref="A284:A285">
    <cfRule type="expression" dxfId="35" priority="6693" stopIfTrue="1">
      <formula>OR(AND(LEFT($A284, 14)="sensor_stream ", LEN($A284)&gt;14, NOT(ISNUMBER(SEARCH(" ", $A284, 15)))), AND(LEFT($A284, 17)="sensor_statistic ", LEN($A284)&gt;17, NOT(ISNUMBER(SEARCH(" ", $A284, 18)))))</formula>
    </cfRule>
  </conditionalFormatting>
  <conditionalFormatting sqref="A284:A285">
    <cfRule type="expression" dxfId="14" priority="6694" stopIfTrue="1">
      <formula>$A284="comments"</formula>
    </cfRule>
  </conditionalFormatting>
  <conditionalFormatting sqref="A284:A285">
    <cfRule type="expression" dxfId="15" priority="6695" stopIfTrue="1">
      <formula>OR($A284="audio", $A284="video")</formula>
    </cfRule>
  </conditionalFormatting>
  <conditionalFormatting sqref="A284:A285">
    <cfRule type="expression" dxfId="16" priority="6696" stopIfTrue="1">
      <formula>$A284="image"</formula>
    </cfRule>
  </conditionalFormatting>
  <conditionalFormatting sqref="A284:A285">
    <cfRule type="expression" dxfId="17" priority="6697" stopIfTrue="1">
      <formula>OR($A284="date", $A284="datetime", $A284="time")</formula>
    </cfRule>
  </conditionalFormatting>
  <conditionalFormatting sqref="A284:A285">
    <cfRule type="expression" dxfId="18" priority="6698" stopIfTrue="1">
      <formula>OR($A284="calculate", $A284="calculate_here")</formula>
    </cfRule>
  </conditionalFormatting>
  <conditionalFormatting sqref="A284:A285">
    <cfRule type="expression" dxfId="19" priority="6699" stopIfTrue="1">
      <formula>$A284="note"</formula>
    </cfRule>
  </conditionalFormatting>
  <conditionalFormatting sqref="A284:A285">
    <cfRule type="expression" dxfId="20" priority="6700" stopIfTrue="1">
      <formula>$A284="barcode"</formula>
    </cfRule>
  </conditionalFormatting>
  <conditionalFormatting sqref="A284:A285">
    <cfRule type="expression" dxfId="21" priority="6701" stopIfTrue="1">
      <formula>OR($A284="geopoint", $A284="geoshape", $A284="geotrace")</formula>
    </cfRule>
  </conditionalFormatting>
  <conditionalFormatting sqref="A284:A285">
    <cfRule type="expression" dxfId="22" priority="6702" stopIfTrue="1">
      <formula>OR($A284="audio audit", $A284="text audit", $A284="speed violations count", $A284="speed violations list", $A284="speed violations audit")</formula>
    </cfRule>
  </conditionalFormatting>
  <conditionalFormatting sqref="A284:A285">
    <cfRule type="expression" dxfId="23" priority="6703" stopIfTrue="1">
      <formula>OR($A284="username", $A284="phonenumber", $A284="start", $A284="end", $A284="deviceid", $A284="subscriberid", $A284="simserial", $A284="caseid")</formula>
    </cfRule>
  </conditionalFormatting>
  <conditionalFormatting sqref="A284:A285">
    <cfRule type="expression" dxfId="24" priority="6704" stopIfTrue="1">
      <formula>OR(AND(LEFT($A284, 16)="select_multiple ", LEN($A284)&gt;16, NOT(ISNUMBER(SEARCH(" ", $A284, 17)))), AND(LEFT($A284, 11)="select_one ", LEN($A284)&gt;11, NOT(ISNUMBER(SEARCH(" ", $A284, 12)))))</formula>
    </cfRule>
  </conditionalFormatting>
  <conditionalFormatting sqref="A284:A285">
    <cfRule type="expression" dxfId="25" priority="6705" stopIfTrue="1">
      <formula>$A284="decimal"</formula>
    </cfRule>
  </conditionalFormatting>
  <conditionalFormatting sqref="A284:A285">
    <cfRule type="expression" dxfId="26" priority="6706" stopIfTrue="1">
      <formula>$A284="integer"</formula>
    </cfRule>
  </conditionalFormatting>
  <conditionalFormatting sqref="A284:A285">
    <cfRule type="expression" dxfId="27" priority="6707" stopIfTrue="1">
      <formula>$A284="text"</formula>
    </cfRule>
  </conditionalFormatting>
  <conditionalFormatting sqref="A284:A285">
    <cfRule type="expression" dxfId="28" priority="6708" stopIfTrue="1">
      <formula>$A284="end repeat"</formula>
    </cfRule>
  </conditionalFormatting>
  <conditionalFormatting sqref="A284:A285">
    <cfRule type="expression" dxfId="28" priority="6709" stopIfTrue="1">
      <formula>$A284="begin repeat"</formula>
    </cfRule>
  </conditionalFormatting>
  <conditionalFormatting sqref="A284:A285">
    <cfRule type="expression" dxfId="29" priority="6710" stopIfTrue="1">
      <formula>$A284="end group"</formula>
    </cfRule>
  </conditionalFormatting>
  <conditionalFormatting sqref="A284:A285">
    <cfRule type="expression" dxfId="29" priority="6711" stopIfTrue="1">
      <formula>$A284="begin group"</formula>
    </cfRule>
  </conditionalFormatting>
  <conditionalFormatting sqref="A279:A281">
    <cfRule type="expression" dxfId="33" priority="6712" stopIfTrue="1">
      <formula>$A279="file"</formula>
    </cfRule>
  </conditionalFormatting>
  <conditionalFormatting sqref="A279:A281">
    <cfRule type="expression" dxfId="34" priority="6713" stopIfTrue="1">
      <formula>$A279="enumerator"</formula>
    </cfRule>
  </conditionalFormatting>
  <conditionalFormatting sqref="A279:A281">
    <cfRule type="expression" dxfId="35" priority="6714" stopIfTrue="1">
      <formula>OR(AND(LEFT($A279, 14)="sensor_stream ", LEN($A279)&gt;14, NOT(ISNUMBER(SEARCH(" ", $A279, 15)))), AND(LEFT($A279, 17)="sensor_statistic ", LEN($A279)&gt;17, NOT(ISNUMBER(SEARCH(" ", $A279, 18)))))</formula>
    </cfRule>
  </conditionalFormatting>
  <conditionalFormatting sqref="A279:A281">
    <cfRule type="expression" dxfId="14" priority="6715" stopIfTrue="1">
      <formula>$A279="comments"</formula>
    </cfRule>
  </conditionalFormatting>
  <conditionalFormatting sqref="A279:A281">
    <cfRule type="expression" dxfId="15" priority="6716" stopIfTrue="1">
      <formula>OR($A279="audio", $A279="video")</formula>
    </cfRule>
  </conditionalFormatting>
  <conditionalFormatting sqref="A279:A281">
    <cfRule type="expression" dxfId="16" priority="6717" stopIfTrue="1">
      <formula>$A279="image"</formula>
    </cfRule>
  </conditionalFormatting>
  <conditionalFormatting sqref="A279:A281">
    <cfRule type="expression" dxfId="17" priority="6718" stopIfTrue="1">
      <formula>OR($A279="date", $A279="datetime", $A279="time")</formula>
    </cfRule>
  </conditionalFormatting>
  <conditionalFormatting sqref="A279:A281">
    <cfRule type="expression" dxfId="18" priority="6719" stopIfTrue="1">
      <formula>OR($A279="calculate", $A279="calculate_here")</formula>
    </cfRule>
  </conditionalFormatting>
  <conditionalFormatting sqref="A279:A281">
    <cfRule type="expression" dxfId="19" priority="6720" stopIfTrue="1">
      <formula>$A279="note"</formula>
    </cfRule>
  </conditionalFormatting>
  <conditionalFormatting sqref="A279:A281">
    <cfRule type="expression" dxfId="20" priority="6721" stopIfTrue="1">
      <formula>$A279="barcode"</formula>
    </cfRule>
  </conditionalFormatting>
  <conditionalFormatting sqref="A279:A281">
    <cfRule type="expression" dxfId="21" priority="6722" stopIfTrue="1">
      <formula>OR($A279="geopoint", $A279="geoshape", $A279="geotrace")</formula>
    </cfRule>
  </conditionalFormatting>
  <conditionalFormatting sqref="A279:A281">
    <cfRule type="expression" dxfId="22" priority="6723" stopIfTrue="1">
      <formula>OR($A279="audio audit", $A279="text audit", $A279="speed violations count", $A279="speed violations list", $A279="speed violations audit")</formula>
    </cfRule>
  </conditionalFormatting>
  <conditionalFormatting sqref="A279:A281">
    <cfRule type="expression" dxfId="23" priority="6724" stopIfTrue="1">
      <formula>OR($A279="username", $A279="phonenumber", $A279="start", $A279="end", $A279="deviceid", $A279="subscriberid", $A279="simserial", $A279="caseid")</formula>
    </cfRule>
  </conditionalFormatting>
  <conditionalFormatting sqref="A279:A281">
    <cfRule type="expression" dxfId="24" priority="6725" stopIfTrue="1">
      <formula>OR(AND(LEFT($A279, 16)="select_multiple ", LEN($A279)&gt;16, NOT(ISNUMBER(SEARCH(" ", $A279, 17)))), AND(LEFT($A279, 11)="select_one ", LEN($A279)&gt;11, NOT(ISNUMBER(SEARCH(" ", $A279, 12)))))</formula>
    </cfRule>
  </conditionalFormatting>
  <conditionalFormatting sqref="A279:A281">
    <cfRule type="expression" dxfId="25" priority="6726" stopIfTrue="1">
      <formula>$A279="decimal"</formula>
    </cfRule>
  </conditionalFormatting>
  <conditionalFormatting sqref="A279:A281">
    <cfRule type="expression" dxfId="26" priority="6727" stopIfTrue="1">
      <formula>$A279="integer"</formula>
    </cfRule>
  </conditionalFormatting>
  <conditionalFormatting sqref="A279:A281">
    <cfRule type="expression" dxfId="27" priority="6728" stopIfTrue="1">
      <formula>$A279="text"</formula>
    </cfRule>
  </conditionalFormatting>
  <conditionalFormatting sqref="A279:A281">
    <cfRule type="expression" dxfId="28" priority="6729" stopIfTrue="1">
      <formula>$A279="end repeat"</formula>
    </cfRule>
  </conditionalFormatting>
  <conditionalFormatting sqref="A279:A281">
    <cfRule type="expression" dxfId="28" priority="6730" stopIfTrue="1">
      <formula>$A279="begin repeat"</formula>
    </cfRule>
  </conditionalFormatting>
  <conditionalFormatting sqref="A279:A281">
    <cfRule type="expression" dxfId="29" priority="6731" stopIfTrue="1">
      <formula>$A279="end group"</formula>
    </cfRule>
  </conditionalFormatting>
  <conditionalFormatting sqref="A279:A281">
    <cfRule type="expression" dxfId="29" priority="6732" stopIfTrue="1">
      <formula>$A279="begin group"</formula>
    </cfRule>
  </conditionalFormatting>
  <conditionalFormatting sqref="A259:A275">
    <cfRule type="expression" dxfId="33" priority="6733" stopIfTrue="1">
      <formula>$A259="file"</formula>
    </cfRule>
  </conditionalFormatting>
  <conditionalFormatting sqref="A259:A275">
    <cfRule type="expression" dxfId="34" priority="6734" stopIfTrue="1">
      <formula>$A259="enumerator"</formula>
    </cfRule>
  </conditionalFormatting>
  <conditionalFormatting sqref="A259:A275">
    <cfRule type="expression" dxfId="35" priority="6735" stopIfTrue="1">
      <formula>OR(AND(LEFT($A259, 14)="sensor_stream ", LEN($A259)&gt;14, NOT(ISNUMBER(SEARCH(" ", $A259, 15)))), AND(LEFT($A259, 17)="sensor_statistic ", LEN($A259)&gt;17, NOT(ISNUMBER(SEARCH(" ", $A259, 18)))))</formula>
    </cfRule>
  </conditionalFormatting>
  <conditionalFormatting sqref="A259:A275">
    <cfRule type="expression" dxfId="14" priority="6736" stopIfTrue="1">
      <formula>$A259="comments"</formula>
    </cfRule>
  </conditionalFormatting>
  <conditionalFormatting sqref="A259:A275">
    <cfRule type="expression" dxfId="15" priority="6737" stopIfTrue="1">
      <formula>OR($A259="audio", $A259="video")</formula>
    </cfRule>
  </conditionalFormatting>
  <conditionalFormatting sqref="A259:A275">
    <cfRule type="expression" dxfId="16" priority="6738" stopIfTrue="1">
      <formula>$A259="image"</formula>
    </cfRule>
  </conditionalFormatting>
  <conditionalFormatting sqref="A259:A275">
    <cfRule type="expression" dxfId="17" priority="6739" stopIfTrue="1">
      <formula>OR($A259="date", $A259="datetime", $A259="time")</formula>
    </cfRule>
  </conditionalFormatting>
  <conditionalFormatting sqref="A259:A275">
    <cfRule type="expression" dxfId="18" priority="6740" stopIfTrue="1">
      <formula>OR($A259="calculate", $A259="calculate_here")</formula>
    </cfRule>
  </conditionalFormatting>
  <conditionalFormatting sqref="A259:A275">
    <cfRule type="expression" dxfId="19" priority="6741" stopIfTrue="1">
      <formula>$A259="note"</formula>
    </cfRule>
  </conditionalFormatting>
  <conditionalFormatting sqref="A259:A275">
    <cfRule type="expression" dxfId="20" priority="6742" stopIfTrue="1">
      <formula>$A259="barcode"</formula>
    </cfRule>
  </conditionalFormatting>
  <conditionalFormatting sqref="A259:A275">
    <cfRule type="expression" dxfId="21" priority="6743" stopIfTrue="1">
      <formula>OR($A259="geopoint", $A259="geoshape", $A259="geotrace")</formula>
    </cfRule>
  </conditionalFormatting>
  <conditionalFormatting sqref="A259:A275">
    <cfRule type="expression" dxfId="22" priority="6744" stopIfTrue="1">
      <formula>OR($A259="audio audit", $A259="text audit", $A259="speed violations count", $A259="speed violations list", $A259="speed violations audit")</formula>
    </cfRule>
  </conditionalFormatting>
  <conditionalFormatting sqref="A259:A275">
    <cfRule type="expression" dxfId="23" priority="6745" stopIfTrue="1">
      <formula>OR($A259="username", $A259="phonenumber", $A259="start", $A259="end", $A259="deviceid", $A259="subscriberid", $A259="simserial", $A259="caseid")</formula>
    </cfRule>
  </conditionalFormatting>
  <conditionalFormatting sqref="A259:A275">
    <cfRule type="expression" dxfId="24" priority="6746" stopIfTrue="1">
      <formula>OR(AND(LEFT($A259, 16)="select_multiple ", LEN($A259)&gt;16, NOT(ISNUMBER(SEARCH(" ", $A259, 17)))), AND(LEFT($A259, 11)="select_one ", LEN($A259)&gt;11, NOT(ISNUMBER(SEARCH(" ", $A259, 12)))))</formula>
    </cfRule>
  </conditionalFormatting>
  <conditionalFormatting sqref="A259:A275">
    <cfRule type="expression" dxfId="25" priority="6747" stopIfTrue="1">
      <formula>$A259="decimal"</formula>
    </cfRule>
  </conditionalFormatting>
  <conditionalFormatting sqref="A259:A275">
    <cfRule type="expression" dxfId="26" priority="6748" stopIfTrue="1">
      <formula>$A259="integer"</formula>
    </cfRule>
  </conditionalFormatting>
  <conditionalFormatting sqref="A259:A275">
    <cfRule type="expression" dxfId="27" priority="6749" stopIfTrue="1">
      <formula>$A259="text"</formula>
    </cfRule>
  </conditionalFormatting>
  <conditionalFormatting sqref="A259:A275">
    <cfRule type="expression" dxfId="28" priority="6750" stopIfTrue="1">
      <formula>$A259="end repeat"</formula>
    </cfRule>
  </conditionalFormatting>
  <conditionalFormatting sqref="A259:A275">
    <cfRule type="expression" dxfId="28" priority="6751" stopIfTrue="1">
      <formula>$A259="begin repeat"</formula>
    </cfRule>
  </conditionalFormatting>
  <conditionalFormatting sqref="A259:A275">
    <cfRule type="expression" dxfId="29" priority="6752" stopIfTrue="1">
      <formula>$A259="end group"</formula>
    </cfRule>
  </conditionalFormatting>
  <conditionalFormatting sqref="A259:A275">
    <cfRule type="expression" dxfId="29" priority="6753" stopIfTrue="1">
      <formula>$A259="begin group"</formula>
    </cfRule>
  </conditionalFormatting>
  <conditionalFormatting sqref="A257">
    <cfRule type="expression" dxfId="33" priority="6754" stopIfTrue="1">
      <formula>$A257="file"</formula>
    </cfRule>
  </conditionalFormatting>
  <conditionalFormatting sqref="A257">
    <cfRule type="expression" dxfId="34" priority="6755" stopIfTrue="1">
      <formula>$A257="enumerator"</formula>
    </cfRule>
  </conditionalFormatting>
  <conditionalFormatting sqref="A257">
    <cfRule type="expression" dxfId="35" priority="6756" stopIfTrue="1">
      <formula>OR(AND(LEFT($A257, 14)="sensor_stream ", LEN($A257)&gt;14, NOT(ISNUMBER(SEARCH(" ", $A257, 15)))), AND(LEFT($A257, 17)="sensor_statistic ", LEN($A257)&gt;17, NOT(ISNUMBER(SEARCH(" ", $A257, 18)))))</formula>
    </cfRule>
  </conditionalFormatting>
  <conditionalFormatting sqref="A257">
    <cfRule type="expression" dxfId="14" priority="6757" stopIfTrue="1">
      <formula>$A257="comments"</formula>
    </cfRule>
  </conditionalFormatting>
  <conditionalFormatting sqref="A257">
    <cfRule type="expression" dxfId="15" priority="6758" stopIfTrue="1">
      <formula>OR($A257="audio", $A257="video")</formula>
    </cfRule>
  </conditionalFormatting>
  <conditionalFormatting sqref="A257">
    <cfRule type="expression" dxfId="16" priority="6759" stopIfTrue="1">
      <formula>$A257="image"</formula>
    </cfRule>
  </conditionalFormatting>
  <conditionalFormatting sqref="A257">
    <cfRule type="expression" dxfId="17" priority="6760" stopIfTrue="1">
      <formula>OR($A257="date", $A257="datetime", $A257="time")</formula>
    </cfRule>
  </conditionalFormatting>
  <conditionalFormatting sqref="A257">
    <cfRule type="expression" dxfId="18" priority="6761" stopIfTrue="1">
      <formula>OR($A257="calculate", $A257="calculate_here")</formula>
    </cfRule>
  </conditionalFormatting>
  <conditionalFormatting sqref="A257">
    <cfRule type="expression" dxfId="19" priority="6762" stopIfTrue="1">
      <formula>$A257="note"</formula>
    </cfRule>
  </conditionalFormatting>
  <conditionalFormatting sqref="A257">
    <cfRule type="expression" dxfId="20" priority="6763" stopIfTrue="1">
      <formula>$A257="barcode"</formula>
    </cfRule>
  </conditionalFormatting>
  <conditionalFormatting sqref="A257">
    <cfRule type="expression" dxfId="21" priority="6764" stopIfTrue="1">
      <formula>OR($A257="geopoint", $A257="geoshape", $A257="geotrace")</formula>
    </cfRule>
  </conditionalFormatting>
  <conditionalFormatting sqref="A257">
    <cfRule type="expression" dxfId="22" priority="6765" stopIfTrue="1">
      <formula>OR($A257="audio audit", $A257="text audit", $A257="speed violations count", $A257="speed violations list", $A257="speed violations audit")</formula>
    </cfRule>
  </conditionalFormatting>
  <conditionalFormatting sqref="A257">
    <cfRule type="expression" dxfId="23" priority="6766" stopIfTrue="1">
      <formula>OR($A257="username", $A257="phonenumber", $A257="start", $A257="end", $A257="deviceid", $A257="subscriberid", $A257="simserial", $A257="caseid")</formula>
    </cfRule>
  </conditionalFormatting>
  <conditionalFormatting sqref="A257">
    <cfRule type="expression" dxfId="24" priority="6767" stopIfTrue="1">
      <formula>OR(AND(LEFT($A257, 16)="select_multiple ", LEN($A257)&gt;16, NOT(ISNUMBER(SEARCH(" ", $A257, 17)))), AND(LEFT($A257, 11)="select_one ", LEN($A257)&gt;11, NOT(ISNUMBER(SEARCH(" ", $A257, 12)))))</formula>
    </cfRule>
  </conditionalFormatting>
  <conditionalFormatting sqref="A257">
    <cfRule type="expression" dxfId="25" priority="6768" stopIfTrue="1">
      <formula>$A257="decimal"</formula>
    </cfRule>
  </conditionalFormatting>
  <conditionalFormatting sqref="A257">
    <cfRule type="expression" dxfId="26" priority="6769" stopIfTrue="1">
      <formula>$A257="integer"</formula>
    </cfRule>
  </conditionalFormatting>
  <conditionalFormatting sqref="A257">
    <cfRule type="expression" dxfId="27" priority="6770" stopIfTrue="1">
      <formula>$A257="text"</formula>
    </cfRule>
  </conditionalFormatting>
  <conditionalFormatting sqref="A257">
    <cfRule type="expression" dxfId="28" priority="6771" stopIfTrue="1">
      <formula>$A257="end repeat"</formula>
    </cfRule>
  </conditionalFormatting>
  <conditionalFormatting sqref="A257">
    <cfRule type="expression" dxfId="28" priority="6772" stopIfTrue="1">
      <formula>$A257="begin repeat"</formula>
    </cfRule>
  </conditionalFormatting>
  <conditionalFormatting sqref="A257">
    <cfRule type="expression" dxfId="29" priority="6773" stopIfTrue="1">
      <formula>$A257="end group"</formula>
    </cfRule>
  </conditionalFormatting>
  <conditionalFormatting sqref="A257">
    <cfRule type="expression" dxfId="29" priority="6774" stopIfTrue="1">
      <formula>$A257="begin group"</formula>
    </cfRule>
  </conditionalFormatting>
  <conditionalFormatting sqref="A235:A247">
    <cfRule type="expression" dxfId="33" priority="6775" stopIfTrue="1">
      <formula>$A235="file"</formula>
    </cfRule>
  </conditionalFormatting>
  <conditionalFormatting sqref="A235:A247">
    <cfRule type="expression" dxfId="34" priority="6776" stopIfTrue="1">
      <formula>$A235="enumerator"</formula>
    </cfRule>
  </conditionalFormatting>
  <conditionalFormatting sqref="A235:A247">
    <cfRule type="expression" dxfId="35" priority="6777" stopIfTrue="1">
      <formula>OR(AND(LEFT($A235, 14)="sensor_stream ", LEN($A235)&gt;14, NOT(ISNUMBER(SEARCH(" ", $A235, 15)))), AND(LEFT($A235, 17)="sensor_statistic ", LEN($A235)&gt;17, NOT(ISNUMBER(SEARCH(" ", $A235, 18)))))</formula>
    </cfRule>
  </conditionalFormatting>
  <conditionalFormatting sqref="A235:A247">
    <cfRule type="expression" dxfId="14" priority="6778" stopIfTrue="1">
      <formula>$A235="comments"</formula>
    </cfRule>
  </conditionalFormatting>
  <conditionalFormatting sqref="A235:A247">
    <cfRule type="expression" dxfId="15" priority="6779" stopIfTrue="1">
      <formula>OR($A235="audio", $A235="video")</formula>
    </cfRule>
  </conditionalFormatting>
  <conditionalFormatting sqref="A235:A247">
    <cfRule type="expression" dxfId="16" priority="6780" stopIfTrue="1">
      <formula>$A235="image"</formula>
    </cfRule>
  </conditionalFormatting>
  <conditionalFormatting sqref="A235:A247">
    <cfRule type="expression" dxfId="17" priority="6781" stopIfTrue="1">
      <formula>OR($A235="date", $A235="datetime", $A235="time")</formula>
    </cfRule>
  </conditionalFormatting>
  <conditionalFormatting sqref="A235:A247">
    <cfRule type="expression" dxfId="18" priority="6782" stopIfTrue="1">
      <formula>OR($A235="calculate", $A235="calculate_here")</formula>
    </cfRule>
  </conditionalFormatting>
  <conditionalFormatting sqref="A235:A247">
    <cfRule type="expression" dxfId="19" priority="6783" stopIfTrue="1">
      <formula>$A235="note"</formula>
    </cfRule>
  </conditionalFormatting>
  <conditionalFormatting sqref="A235:A247">
    <cfRule type="expression" dxfId="20" priority="6784" stopIfTrue="1">
      <formula>$A235="barcode"</formula>
    </cfRule>
  </conditionalFormatting>
  <conditionalFormatting sqref="A235:A247">
    <cfRule type="expression" dxfId="21" priority="6785" stopIfTrue="1">
      <formula>OR($A235="geopoint", $A235="geoshape", $A235="geotrace")</formula>
    </cfRule>
  </conditionalFormatting>
  <conditionalFormatting sqref="A235:A247">
    <cfRule type="expression" dxfId="22" priority="6786" stopIfTrue="1">
      <formula>OR($A235="audio audit", $A235="text audit", $A235="speed violations count", $A235="speed violations list", $A235="speed violations audit")</formula>
    </cfRule>
  </conditionalFormatting>
  <conditionalFormatting sqref="A235:A247">
    <cfRule type="expression" dxfId="23" priority="6787" stopIfTrue="1">
      <formula>OR($A235="username", $A235="phonenumber", $A235="start", $A235="end", $A235="deviceid", $A235="subscriberid", $A235="simserial", $A235="caseid")</formula>
    </cfRule>
  </conditionalFormatting>
  <conditionalFormatting sqref="A235:A247">
    <cfRule type="expression" dxfId="24" priority="6788" stopIfTrue="1">
      <formula>OR(AND(LEFT($A235, 16)="select_multiple ", LEN($A235)&gt;16, NOT(ISNUMBER(SEARCH(" ", $A235, 17)))), AND(LEFT($A235, 11)="select_one ", LEN($A235)&gt;11, NOT(ISNUMBER(SEARCH(" ", $A235, 12)))))</formula>
    </cfRule>
  </conditionalFormatting>
  <conditionalFormatting sqref="A235:A247">
    <cfRule type="expression" dxfId="25" priority="6789" stopIfTrue="1">
      <formula>$A235="decimal"</formula>
    </cfRule>
  </conditionalFormatting>
  <conditionalFormatting sqref="A235:A247">
    <cfRule type="expression" dxfId="26" priority="6790" stopIfTrue="1">
      <formula>$A235="integer"</formula>
    </cfRule>
  </conditionalFormatting>
  <conditionalFormatting sqref="A235:A247">
    <cfRule type="expression" dxfId="27" priority="6791" stopIfTrue="1">
      <formula>$A235="text"</formula>
    </cfRule>
  </conditionalFormatting>
  <conditionalFormatting sqref="A235:A247">
    <cfRule type="expression" dxfId="28" priority="6792" stopIfTrue="1">
      <formula>$A235="end repeat"</formula>
    </cfRule>
  </conditionalFormatting>
  <conditionalFormatting sqref="A235:A247">
    <cfRule type="expression" dxfId="28" priority="6793" stopIfTrue="1">
      <formula>$A235="begin repeat"</formula>
    </cfRule>
  </conditionalFormatting>
  <conditionalFormatting sqref="A235:A247">
    <cfRule type="expression" dxfId="29" priority="6794" stopIfTrue="1">
      <formula>$A235="end group"</formula>
    </cfRule>
  </conditionalFormatting>
  <conditionalFormatting sqref="A235:A247">
    <cfRule type="expression" dxfId="29" priority="6795" stopIfTrue="1">
      <formula>$A235="begin group"</formula>
    </cfRule>
  </conditionalFormatting>
  <conditionalFormatting sqref="A221:A228">
    <cfRule type="expression" dxfId="33" priority="6796" stopIfTrue="1">
      <formula>$A221="file"</formula>
    </cfRule>
  </conditionalFormatting>
  <conditionalFormatting sqref="A221:A228">
    <cfRule type="expression" dxfId="34" priority="6797" stopIfTrue="1">
      <formula>$A221="enumerator"</formula>
    </cfRule>
  </conditionalFormatting>
  <conditionalFormatting sqref="A221:A228">
    <cfRule type="expression" dxfId="35" priority="6798" stopIfTrue="1">
      <formula>OR(AND(LEFT($A221, 14)="sensor_stream ", LEN($A221)&gt;14, NOT(ISNUMBER(SEARCH(" ", $A221, 15)))), AND(LEFT($A221, 17)="sensor_statistic ", LEN($A221)&gt;17, NOT(ISNUMBER(SEARCH(" ", $A221, 18)))))</formula>
    </cfRule>
  </conditionalFormatting>
  <conditionalFormatting sqref="A221:A228">
    <cfRule type="expression" dxfId="14" priority="6799" stopIfTrue="1">
      <formula>$A221="comments"</formula>
    </cfRule>
  </conditionalFormatting>
  <conditionalFormatting sqref="A221:A228">
    <cfRule type="expression" dxfId="15" priority="6800" stopIfTrue="1">
      <formula>OR($A221="audio", $A221="video")</formula>
    </cfRule>
  </conditionalFormatting>
  <conditionalFormatting sqref="A221:A228">
    <cfRule type="expression" dxfId="16" priority="6801" stopIfTrue="1">
      <formula>$A221="image"</formula>
    </cfRule>
  </conditionalFormatting>
  <conditionalFormatting sqref="A221:A228">
    <cfRule type="expression" dxfId="17" priority="6802" stopIfTrue="1">
      <formula>OR($A221="date", $A221="datetime", $A221="time")</formula>
    </cfRule>
  </conditionalFormatting>
  <conditionalFormatting sqref="A221:A228">
    <cfRule type="expression" dxfId="18" priority="6803" stopIfTrue="1">
      <formula>OR($A221="calculate", $A221="calculate_here")</formula>
    </cfRule>
  </conditionalFormatting>
  <conditionalFormatting sqref="A221:A228">
    <cfRule type="expression" dxfId="19" priority="6804" stopIfTrue="1">
      <formula>$A221="note"</formula>
    </cfRule>
  </conditionalFormatting>
  <conditionalFormatting sqref="A221:A228">
    <cfRule type="expression" dxfId="20" priority="6805" stopIfTrue="1">
      <formula>$A221="barcode"</formula>
    </cfRule>
  </conditionalFormatting>
  <conditionalFormatting sqref="A221:A228">
    <cfRule type="expression" dxfId="21" priority="6806" stopIfTrue="1">
      <formula>OR($A221="geopoint", $A221="geoshape", $A221="geotrace")</formula>
    </cfRule>
  </conditionalFormatting>
  <conditionalFormatting sqref="A221:A228">
    <cfRule type="expression" dxfId="22" priority="6807" stopIfTrue="1">
      <formula>OR($A221="audio audit", $A221="text audit", $A221="speed violations count", $A221="speed violations list", $A221="speed violations audit")</formula>
    </cfRule>
  </conditionalFormatting>
  <conditionalFormatting sqref="A221:A228">
    <cfRule type="expression" dxfId="23" priority="6808" stopIfTrue="1">
      <formula>OR($A221="username", $A221="phonenumber", $A221="start", $A221="end", $A221="deviceid", $A221="subscriberid", $A221="simserial", $A221="caseid")</formula>
    </cfRule>
  </conditionalFormatting>
  <conditionalFormatting sqref="A221:A228">
    <cfRule type="expression" dxfId="24" priority="6809" stopIfTrue="1">
      <formula>OR(AND(LEFT($A221, 16)="select_multiple ", LEN($A221)&gt;16, NOT(ISNUMBER(SEARCH(" ", $A221, 17)))), AND(LEFT($A221, 11)="select_one ", LEN($A221)&gt;11, NOT(ISNUMBER(SEARCH(" ", $A221, 12)))))</formula>
    </cfRule>
  </conditionalFormatting>
  <conditionalFormatting sqref="A221:A228">
    <cfRule type="expression" dxfId="25" priority="6810" stopIfTrue="1">
      <formula>$A221="decimal"</formula>
    </cfRule>
  </conditionalFormatting>
  <conditionalFormatting sqref="A221:A228">
    <cfRule type="expression" dxfId="26" priority="6811" stopIfTrue="1">
      <formula>$A221="integer"</formula>
    </cfRule>
  </conditionalFormatting>
  <conditionalFormatting sqref="A221:A228">
    <cfRule type="expression" dxfId="27" priority="6812" stopIfTrue="1">
      <formula>$A221="text"</formula>
    </cfRule>
  </conditionalFormatting>
  <conditionalFormatting sqref="A221:A228">
    <cfRule type="expression" dxfId="28" priority="6813" stopIfTrue="1">
      <formula>$A221="end repeat"</formula>
    </cfRule>
  </conditionalFormatting>
  <conditionalFormatting sqref="A221:A228">
    <cfRule type="expression" dxfId="28" priority="6814" stopIfTrue="1">
      <formula>$A221="begin repeat"</formula>
    </cfRule>
  </conditionalFormatting>
  <conditionalFormatting sqref="A221:A228">
    <cfRule type="expression" dxfId="29" priority="6815" stopIfTrue="1">
      <formula>$A221="end group"</formula>
    </cfRule>
  </conditionalFormatting>
  <conditionalFormatting sqref="A221:A228">
    <cfRule type="expression" dxfId="29" priority="6816" stopIfTrue="1">
      <formula>$A221="begin group"</formula>
    </cfRule>
  </conditionalFormatting>
  <conditionalFormatting sqref="A208:A217">
    <cfRule type="expression" dxfId="33" priority="6817" stopIfTrue="1">
      <formula>$A208="file"</formula>
    </cfRule>
  </conditionalFormatting>
  <conditionalFormatting sqref="A208:A217">
    <cfRule type="expression" dxfId="34" priority="6818" stopIfTrue="1">
      <formula>$A208="enumerator"</formula>
    </cfRule>
  </conditionalFormatting>
  <conditionalFormatting sqref="A208:A217">
    <cfRule type="expression" dxfId="35" priority="6819" stopIfTrue="1">
      <formula>OR(AND(LEFT($A208, 14)="sensor_stream ", LEN($A208)&gt;14, NOT(ISNUMBER(SEARCH(" ", $A208, 15)))), AND(LEFT($A208, 17)="sensor_statistic ", LEN($A208)&gt;17, NOT(ISNUMBER(SEARCH(" ", $A208, 18)))))</formula>
    </cfRule>
  </conditionalFormatting>
  <conditionalFormatting sqref="A208:A217">
    <cfRule type="expression" dxfId="14" priority="6820" stopIfTrue="1">
      <formula>$A208="comments"</formula>
    </cfRule>
  </conditionalFormatting>
  <conditionalFormatting sqref="A208:A217">
    <cfRule type="expression" dxfId="15" priority="6821" stopIfTrue="1">
      <formula>OR($A208="audio", $A208="video")</formula>
    </cfRule>
  </conditionalFormatting>
  <conditionalFormatting sqref="A208:A217">
    <cfRule type="expression" dxfId="16" priority="6822" stopIfTrue="1">
      <formula>$A208="image"</formula>
    </cfRule>
  </conditionalFormatting>
  <conditionalFormatting sqref="A208:A217">
    <cfRule type="expression" dxfId="17" priority="6823" stopIfTrue="1">
      <formula>OR($A208="date", $A208="datetime", $A208="time")</formula>
    </cfRule>
  </conditionalFormatting>
  <conditionalFormatting sqref="A208:A217">
    <cfRule type="expression" dxfId="18" priority="6824" stopIfTrue="1">
      <formula>OR($A208="calculate", $A208="calculate_here")</formula>
    </cfRule>
  </conditionalFormatting>
  <conditionalFormatting sqref="A208:A217">
    <cfRule type="expression" dxfId="19" priority="6825" stopIfTrue="1">
      <formula>$A208="note"</formula>
    </cfRule>
  </conditionalFormatting>
  <conditionalFormatting sqref="A208:A217">
    <cfRule type="expression" dxfId="20" priority="6826" stopIfTrue="1">
      <formula>$A208="barcode"</formula>
    </cfRule>
  </conditionalFormatting>
  <conditionalFormatting sqref="A208:A217">
    <cfRule type="expression" dxfId="21" priority="6827" stopIfTrue="1">
      <formula>OR($A208="geopoint", $A208="geoshape", $A208="geotrace")</formula>
    </cfRule>
  </conditionalFormatting>
  <conditionalFormatting sqref="A208:A217">
    <cfRule type="expression" dxfId="22" priority="6828" stopIfTrue="1">
      <formula>OR($A208="audio audit", $A208="text audit", $A208="speed violations count", $A208="speed violations list", $A208="speed violations audit")</formula>
    </cfRule>
  </conditionalFormatting>
  <conditionalFormatting sqref="A208:A217">
    <cfRule type="expression" dxfId="23" priority="6829" stopIfTrue="1">
      <formula>OR($A208="username", $A208="phonenumber", $A208="start", $A208="end", $A208="deviceid", $A208="subscriberid", $A208="simserial", $A208="caseid")</formula>
    </cfRule>
  </conditionalFormatting>
  <conditionalFormatting sqref="A208:A217">
    <cfRule type="expression" dxfId="24" priority="6830" stopIfTrue="1">
      <formula>OR(AND(LEFT($A208, 16)="select_multiple ", LEN($A208)&gt;16, NOT(ISNUMBER(SEARCH(" ", $A208, 17)))), AND(LEFT($A208, 11)="select_one ", LEN($A208)&gt;11, NOT(ISNUMBER(SEARCH(" ", $A208, 12)))))</formula>
    </cfRule>
  </conditionalFormatting>
  <conditionalFormatting sqref="A208:A217">
    <cfRule type="expression" dxfId="25" priority="6831" stopIfTrue="1">
      <formula>$A208="decimal"</formula>
    </cfRule>
  </conditionalFormatting>
  <conditionalFormatting sqref="A208:A217">
    <cfRule type="expression" dxfId="26" priority="6832" stopIfTrue="1">
      <formula>$A208="integer"</formula>
    </cfRule>
  </conditionalFormatting>
  <conditionalFormatting sqref="A208:A217">
    <cfRule type="expression" dxfId="27" priority="6833" stopIfTrue="1">
      <formula>$A208="text"</formula>
    </cfRule>
  </conditionalFormatting>
  <conditionalFormatting sqref="A208:A217">
    <cfRule type="expression" dxfId="28" priority="6834" stopIfTrue="1">
      <formula>$A208="end repeat"</formula>
    </cfRule>
  </conditionalFormatting>
  <conditionalFormatting sqref="A208:A217">
    <cfRule type="expression" dxfId="28" priority="6835" stopIfTrue="1">
      <formula>$A208="begin repeat"</formula>
    </cfRule>
  </conditionalFormatting>
  <conditionalFormatting sqref="A208:A217">
    <cfRule type="expression" dxfId="29" priority="6836" stopIfTrue="1">
      <formula>$A208="end group"</formula>
    </cfRule>
  </conditionalFormatting>
  <conditionalFormatting sqref="A208:A217">
    <cfRule type="expression" dxfId="29" priority="6837" stopIfTrue="1">
      <formula>$A208="begin group"</formula>
    </cfRule>
  </conditionalFormatting>
  <conditionalFormatting sqref="A201:A202">
    <cfRule type="expression" dxfId="33" priority="6838" stopIfTrue="1">
      <formula>$A201="file"</formula>
    </cfRule>
  </conditionalFormatting>
  <conditionalFormatting sqref="A201:A202">
    <cfRule type="expression" dxfId="34" priority="6839" stopIfTrue="1">
      <formula>$A201="enumerator"</formula>
    </cfRule>
  </conditionalFormatting>
  <conditionalFormatting sqref="A201:A202">
    <cfRule type="expression" dxfId="35" priority="6840" stopIfTrue="1">
      <formula>OR(AND(LEFT($A201, 14)="sensor_stream ", LEN($A201)&gt;14, NOT(ISNUMBER(SEARCH(" ", $A201, 15)))), AND(LEFT($A201, 17)="sensor_statistic ", LEN($A201)&gt;17, NOT(ISNUMBER(SEARCH(" ", $A201, 18)))))</formula>
    </cfRule>
  </conditionalFormatting>
  <conditionalFormatting sqref="A201:A202">
    <cfRule type="expression" dxfId="14" priority="6841" stopIfTrue="1">
      <formula>$A201="comments"</formula>
    </cfRule>
  </conditionalFormatting>
  <conditionalFormatting sqref="A201:A202">
    <cfRule type="expression" dxfId="15" priority="6842" stopIfTrue="1">
      <formula>OR($A201="audio", $A201="video")</formula>
    </cfRule>
  </conditionalFormatting>
  <conditionalFormatting sqref="A201:A202">
    <cfRule type="expression" dxfId="16" priority="6843" stopIfTrue="1">
      <formula>$A201="image"</formula>
    </cfRule>
  </conditionalFormatting>
  <conditionalFormatting sqref="A201:A202">
    <cfRule type="expression" dxfId="17" priority="6844" stopIfTrue="1">
      <formula>OR($A201="date", $A201="datetime", $A201="time")</formula>
    </cfRule>
  </conditionalFormatting>
  <conditionalFormatting sqref="A201:A202">
    <cfRule type="expression" dxfId="18" priority="6845" stopIfTrue="1">
      <formula>OR($A201="calculate", $A201="calculate_here")</formula>
    </cfRule>
  </conditionalFormatting>
  <conditionalFormatting sqref="A201:A202">
    <cfRule type="expression" dxfId="19" priority="6846" stopIfTrue="1">
      <formula>$A201="note"</formula>
    </cfRule>
  </conditionalFormatting>
  <conditionalFormatting sqref="A201:A202">
    <cfRule type="expression" dxfId="20" priority="6847" stopIfTrue="1">
      <formula>$A201="barcode"</formula>
    </cfRule>
  </conditionalFormatting>
  <conditionalFormatting sqref="A201:A202">
    <cfRule type="expression" dxfId="21" priority="6848" stopIfTrue="1">
      <formula>OR($A201="geopoint", $A201="geoshape", $A201="geotrace")</formula>
    </cfRule>
  </conditionalFormatting>
  <conditionalFormatting sqref="A201:A202">
    <cfRule type="expression" dxfId="22" priority="6849" stopIfTrue="1">
      <formula>OR($A201="audio audit", $A201="text audit", $A201="speed violations count", $A201="speed violations list", $A201="speed violations audit")</formula>
    </cfRule>
  </conditionalFormatting>
  <conditionalFormatting sqref="A201:A202">
    <cfRule type="expression" dxfId="23" priority="6850" stopIfTrue="1">
      <formula>OR($A201="username", $A201="phonenumber", $A201="start", $A201="end", $A201="deviceid", $A201="subscriberid", $A201="simserial", $A201="caseid")</formula>
    </cfRule>
  </conditionalFormatting>
  <conditionalFormatting sqref="A201:A202">
    <cfRule type="expression" dxfId="24" priority="6851" stopIfTrue="1">
      <formula>OR(AND(LEFT($A201, 16)="select_multiple ", LEN($A201)&gt;16, NOT(ISNUMBER(SEARCH(" ", $A201, 17)))), AND(LEFT($A201, 11)="select_one ", LEN($A201)&gt;11, NOT(ISNUMBER(SEARCH(" ", $A201, 12)))))</formula>
    </cfRule>
  </conditionalFormatting>
  <conditionalFormatting sqref="A201:A202">
    <cfRule type="expression" dxfId="25" priority="6852" stopIfTrue="1">
      <formula>$A201="decimal"</formula>
    </cfRule>
  </conditionalFormatting>
  <conditionalFormatting sqref="A201:A202">
    <cfRule type="expression" dxfId="26" priority="6853" stopIfTrue="1">
      <formula>$A201="integer"</formula>
    </cfRule>
  </conditionalFormatting>
  <conditionalFormatting sqref="A201:A202">
    <cfRule type="expression" dxfId="27" priority="6854" stopIfTrue="1">
      <formula>$A201="text"</formula>
    </cfRule>
  </conditionalFormatting>
  <conditionalFormatting sqref="A201:A202">
    <cfRule type="expression" dxfId="28" priority="6855" stopIfTrue="1">
      <formula>$A201="end repeat"</formula>
    </cfRule>
  </conditionalFormatting>
  <conditionalFormatting sqref="A201:A202">
    <cfRule type="expression" dxfId="28" priority="6856" stopIfTrue="1">
      <formula>$A201="begin repeat"</formula>
    </cfRule>
  </conditionalFormatting>
  <conditionalFormatting sqref="A201:A202">
    <cfRule type="expression" dxfId="29" priority="6857" stopIfTrue="1">
      <formula>$A201="end group"</formula>
    </cfRule>
  </conditionalFormatting>
  <conditionalFormatting sqref="A201:A202">
    <cfRule type="expression" dxfId="29" priority="6858" stopIfTrue="1">
      <formula>$A201="begin group"</formula>
    </cfRule>
  </conditionalFormatting>
  <conditionalFormatting sqref="A197:A198">
    <cfRule type="expression" dxfId="33" priority="6859" stopIfTrue="1">
      <formula>$A197="file"</formula>
    </cfRule>
  </conditionalFormatting>
  <conditionalFormatting sqref="A197:A198">
    <cfRule type="expression" dxfId="34" priority="6860" stopIfTrue="1">
      <formula>$A197="enumerator"</formula>
    </cfRule>
  </conditionalFormatting>
  <conditionalFormatting sqref="A197:A198">
    <cfRule type="expression" dxfId="35" priority="6861" stopIfTrue="1">
      <formula>OR(AND(LEFT($A197, 14)="sensor_stream ", LEN($A197)&gt;14, NOT(ISNUMBER(SEARCH(" ", $A197, 15)))), AND(LEFT($A197, 17)="sensor_statistic ", LEN($A197)&gt;17, NOT(ISNUMBER(SEARCH(" ", $A197, 18)))))</formula>
    </cfRule>
  </conditionalFormatting>
  <conditionalFormatting sqref="A197:A198">
    <cfRule type="expression" dxfId="14" priority="6862" stopIfTrue="1">
      <formula>$A197="comments"</formula>
    </cfRule>
  </conditionalFormatting>
  <conditionalFormatting sqref="A197:A198">
    <cfRule type="expression" dxfId="15" priority="6863" stopIfTrue="1">
      <formula>OR($A197="audio", $A197="video")</formula>
    </cfRule>
  </conditionalFormatting>
  <conditionalFormatting sqref="A197:A198">
    <cfRule type="expression" dxfId="16" priority="6864" stopIfTrue="1">
      <formula>$A197="image"</formula>
    </cfRule>
  </conditionalFormatting>
  <conditionalFormatting sqref="A197:A198">
    <cfRule type="expression" dxfId="17" priority="6865" stopIfTrue="1">
      <formula>OR($A197="date", $A197="datetime", $A197="time")</formula>
    </cfRule>
  </conditionalFormatting>
  <conditionalFormatting sqref="A197:A198">
    <cfRule type="expression" dxfId="18" priority="6866" stopIfTrue="1">
      <formula>OR($A197="calculate", $A197="calculate_here")</formula>
    </cfRule>
  </conditionalFormatting>
  <conditionalFormatting sqref="A197:A198">
    <cfRule type="expression" dxfId="19" priority="6867" stopIfTrue="1">
      <formula>$A197="note"</formula>
    </cfRule>
  </conditionalFormatting>
  <conditionalFormatting sqref="A197:A198">
    <cfRule type="expression" dxfId="20" priority="6868" stopIfTrue="1">
      <formula>$A197="barcode"</formula>
    </cfRule>
  </conditionalFormatting>
  <conditionalFormatting sqref="A197:A198">
    <cfRule type="expression" dxfId="21" priority="6869" stopIfTrue="1">
      <formula>OR($A197="geopoint", $A197="geoshape", $A197="geotrace")</formula>
    </cfRule>
  </conditionalFormatting>
  <conditionalFormatting sqref="A197:A198">
    <cfRule type="expression" dxfId="22" priority="6870" stopIfTrue="1">
      <formula>OR($A197="audio audit", $A197="text audit", $A197="speed violations count", $A197="speed violations list", $A197="speed violations audit")</formula>
    </cfRule>
  </conditionalFormatting>
  <conditionalFormatting sqref="A197:A198">
    <cfRule type="expression" dxfId="23" priority="6871" stopIfTrue="1">
      <formula>OR($A197="username", $A197="phonenumber", $A197="start", $A197="end", $A197="deviceid", $A197="subscriberid", $A197="simserial", $A197="caseid")</formula>
    </cfRule>
  </conditionalFormatting>
  <conditionalFormatting sqref="A197:A198">
    <cfRule type="expression" dxfId="24" priority="6872" stopIfTrue="1">
      <formula>OR(AND(LEFT($A197, 16)="select_multiple ", LEN($A197)&gt;16, NOT(ISNUMBER(SEARCH(" ", $A197, 17)))), AND(LEFT($A197, 11)="select_one ", LEN($A197)&gt;11, NOT(ISNUMBER(SEARCH(" ", $A197, 12)))))</formula>
    </cfRule>
  </conditionalFormatting>
  <conditionalFormatting sqref="A197:A198">
    <cfRule type="expression" dxfId="25" priority="6873" stopIfTrue="1">
      <formula>$A197="decimal"</formula>
    </cfRule>
  </conditionalFormatting>
  <conditionalFormatting sqref="A197:A198">
    <cfRule type="expression" dxfId="26" priority="6874" stopIfTrue="1">
      <formula>$A197="integer"</formula>
    </cfRule>
  </conditionalFormatting>
  <conditionalFormatting sqref="A197:A198">
    <cfRule type="expression" dxfId="27" priority="6875" stopIfTrue="1">
      <formula>$A197="text"</formula>
    </cfRule>
  </conditionalFormatting>
  <conditionalFormatting sqref="A197:A198">
    <cfRule type="expression" dxfId="28" priority="6876" stopIfTrue="1">
      <formula>$A197="end repeat"</formula>
    </cfRule>
  </conditionalFormatting>
  <conditionalFormatting sqref="A197:A198">
    <cfRule type="expression" dxfId="28" priority="6877" stopIfTrue="1">
      <formula>$A197="begin repeat"</formula>
    </cfRule>
  </conditionalFormatting>
  <conditionalFormatting sqref="A197:A198">
    <cfRule type="expression" dxfId="29" priority="6878" stopIfTrue="1">
      <formula>$A197="end group"</formula>
    </cfRule>
  </conditionalFormatting>
  <conditionalFormatting sqref="A197:A198">
    <cfRule type="expression" dxfId="29" priority="6879" stopIfTrue="1">
      <formula>$A197="begin group"</formula>
    </cfRule>
  </conditionalFormatting>
  <conditionalFormatting sqref="A191:A195">
    <cfRule type="expression" dxfId="33" priority="6880" stopIfTrue="1">
      <formula>$A191="file"</formula>
    </cfRule>
  </conditionalFormatting>
  <conditionalFormatting sqref="A191:A195">
    <cfRule type="expression" dxfId="34" priority="6881" stopIfTrue="1">
      <formula>$A191="enumerator"</formula>
    </cfRule>
  </conditionalFormatting>
  <conditionalFormatting sqref="A191:A195">
    <cfRule type="expression" dxfId="35" priority="6882" stopIfTrue="1">
      <formula>OR(AND(LEFT($A191, 14)="sensor_stream ", LEN($A191)&gt;14, NOT(ISNUMBER(SEARCH(" ", $A191, 15)))), AND(LEFT($A191, 17)="sensor_statistic ", LEN($A191)&gt;17, NOT(ISNUMBER(SEARCH(" ", $A191, 18)))))</formula>
    </cfRule>
  </conditionalFormatting>
  <conditionalFormatting sqref="A191:A195">
    <cfRule type="expression" dxfId="14" priority="6883" stopIfTrue="1">
      <formula>$A191="comments"</formula>
    </cfRule>
  </conditionalFormatting>
  <conditionalFormatting sqref="A191:A195">
    <cfRule type="expression" dxfId="15" priority="6884" stopIfTrue="1">
      <formula>OR($A191="audio", $A191="video")</formula>
    </cfRule>
  </conditionalFormatting>
  <conditionalFormatting sqref="A191:A195">
    <cfRule type="expression" dxfId="16" priority="6885" stopIfTrue="1">
      <formula>$A191="image"</formula>
    </cfRule>
  </conditionalFormatting>
  <conditionalFormatting sqref="A191:A195">
    <cfRule type="expression" dxfId="17" priority="6886" stopIfTrue="1">
      <formula>OR($A191="date", $A191="datetime", $A191="time")</formula>
    </cfRule>
  </conditionalFormatting>
  <conditionalFormatting sqref="A191:A195">
    <cfRule type="expression" dxfId="18" priority="6887" stopIfTrue="1">
      <formula>OR($A191="calculate", $A191="calculate_here")</formula>
    </cfRule>
  </conditionalFormatting>
  <conditionalFormatting sqref="A191:A195">
    <cfRule type="expression" dxfId="19" priority="6888" stopIfTrue="1">
      <formula>$A191="note"</formula>
    </cfRule>
  </conditionalFormatting>
  <conditionalFormatting sqref="A191:A195">
    <cfRule type="expression" dxfId="20" priority="6889" stopIfTrue="1">
      <formula>$A191="barcode"</formula>
    </cfRule>
  </conditionalFormatting>
  <conditionalFormatting sqref="A191:A195">
    <cfRule type="expression" dxfId="21" priority="6890" stopIfTrue="1">
      <formula>OR($A191="geopoint", $A191="geoshape", $A191="geotrace")</formula>
    </cfRule>
  </conditionalFormatting>
  <conditionalFormatting sqref="A191:A195">
    <cfRule type="expression" dxfId="22" priority="6891" stopIfTrue="1">
      <formula>OR($A191="audio audit", $A191="text audit", $A191="speed violations count", $A191="speed violations list", $A191="speed violations audit")</formula>
    </cfRule>
  </conditionalFormatting>
  <conditionalFormatting sqref="A191:A195">
    <cfRule type="expression" dxfId="23" priority="6892" stopIfTrue="1">
      <formula>OR($A191="username", $A191="phonenumber", $A191="start", $A191="end", $A191="deviceid", $A191="subscriberid", $A191="simserial", $A191="caseid")</formula>
    </cfRule>
  </conditionalFormatting>
  <conditionalFormatting sqref="A191:A195">
    <cfRule type="expression" dxfId="24" priority="6893" stopIfTrue="1">
      <formula>OR(AND(LEFT($A191, 16)="select_multiple ", LEN($A191)&gt;16, NOT(ISNUMBER(SEARCH(" ", $A191, 17)))), AND(LEFT($A191, 11)="select_one ", LEN($A191)&gt;11, NOT(ISNUMBER(SEARCH(" ", $A191, 12)))))</formula>
    </cfRule>
  </conditionalFormatting>
  <conditionalFormatting sqref="A191:A195">
    <cfRule type="expression" dxfId="25" priority="6894" stopIfTrue="1">
      <formula>$A191="decimal"</formula>
    </cfRule>
  </conditionalFormatting>
  <conditionalFormatting sqref="A191:A195">
    <cfRule type="expression" dxfId="26" priority="6895" stopIfTrue="1">
      <formula>$A191="integer"</formula>
    </cfRule>
  </conditionalFormatting>
  <conditionalFormatting sqref="A191:A195">
    <cfRule type="expression" dxfId="27" priority="6896" stopIfTrue="1">
      <formula>$A191="text"</formula>
    </cfRule>
  </conditionalFormatting>
  <conditionalFormatting sqref="A191:A195">
    <cfRule type="expression" dxfId="28" priority="6897" stopIfTrue="1">
      <formula>$A191="end repeat"</formula>
    </cfRule>
  </conditionalFormatting>
  <conditionalFormatting sqref="A191:A195">
    <cfRule type="expression" dxfId="28" priority="6898" stopIfTrue="1">
      <formula>$A191="begin repeat"</formula>
    </cfRule>
  </conditionalFormatting>
  <conditionalFormatting sqref="A191:A195">
    <cfRule type="expression" dxfId="29" priority="6899" stopIfTrue="1">
      <formula>$A191="end group"</formula>
    </cfRule>
  </conditionalFormatting>
  <conditionalFormatting sqref="A191:A195">
    <cfRule type="expression" dxfId="29" priority="6900" stopIfTrue="1">
      <formula>$A191="begin group"</formula>
    </cfRule>
  </conditionalFormatting>
  <conditionalFormatting sqref="A186:A189">
    <cfRule type="expression" dxfId="33" priority="6901" stopIfTrue="1">
      <formula>$A186="file"</formula>
    </cfRule>
  </conditionalFormatting>
  <conditionalFormatting sqref="A186:A189">
    <cfRule type="expression" dxfId="34" priority="6902" stopIfTrue="1">
      <formula>$A186="enumerator"</formula>
    </cfRule>
  </conditionalFormatting>
  <conditionalFormatting sqref="A186:A189">
    <cfRule type="expression" dxfId="35" priority="6903" stopIfTrue="1">
      <formula>OR(AND(LEFT($A186, 14)="sensor_stream ", LEN($A186)&gt;14, NOT(ISNUMBER(SEARCH(" ", $A186, 15)))), AND(LEFT($A186, 17)="sensor_statistic ", LEN($A186)&gt;17, NOT(ISNUMBER(SEARCH(" ", $A186, 18)))))</formula>
    </cfRule>
  </conditionalFormatting>
  <conditionalFormatting sqref="A186:A189">
    <cfRule type="expression" dxfId="14" priority="6904" stopIfTrue="1">
      <formula>$A186="comments"</formula>
    </cfRule>
  </conditionalFormatting>
  <conditionalFormatting sqref="A186:A189">
    <cfRule type="expression" dxfId="15" priority="6905" stopIfTrue="1">
      <formula>OR($A186="audio", $A186="video")</formula>
    </cfRule>
  </conditionalFormatting>
  <conditionalFormatting sqref="A186:A189">
    <cfRule type="expression" dxfId="16" priority="6906" stopIfTrue="1">
      <formula>$A186="image"</formula>
    </cfRule>
  </conditionalFormatting>
  <conditionalFormatting sqref="A186:A189">
    <cfRule type="expression" dxfId="17" priority="6907" stopIfTrue="1">
      <formula>OR($A186="date", $A186="datetime", $A186="time")</formula>
    </cfRule>
  </conditionalFormatting>
  <conditionalFormatting sqref="A186:A189">
    <cfRule type="expression" dxfId="18" priority="6908" stopIfTrue="1">
      <formula>OR($A186="calculate", $A186="calculate_here")</formula>
    </cfRule>
  </conditionalFormatting>
  <conditionalFormatting sqref="A186:A189">
    <cfRule type="expression" dxfId="19" priority="6909" stopIfTrue="1">
      <formula>$A186="note"</formula>
    </cfRule>
  </conditionalFormatting>
  <conditionalFormatting sqref="A186:A189">
    <cfRule type="expression" dxfId="20" priority="6910" stopIfTrue="1">
      <formula>$A186="barcode"</formula>
    </cfRule>
  </conditionalFormatting>
  <conditionalFormatting sqref="A186:A189">
    <cfRule type="expression" dxfId="21" priority="6911" stopIfTrue="1">
      <formula>OR($A186="geopoint", $A186="geoshape", $A186="geotrace")</formula>
    </cfRule>
  </conditionalFormatting>
  <conditionalFormatting sqref="A186:A189">
    <cfRule type="expression" dxfId="22" priority="6912" stopIfTrue="1">
      <formula>OR($A186="audio audit", $A186="text audit", $A186="speed violations count", $A186="speed violations list", $A186="speed violations audit")</formula>
    </cfRule>
  </conditionalFormatting>
  <conditionalFormatting sqref="A186:A189">
    <cfRule type="expression" dxfId="23" priority="6913" stopIfTrue="1">
      <formula>OR($A186="username", $A186="phonenumber", $A186="start", $A186="end", $A186="deviceid", $A186="subscriberid", $A186="simserial", $A186="caseid")</formula>
    </cfRule>
  </conditionalFormatting>
  <conditionalFormatting sqref="A186:A189">
    <cfRule type="expression" dxfId="24" priority="6914" stopIfTrue="1">
      <formula>OR(AND(LEFT($A186, 16)="select_multiple ", LEN($A186)&gt;16, NOT(ISNUMBER(SEARCH(" ", $A186, 17)))), AND(LEFT($A186, 11)="select_one ", LEN($A186)&gt;11, NOT(ISNUMBER(SEARCH(" ", $A186, 12)))))</formula>
    </cfRule>
  </conditionalFormatting>
  <conditionalFormatting sqref="A186:A189">
    <cfRule type="expression" dxfId="25" priority="6915" stopIfTrue="1">
      <formula>$A186="decimal"</formula>
    </cfRule>
  </conditionalFormatting>
  <conditionalFormatting sqref="A186:A189">
    <cfRule type="expression" dxfId="26" priority="6916" stopIfTrue="1">
      <formula>$A186="integer"</formula>
    </cfRule>
  </conditionalFormatting>
  <conditionalFormatting sqref="A186:A189">
    <cfRule type="expression" dxfId="27" priority="6917" stopIfTrue="1">
      <formula>$A186="text"</formula>
    </cfRule>
  </conditionalFormatting>
  <conditionalFormatting sqref="A186:A189">
    <cfRule type="expression" dxfId="28" priority="6918" stopIfTrue="1">
      <formula>$A186="end repeat"</formula>
    </cfRule>
  </conditionalFormatting>
  <conditionalFormatting sqref="A186:A189">
    <cfRule type="expression" dxfId="28" priority="6919" stopIfTrue="1">
      <formula>$A186="begin repeat"</formula>
    </cfRule>
  </conditionalFormatting>
  <conditionalFormatting sqref="A186:A189">
    <cfRule type="expression" dxfId="29" priority="6920" stopIfTrue="1">
      <formula>$A186="end group"</formula>
    </cfRule>
  </conditionalFormatting>
  <conditionalFormatting sqref="A186:A189">
    <cfRule type="expression" dxfId="29" priority="6921" stopIfTrue="1">
      <formula>$A186="begin group"</formula>
    </cfRule>
  </conditionalFormatting>
  <conditionalFormatting sqref="A178:A183">
    <cfRule type="expression" dxfId="33" priority="6922" stopIfTrue="1">
      <formula>$A178="file"</formula>
    </cfRule>
  </conditionalFormatting>
  <conditionalFormatting sqref="A178:A183">
    <cfRule type="expression" dxfId="34" priority="6923" stopIfTrue="1">
      <formula>$A178="enumerator"</formula>
    </cfRule>
  </conditionalFormatting>
  <conditionalFormatting sqref="A178:A183">
    <cfRule type="expression" dxfId="35" priority="6924" stopIfTrue="1">
      <formula>OR(AND(LEFT($A178, 14)="sensor_stream ", LEN($A178)&gt;14, NOT(ISNUMBER(SEARCH(" ", $A178, 15)))), AND(LEFT($A178, 17)="sensor_statistic ", LEN($A178)&gt;17, NOT(ISNUMBER(SEARCH(" ", $A178, 18)))))</formula>
    </cfRule>
  </conditionalFormatting>
  <conditionalFormatting sqref="A178:A183">
    <cfRule type="expression" dxfId="14" priority="6925" stopIfTrue="1">
      <formula>$A178="comments"</formula>
    </cfRule>
  </conditionalFormatting>
  <conditionalFormatting sqref="A178:A183">
    <cfRule type="expression" dxfId="15" priority="6926" stopIfTrue="1">
      <formula>OR($A178="audio", $A178="video")</formula>
    </cfRule>
  </conditionalFormatting>
  <conditionalFormatting sqref="A178:A183">
    <cfRule type="expression" dxfId="16" priority="6927" stopIfTrue="1">
      <formula>$A178="image"</formula>
    </cfRule>
  </conditionalFormatting>
  <conditionalFormatting sqref="A178:A183">
    <cfRule type="expression" dxfId="17" priority="6928" stopIfTrue="1">
      <formula>OR($A178="date", $A178="datetime", $A178="time")</formula>
    </cfRule>
  </conditionalFormatting>
  <conditionalFormatting sqref="A178:A183">
    <cfRule type="expression" dxfId="18" priority="6929" stopIfTrue="1">
      <formula>OR($A178="calculate", $A178="calculate_here")</formula>
    </cfRule>
  </conditionalFormatting>
  <conditionalFormatting sqref="A178:A183">
    <cfRule type="expression" dxfId="19" priority="6930" stopIfTrue="1">
      <formula>$A178="note"</formula>
    </cfRule>
  </conditionalFormatting>
  <conditionalFormatting sqref="A178:A183">
    <cfRule type="expression" dxfId="20" priority="6931" stopIfTrue="1">
      <formula>$A178="barcode"</formula>
    </cfRule>
  </conditionalFormatting>
  <conditionalFormatting sqref="A178:A183">
    <cfRule type="expression" dxfId="21" priority="6932" stopIfTrue="1">
      <formula>OR($A178="geopoint", $A178="geoshape", $A178="geotrace")</formula>
    </cfRule>
  </conditionalFormatting>
  <conditionalFormatting sqref="A178:A183">
    <cfRule type="expression" dxfId="22" priority="6933" stopIfTrue="1">
      <formula>OR($A178="audio audit", $A178="text audit", $A178="speed violations count", $A178="speed violations list", $A178="speed violations audit")</formula>
    </cfRule>
  </conditionalFormatting>
  <conditionalFormatting sqref="A178:A183">
    <cfRule type="expression" dxfId="23" priority="6934" stopIfTrue="1">
      <formula>OR($A178="username", $A178="phonenumber", $A178="start", $A178="end", $A178="deviceid", $A178="subscriberid", $A178="simserial", $A178="caseid")</formula>
    </cfRule>
  </conditionalFormatting>
  <conditionalFormatting sqref="A178:A183">
    <cfRule type="expression" dxfId="24" priority="6935" stopIfTrue="1">
      <formula>OR(AND(LEFT($A178, 16)="select_multiple ", LEN($A178)&gt;16, NOT(ISNUMBER(SEARCH(" ", $A178, 17)))), AND(LEFT($A178, 11)="select_one ", LEN($A178)&gt;11, NOT(ISNUMBER(SEARCH(" ", $A178, 12)))))</formula>
    </cfRule>
  </conditionalFormatting>
  <conditionalFormatting sqref="A178:A183">
    <cfRule type="expression" dxfId="25" priority="6936" stopIfTrue="1">
      <formula>$A178="decimal"</formula>
    </cfRule>
  </conditionalFormatting>
  <conditionalFormatting sqref="A178:A183">
    <cfRule type="expression" dxfId="26" priority="6937" stopIfTrue="1">
      <formula>$A178="integer"</formula>
    </cfRule>
  </conditionalFormatting>
  <conditionalFormatting sqref="A178:A183">
    <cfRule type="expression" dxfId="27" priority="6938" stopIfTrue="1">
      <formula>$A178="text"</formula>
    </cfRule>
  </conditionalFormatting>
  <conditionalFormatting sqref="A178:A183">
    <cfRule type="expression" dxfId="28" priority="6939" stopIfTrue="1">
      <formula>$A178="end repeat"</formula>
    </cfRule>
  </conditionalFormatting>
  <conditionalFormatting sqref="A178:A183">
    <cfRule type="expression" dxfId="28" priority="6940" stopIfTrue="1">
      <formula>$A178="begin repeat"</formula>
    </cfRule>
  </conditionalFormatting>
  <conditionalFormatting sqref="A178:A183">
    <cfRule type="expression" dxfId="29" priority="6941" stopIfTrue="1">
      <formula>$A178="end group"</formula>
    </cfRule>
  </conditionalFormatting>
  <conditionalFormatting sqref="A178:A183">
    <cfRule type="expression" dxfId="29" priority="6942" stopIfTrue="1">
      <formula>$A178="begin group"</formula>
    </cfRule>
  </conditionalFormatting>
  <conditionalFormatting sqref="A149:A173">
    <cfRule type="expression" dxfId="33" priority="6943" stopIfTrue="1">
      <formula>$A149="file"</formula>
    </cfRule>
  </conditionalFormatting>
  <conditionalFormatting sqref="A149:A173">
    <cfRule type="expression" dxfId="34" priority="6944" stopIfTrue="1">
      <formula>$A149="enumerator"</formula>
    </cfRule>
  </conditionalFormatting>
  <conditionalFormatting sqref="A149:A173">
    <cfRule type="expression" dxfId="35" priority="6945" stopIfTrue="1">
      <formula>OR(AND(LEFT($A149, 14)="sensor_stream ", LEN($A149)&gt;14, NOT(ISNUMBER(SEARCH(" ", $A149, 15)))), AND(LEFT($A149, 17)="sensor_statistic ", LEN($A149)&gt;17, NOT(ISNUMBER(SEARCH(" ", $A149, 18)))))</formula>
    </cfRule>
  </conditionalFormatting>
  <conditionalFormatting sqref="A149:A173">
    <cfRule type="expression" dxfId="14" priority="6946" stopIfTrue="1">
      <formula>$A149="comments"</formula>
    </cfRule>
  </conditionalFormatting>
  <conditionalFormatting sqref="A149:A173">
    <cfRule type="expression" dxfId="15" priority="6947" stopIfTrue="1">
      <formula>OR($A149="audio", $A149="video")</formula>
    </cfRule>
  </conditionalFormatting>
  <conditionalFormatting sqref="A149:A173">
    <cfRule type="expression" dxfId="16" priority="6948" stopIfTrue="1">
      <formula>$A149="image"</formula>
    </cfRule>
  </conditionalFormatting>
  <conditionalFormatting sqref="A149:A173">
    <cfRule type="expression" dxfId="17" priority="6949" stopIfTrue="1">
      <formula>OR($A149="date", $A149="datetime", $A149="time")</formula>
    </cfRule>
  </conditionalFormatting>
  <conditionalFormatting sqref="A149:A173">
    <cfRule type="expression" dxfId="18" priority="6950" stopIfTrue="1">
      <formula>OR($A149="calculate", $A149="calculate_here")</formula>
    </cfRule>
  </conditionalFormatting>
  <conditionalFormatting sqref="A149:A173">
    <cfRule type="expression" dxfId="19" priority="6951" stopIfTrue="1">
      <formula>$A149="note"</formula>
    </cfRule>
  </conditionalFormatting>
  <conditionalFormatting sqref="A149:A173">
    <cfRule type="expression" dxfId="20" priority="6952" stopIfTrue="1">
      <formula>$A149="barcode"</formula>
    </cfRule>
  </conditionalFormatting>
  <conditionalFormatting sqref="A149:A173">
    <cfRule type="expression" dxfId="21" priority="6953" stopIfTrue="1">
      <formula>OR($A149="geopoint", $A149="geoshape", $A149="geotrace")</formula>
    </cfRule>
  </conditionalFormatting>
  <conditionalFormatting sqref="A149:A173">
    <cfRule type="expression" dxfId="22" priority="6954" stopIfTrue="1">
      <formula>OR($A149="audio audit", $A149="text audit", $A149="speed violations count", $A149="speed violations list", $A149="speed violations audit")</formula>
    </cfRule>
  </conditionalFormatting>
  <conditionalFormatting sqref="A149:A173">
    <cfRule type="expression" dxfId="23" priority="6955" stopIfTrue="1">
      <formula>OR($A149="username", $A149="phonenumber", $A149="start", $A149="end", $A149="deviceid", $A149="subscriberid", $A149="simserial", $A149="caseid")</formula>
    </cfRule>
  </conditionalFormatting>
  <conditionalFormatting sqref="A149:A173">
    <cfRule type="expression" dxfId="24" priority="6956" stopIfTrue="1">
      <formula>OR(AND(LEFT($A149, 16)="select_multiple ", LEN($A149)&gt;16, NOT(ISNUMBER(SEARCH(" ", $A149, 17)))), AND(LEFT($A149, 11)="select_one ", LEN($A149)&gt;11, NOT(ISNUMBER(SEARCH(" ", $A149, 12)))))</formula>
    </cfRule>
  </conditionalFormatting>
  <conditionalFormatting sqref="A149:A173">
    <cfRule type="expression" dxfId="25" priority="6957" stopIfTrue="1">
      <formula>$A149="decimal"</formula>
    </cfRule>
  </conditionalFormatting>
  <conditionalFormatting sqref="A149:A173">
    <cfRule type="expression" dxfId="26" priority="6958" stopIfTrue="1">
      <formula>$A149="integer"</formula>
    </cfRule>
  </conditionalFormatting>
  <conditionalFormatting sqref="A149:A173">
    <cfRule type="expression" dxfId="27" priority="6959" stopIfTrue="1">
      <formula>$A149="text"</formula>
    </cfRule>
  </conditionalFormatting>
  <conditionalFormatting sqref="A149:A173">
    <cfRule type="expression" dxfId="28" priority="6960" stopIfTrue="1">
      <formula>$A149="end repeat"</formula>
    </cfRule>
  </conditionalFormatting>
  <conditionalFormatting sqref="A149:A173">
    <cfRule type="expression" dxfId="28" priority="6961" stopIfTrue="1">
      <formula>$A149="begin repeat"</formula>
    </cfRule>
  </conditionalFormatting>
  <conditionalFormatting sqref="A149:A173">
    <cfRule type="expression" dxfId="29" priority="6962" stopIfTrue="1">
      <formula>$A149="end group"</formula>
    </cfRule>
  </conditionalFormatting>
  <conditionalFormatting sqref="A149:A173">
    <cfRule type="expression" dxfId="29" priority="6963" stopIfTrue="1">
      <formula>$A149="begin group"</formula>
    </cfRule>
  </conditionalFormatting>
  <conditionalFormatting sqref="A138:A142">
    <cfRule type="expression" dxfId="33" priority="6964" stopIfTrue="1">
      <formula>$A138="file"</formula>
    </cfRule>
  </conditionalFormatting>
  <conditionalFormatting sqref="A138:A142">
    <cfRule type="expression" dxfId="34" priority="6965" stopIfTrue="1">
      <formula>$A138="enumerator"</formula>
    </cfRule>
  </conditionalFormatting>
  <conditionalFormatting sqref="A138:A142">
    <cfRule type="expression" dxfId="35" priority="6966" stopIfTrue="1">
      <formula>OR(AND(LEFT($A138, 14)="sensor_stream ", LEN($A138)&gt;14, NOT(ISNUMBER(SEARCH(" ", $A138, 15)))), AND(LEFT($A138, 17)="sensor_statistic ", LEN($A138)&gt;17, NOT(ISNUMBER(SEARCH(" ", $A138, 18)))))</formula>
    </cfRule>
  </conditionalFormatting>
  <conditionalFormatting sqref="A138:A142">
    <cfRule type="expression" dxfId="14" priority="6967" stopIfTrue="1">
      <formula>$A138="comments"</formula>
    </cfRule>
  </conditionalFormatting>
  <conditionalFormatting sqref="A138:A142">
    <cfRule type="expression" dxfId="15" priority="6968" stopIfTrue="1">
      <formula>OR($A138="audio", $A138="video")</formula>
    </cfRule>
  </conditionalFormatting>
  <conditionalFormatting sqref="A138:A142">
    <cfRule type="expression" dxfId="16" priority="6969" stopIfTrue="1">
      <formula>$A138="image"</formula>
    </cfRule>
  </conditionalFormatting>
  <conditionalFormatting sqref="A138:A142">
    <cfRule type="expression" dxfId="17" priority="6970" stopIfTrue="1">
      <formula>OR($A138="date", $A138="datetime", $A138="time")</formula>
    </cfRule>
  </conditionalFormatting>
  <conditionalFormatting sqref="A138:A142">
    <cfRule type="expression" dxfId="18" priority="6971" stopIfTrue="1">
      <formula>OR($A138="calculate", $A138="calculate_here")</formula>
    </cfRule>
  </conditionalFormatting>
  <conditionalFormatting sqref="A138:A142">
    <cfRule type="expression" dxfId="19" priority="6972" stopIfTrue="1">
      <formula>$A138="note"</formula>
    </cfRule>
  </conditionalFormatting>
  <conditionalFormatting sqref="A138:A142">
    <cfRule type="expression" dxfId="20" priority="6973" stopIfTrue="1">
      <formula>$A138="barcode"</formula>
    </cfRule>
  </conditionalFormatting>
  <conditionalFormatting sqref="A138:A142">
    <cfRule type="expression" dxfId="21" priority="6974" stopIfTrue="1">
      <formula>OR($A138="geopoint", $A138="geoshape", $A138="geotrace")</formula>
    </cfRule>
  </conditionalFormatting>
  <conditionalFormatting sqref="A138:A142">
    <cfRule type="expression" dxfId="22" priority="6975" stopIfTrue="1">
      <formula>OR($A138="audio audit", $A138="text audit", $A138="speed violations count", $A138="speed violations list", $A138="speed violations audit")</formula>
    </cfRule>
  </conditionalFormatting>
  <conditionalFormatting sqref="A138:A142">
    <cfRule type="expression" dxfId="23" priority="6976" stopIfTrue="1">
      <formula>OR($A138="username", $A138="phonenumber", $A138="start", $A138="end", $A138="deviceid", $A138="subscriberid", $A138="simserial", $A138="caseid")</formula>
    </cfRule>
  </conditionalFormatting>
  <conditionalFormatting sqref="A138:A142">
    <cfRule type="expression" dxfId="24" priority="6977" stopIfTrue="1">
      <formula>OR(AND(LEFT($A138, 16)="select_multiple ", LEN($A138)&gt;16, NOT(ISNUMBER(SEARCH(" ", $A138, 17)))), AND(LEFT($A138, 11)="select_one ", LEN($A138)&gt;11, NOT(ISNUMBER(SEARCH(" ", $A138, 12)))))</formula>
    </cfRule>
  </conditionalFormatting>
  <conditionalFormatting sqref="A138:A142">
    <cfRule type="expression" dxfId="25" priority="6978" stopIfTrue="1">
      <formula>$A138="decimal"</formula>
    </cfRule>
  </conditionalFormatting>
  <conditionalFormatting sqref="A138:A142">
    <cfRule type="expression" dxfId="26" priority="6979" stopIfTrue="1">
      <formula>$A138="integer"</formula>
    </cfRule>
  </conditionalFormatting>
  <conditionalFormatting sqref="A138:A142">
    <cfRule type="expression" dxfId="27" priority="6980" stopIfTrue="1">
      <formula>$A138="text"</formula>
    </cfRule>
  </conditionalFormatting>
  <conditionalFormatting sqref="A138:A142">
    <cfRule type="expression" dxfId="28" priority="6981" stopIfTrue="1">
      <formula>$A138="end repeat"</formula>
    </cfRule>
  </conditionalFormatting>
  <conditionalFormatting sqref="A138:A142">
    <cfRule type="expression" dxfId="28" priority="6982" stopIfTrue="1">
      <formula>$A138="begin repeat"</formula>
    </cfRule>
  </conditionalFormatting>
  <conditionalFormatting sqref="A138:A142">
    <cfRule type="expression" dxfId="29" priority="6983" stopIfTrue="1">
      <formula>$A138="end group"</formula>
    </cfRule>
  </conditionalFormatting>
  <conditionalFormatting sqref="A138:A142">
    <cfRule type="expression" dxfId="29" priority="6984" stopIfTrue="1">
      <formula>$A138="begin group"</formula>
    </cfRule>
  </conditionalFormatting>
  <conditionalFormatting sqref="A131:A135">
    <cfRule type="expression" dxfId="33" priority="6985" stopIfTrue="1">
      <formula>$A131="file"</formula>
    </cfRule>
  </conditionalFormatting>
  <conditionalFormatting sqref="A131:A135">
    <cfRule type="expression" dxfId="34" priority="6986" stopIfTrue="1">
      <formula>$A131="enumerator"</formula>
    </cfRule>
  </conditionalFormatting>
  <conditionalFormatting sqref="A131:A135">
    <cfRule type="expression" dxfId="35" priority="6987" stopIfTrue="1">
      <formula>OR(AND(LEFT($A131, 14)="sensor_stream ", LEN($A131)&gt;14, NOT(ISNUMBER(SEARCH(" ", $A131, 15)))), AND(LEFT($A131, 17)="sensor_statistic ", LEN($A131)&gt;17, NOT(ISNUMBER(SEARCH(" ", $A131, 18)))))</formula>
    </cfRule>
  </conditionalFormatting>
  <conditionalFormatting sqref="A131:A135">
    <cfRule type="expression" dxfId="14" priority="6988" stopIfTrue="1">
      <formula>$A131="comments"</formula>
    </cfRule>
  </conditionalFormatting>
  <conditionalFormatting sqref="A131:A135">
    <cfRule type="expression" dxfId="15" priority="6989" stopIfTrue="1">
      <formula>OR($A131="audio", $A131="video")</formula>
    </cfRule>
  </conditionalFormatting>
  <conditionalFormatting sqref="A131:A135">
    <cfRule type="expression" dxfId="16" priority="6990" stopIfTrue="1">
      <formula>$A131="image"</formula>
    </cfRule>
  </conditionalFormatting>
  <conditionalFormatting sqref="A131:A135">
    <cfRule type="expression" dxfId="17" priority="6991" stopIfTrue="1">
      <formula>OR($A131="date", $A131="datetime", $A131="time")</formula>
    </cfRule>
  </conditionalFormatting>
  <conditionalFormatting sqref="A131:A135">
    <cfRule type="expression" dxfId="18" priority="6992" stopIfTrue="1">
      <formula>OR($A131="calculate", $A131="calculate_here")</formula>
    </cfRule>
  </conditionalFormatting>
  <conditionalFormatting sqref="A131:A135">
    <cfRule type="expression" dxfId="19" priority="6993" stopIfTrue="1">
      <formula>$A131="note"</formula>
    </cfRule>
  </conditionalFormatting>
  <conditionalFormatting sqref="A131:A135">
    <cfRule type="expression" dxfId="20" priority="6994" stopIfTrue="1">
      <formula>$A131="barcode"</formula>
    </cfRule>
  </conditionalFormatting>
  <conditionalFormatting sqref="A131:A135">
    <cfRule type="expression" dxfId="21" priority="6995" stopIfTrue="1">
      <formula>OR($A131="geopoint", $A131="geoshape", $A131="geotrace")</formula>
    </cfRule>
  </conditionalFormatting>
  <conditionalFormatting sqref="A131:A135">
    <cfRule type="expression" dxfId="22" priority="6996" stopIfTrue="1">
      <formula>OR($A131="audio audit", $A131="text audit", $A131="speed violations count", $A131="speed violations list", $A131="speed violations audit")</formula>
    </cfRule>
  </conditionalFormatting>
  <conditionalFormatting sqref="A131:A135">
    <cfRule type="expression" dxfId="23" priority="6997" stopIfTrue="1">
      <formula>OR($A131="username", $A131="phonenumber", $A131="start", $A131="end", $A131="deviceid", $A131="subscriberid", $A131="simserial", $A131="caseid")</formula>
    </cfRule>
  </conditionalFormatting>
  <conditionalFormatting sqref="A131:A135">
    <cfRule type="expression" dxfId="24" priority="6998" stopIfTrue="1">
      <formula>OR(AND(LEFT($A131, 16)="select_multiple ", LEN($A131)&gt;16, NOT(ISNUMBER(SEARCH(" ", $A131, 17)))), AND(LEFT($A131, 11)="select_one ", LEN($A131)&gt;11, NOT(ISNUMBER(SEARCH(" ", $A131, 12)))))</formula>
    </cfRule>
  </conditionalFormatting>
  <conditionalFormatting sqref="A131:A135">
    <cfRule type="expression" dxfId="25" priority="6999" stopIfTrue="1">
      <formula>$A131="decimal"</formula>
    </cfRule>
  </conditionalFormatting>
  <conditionalFormatting sqref="A131:A135">
    <cfRule type="expression" dxfId="26" priority="7000" stopIfTrue="1">
      <formula>$A131="integer"</formula>
    </cfRule>
  </conditionalFormatting>
  <conditionalFormatting sqref="A131:A135">
    <cfRule type="expression" dxfId="27" priority="7001" stopIfTrue="1">
      <formula>$A131="text"</formula>
    </cfRule>
  </conditionalFormatting>
  <conditionalFormatting sqref="A131:A135">
    <cfRule type="expression" dxfId="28" priority="7002" stopIfTrue="1">
      <formula>$A131="end repeat"</formula>
    </cfRule>
  </conditionalFormatting>
  <conditionalFormatting sqref="A131:A135">
    <cfRule type="expression" dxfId="28" priority="7003" stopIfTrue="1">
      <formula>$A131="begin repeat"</formula>
    </cfRule>
  </conditionalFormatting>
  <conditionalFormatting sqref="A131:A135">
    <cfRule type="expression" dxfId="29" priority="7004" stopIfTrue="1">
      <formula>$A131="end group"</formula>
    </cfRule>
  </conditionalFormatting>
  <conditionalFormatting sqref="A131:A135">
    <cfRule type="expression" dxfId="29" priority="7005" stopIfTrue="1">
      <formula>$A131="begin group"</formula>
    </cfRule>
  </conditionalFormatting>
  <conditionalFormatting sqref="A127:A129">
    <cfRule type="expression" dxfId="33" priority="7006" stopIfTrue="1">
      <formula>$A127="file"</formula>
    </cfRule>
  </conditionalFormatting>
  <conditionalFormatting sqref="A127:A129">
    <cfRule type="expression" dxfId="34" priority="7007" stopIfTrue="1">
      <formula>$A127="enumerator"</formula>
    </cfRule>
  </conditionalFormatting>
  <conditionalFormatting sqref="A127:A129">
    <cfRule type="expression" dxfId="35" priority="7008" stopIfTrue="1">
      <formula>OR(AND(LEFT($A127, 14)="sensor_stream ", LEN($A127)&gt;14, NOT(ISNUMBER(SEARCH(" ", $A127, 15)))), AND(LEFT($A127, 17)="sensor_statistic ", LEN($A127)&gt;17, NOT(ISNUMBER(SEARCH(" ", $A127, 18)))))</formula>
    </cfRule>
  </conditionalFormatting>
  <conditionalFormatting sqref="A127:A129">
    <cfRule type="expression" dxfId="14" priority="7009" stopIfTrue="1">
      <formula>$A127="comments"</formula>
    </cfRule>
  </conditionalFormatting>
  <conditionalFormatting sqref="A127:A129">
    <cfRule type="expression" dxfId="15" priority="7010" stopIfTrue="1">
      <formula>OR($A127="audio", $A127="video")</formula>
    </cfRule>
  </conditionalFormatting>
  <conditionalFormatting sqref="A127:A129">
    <cfRule type="expression" dxfId="16" priority="7011" stopIfTrue="1">
      <formula>$A127="image"</formula>
    </cfRule>
  </conditionalFormatting>
  <conditionalFormatting sqref="A127:A129">
    <cfRule type="expression" dxfId="17" priority="7012" stopIfTrue="1">
      <formula>OR($A127="date", $A127="datetime", $A127="time")</formula>
    </cfRule>
  </conditionalFormatting>
  <conditionalFormatting sqref="A127:A129">
    <cfRule type="expression" dxfId="18" priority="7013" stopIfTrue="1">
      <formula>OR($A127="calculate", $A127="calculate_here")</formula>
    </cfRule>
  </conditionalFormatting>
  <conditionalFormatting sqref="A127:A129">
    <cfRule type="expression" dxfId="19" priority="7014" stopIfTrue="1">
      <formula>$A127="note"</formula>
    </cfRule>
  </conditionalFormatting>
  <conditionalFormatting sqref="A127:A129">
    <cfRule type="expression" dxfId="20" priority="7015" stopIfTrue="1">
      <formula>$A127="barcode"</formula>
    </cfRule>
  </conditionalFormatting>
  <conditionalFormatting sqref="A127:A129">
    <cfRule type="expression" dxfId="21" priority="7016" stopIfTrue="1">
      <formula>OR($A127="geopoint", $A127="geoshape", $A127="geotrace")</formula>
    </cfRule>
  </conditionalFormatting>
  <conditionalFormatting sqref="A127:A129">
    <cfRule type="expression" dxfId="22" priority="7017" stopIfTrue="1">
      <formula>OR($A127="audio audit", $A127="text audit", $A127="speed violations count", $A127="speed violations list", $A127="speed violations audit")</formula>
    </cfRule>
  </conditionalFormatting>
  <conditionalFormatting sqref="A127:A129">
    <cfRule type="expression" dxfId="23" priority="7018" stopIfTrue="1">
      <formula>OR($A127="username", $A127="phonenumber", $A127="start", $A127="end", $A127="deviceid", $A127="subscriberid", $A127="simserial", $A127="caseid")</formula>
    </cfRule>
  </conditionalFormatting>
  <conditionalFormatting sqref="A127:A129">
    <cfRule type="expression" dxfId="24" priority="7019" stopIfTrue="1">
      <formula>OR(AND(LEFT($A127, 16)="select_multiple ", LEN($A127)&gt;16, NOT(ISNUMBER(SEARCH(" ", $A127, 17)))), AND(LEFT($A127, 11)="select_one ", LEN($A127)&gt;11, NOT(ISNUMBER(SEARCH(" ", $A127, 12)))))</formula>
    </cfRule>
  </conditionalFormatting>
  <conditionalFormatting sqref="A127:A129">
    <cfRule type="expression" dxfId="25" priority="7020" stopIfTrue="1">
      <formula>$A127="decimal"</formula>
    </cfRule>
  </conditionalFormatting>
  <conditionalFormatting sqref="A127:A129">
    <cfRule type="expression" dxfId="26" priority="7021" stopIfTrue="1">
      <formula>$A127="integer"</formula>
    </cfRule>
  </conditionalFormatting>
  <conditionalFormatting sqref="A127:A129">
    <cfRule type="expression" dxfId="27" priority="7022" stopIfTrue="1">
      <formula>$A127="text"</formula>
    </cfRule>
  </conditionalFormatting>
  <conditionalFormatting sqref="A127:A129">
    <cfRule type="expression" dxfId="28" priority="7023" stopIfTrue="1">
      <formula>$A127="end repeat"</formula>
    </cfRule>
  </conditionalFormatting>
  <conditionalFormatting sqref="A127:A129">
    <cfRule type="expression" dxfId="28" priority="7024" stopIfTrue="1">
      <formula>$A127="begin repeat"</formula>
    </cfRule>
  </conditionalFormatting>
  <conditionalFormatting sqref="A127:A129">
    <cfRule type="expression" dxfId="29" priority="7025" stopIfTrue="1">
      <formula>$A127="end group"</formula>
    </cfRule>
  </conditionalFormatting>
  <conditionalFormatting sqref="A127:A129">
    <cfRule type="expression" dxfId="29" priority="7026" stopIfTrue="1">
      <formula>$A127="begin group"</formula>
    </cfRule>
  </conditionalFormatting>
  <conditionalFormatting sqref="A122">
    <cfRule type="expression" dxfId="33" priority="7027" stopIfTrue="1">
      <formula>$A122="file"</formula>
    </cfRule>
  </conditionalFormatting>
  <conditionalFormatting sqref="A122">
    <cfRule type="expression" dxfId="34" priority="7028" stopIfTrue="1">
      <formula>$A122="enumerator"</formula>
    </cfRule>
  </conditionalFormatting>
  <conditionalFormatting sqref="A122">
    <cfRule type="expression" dxfId="35" priority="7029" stopIfTrue="1">
      <formula>OR(AND(LEFT($A122, 14)="sensor_stream ", LEN($A122)&gt;14, NOT(ISNUMBER(SEARCH(" ", $A122, 15)))), AND(LEFT($A122, 17)="sensor_statistic ", LEN($A122)&gt;17, NOT(ISNUMBER(SEARCH(" ", $A122, 18)))))</formula>
    </cfRule>
  </conditionalFormatting>
  <conditionalFormatting sqref="A122">
    <cfRule type="expression" dxfId="14" priority="7030" stopIfTrue="1">
      <formula>$A122="comments"</formula>
    </cfRule>
  </conditionalFormatting>
  <conditionalFormatting sqref="A122">
    <cfRule type="expression" dxfId="15" priority="7031" stopIfTrue="1">
      <formula>OR($A122="audio", $A122="video")</formula>
    </cfRule>
  </conditionalFormatting>
  <conditionalFormatting sqref="A122">
    <cfRule type="expression" dxfId="16" priority="7032" stopIfTrue="1">
      <formula>$A122="image"</formula>
    </cfRule>
  </conditionalFormatting>
  <conditionalFormatting sqref="A122">
    <cfRule type="expression" dxfId="17" priority="7033" stopIfTrue="1">
      <formula>OR($A122="date", $A122="datetime", $A122="time")</formula>
    </cfRule>
  </conditionalFormatting>
  <conditionalFormatting sqref="A122">
    <cfRule type="expression" dxfId="18" priority="7034" stopIfTrue="1">
      <formula>OR($A122="calculate", $A122="calculate_here")</formula>
    </cfRule>
  </conditionalFormatting>
  <conditionalFormatting sqref="A122">
    <cfRule type="expression" dxfId="19" priority="7035" stopIfTrue="1">
      <formula>$A122="note"</formula>
    </cfRule>
  </conditionalFormatting>
  <conditionalFormatting sqref="A122">
    <cfRule type="expression" dxfId="20" priority="7036" stopIfTrue="1">
      <formula>$A122="barcode"</formula>
    </cfRule>
  </conditionalFormatting>
  <conditionalFormatting sqref="A122">
    <cfRule type="expression" dxfId="21" priority="7037" stopIfTrue="1">
      <formula>OR($A122="geopoint", $A122="geoshape", $A122="geotrace")</formula>
    </cfRule>
  </conditionalFormatting>
  <conditionalFormatting sqref="A122">
    <cfRule type="expression" dxfId="22" priority="7038" stopIfTrue="1">
      <formula>OR($A122="audio audit", $A122="text audit", $A122="speed violations count", $A122="speed violations list", $A122="speed violations audit")</formula>
    </cfRule>
  </conditionalFormatting>
  <conditionalFormatting sqref="A122">
    <cfRule type="expression" dxfId="23" priority="7039" stopIfTrue="1">
      <formula>OR($A122="username", $A122="phonenumber", $A122="start", $A122="end", $A122="deviceid", $A122="subscriberid", $A122="simserial", $A122="caseid")</formula>
    </cfRule>
  </conditionalFormatting>
  <conditionalFormatting sqref="A122">
    <cfRule type="expression" dxfId="24" priority="7040" stopIfTrue="1">
      <formula>OR(AND(LEFT($A122, 16)="select_multiple ", LEN($A122)&gt;16, NOT(ISNUMBER(SEARCH(" ", $A122, 17)))), AND(LEFT($A122, 11)="select_one ", LEN($A122)&gt;11, NOT(ISNUMBER(SEARCH(" ", $A122, 12)))))</formula>
    </cfRule>
  </conditionalFormatting>
  <conditionalFormatting sqref="A122">
    <cfRule type="expression" dxfId="25" priority="7041" stopIfTrue="1">
      <formula>$A122="decimal"</formula>
    </cfRule>
  </conditionalFormatting>
  <conditionalFormatting sqref="A122">
    <cfRule type="expression" dxfId="26" priority="7042" stopIfTrue="1">
      <formula>$A122="integer"</formula>
    </cfRule>
  </conditionalFormatting>
  <conditionalFormatting sqref="A122">
    <cfRule type="expression" dxfId="27" priority="7043" stopIfTrue="1">
      <formula>$A122="text"</formula>
    </cfRule>
  </conditionalFormatting>
  <conditionalFormatting sqref="A122">
    <cfRule type="expression" dxfId="28" priority="7044" stopIfTrue="1">
      <formula>$A122="end repeat"</formula>
    </cfRule>
  </conditionalFormatting>
  <conditionalFormatting sqref="A122">
    <cfRule type="expression" dxfId="28" priority="7045" stopIfTrue="1">
      <formula>$A122="begin repeat"</formula>
    </cfRule>
  </conditionalFormatting>
  <conditionalFormatting sqref="A122">
    <cfRule type="expression" dxfId="29" priority="7046" stopIfTrue="1">
      <formula>$A122="end group"</formula>
    </cfRule>
  </conditionalFormatting>
  <conditionalFormatting sqref="A122">
    <cfRule type="expression" dxfId="29" priority="7047" stopIfTrue="1">
      <formula>$A122="begin group"</formula>
    </cfRule>
  </conditionalFormatting>
  <conditionalFormatting sqref="A109:A120">
    <cfRule type="expression" dxfId="33" priority="7048" stopIfTrue="1">
      <formula>$A109="file"</formula>
    </cfRule>
  </conditionalFormatting>
  <conditionalFormatting sqref="A109:A120">
    <cfRule type="expression" dxfId="34" priority="7049" stopIfTrue="1">
      <formula>$A109="enumerator"</formula>
    </cfRule>
  </conditionalFormatting>
  <conditionalFormatting sqref="A109:A120">
    <cfRule type="expression" dxfId="35" priority="7050" stopIfTrue="1">
      <formula>OR(AND(LEFT($A109, 14)="sensor_stream ", LEN($A109)&gt;14, NOT(ISNUMBER(SEARCH(" ", $A109, 15)))), AND(LEFT($A109, 17)="sensor_statistic ", LEN($A109)&gt;17, NOT(ISNUMBER(SEARCH(" ", $A109, 18)))))</formula>
    </cfRule>
  </conditionalFormatting>
  <conditionalFormatting sqref="A109:A120">
    <cfRule type="expression" dxfId="14" priority="7051" stopIfTrue="1">
      <formula>$A109="comments"</formula>
    </cfRule>
  </conditionalFormatting>
  <conditionalFormatting sqref="A109:A120">
    <cfRule type="expression" dxfId="15" priority="7052" stopIfTrue="1">
      <formula>OR($A109="audio", $A109="video")</formula>
    </cfRule>
  </conditionalFormatting>
  <conditionalFormatting sqref="A109:A120">
    <cfRule type="expression" dxfId="16" priority="7053" stopIfTrue="1">
      <formula>$A109="image"</formula>
    </cfRule>
  </conditionalFormatting>
  <conditionalFormatting sqref="A109:A120">
    <cfRule type="expression" dxfId="17" priority="7054" stopIfTrue="1">
      <formula>OR($A109="date", $A109="datetime", $A109="time")</formula>
    </cfRule>
  </conditionalFormatting>
  <conditionalFormatting sqref="A109:A120">
    <cfRule type="expression" dxfId="18" priority="7055" stopIfTrue="1">
      <formula>OR($A109="calculate", $A109="calculate_here")</formula>
    </cfRule>
  </conditionalFormatting>
  <conditionalFormatting sqref="A109:A120">
    <cfRule type="expression" dxfId="19" priority="7056" stopIfTrue="1">
      <formula>$A109="note"</formula>
    </cfRule>
  </conditionalFormatting>
  <conditionalFormatting sqref="A109:A120">
    <cfRule type="expression" dxfId="20" priority="7057" stopIfTrue="1">
      <formula>$A109="barcode"</formula>
    </cfRule>
  </conditionalFormatting>
  <conditionalFormatting sqref="A109:A120">
    <cfRule type="expression" dxfId="21" priority="7058" stopIfTrue="1">
      <formula>OR($A109="geopoint", $A109="geoshape", $A109="geotrace")</formula>
    </cfRule>
  </conditionalFormatting>
  <conditionalFormatting sqref="A109:A120">
    <cfRule type="expression" dxfId="22" priority="7059" stopIfTrue="1">
      <formula>OR($A109="audio audit", $A109="text audit", $A109="speed violations count", $A109="speed violations list", $A109="speed violations audit")</formula>
    </cfRule>
  </conditionalFormatting>
  <conditionalFormatting sqref="A109:A120">
    <cfRule type="expression" dxfId="23" priority="7060" stopIfTrue="1">
      <formula>OR($A109="username", $A109="phonenumber", $A109="start", $A109="end", $A109="deviceid", $A109="subscriberid", $A109="simserial", $A109="caseid")</formula>
    </cfRule>
  </conditionalFormatting>
  <conditionalFormatting sqref="A109:A120">
    <cfRule type="expression" dxfId="24" priority="7061" stopIfTrue="1">
      <formula>OR(AND(LEFT($A109, 16)="select_multiple ", LEN($A109)&gt;16, NOT(ISNUMBER(SEARCH(" ", $A109, 17)))), AND(LEFT($A109, 11)="select_one ", LEN($A109)&gt;11, NOT(ISNUMBER(SEARCH(" ", $A109, 12)))))</formula>
    </cfRule>
  </conditionalFormatting>
  <conditionalFormatting sqref="A109:A120">
    <cfRule type="expression" dxfId="25" priority="7062" stopIfTrue="1">
      <formula>$A109="decimal"</formula>
    </cfRule>
  </conditionalFormatting>
  <conditionalFormatting sqref="A109:A120">
    <cfRule type="expression" dxfId="26" priority="7063" stopIfTrue="1">
      <formula>$A109="integer"</formula>
    </cfRule>
  </conditionalFormatting>
  <conditionalFormatting sqref="A109:A120">
    <cfRule type="expression" dxfId="27" priority="7064" stopIfTrue="1">
      <formula>$A109="text"</formula>
    </cfRule>
  </conditionalFormatting>
  <conditionalFormatting sqref="A109:A120">
    <cfRule type="expression" dxfId="28" priority="7065" stopIfTrue="1">
      <formula>$A109="end repeat"</formula>
    </cfRule>
  </conditionalFormatting>
  <conditionalFormatting sqref="A109:A120">
    <cfRule type="expression" dxfId="28" priority="7066" stopIfTrue="1">
      <formula>$A109="begin repeat"</formula>
    </cfRule>
  </conditionalFormatting>
  <conditionalFormatting sqref="A109:A120">
    <cfRule type="expression" dxfId="29" priority="7067" stopIfTrue="1">
      <formula>$A109="end group"</formula>
    </cfRule>
  </conditionalFormatting>
  <conditionalFormatting sqref="A109:A120">
    <cfRule type="expression" dxfId="29" priority="7068" stopIfTrue="1">
      <formula>$A109="begin group"</formula>
    </cfRule>
  </conditionalFormatting>
  <conditionalFormatting sqref="A104:A106">
    <cfRule type="expression" dxfId="33" priority="7069" stopIfTrue="1">
      <formula>$A104="file"</formula>
    </cfRule>
  </conditionalFormatting>
  <conditionalFormatting sqref="A104:A106">
    <cfRule type="expression" dxfId="34" priority="7070" stopIfTrue="1">
      <formula>$A104="enumerator"</formula>
    </cfRule>
  </conditionalFormatting>
  <conditionalFormatting sqref="A104:A106">
    <cfRule type="expression" dxfId="35" priority="7071" stopIfTrue="1">
      <formula>OR(AND(LEFT($A104, 14)="sensor_stream ", LEN($A104)&gt;14, NOT(ISNUMBER(SEARCH(" ", $A104, 15)))), AND(LEFT($A104, 17)="sensor_statistic ", LEN($A104)&gt;17, NOT(ISNUMBER(SEARCH(" ", $A104, 18)))))</formula>
    </cfRule>
  </conditionalFormatting>
  <conditionalFormatting sqref="A104:A106">
    <cfRule type="expression" dxfId="14" priority="7072" stopIfTrue="1">
      <formula>$A104="comments"</formula>
    </cfRule>
  </conditionalFormatting>
  <conditionalFormatting sqref="A104:A106">
    <cfRule type="expression" dxfId="15" priority="7073" stopIfTrue="1">
      <formula>OR($A104="audio", $A104="video")</formula>
    </cfRule>
  </conditionalFormatting>
  <conditionalFormatting sqref="A104:A106">
    <cfRule type="expression" dxfId="16" priority="7074" stopIfTrue="1">
      <formula>$A104="image"</formula>
    </cfRule>
  </conditionalFormatting>
  <conditionalFormatting sqref="A104:A106">
    <cfRule type="expression" dxfId="17" priority="7075" stopIfTrue="1">
      <formula>OR($A104="date", $A104="datetime", $A104="time")</formula>
    </cfRule>
  </conditionalFormatting>
  <conditionalFormatting sqref="A104:A106">
    <cfRule type="expression" dxfId="18" priority="7076" stopIfTrue="1">
      <formula>OR($A104="calculate", $A104="calculate_here")</formula>
    </cfRule>
  </conditionalFormatting>
  <conditionalFormatting sqref="A104:A106">
    <cfRule type="expression" dxfId="19" priority="7077" stopIfTrue="1">
      <formula>$A104="note"</formula>
    </cfRule>
  </conditionalFormatting>
  <conditionalFormatting sqref="A104:A106">
    <cfRule type="expression" dxfId="20" priority="7078" stopIfTrue="1">
      <formula>$A104="barcode"</formula>
    </cfRule>
  </conditionalFormatting>
  <conditionalFormatting sqref="A104:A106">
    <cfRule type="expression" dxfId="21" priority="7079" stopIfTrue="1">
      <formula>OR($A104="geopoint", $A104="geoshape", $A104="geotrace")</formula>
    </cfRule>
  </conditionalFormatting>
  <conditionalFormatting sqref="A104:A106">
    <cfRule type="expression" dxfId="22" priority="7080" stopIfTrue="1">
      <formula>OR($A104="audio audit", $A104="text audit", $A104="speed violations count", $A104="speed violations list", $A104="speed violations audit")</formula>
    </cfRule>
  </conditionalFormatting>
  <conditionalFormatting sqref="A104:A106">
    <cfRule type="expression" dxfId="23" priority="7081" stopIfTrue="1">
      <formula>OR($A104="username", $A104="phonenumber", $A104="start", $A104="end", $A104="deviceid", $A104="subscriberid", $A104="simserial", $A104="caseid")</formula>
    </cfRule>
  </conditionalFormatting>
  <conditionalFormatting sqref="A104:A106">
    <cfRule type="expression" dxfId="24" priority="7082" stopIfTrue="1">
      <formula>OR(AND(LEFT($A104, 16)="select_multiple ", LEN($A104)&gt;16, NOT(ISNUMBER(SEARCH(" ", $A104, 17)))), AND(LEFT($A104, 11)="select_one ", LEN($A104)&gt;11, NOT(ISNUMBER(SEARCH(" ", $A104, 12)))))</formula>
    </cfRule>
  </conditionalFormatting>
  <conditionalFormatting sqref="A104:A106">
    <cfRule type="expression" dxfId="25" priority="7083" stopIfTrue="1">
      <formula>$A104="decimal"</formula>
    </cfRule>
  </conditionalFormatting>
  <conditionalFormatting sqref="A104:A106">
    <cfRule type="expression" dxfId="26" priority="7084" stopIfTrue="1">
      <formula>$A104="integer"</formula>
    </cfRule>
  </conditionalFormatting>
  <conditionalFormatting sqref="A104:A106">
    <cfRule type="expression" dxfId="27" priority="7085" stopIfTrue="1">
      <formula>$A104="text"</formula>
    </cfRule>
  </conditionalFormatting>
  <conditionalFormatting sqref="A104:A106">
    <cfRule type="expression" dxfId="28" priority="7086" stopIfTrue="1">
      <formula>$A104="end repeat"</formula>
    </cfRule>
  </conditionalFormatting>
  <conditionalFormatting sqref="A104:A106">
    <cfRule type="expression" dxfId="28" priority="7087" stopIfTrue="1">
      <formula>$A104="begin repeat"</formula>
    </cfRule>
  </conditionalFormatting>
  <conditionalFormatting sqref="A104:A106">
    <cfRule type="expression" dxfId="29" priority="7088" stopIfTrue="1">
      <formula>$A104="end group"</formula>
    </cfRule>
  </conditionalFormatting>
  <conditionalFormatting sqref="A104:A106">
    <cfRule type="expression" dxfId="29" priority="7089" stopIfTrue="1">
      <formula>$A104="begin group"</formula>
    </cfRule>
  </conditionalFormatting>
  <conditionalFormatting sqref="A94:A101">
    <cfRule type="expression" dxfId="33" priority="7090" stopIfTrue="1">
      <formula>$A94="file"</formula>
    </cfRule>
  </conditionalFormatting>
  <conditionalFormatting sqref="A94:A101">
    <cfRule type="expression" dxfId="34" priority="7091" stopIfTrue="1">
      <formula>$A94="enumerator"</formula>
    </cfRule>
  </conditionalFormatting>
  <conditionalFormatting sqref="A94:A101">
    <cfRule type="expression" dxfId="35" priority="7092" stopIfTrue="1">
      <formula>OR(AND(LEFT($A94, 14)="sensor_stream ", LEN($A94)&gt;14, NOT(ISNUMBER(SEARCH(" ", $A94, 15)))), AND(LEFT($A94, 17)="sensor_statistic ", LEN($A94)&gt;17, NOT(ISNUMBER(SEARCH(" ", $A94, 18)))))</formula>
    </cfRule>
  </conditionalFormatting>
  <conditionalFormatting sqref="A94:A101">
    <cfRule type="expression" dxfId="14" priority="7093" stopIfTrue="1">
      <formula>$A94="comments"</formula>
    </cfRule>
  </conditionalFormatting>
  <conditionalFormatting sqref="A94:A101">
    <cfRule type="expression" dxfId="15" priority="7094" stopIfTrue="1">
      <formula>OR($A94="audio", $A94="video")</formula>
    </cfRule>
  </conditionalFormatting>
  <conditionalFormatting sqref="A94:A101">
    <cfRule type="expression" dxfId="16" priority="7095" stopIfTrue="1">
      <formula>$A94="image"</formula>
    </cfRule>
  </conditionalFormatting>
  <conditionalFormatting sqref="A94:A101">
    <cfRule type="expression" dxfId="17" priority="7096" stopIfTrue="1">
      <formula>OR($A94="date", $A94="datetime", $A94="time")</formula>
    </cfRule>
  </conditionalFormatting>
  <conditionalFormatting sqref="A94:A101">
    <cfRule type="expression" dxfId="18" priority="7097" stopIfTrue="1">
      <formula>OR($A94="calculate", $A94="calculate_here")</formula>
    </cfRule>
  </conditionalFormatting>
  <conditionalFormatting sqref="A94:A101">
    <cfRule type="expression" dxfId="19" priority="7098" stopIfTrue="1">
      <formula>$A94="note"</formula>
    </cfRule>
  </conditionalFormatting>
  <conditionalFormatting sqref="A94:A101">
    <cfRule type="expression" dxfId="20" priority="7099" stopIfTrue="1">
      <formula>$A94="barcode"</formula>
    </cfRule>
  </conditionalFormatting>
  <conditionalFormatting sqref="A94:A101">
    <cfRule type="expression" dxfId="21" priority="7100" stopIfTrue="1">
      <formula>OR($A94="geopoint", $A94="geoshape", $A94="geotrace")</formula>
    </cfRule>
  </conditionalFormatting>
  <conditionalFormatting sqref="A94:A101">
    <cfRule type="expression" dxfId="22" priority="7101" stopIfTrue="1">
      <formula>OR($A94="audio audit", $A94="text audit", $A94="speed violations count", $A94="speed violations list", $A94="speed violations audit")</formula>
    </cfRule>
  </conditionalFormatting>
  <conditionalFormatting sqref="A94:A101">
    <cfRule type="expression" dxfId="23" priority="7102" stopIfTrue="1">
      <formula>OR($A94="username", $A94="phonenumber", $A94="start", $A94="end", $A94="deviceid", $A94="subscriberid", $A94="simserial", $A94="caseid")</formula>
    </cfRule>
  </conditionalFormatting>
  <conditionalFormatting sqref="A94:A101">
    <cfRule type="expression" dxfId="24" priority="7103" stopIfTrue="1">
      <formula>OR(AND(LEFT($A94, 16)="select_multiple ", LEN($A94)&gt;16, NOT(ISNUMBER(SEARCH(" ", $A94, 17)))), AND(LEFT($A94, 11)="select_one ", LEN($A94)&gt;11, NOT(ISNUMBER(SEARCH(" ", $A94, 12)))))</formula>
    </cfRule>
  </conditionalFormatting>
  <conditionalFormatting sqref="A94:A101">
    <cfRule type="expression" dxfId="25" priority="7104" stopIfTrue="1">
      <formula>$A94="decimal"</formula>
    </cfRule>
  </conditionalFormatting>
  <conditionalFormatting sqref="A94:A101">
    <cfRule type="expression" dxfId="26" priority="7105" stopIfTrue="1">
      <formula>$A94="integer"</formula>
    </cfRule>
  </conditionalFormatting>
  <conditionalFormatting sqref="A94:A101">
    <cfRule type="expression" dxfId="27" priority="7106" stopIfTrue="1">
      <formula>$A94="text"</formula>
    </cfRule>
  </conditionalFormatting>
  <conditionalFormatting sqref="A94:A101">
    <cfRule type="expression" dxfId="28" priority="7107" stopIfTrue="1">
      <formula>$A94="end repeat"</formula>
    </cfRule>
  </conditionalFormatting>
  <conditionalFormatting sqref="A94:A101">
    <cfRule type="expression" dxfId="28" priority="7108" stopIfTrue="1">
      <formula>$A94="begin repeat"</formula>
    </cfRule>
  </conditionalFormatting>
  <conditionalFormatting sqref="A94:A101">
    <cfRule type="expression" dxfId="29" priority="7109" stopIfTrue="1">
      <formula>$A94="end group"</formula>
    </cfRule>
  </conditionalFormatting>
  <conditionalFormatting sqref="A94:A101">
    <cfRule type="expression" dxfId="29" priority="7110" stopIfTrue="1">
      <formula>$A94="begin group"</formula>
    </cfRule>
  </conditionalFormatting>
  <conditionalFormatting sqref="A82:A92">
    <cfRule type="expression" dxfId="33" priority="7111" stopIfTrue="1">
      <formula>$A82="file"</formula>
    </cfRule>
  </conditionalFormatting>
  <conditionalFormatting sqref="A82:A92">
    <cfRule type="expression" dxfId="34" priority="7112" stopIfTrue="1">
      <formula>$A82="enumerator"</formula>
    </cfRule>
  </conditionalFormatting>
  <conditionalFormatting sqref="A82:A92">
    <cfRule type="expression" dxfId="35" priority="7113" stopIfTrue="1">
      <formula>OR(AND(LEFT($A82, 14)="sensor_stream ", LEN($A82)&gt;14, NOT(ISNUMBER(SEARCH(" ", $A82, 15)))), AND(LEFT($A82, 17)="sensor_statistic ", LEN($A82)&gt;17, NOT(ISNUMBER(SEARCH(" ", $A82, 18)))))</formula>
    </cfRule>
  </conditionalFormatting>
  <conditionalFormatting sqref="A82:A92">
    <cfRule type="expression" dxfId="14" priority="7114" stopIfTrue="1">
      <formula>$A82="comments"</formula>
    </cfRule>
  </conditionalFormatting>
  <conditionalFormatting sqref="A82:A92">
    <cfRule type="expression" dxfId="15" priority="7115" stopIfTrue="1">
      <formula>OR($A82="audio", $A82="video")</formula>
    </cfRule>
  </conditionalFormatting>
  <conditionalFormatting sqref="A82:A92">
    <cfRule type="expression" dxfId="16" priority="7116" stopIfTrue="1">
      <formula>$A82="image"</formula>
    </cfRule>
  </conditionalFormatting>
  <conditionalFormatting sqref="A82:A92">
    <cfRule type="expression" dxfId="17" priority="7117" stopIfTrue="1">
      <formula>OR($A82="date", $A82="datetime", $A82="time")</formula>
    </cfRule>
  </conditionalFormatting>
  <conditionalFormatting sqref="A82:A92">
    <cfRule type="expression" dxfId="18" priority="7118" stopIfTrue="1">
      <formula>OR($A82="calculate", $A82="calculate_here")</formula>
    </cfRule>
  </conditionalFormatting>
  <conditionalFormatting sqref="A82:A92">
    <cfRule type="expression" dxfId="19" priority="7119" stopIfTrue="1">
      <formula>$A82="note"</formula>
    </cfRule>
  </conditionalFormatting>
  <conditionalFormatting sqref="A82:A92">
    <cfRule type="expression" dxfId="20" priority="7120" stopIfTrue="1">
      <formula>$A82="barcode"</formula>
    </cfRule>
  </conditionalFormatting>
  <conditionalFormatting sqref="A82:A92">
    <cfRule type="expression" dxfId="21" priority="7121" stopIfTrue="1">
      <formula>OR($A82="geopoint", $A82="geoshape", $A82="geotrace")</formula>
    </cfRule>
  </conditionalFormatting>
  <conditionalFormatting sqref="A82:A92">
    <cfRule type="expression" dxfId="22" priority="7122" stopIfTrue="1">
      <formula>OR($A82="audio audit", $A82="text audit", $A82="speed violations count", $A82="speed violations list", $A82="speed violations audit")</formula>
    </cfRule>
  </conditionalFormatting>
  <conditionalFormatting sqref="A82:A92">
    <cfRule type="expression" dxfId="23" priority="7123" stopIfTrue="1">
      <formula>OR($A82="username", $A82="phonenumber", $A82="start", $A82="end", $A82="deviceid", $A82="subscriberid", $A82="simserial", $A82="caseid")</formula>
    </cfRule>
  </conditionalFormatting>
  <conditionalFormatting sqref="A82:A92">
    <cfRule type="expression" dxfId="24" priority="7124" stopIfTrue="1">
      <formula>OR(AND(LEFT($A82, 16)="select_multiple ", LEN($A82)&gt;16, NOT(ISNUMBER(SEARCH(" ", $A82, 17)))), AND(LEFT($A82, 11)="select_one ", LEN($A82)&gt;11, NOT(ISNUMBER(SEARCH(" ", $A82, 12)))))</formula>
    </cfRule>
  </conditionalFormatting>
  <conditionalFormatting sqref="A82:A92">
    <cfRule type="expression" dxfId="25" priority="7125" stopIfTrue="1">
      <formula>$A82="decimal"</formula>
    </cfRule>
  </conditionalFormatting>
  <conditionalFormatting sqref="A82:A92">
    <cfRule type="expression" dxfId="26" priority="7126" stopIfTrue="1">
      <formula>$A82="integer"</formula>
    </cfRule>
  </conditionalFormatting>
  <conditionalFormatting sqref="A82:A92">
    <cfRule type="expression" dxfId="27" priority="7127" stopIfTrue="1">
      <formula>$A82="text"</formula>
    </cfRule>
  </conditionalFormatting>
  <conditionalFormatting sqref="A82:A92">
    <cfRule type="expression" dxfId="28" priority="7128" stopIfTrue="1">
      <formula>$A82="end repeat"</formula>
    </cfRule>
  </conditionalFormatting>
  <conditionalFormatting sqref="A82:A92">
    <cfRule type="expression" dxfId="28" priority="7129" stopIfTrue="1">
      <formula>$A82="begin repeat"</formula>
    </cfRule>
  </conditionalFormatting>
  <conditionalFormatting sqref="A82:A92">
    <cfRule type="expression" dxfId="29" priority="7130" stopIfTrue="1">
      <formula>$A82="end group"</formula>
    </cfRule>
  </conditionalFormatting>
  <conditionalFormatting sqref="A82:A92">
    <cfRule type="expression" dxfId="29" priority="7131" stopIfTrue="1">
      <formula>$A82="begin group"</formula>
    </cfRule>
  </conditionalFormatting>
  <conditionalFormatting sqref="A75:A76">
    <cfRule type="expression" dxfId="33" priority="7132" stopIfTrue="1">
      <formula>$A75="file"</formula>
    </cfRule>
  </conditionalFormatting>
  <conditionalFormatting sqref="A75:A76">
    <cfRule type="expression" dxfId="34" priority="7133" stopIfTrue="1">
      <formula>$A75="enumerator"</formula>
    </cfRule>
  </conditionalFormatting>
  <conditionalFormatting sqref="A75:A76">
    <cfRule type="expression" dxfId="35" priority="7134" stopIfTrue="1">
      <formula>OR(AND(LEFT($A75, 14)="sensor_stream ", LEN($A75)&gt;14, NOT(ISNUMBER(SEARCH(" ", $A75, 15)))), AND(LEFT($A75, 17)="sensor_statistic ", LEN($A75)&gt;17, NOT(ISNUMBER(SEARCH(" ", $A75, 18)))))</formula>
    </cfRule>
  </conditionalFormatting>
  <conditionalFormatting sqref="A75:A76">
    <cfRule type="expression" dxfId="14" priority="7135" stopIfTrue="1">
      <formula>$A75="comments"</formula>
    </cfRule>
  </conditionalFormatting>
  <conditionalFormatting sqref="A75:A76">
    <cfRule type="expression" dxfId="15" priority="7136" stopIfTrue="1">
      <formula>OR($A75="audio", $A75="video")</formula>
    </cfRule>
  </conditionalFormatting>
  <conditionalFormatting sqref="A75:A76">
    <cfRule type="expression" dxfId="16" priority="7137" stopIfTrue="1">
      <formula>$A75="image"</formula>
    </cfRule>
  </conditionalFormatting>
  <conditionalFormatting sqref="A75:A76">
    <cfRule type="expression" dxfId="17" priority="7138" stopIfTrue="1">
      <formula>OR($A75="date", $A75="datetime", $A75="time")</formula>
    </cfRule>
  </conditionalFormatting>
  <conditionalFormatting sqref="A75:A76">
    <cfRule type="expression" dxfId="18" priority="7139" stopIfTrue="1">
      <formula>OR($A75="calculate", $A75="calculate_here")</formula>
    </cfRule>
  </conditionalFormatting>
  <conditionalFormatting sqref="A75:A76">
    <cfRule type="expression" dxfId="19" priority="7140" stopIfTrue="1">
      <formula>$A75="note"</formula>
    </cfRule>
  </conditionalFormatting>
  <conditionalFormatting sqref="A75:A76">
    <cfRule type="expression" dxfId="20" priority="7141" stopIfTrue="1">
      <formula>$A75="barcode"</formula>
    </cfRule>
  </conditionalFormatting>
  <conditionalFormatting sqref="A75:A76">
    <cfRule type="expression" dxfId="21" priority="7142" stopIfTrue="1">
      <formula>OR($A75="geopoint", $A75="geoshape", $A75="geotrace")</formula>
    </cfRule>
  </conditionalFormatting>
  <conditionalFormatting sqref="A75:A76">
    <cfRule type="expression" dxfId="22" priority="7143" stopIfTrue="1">
      <formula>OR($A75="audio audit", $A75="text audit", $A75="speed violations count", $A75="speed violations list", $A75="speed violations audit")</formula>
    </cfRule>
  </conditionalFormatting>
  <conditionalFormatting sqref="A75:A76">
    <cfRule type="expression" dxfId="23" priority="7144" stopIfTrue="1">
      <formula>OR($A75="username", $A75="phonenumber", $A75="start", $A75="end", $A75="deviceid", $A75="subscriberid", $A75="simserial", $A75="caseid")</formula>
    </cfRule>
  </conditionalFormatting>
  <conditionalFormatting sqref="A75:A76">
    <cfRule type="expression" dxfId="24" priority="7145" stopIfTrue="1">
      <formula>OR(AND(LEFT($A75, 16)="select_multiple ", LEN($A75)&gt;16, NOT(ISNUMBER(SEARCH(" ", $A75, 17)))), AND(LEFT($A75, 11)="select_one ", LEN($A75)&gt;11, NOT(ISNUMBER(SEARCH(" ", $A75, 12)))))</formula>
    </cfRule>
  </conditionalFormatting>
  <conditionalFormatting sqref="A75:A76">
    <cfRule type="expression" dxfId="25" priority="7146" stopIfTrue="1">
      <formula>$A75="decimal"</formula>
    </cfRule>
  </conditionalFormatting>
  <conditionalFormatting sqref="A75:A76">
    <cfRule type="expression" dxfId="26" priority="7147" stopIfTrue="1">
      <formula>$A75="integer"</formula>
    </cfRule>
  </conditionalFormatting>
  <conditionalFormatting sqref="A75:A76">
    <cfRule type="expression" dxfId="27" priority="7148" stopIfTrue="1">
      <formula>$A75="text"</formula>
    </cfRule>
  </conditionalFormatting>
  <conditionalFormatting sqref="A75:A76">
    <cfRule type="expression" dxfId="28" priority="7149" stopIfTrue="1">
      <formula>$A75="end repeat"</formula>
    </cfRule>
  </conditionalFormatting>
  <conditionalFormatting sqref="A75:A76">
    <cfRule type="expression" dxfId="28" priority="7150" stopIfTrue="1">
      <formula>$A75="begin repeat"</formula>
    </cfRule>
  </conditionalFormatting>
  <conditionalFormatting sqref="A75:A76">
    <cfRule type="expression" dxfId="29" priority="7151" stopIfTrue="1">
      <formula>$A75="end group"</formula>
    </cfRule>
  </conditionalFormatting>
  <conditionalFormatting sqref="A75:A76">
    <cfRule type="expression" dxfId="29" priority="7152" stopIfTrue="1">
      <formula>$A75="begin group"</formula>
    </cfRule>
  </conditionalFormatting>
  <conditionalFormatting sqref="A65:A71">
    <cfRule type="expression" dxfId="33" priority="7153" stopIfTrue="1">
      <formula>$A65="file"</formula>
    </cfRule>
  </conditionalFormatting>
  <conditionalFormatting sqref="A65:A71">
    <cfRule type="expression" dxfId="34" priority="7154" stopIfTrue="1">
      <formula>$A65="enumerator"</formula>
    </cfRule>
  </conditionalFormatting>
  <conditionalFormatting sqref="A65:A71">
    <cfRule type="expression" dxfId="35" priority="7155" stopIfTrue="1">
      <formula>OR(AND(LEFT($A65, 14)="sensor_stream ", LEN($A65)&gt;14, NOT(ISNUMBER(SEARCH(" ", $A65, 15)))), AND(LEFT($A65, 17)="sensor_statistic ", LEN($A65)&gt;17, NOT(ISNUMBER(SEARCH(" ", $A65, 18)))))</formula>
    </cfRule>
  </conditionalFormatting>
  <conditionalFormatting sqref="A65:A71">
    <cfRule type="expression" dxfId="14" priority="7156" stopIfTrue="1">
      <formula>$A65="comments"</formula>
    </cfRule>
  </conditionalFormatting>
  <conditionalFormatting sqref="A65:A71">
    <cfRule type="expression" dxfId="15" priority="7157" stopIfTrue="1">
      <formula>OR($A65="audio", $A65="video")</formula>
    </cfRule>
  </conditionalFormatting>
  <conditionalFormatting sqref="A65:A71">
    <cfRule type="expression" dxfId="16" priority="7158" stopIfTrue="1">
      <formula>$A65="image"</formula>
    </cfRule>
  </conditionalFormatting>
  <conditionalFormatting sqref="A65:A71">
    <cfRule type="expression" dxfId="17" priority="7159" stopIfTrue="1">
      <formula>OR($A65="date", $A65="datetime", $A65="time")</formula>
    </cfRule>
  </conditionalFormatting>
  <conditionalFormatting sqref="A65:A71">
    <cfRule type="expression" dxfId="18" priority="7160" stopIfTrue="1">
      <formula>OR($A65="calculate", $A65="calculate_here")</formula>
    </cfRule>
  </conditionalFormatting>
  <conditionalFormatting sqref="A65:A71">
    <cfRule type="expression" dxfId="19" priority="7161" stopIfTrue="1">
      <formula>$A65="note"</formula>
    </cfRule>
  </conditionalFormatting>
  <conditionalFormatting sqref="A65:A71">
    <cfRule type="expression" dxfId="20" priority="7162" stopIfTrue="1">
      <formula>$A65="barcode"</formula>
    </cfRule>
  </conditionalFormatting>
  <conditionalFormatting sqref="A65:A71">
    <cfRule type="expression" dxfId="21" priority="7163" stopIfTrue="1">
      <formula>OR($A65="geopoint", $A65="geoshape", $A65="geotrace")</formula>
    </cfRule>
  </conditionalFormatting>
  <conditionalFormatting sqref="A65:A71">
    <cfRule type="expression" dxfId="22" priority="7164" stopIfTrue="1">
      <formula>OR($A65="audio audit", $A65="text audit", $A65="speed violations count", $A65="speed violations list", $A65="speed violations audit")</formula>
    </cfRule>
  </conditionalFormatting>
  <conditionalFormatting sqref="A65:A71">
    <cfRule type="expression" dxfId="23" priority="7165" stopIfTrue="1">
      <formula>OR($A65="username", $A65="phonenumber", $A65="start", $A65="end", $A65="deviceid", $A65="subscriberid", $A65="simserial", $A65="caseid")</formula>
    </cfRule>
  </conditionalFormatting>
  <conditionalFormatting sqref="A65:A71">
    <cfRule type="expression" dxfId="24" priority="7166" stopIfTrue="1">
      <formula>OR(AND(LEFT($A65, 16)="select_multiple ", LEN($A65)&gt;16, NOT(ISNUMBER(SEARCH(" ", $A65, 17)))), AND(LEFT($A65, 11)="select_one ", LEN($A65)&gt;11, NOT(ISNUMBER(SEARCH(" ", $A65, 12)))))</formula>
    </cfRule>
  </conditionalFormatting>
  <conditionalFormatting sqref="A65:A71">
    <cfRule type="expression" dxfId="25" priority="7167" stopIfTrue="1">
      <formula>$A65="decimal"</formula>
    </cfRule>
  </conditionalFormatting>
  <conditionalFormatting sqref="A65:A71">
    <cfRule type="expression" dxfId="26" priority="7168" stopIfTrue="1">
      <formula>$A65="integer"</formula>
    </cfRule>
  </conditionalFormatting>
  <conditionalFormatting sqref="A65:A71">
    <cfRule type="expression" dxfId="27" priority="7169" stopIfTrue="1">
      <formula>$A65="text"</formula>
    </cfRule>
  </conditionalFormatting>
  <conditionalFormatting sqref="A65:A71">
    <cfRule type="expression" dxfId="28" priority="7170" stopIfTrue="1">
      <formula>$A65="end repeat"</formula>
    </cfRule>
  </conditionalFormatting>
  <conditionalFormatting sqref="A65:A71">
    <cfRule type="expression" dxfId="28" priority="7171" stopIfTrue="1">
      <formula>$A65="begin repeat"</formula>
    </cfRule>
  </conditionalFormatting>
  <conditionalFormatting sqref="A65:A71">
    <cfRule type="expression" dxfId="29" priority="7172" stopIfTrue="1">
      <formula>$A65="end group"</formula>
    </cfRule>
  </conditionalFormatting>
  <conditionalFormatting sqref="A65:A71">
    <cfRule type="expression" dxfId="29" priority="7173" stopIfTrue="1">
      <formula>$A65="begin group"</formula>
    </cfRule>
  </conditionalFormatting>
  <conditionalFormatting sqref="A62">
    <cfRule type="expression" dxfId="33" priority="7174" stopIfTrue="1">
      <formula>$A62="file"</formula>
    </cfRule>
  </conditionalFormatting>
  <conditionalFormatting sqref="A62">
    <cfRule type="expression" dxfId="34" priority="7175" stopIfTrue="1">
      <formula>$A62="enumerator"</formula>
    </cfRule>
  </conditionalFormatting>
  <conditionalFormatting sqref="A62">
    <cfRule type="expression" dxfId="35" priority="7176" stopIfTrue="1">
      <formula>OR(AND(LEFT($A62, 14)="sensor_stream ", LEN($A62)&gt;14, NOT(ISNUMBER(SEARCH(" ", $A62, 15)))), AND(LEFT($A62, 17)="sensor_statistic ", LEN($A62)&gt;17, NOT(ISNUMBER(SEARCH(" ", $A62, 18)))))</formula>
    </cfRule>
  </conditionalFormatting>
  <conditionalFormatting sqref="A62">
    <cfRule type="expression" dxfId="14" priority="7177" stopIfTrue="1">
      <formula>$A62="comments"</formula>
    </cfRule>
  </conditionalFormatting>
  <conditionalFormatting sqref="A62">
    <cfRule type="expression" dxfId="15" priority="7178" stopIfTrue="1">
      <formula>OR($A62="audio", $A62="video")</formula>
    </cfRule>
  </conditionalFormatting>
  <conditionalFormatting sqref="A62">
    <cfRule type="expression" dxfId="16" priority="7179" stopIfTrue="1">
      <formula>$A62="image"</formula>
    </cfRule>
  </conditionalFormatting>
  <conditionalFormatting sqref="A62">
    <cfRule type="expression" dxfId="17" priority="7180" stopIfTrue="1">
      <formula>OR($A62="date", $A62="datetime", $A62="time")</formula>
    </cfRule>
  </conditionalFormatting>
  <conditionalFormatting sqref="A62">
    <cfRule type="expression" dxfId="18" priority="7181" stopIfTrue="1">
      <formula>OR($A62="calculate", $A62="calculate_here")</formula>
    </cfRule>
  </conditionalFormatting>
  <conditionalFormatting sqref="A62">
    <cfRule type="expression" dxfId="19" priority="7182" stopIfTrue="1">
      <formula>$A62="note"</formula>
    </cfRule>
  </conditionalFormatting>
  <conditionalFormatting sqref="A62">
    <cfRule type="expression" dxfId="20" priority="7183" stopIfTrue="1">
      <formula>$A62="barcode"</formula>
    </cfRule>
  </conditionalFormatting>
  <conditionalFormatting sqref="A62">
    <cfRule type="expression" dxfId="21" priority="7184" stopIfTrue="1">
      <formula>OR($A62="geopoint", $A62="geoshape", $A62="geotrace")</formula>
    </cfRule>
  </conditionalFormatting>
  <conditionalFormatting sqref="A62">
    <cfRule type="expression" dxfId="22" priority="7185" stopIfTrue="1">
      <formula>OR($A62="audio audit", $A62="text audit", $A62="speed violations count", $A62="speed violations list", $A62="speed violations audit")</formula>
    </cfRule>
  </conditionalFormatting>
  <conditionalFormatting sqref="A62">
    <cfRule type="expression" dxfId="23" priority="7186" stopIfTrue="1">
      <formula>OR($A62="username", $A62="phonenumber", $A62="start", $A62="end", $A62="deviceid", $A62="subscriberid", $A62="simserial", $A62="caseid")</formula>
    </cfRule>
  </conditionalFormatting>
  <conditionalFormatting sqref="A62">
    <cfRule type="expression" dxfId="24" priority="7187" stopIfTrue="1">
      <formula>OR(AND(LEFT($A62, 16)="select_multiple ", LEN($A62)&gt;16, NOT(ISNUMBER(SEARCH(" ", $A62, 17)))), AND(LEFT($A62, 11)="select_one ", LEN($A62)&gt;11, NOT(ISNUMBER(SEARCH(" ", $A62, 12)))))</formula>
    </cfRule>
  </conditionalFormatting>
  <conditionalFormatting sqref="A62">
    <cfRule type="expression" dxfId="25" priority="7188" stopIfTrue="1">
      <formula>$A62="decimal"</formula>
    </cfRule>
  </conditionalFormatting>
  <conditionalFormatting sqref="A62">
    <cfRule type="expression" dxfId="26" priority="7189" stopIfTrue="1">
      <formula>$A62="integer"</formula>
    </cfRule>
  </conditionalFormatting>
  <conditionalFormatting sqref="A62">
    <cfRule type="expression" dxfId="27" priority="7190" stopIfTrue="1">
      <formula>$A62="text"</formula>
    </cfRule>
  </conditionalFormatting>
  <conditionalFormatting sqref="A62">
    <cfRule type="expression" dxfId="28" priority="7191" stopIfTrue="1">
      <formula>$A62="end repeat"</formula>
    </cfRule>
  </conditionalFormatting>
  <conditionalFormatting sqref="A62">
    <cfRule type="expression" dxfId="28" priority="7192" stopIfTrue="1">
      <formula>$A62="begin repeat"</formula>
    </cfRule>
  </conditionalFormatting>
  <conditionalFormatting sqref="A62">
    <cfRule type="expression" dxfId="29" priority="7193" stopIfTrue="1">
      <formula>$A62="end group"</formula>
    </cfRule>
  </conditionalFormatting>
  <conditionalFormatting sqref="A62">
    <cfRule type="expression" dxfId="29" priority="7194" stopIfTrue="1">
      <formula>$A62="begin group"</formula>
    </cfRule>
  </conditionalFormatting>
  <conditionalFormatting sqref="A54">
    <cfRule type="expression" dxfId="33" priority="7195" stopIfTrue="1">
      <formula>$A54="file"</formula>
    </cfRule>
  </conditionalFormatting>
  <conditionalFormatting sqref="A54">
    <cfRule type="expression" dxfId="34" priority="7196" stopIfTrue="1">
      <formula>$A54="enumerator"</formula>
    </cfRule>
  </conditionalFormatting>
  <conditionalFormatting sqref="A54">
    <cfRule type="expression" dxfId="35" priority="7197" stopIfTrue="1">
      <formula>OR(AND(LEFT($A54, 14)="sensor_stream ", LEN($A54)&gt;14, NOT(ISNUMBER(SEARCH(" ", $A54, 15)))), AND(LEFT($A54, 17)="sensor_statistic ", LEN($A54)&gt;17, NOT(ISNUMBER(SEARCH(" ", $A54, 18)))))</formula>
    </cfRule>
  </conditionalFormatting>
  <conditionalFormatting sqref="A54">
    <cfRule type="expression" dxfId="14" priority="7198" stopIfTrue="1">
      <formula>$A54="comments"</formula>
    </cfRule>
  </conditionalFormatting>
  <conditionalFormatting sqref="A54">
    <cfRule type="expression" dxfId="15" priority="7199" stopIfTrue="1">
      <formula>OR($A54="audio", $A54="video")</formula>
    </cfRule>
  </conditionalFormatting>
  <conditionalFormatting sqref="A54">
    <cfRule type="expression" dxfId="16" priority="7200" stopIfTrue="1">
      <formula>$A54="image"</formula>
    </cfRule>
  </conditionalFormatting>
  <conditionalFormatting sqref="A54">
    <cfRule type="expression" dxfId="17" priority="7201" stopIfTrue="1">
      <formula>OR($A54="date", $A54="datetime", $A54="time")</formula>
    </cfRule>
  </conditionalFormatting>
  <conditionalFormatting sqref="A54">
    <cfRule type="expression" dxfId="18" priority="7202" stopIfTrue="1">
      <formula>OR($A54="calculate", $A54="calculate_here")</formula>
    </cfRule>
  </conditionalFormatting>
  <conditionalFormatting sqref="A54">
    <cfRule type="expression" dxfId="19" priority="7203" stopIfTrue="1">
      <formula>$A54="note"</formula>
    </cfRule>
  </conditionalFormatting>
  <conditionalFormatting sqref="A54">
    <cfRule type="expression" dxfId="20" priority="7204" stopIfTrue="1">
      <formula>$A54="barcode"</formula>
    </cfRule>
  </conditionalFormatting>
  <conditionalFormatting sqref="A54">
    <cfRule type="expression" dxfId="21" priority="7205" stopIfTrue="1">
      <formula>OR($A54="geopoint", $A54="geoshape", $A54="geotrace")</formula>
    </cfRule>
  </conditionalFormatting>
  <conditionalFormatting sqref="A54">
    <cfRule type="expression" dxfId="22" priority="7206" stopIfTrue="1">
      <formula>OR($A54="audio audit", $A54="text audit", $A54="speed violations count", $A54="speed violations list", $A54="speed violations audit")</formula>
    </cfRule>
  </conditionalFormatting>
  <conditionalFormatting sqref="A54">
    <cfRule type="expression" dxfId="23" priority="7207" stopIfTrue="1">
      <formula>OR($A54="username", $A54="phonenumber", $A54="start", $A54="end", $A54="deviceid", $A54="subscriberid", $A54="simserial", $A54="caseid")</formula>
    </cfRule>
  </conditionalFormatting>
  <conditionalFormatting sqref="A54">
    <cfRule type="expression" dxfId="24" priority="7208" stopIfTrue="1">
      <formula>OR(AND(LEFT($A54, 16)="select_multiple ", LEN($A54)&gt;16, NOT(ISNUMBER(SEARCH(" ", $A54, 17)))), AND(LEFT($A54, 11)="select_one ", LEN($A54)&gt;11, NOT(ISNUMBER(SEARCH(" ", $A54, 12)))))</formula>
    </cfRule>
  </conditionalFormatting>
  <conditionalFormatting sqref="A54">
    <cfRule type="expression" dxfId="25" priority="7209" stopIfTrue="1">
      <formula>$A54="decimal"</formula>
    </cfRule>
  </conditionalFormatting>
  <conditionalFormatting sqref="A54">
    <cfRule type="expression" dxfId="26" priority="7210" stopIfTrue="1">
      <formula>$A54="integer"</formula>
    </cfRule>
  </conditionalFormatting>
  <conditionalFormatting sqref="A54">
    <cfRule type="expression" dxfId="27" priority="7211" stopIfTrue="1">
      <formula>$A54="text"</formula>
    </cfRule>
  </conditionalFormatting>
  <conditionalFormatting sqref="A54">
    <cfRule type="expression" dxfId="28" priority="7212" stopIfTrue="1">
      <formula>$A54="end repeat"</formula>
    </cfRule>
  </conditionalFormatting>
  <conditionalFormatting sqref="A54">
    <cfRule type="expression" dxfId="28" priority="7213" stopIfTrue="1">
      <formula>$A54="begin repeat"</formula>
    </cfRule>
  </conditionalFormatting>
  <conditionalFormatting sqref="A54">
    <cfRule type="expression" dxfId="29" priority="7214" stopIfTrue="1">
      <formula>$A54="end group"</formula>
    </cfRule>
  </conditionalFormatting>
  <conditionalFormatting sqref="A54">
    <cfRule type="expression" dxfId="29" priority="7215" stopIfTrue="1">
      <formula>$A54="begin group"</formula>
    </cfRule>
  </conditionalFormatting>
  <conditionalFormatting sqref="A48:A52">
    <cfRule type="expression" dxfId="33" priority="7216" stopIfTrue="1">
      <formula>$A48="file"</formula>
    </cfRule>
  </conditionalFormatting>
  <conditionalFormatting sqref="A48:A52">
    <cfRule type="expression" dxfId="34" priority="7217" stopIfTrue="1">
      <formula>$A48="enumerator"</formula>
    </cfRule>
  </conditionalFormatting>
  <conditionalFormatting sqref="A48:A52">
    <cfRule type="expression" dxfId="35" priority="7218" stopIfTrue="1">
      <formula>OR(AND(LEFT($A48, 14)="sensor_stream ", LEN($A48)&gt;14, NOT(ISNUMBER(SEARCH(" ", $A48, 15)))), AND(LEFT($A48, 17)="sensor_statistic ", LEN($A48)&gt;17, NOT(ISNUMBER(SEARCH(" ", $A48, 18)))))</formula>
    </cfRule>
  </conditionalFormatting>
  <conditionalFormatting sqref="A48:A52">
    <cfRule type="expression" dxfId="14" priority="7219" stopIfTrue="1">
      <formula>$A48="comments"</formula>
    </cfRule>
  </conditionalFormatting>
  <conditionalFormatting sqref="A48:A52">
    <cfRule type="expression" dxfId="15" priority="7220" stopIfTrue="1">
      <formula>OR($A48="audio", $A48="video")</formula>
    </cfRule>
  </conditionalFormatting>
  <conditionalFormatting sqref="A48:A52">
    <cfRule type="expression" dxfId="16" priority="7221" stopIfTrue="1">
      <formula>$A48="image"</formula>
    </cfRule>
  </conditionalFormatting>
  <conditionalFormatting sqref="A48:A52">
    <cfRule type="expression" dxfId="17" priority="7222" stopIfTrue="1">
      <formula>OR($A48="date", $A48="datetime", $A48="time")</formula>
    </cfRule>
  </conditionalFormatting>
  <conditionalFormatting sqref="A48:A52">
    <cfRule type="expression" dxfId="18" priority="7223" stopIfTrue="1">
      <formula>OR($A48="calculate", $A48="calculate_here")</formula>
    </cfRule>
  </conditionalFormatting>
  <conditionalFormatting sqref="A48:A52">
    <cfRule type="expression" dxfId="19" priority="7224" stopIfTrue="1">
      <formula>$A48="note"</formula>
    </cfRule>
  </conditionalFormatting>
  <conditionalFormatting sqref="A48:A52">
    <cfRule type="expression" dxfId="20" priority="7225" stopIfTrue="1">
      <formula>$A48="barcode"</formula>
    </cfRule>
  </conditionalFormatting>
  <conditionalFormatting sqref="A48:A52">
    <cfRule type="expression" dxfId="21" priority="7226" stopIfTrue="1">
      <formula>OR($A48="geopoint", $A48="geoshape", $A48="geotrace")</formula>
    </cfRule>
  </conditionalFormatting>
  <conditionalFormatting sqref="A48:A52">
    <cfRule type="expression" dxfId="22" priority="7227" stopIfTrue="1">
      <formula>OR($A48="audio audit", $A48="text audit", $A48="speed violations count", $A48="speed violations list", $A48="speed violations audit")</formula>
    </cfRule>
  </conditionalFormatting>
  <conditionalFormatting sqref="A48:A52">
    <cfRule type="expression" dxfId="23" priority="7228" stopIfTrue="1">
      <formula>OR($A48="username", $A48="phonenumber", $A48="start", $A48="end", $A48="deviceid", $A48="subscriberid", $A48="simserial", $A48="caseid")</formula>
    </cfRule>
  </conditionalFormatting>
  <conditionalFormatting sqref="A48:A52">
    <cfRule type="expression" dxfId="24" priority="7229" stopIfTrue="1">
      <formula>OR(AND(LEFT($A48, 16)="select_multiple ", LEN($A48)&gt;16, NOT(ISNUMBER(SEARCH(" ", $A48, 17)))), AND(LEFT($A48, 11)="select_one ", LEN($A48)&gt;11, NOT(ISNUMBER(SEARCH(" ", $A48, 12)))))</formula>
    </cfRule>
  </conditionalFormatting>
  <conditionalFormatting sqref="A48:A52">
    <cfRule type="expression" dxfId="25" priority="7230" stopIfTrue="1">
      <formula>$A48="decimal"</formula>
    </cfRule>
  </conditionalFormatting>
  <conditionalFormatting sqref="A48:A52">
    <cfRule type="expression" dxfId="26" priority="7231" stopIfTrue="1">
      <formula>$A48="integer"</formula>
    </cfRule>
  </conditionalFormatting>
  <conditionalFormatting sqref="A48:A52">
    <cfRule type="expression" dxfId="27" priority="7232" stopIfTrue="1">
      <formula>$A48="text"</formula>
    </cfRule>
  </conditionalFormatting>
  <conditionalFormatting sqref="A48:A52">
    <cfRule type="expression" dxfId="28" priority="7233" stopIfTrue="1">
      <formula>$A48="end repeat"</formula>
    </cfRule>
  </conditionalFormatting>
  <conditionalFormatting sqref="A48:A52">
    <cfRule type="expression" dxfId="28" priority="7234" stopIfTrue="1">
      <formula>$A48="begin repeat"</formula>
    </cfRule>
  </conditionalFormatting>
  <conditionalFormatting sqref="A48:A52">
    <cfRule type="expression" dxfId="29" priority="7235" stopIfTrue="1">
      <formula>$A48="end group"</formula>
    </cfRule>
  </conditionalFormatting>
  <conditionalFormatting sqref="A48:A52">
    <cfRule type="expression" dxfId="29" priority="7236" stopIfTrue="1">
      <formula>$A48="begin group"</formula>
    </cfRule>
  </conditionalFormatting>
  <conditionalFormatting sqref="A34">
    <cfRule type="expression" dxfId="33" priority="7237" stopIfTrue="1">
      <formula>$A34="file"</formula>
    </cfRule>
  </conditionalFormatting>
  <conditionalFormatting sqref="A34">
    <cfRule type="expression" dxfId="34" priority="7238" stopIfTrue="1">
      <formula>$A34="enumerator"</formula>
    </cfRule>
  </conditionalFormatting>
  <conditionalFormatting sqref="A34">
    <cfRule type="expression" dxfId="35" priority="7239" stopIfTrue="1">
      <formula>OR(AND(LEFT($A34, 14)="sensor_stream ", LEN($A34)&gt;14, NOT(ISNUMBER(SEARCH(" ", $A34, 15)))), AND(LEFT($A34, 17)="sensor_statistic ", LEN($A34)&gt;17, NOT(ISNUMBER(SEARCH(" ", $A34, 18)))))</formula>
    </cfRule>
  </conditionalFormatting>
  <conditionalFormatting sqref="A34">
    <cfRule type="expression" dxfId="14" priority="7240" stopIfTrue="1">
      <formula>$A34="comments"</formula>
    </cfRule>
  </conditionalFormatting>
  <conditionalFormatting sqref="A34">
    <cfRule type="expression" dxfId="15" priority="7241" stopIfTrue="1">
      <formula>OR($A34="audio", $A34="video")</formula>
    </cfRule>
  </conditionalFormatting>
  <conditionalFormatting sqref="A34">
    <cfRule type="expression" dxfId="16" priority="7242" stopIfTrue="1">
      <formula>$A34="image"</formula>
    </cfRule>
  </conditionalFormatting>
  <conditionalFormatting sqref="A34">
    <cfRule type="expression" dxfId="17" priority="7243" stopIfTrue="1">
      <formula>OR($A34="date", $A34="datetime", $A34="time")</formula>
    </cfRule>
  </conditionalFormatting>
  <conditionalFormatting sqref="A34">
    <cfRule type="expression" dxfId="18" priority="7244" stopIfTrue="1">
      <formula>OR($A34="calculate", $A34="calculate_here")</formula>
    </cfRule>
  </conditionalFormatting>
  <conditionalFormatting sqref="A34">
    <cfRule type="expression" dxfId="19" priority="7245" stopIfTrue="1">
      <formula>$A34="note"</formula>
    </cfRule>
  </conditionalFormatting>
  <conditionalFormatting sqref="A34">
    <cfRule type="expression" dxfId="20" priority="7246" stopIfTrue="1">
      <formula>$A34="barcode"</formula>
    </cfRule>
  </conditionalFormatting>
  <conditionalFormatting sqref="A34">
    <cfRule type="expression" dxfId="21" priority="7247" stopIfTrue="1">
      <formula>OR($A34="geopoint", $A34="geoshape", $A34="geotrace")</formula>
    </cfRule>
  </conditionalFormatting>
  <conditionalFormatting sqref="A34">
    <cfRule type="expression" dxfId="22" priority="7248" stopIfTrue="1">
      <formula>OR($A34="audio audit", $A34="text audit", $A34="speed violations count", $A34="speed violations list", $A34="speed violations audit")</formula>
    </cfRule>
  </conditionalFormatting>
  <conditionalFormatting sqref="A34">
    <cfRule type="expression" dxfId="23" priority="7249" stopIfTrue="1">
      <formula>OR($A34="username", $A34="phonenumber", $A34="start", $A34="end", $A34="deviceid", $A34="subscriberid", $A34="simserial", $A34="caseid")</formula>
    </cfRule>
  </conditionalFormatting>
  <conditionalFormatting sqref="A34">
    <cfRule type="expression" dxfId="24" priority="7250" stopIfTrue="1">
      <formula>OR(AND(LEFT($A34, 16)="select_multiple ", LEN($A34)&gt;16, NOT(ISNUMBER(SEARCH(" ", $A34, 17)))), AND(LEFT($A34, 11)="select_one ", LEN($A34)&gt;11, NOT(ISNUMBER(SEARCH(" ", $A34, 12)))))</formula>
    </cfRule>
  </conditionalFormatting>
  <conditionalFormatting sqref="A34">
    <cfRule type="expression" dxfId="25" priority="7251" stopIfTrue="1">
      <formula>$A34="decimal"</formula>
    </cfRule>
  </conditionalFormatting>
  <conditionalFormatting sqref="A34">
    <cfRule type="expression" dxfId="26" priority="7252" stopIfTrue="1">
      <formula>$A34="integer"</formula>
    </cfRule>
  </conditionalFormatting>
  <conditionalFormatting sqref="A34">
    <cfRule type="expression" dxfId="27" priority="7253" stopIfTrue="1">
      <formula>$A34="text"</formula>
    </cfRule>
  </conditionalFormatting>
  <conditionalFormatting sqref="A34">
    <cfRule type="expression" dxfId="28" priority="7254" stopIfTrue="1">
      <formula>$A34="end repeat"</formula>
    </cfRule>
  </conditionalFormatting>
  <conditionalFormatting sqref="A34">
    <cfRule type="expression" dxfId="28" priority="7255" stopIfTrue="1">
      <formula>$A34="begin repeat"</formula>
    </cfRule>
  </conditionalFormatting>
  <conditionalFormatting sqref="A34">
    <cfRule type="expression" dxfId="29" priority="7256" stopIfTrue="1">
      <formula>$A34="end group"</formula>
    </cfRule>
  </conditionalFormatting>
  <conditionalFormatting sqref="A34">
    <cfRule type="expression" dxfId="29" priority="7257" stopIfTrue="1">
      <formula>$A34="begin group"</formula>
    </cfRule>
  </conditionalFormatting>
  <conditionalFormatting sqref="A24">
    <cfRule type="expression" dxfId="33" priority="7258" stopIfTrue="1">
      <formula>$A24="file"</formula>
    </cfRule>
  </conditionalFormatting>
  <conditionalFormatting sqref="A24">
    <cfRule type="expression" dxfId="34" priority="7259" stopIfTrue="1">
      <formula>$A24="enumerator"</formula>
    </cfRule>
  </conditionalFormatting>
  <conditionalFormatting sqref="A24">
    <cfRule type="expression" dxfId="35" priority="7260" stopIfTrue="1">
      <formula>OR(AND(LEFT($A24, 14)="sensor_stream ", LEN($A24)&gt;14, NOT(ISNUMBER(SEARCH(" ", $A24, 15)))), AND(LEFT($A24, 17)="sensor_statistic ", LEN($A24)&gt;17, NOT(ISNUMBER(SEARCH(" ", $A24, 18)))))</formula>
    </cfRule>
  </conditionalFormatting>
  <conditionalFormatting sqref="A24">
    <cfRule type="expression" dxfId="14" priority="7261" stopIfTrue="1">
      <formula>$A24="comments"</formula>
    </cfRule>
  </conditionalFormatting>
  <conditionalFormatting sqref="A24">
    <cfRule type="expression" dxfId="15" priority="7262" stopIfTrue="1">
      <formula>OR($A24="audio", $A24="video")</formula>
    </cfRule>
  </conditionalFormatting>
  <conditionalFormatting sqref="A24">
    <cfRule type="expression" dxfId="16" priority="7263" stopIfTrue="1">
      <formula>$A24="image"</formula>
    </cfRule>
  </conditionalFormatting>
  <conditionalFormatting sqref="A24">
    <cfRule type="expression" dxfId="17" priority="7264" stopIfTrue="1">
      <formula>OR($A24="date", $A24="datetime", $A24="time")</formula>
    </cfRule>
  </conditionalFormatting>
  <conditionalFormatting sqref="A24">
    <cfRule type="expression" dxfId="18" priority="7265" stopIfTrue="1">
      <formula>OR($A24="calculate", $A24="calculate_here")</formula>
    </cfRule>
  </conditionalFormatting>
  <conditionalFormatting sqref="A24">
    <cfRule type="expression" dxfId="19" priority="7266" stopIfTrue="1">
      <formula>$A24="note"</formula>
    </cfRule>
  </conditionalFormatting>
  <conditionalFormatting sqref="A24">
    <cfRule type="expression" dxfId="20" priority="7267" stopIfTrue="1">
      <formula>$A24="barcode"</formula>
    </cfRule>
  </conditionalFormatting>
  <conditionalFormatting sqref="A24">
    <cfRule type="expression" dxfId="21" priority="7268" stopIfTrue="1">
      <formula>OR($A24="geopoint", $A24="geoshape", $A24="geotrace")</formula>
    </cfRule>
  </conditionalFormatting>
  <conditionalFormatting sqref="A24">
    <cfRule type="expression" dxfId="22" priority="7269" stopIfTrue="1">
      <formula>OR($A24="audio audit", $A24="text audit", $A24="speed violations count", $A24="speed violations list", $A24="speed violations audit")</formula>
    </cfRule>
  </conditionalFormatting>
  <conditionalFormatting sqref="A24">
    <cfRule type="expression" dxfId="23" priority="7270" stopIfTrue="1">
      <formula>OR($A24="username", $A24="phonenumber", $A24="start", $A24="end", $A24="deviceid", $A24="subscriberid", $A24="simserial", $A24="caseid")</formula>
    </cfRule>
  </conditionalFormatting>
  <conditionalFormatting sqref="A24">
    <cfRule type="expression" dxfId="24" priority="7271" stopIfTrue="1">
      <formula>OR(AND(LEFT($A24, 16)="select_multiple ", LEN($A24)&gt;16, NOT(ISNUMBER(SEARCH(" ", $A24, 17)))), AND(LEFT($A24, 11)="select_one ", LEN($A24)&gt;11, NOT(ISNUMBER(SEARCH(" ", $A24, 12)))))</formula>
    </cfRule>
  </conditionalFormatting>
  <conditionalFormatting sqref="A24">
    <cfRule type="expression" dxfId="25" priority="7272" stopIfTrue="1">
      <formula>$A24="decimal"</formula>
    </cfRule>
  </conditionalFormatting>
  <conditionalFormatting sqref="A24">
    <cfRule type="expression" dxfId="26" priority="7273" stopIfTrue="1">
      <formula>$A24="integer"</formula>
    </cfRule>
  </conditionalFormatting>
  <conditionalFormatting sqref="A24">
    <cfRule type="expression" dxfId="27" priority="7274" stopIfTrue="1">
      <formula>$A24="text"</formula>
    </cfRule>
  </conditionalFormatting>
  <conditionalFormatting sqref="A24">
    <cfRule type="expression" dxfId="28" priority="7275" stopIfTrue="1">
      <formula>$A24="end repeat"</formula>
    </cfRule>
  </conditionalFormatting>
  <conditionalFormatting sqref="A24">
    <cfRule type="expression" dxfId="28" priority="7276" stopIfTrue="1">
      <formula>$A24="begin repeat"</formula>
    </cfRule>
  </conditionalFormatting>
  <conditionalFormatting sqref="A24">
    <cfRule type="expression" dxfId="29" priority="7277" stopIfTrue="1">
      <formula>$A24="end group"</formula>
    </cfRule>
  </conditionalFormatting>
  <conditionalFormatting sqref="A24">
    <cfRule type="expression" dxfId="29" priority="7278" stopIfTrue="1">
      <formula>$A24="begin group"</formula>
    </cfRule>
  </conditionalFormatting>
  <conditionalFormatting sqref="A20">
    <cfRule type="expression" dxfId="33" priority="7279" stopIfTrue="1">
      <formula>$A20="file"</formula>
    </cfRule>
  </conditionalFormatting>
  <conditionalFormatting sqref="A20">
    <cfRule type="expression" dxfId="34" priority="7280" stopIfTrue="1">
      <formula>$A20="enumerator"</formula>
    </cfRule>
  </conditionalFormatting>
  <conditionalFormatting sqref="A20">
    <cfRule type="expression" dxfId="35" priority="7281" stopIfTrue="1">
      <formula>OR(AND(LEFT($A20, 14)="sensor_stream ", LEN($A20)&gt;14, NOT(ISNUMBER(SEARCH(" ", $A20, 15)))), AND(LEFT($A20, 17)="sensor_statistic ", LEN($A20)&gt;17, NOT(ISNUMBER(SEARCH(" ", $A20, 18)))))</formula>
    </cfRule>
  </conditionalFormatting>
  <conditionalFormatting sqref="A20">
    <cfRule type="expression" dxfId="14" priority="7282" stopIfTrue="1">
      <formula>$A20="comments"</formula>
    </cfRule>
  </conditionalFormatting>
  <conditionalFormatting sqref="A20">
    <cfRule type="expression" dxfId="15" priority="7283" stopIfTrue="1">
      <formula>OR($A20="audio", $A20="video")</formula>
    </cfRule>
  </conditionalFormatting>
  <conditionalFormatting sqref="A20">
    <cfRule type="expression" dxfId="16" priority="7284" stopIfTrue="1">
      <formula>$A20="image"</formula>
    </cfRule>
  </conditionalFormatting>
  <conditionalFormatting sqref="A20">
    <cfRule type="expression" dxfId="17" priority="7285" stopIfTrue="1">
      <formula>OR($A20="date", $A20="datetime", $A20="time")</formula>
    </cfRule>
  </conditionalFormatting>
  <conditionalFormatting sqref="A20">
    <cfRule type="expression" dxfId="18" priority="7286" stopIfTrue="1">
      <formula>OR($A20="calculate", $A20="calculate_here")</formula>
    </cfRule>
  </conditionalFormatting>
  <conditionalFormatting sqref="A20">
    <cfRule type="expression" dxfId="19" priority="7287" stopIfTrue="1">
      <formula>$A20="note"</formula>
    </cfRule>
  </conditionalFormatting>
  <conditionalFormatting sqref="A20">
    <cfRule type="expression" dxfId="20" priority="7288" stopIfTrue="1">
      <formula>$A20="barcode"</formula>
    </cfRule>
  </conditionalFormatting>
  <conditionalFormatting sqref="A20">
    <cfRule type="expression" dxfId="21" priority="7289" stopIfTrue="1">
      <formula>OR($A20="geopoint", $A20="geoshape", $A20="geotrace")</formula>
    </cfRule>
  </conditionalFormatting>
  <conditionalFormatting sqref="A20">
    <cfRule type="expression" dxfId="22" priority="7290" stopIfTrue="1">
      <formula>OR($A20="audio audit", $A20="text audit", $A20="speed violations count", $A20="speed violations list", $A20="speed violations audit")</formula>
    </cfRule>
  </conditionalFormatting>
  <conditionalFormatting sqref="A20">
    <cfRule type="expression" dxfId="23" priority="7291" stopIfTrue="1">
      <formula>OR($A20="username", $A20="phonenumber", $A20="start", $A20="end", $A20="deviceid", $A20="subscriberid", $A20="simserial", $A20="caseid")</formula>
    </cfRule>
  </conditionalFormatting>
  <conditionalFormatting sqref="A20">
    <cfRule type="expression" dxfId="24" priority="7292" stopIfTrue="1">
      <formula>OR(AND(LEFT($A20, 16)="select_multiple ", LEN($A20)&gt;16, NOT(ISNUMBER(SEARCH(" ", $A20, 17)))), AND(LEFT($A20, 11)="select_one ", LEN($A20)&gt;11, NOT(ISNUMBER(SEARCH(" ", $A20, 12)))))</formula>
    </cfRule>
  </conditionalFormatting>
  <conditionalFormatting sqref="A20">
    <cfRule type="expression" dxfId="25" priority="7293" stopIfTrue="1">
      <formula>$A20="decimal"</formula>
    </cfRule>
  </conditionalFormatting>
  <conditionalFormatting sqref="A20">
    <cfRule type="expression" dxfId="26" priority="7294" stopIfTrue="1">
      <formula>$A20="integer"</formula>
    </cfRule>
  </conditionalFormatting>
  <conditionalFormatting sqref="A20">
    <cfRule type="expression" dxfId="27" priority="7295" stopIfTrue="1">
      <formula>$A20="text"</formula>
    </cfRule>
  </conditionalFormatting>
  <conditionalFormatting sqref="A20">
    <cfRule type="expression" dxfId="28" priority="7296" stopIfTrue="1">
      <formula>$A20="end repeat"</formula>
    </cfRule>
  </conditionalFormatting>
  <conditionalFormatting sqref="A20">
    <cfRule type="expression" dxfId="28" priority="7297" stopIfTrue="1">
      <formula>$A20="begin repeat"</formula>
    </cfRule>
  </conditionalFormatting>
  <conditionalFormatting sqref="A20">
    <cfRule type="expression" dxfId="29" priority="7298" stopIfTrue="1">
      <formula>$A20="end group"</formula>
    </cfRule>
  </conditionalFormatting>
  <conditionalFormatting sqref="A20">
    <cfRule type="expression" dxfId="29" priority="7299" stopIfTrue="1">
      <formula>$A20="begin group"</formula>
    </cfRule>
  </conditionalFormatting>
  <conditionalFormatting sqref="A18">
    <cfRule type="expression" dxfId="33" priority="7300" stopIfTrue="1">
      <formula>$A18="file"</formula>
    </cfRule>
  </conditionalFormatting>
  <conditionalFormatting sqref="A18">
    <cfRule type="expression" dxfId="34" priority="7301" stopIfTrue="1">
      <formula>$A18="enumerator"</formula>
    </cfRule>
  </conditionalFormatting>
  <conditionalFormatting sqref="A18">
    <cfRule type="expression" dxfId="35" priority="7302" stopIfTrue="1">
      <formula>OR(AND(LEFT($A18, 14)="sensor_stream ", LEN($A18)&gt;14, NOT(ISNUMBER(SEARCH(" ", $A18, 15)))), AND(LEFT($A18, 17)="sensor_statistic ", LEN($A18)&gt;17, NOT(ISNUMBER(SEARCH(" ", $A18, 18)))))</formula>
    </cfRule>
  </conditionalFormatting>
  <conditionalFormatting sqref="A18">
    <cfRule type="expression" dxfId="14" priority="7303" stopIfTrue="1">
      <formula>$A18="comments"</formula>
    </cfRule>
  </conditionalFormatting>
  <conditionalFormatting sqref="A18">
    <cfRule type="expression" dxfId="15" priority="7304" stopIfTrue="1">
      <formula>OR($A18="audio", $A18="video")</formula>
    </cfRule>
  </conditionalFormatting>
  <conditionalFormatting sqref="A18">
    <cfRule type="expression" dxfId="16" priority="7305" stopIfTrue="1">
      <formula>$A18="image"</formula>
    </cfRule>
  </conditionalFormatting>
  <conditionalFormatting sqref="A18">
    <cfRule type="expression" dxfId="17" priority="7306" stopIfTrue="1">
      <formula>OR($A18="date", $A18="datetime", $A18="time")</formula>
    </cfRule>
  </conditionalFormatting>
  <conditionalFormatting sqref="A18">
    <cfRule type="expression" dxfId="18" priority="7307" stopIfTrue="1">
      <formula>OR($A18="calculate", $A18="calculate_here")</formula>
    </cfRule>
  </conditionalFormatting>
  <conditionalFormatting sqref="A18">
    <cfRule type="expression" dxfId="19" priority="7308" stopIfTrue="1">
      <formula>$A18="note"</formula>
    </cfRule>
  </conditionalFormatting>
  <conditionalFormatting sqref="A18">
    <cfRule type="expression" dxfId="20" priority="7309" stopIfTrue="1">
      <formula>$A18="barcode"</formula>
    </cfRule>
  </conditionalFormatting>
  <conditionalFormatting sqref="A18">
    <cfRule type="expression" dxfId="21" priority="7310" stopIfTrue="1">
      <formula>OR($A18="geopoint", $A18="geoshape", $A18="geotrace")</formula>
    </cfRule>
  </conditionalFormatting>
  <conditionalFormatting sqref="A18">
    <cfRule type="expression" dxfId="22" priority="7311" stopIfTrue="1">
      <formula>OR($A18="audio audit", $A18="text audit", $A18="speed violations count", $A18="speed violations list", $A18="speed violations audit")</formula>
    </cfRule>
  </conditionalFormatting>
  <conditionalFormatting sqref="A18">
    <cfRule type="expression" dxfId="23" priority="7312" stopIfTrue="1">
      <formula>OR($A18="username", $A18="phonenumber", $A18="start", $A18="end", $A18="deviceid", $A18="subscriberid", $A18="simserial", $A18="caseid")</formula>
    </cfRule>
  </conditionalFormatting>
  <conditionalFormatting sqref="A18">
    <cfRule type="expression" dxfId="24" priority="7313" stopIfTrue="1">
      <formula>OR(AND(LEFT($A18, 16)="select_multiple ", LEN($A18)&gt;16, NOT(ISNUMBER(SEARCH(" ", $A18, 17)))), AND(LEFT($A18, 11)="select_one ", LEN($A18)&gt;11, NOT(ISNUMBER(SEARCH(" ", $A18, 12)))))</formula>
    </cfRule>
  </conditionalFormatting>
  <conditionalFormatting sqref="A18">
    <cfRule type="expression" dxfId="25" priority="7314" stopIfTrue="1">
      <formula>$A18="decimal"</formula>
    </cfRule>
  </conditionalFormatting>
  <conditionalFormatting sqref="A18">
    <cfRule type="expression" dxfId="26" priority="7315" stopIfTrue="1">
      <formula>$A18="integer"</formula>
    </cfRule>
  </conditionalFormatting>
  <conditionalFormatting sqref="A18">
    <cfRule type="expression" dxfId="27" priority="7316" stopIfTrue="1">
      <formula>$A18="text"</formula>
    </cfRule>
  </conditionalFormatting>
  <conditionalFormatting sqref="A18">
    <cfRule type="expression" dxfId="28" priority="7317" stopIfTrue="1">
      <formula>$A18="end repeat"</formula>
    </cfRule>
  </conditionalFormatting>
  <conditionalFormatting sqref="A18">
    <cfRule type="expression" dxfId="28" priority="7318" stopIfTrue="1">
      <formula>$A18="begin repeat"</formula>
    </cfRule>
  </conditionalFormatting>
  <conditionalFormatting sqref="A18">
    <cfRule type="expression" dxfId="29" priority="7319" stopIfTrue="1">
      <formula>$A18="end group"</formula>
    </cfRule>
  </conditionalFormatting>
  <conditionalFormatting sqref="A18">
    <cfRule type="expression" dxfId="29" priority="7320" stopIfTrue="1">
      <formula>$A18="begin group"</formula>
    </cfRule>
  </conditionalFormatting>
  <conditionalFormatting sqref="A14:A16">
    <cfRule type="expression" dxfId="33" priority="7321" stopIfTrue="1">
      <formula>$A14="file"</formula>
    </cfRule>
  </conditionalFormatting>
  <conditionalFormatting sqref="A14:A16">
    <cfRule type="expression" dxfId="34" priority="7322" stopIfTrue="1">
      <formula>$A14="enumerator"</formula>
    </cfRule>
  </conditionalFormatting>
  <conditionalFormatting sqref="A14:A16">
    <cfRule type="expression" dxfId="35" priority="7323" stopIfTrue="1">
      <formula>OR(AND(LEFT($A14, 14)="sensor_stream ", LEN($A14)&gt;14, NOT(ISNUMBER(SEARCH(" ", $A14, 15)))), AND(LEFT($A14, 17)="sensor_statistic ", LEN($A14)&gt;17, NOT(ISNUMBER(SEARCH(" ", $A14, 18)))))</formula>
    </cfRule>
  </conditionalFormatting>
  <conditionalFormatting sqref="A14:A16">
    <cfRule type="expression" dxfId="14" priority="7324" stopIfTrue="1">
      <formula>$A14="comments"</formula>
    </cfRule>
  </conditionalFormatting>
  <conditionalFormatting sqref="A14:A16">
    <cfRule type="expression" dxfId="15" priority="7325" stopIfTrue="1">
      <formula>OR($A14="audio", $A14="video")</formula>
    </cfRule>
  </conditionalFormatting>
  <conditionalFormatting sqref="A14:A16">
    <cfRule type="expression" dxfId="16" priority="7326" stopIfTrue="1">
      <formula>$A14="image"</formula>
    </cfRule>
  </conditionalFormatting>
  <conditionalFormatting sqref="A14:A16">
    <cfRule type="expression" dxfId="17" priority="7327" stopIfTrue="1">
      <formula>OR($A14="date", $A14="datetime", $A14="time")</formula>
    </cfRule>
  </conditionalFormatting>
  <conditionalFormatting sqref="A14:A16">
    <cfRule type="expression" dxfId="18" priority="7328" stopIfTrue="1">
      <formula>OR($A14="calculate", $A14="calculate_here")</formula>
    </cfRule>
  </conditionalFormatting>
  <conditionalFormatting sqref="A14:A16">
    <cfRule type="expression" dxfId="19" priority="7329" stopIfTrue="1">
      <formula>$A14="note"</formula>
    </cfRule>
  </conditionalFormatting>
  <conditionalFormatting sqref="A14:A16">
    <cfRule type="expression" dxfId="20" priority="7330" stopIfTrue="1">
      <formula>$A14="barcode"</formula>
    </cfRule>
  </conditionalFormatting>
  <conditionalFormatting sqref="A14:A16">
    <cfRule type="expression" dxfId="21" priority="7331" stopIfTrue="1">
      <formula>OR($A14="geopoint", $A14="geoshape", $A14="geotrace")</formula>
    </cfRule>
  </conditionalFormatting>
  <conditionalFormatting sqref="A14:A16">
    <cfRule type="expression" dxfId="22" priority="7332" stopIfTrue="1">
      <formula>OR($A14="audio audit", $A14="text audit", $A14="speed violations count", $A14="speed violations list", $A14="speed violations audit")</formula>
    </cfRule>
  </conditionalFormatting>
  <conditionalFormatting sqref="A14:A16">
    <cfRule type="expression" dxfId="23" priority="7333" stopIfTrue="1">
      <formula>OR($A14="username", $A14="phonenumber", $A14="start", $A14="end", $A14="deviceid", $A14="subscriberid", $A14="simserial", $A14="caseid")</formula>
    </cfRule>
  </conditionalFormatting>
  <conditionalFormatting sqref="A14:A16">
    <cfRule type="expression" dxfId="24" priority="7334" stopIfTrue="1">
      <formula>OR(AND(LEFT($A14, 16)="select_multiple ", LEN($A14)&gt;16, NOT(ISNUMBER(SEARCH(" ", $A14, 17)))), AND(LEFT($A14, 11)="select_one ", LEN($A14)&gt;11, NOT(ISNUMBER(SEARCH(" ", $A14, 12)))))</formula>
    </cfRule>
  </conditionalFormatting>
  <conditionalFormatting sqref="A14:A16">
    <cfRule type="expression" dxfId="25" priority="7335" stopIfTrue="1">
      <formula>$A14="decimal"</formula>
    </cfRule>
  </conditionalFormatting>
  <conditionalFormatting sqref="A14:A16">
    <cfRule type="expression" dxfId="26" priority="7336" stopIfTrue="1">
      <formula>$A14="integer"</formula>
    </cfRule>
  </conditionalFormatting>
  <conditionalFormatting sqref="A14:A16">
    <cfRule type="expression" dxfId="27" priority="7337" stopIfTrue="1">
      <formula>$A14="text"</formula>
    </cfRule>
  </conditionalFormatting>
  <conditionalFormatting sqref="A14:A16">
    <cfRule type="expression" dxfId="28" priority="7338" stopIfTrue="1">
      <formula>$A14="end repeat"</formula>
    </cfRule>
  </conditionalFormatting>
  <conditionalFormatting sqref="A14:A16">
    <cfRule type="expression" dxfId="28" priority="7339" stopIfTrue="1">
      <formula>$A14="begin repeat"</formula>
    </cfRule>
  </conditionalFormatting>
  <conditionalFormatting sqref="A14:A16">
    <cfRule type="expression" dxfId="29" priority="7340" stopIfTrue="1">
      <formula>$A14="end group"</formula>
    </cfRule>
  </conditionalFormatting>
  <conditionalFormatting sqref="A14:A16">
    <cfRule type="expression" dxfId="29" priority="7341" stopIfTrue="1">
      <formula>$A14="begin group"</formula>
    </cfRule>
  </conditionalFormatting>
  <conditionalFormatting sqref="A10">
    <cfRule type="expression" dxfId="33" priority="7342" stopIfTrue="1">
      <formula>$A10="file"</formula>
    </cfRule>
  </conditionalFormatting>
  <conditionalFormatting sqref="A10">
    <cfRule type="expression" dxfId="34" priority="7343" stopIfTrue="1">
      <formula>$A10="enumerator"</formula>
    </cfRule>
  </conditionalFormatting>
  <conditionalFormatting sqref="A10">
    <cfRule type="expression" dxfId="35" priority="7344" stopIfTrue="1">
      <formula>OR(AND(LEFT($A10, 14)="sensor_stream ", LEN($A10)&gt;14, NOT(ISNUMBER(SEARCH(" ", $A10, 15)))), AND(LEFT($A10, 17)="sensor_statistic ", LEN($A10)&gt;17, NOT(ISNUMBER(SEARCH(" ", $A10, 18)))))</formula>
    </cfRule>
  </conditionalFormatting>
  <conditionalFormatting sqref="A10">
    <cfRule type="expression" dxfId="14" priority="7345" stopIfTrue="1">
      <formula>$A10="comments"</formula>
    </cfRule>
  </conditionalFormatting>
  <conditionalFormatting sqref="A10">
    <cfRule type="expression" dxfId="15" priority="7346" stopIfTrue="1">
      <formula>OR($A10="audio", $A10="video")</formula>
    </cfRule>
  </conditionalFormatting>
  <conditionalFormatting sqref="A10">
    <cfRule type="expression" dxfId="16" priority="7347" stopIfTrue="1">
      <formula>$A10="image"</formula>
    </cfRule>
  </conditionalFormatting>
  <conditionalFormatting sqref="A10">
    <cfRule type="expression" dxfId="17" priority="7348" stopIfTrue="1">
      <formula>OR($A10="date", $A10="datetime", $A10="time")</formula>
    </cfRule>
  </conditionalFormatting>
  <conditionalFormatting sqref="A10">
    <cfRule type="expression" dxfId="18" priority="7349" stopIfTrue="1">
      <formula>OR($A10="calculate", $A10="calculate_here")</formula>
    </cfRule>
  </conditionalFormatting>
  <conditionalFormatting sqref="A10">
    <cfRule type="expression" dxfId="19" priority="7350" stopIfTrue="1">
      <formula>$A10="note"</formula>
    </cfRule>
  </conditionalFormatting>
  <conditionalFormatting sqref="A10">
    <cfRule type="expression" dxfId="20" priority="7351" stopIfTrue="1">
      <formula>$A10="barcode"</formula>
    </cfRule>
  </conditionalFormatting>
  <conditionalFormatting sqref="A10">
    <cfRule type="expression" dxfId="21" priority="7352" stopIfTrue="1">
      <formula>OR($A10="geopoint", $A10="geoshape", $A10="geotrace")</formula>
    </cfRule>
  </conditionalFormatting>
  <conditionalFormatting sqref="A10">
    <cfRule type="expression" dxfId="22" priority="7353" stopIfTrue="1">
      <formula>OR($A10="audio audit", $A10="text audit", $A10="speed violations count", $A10="speed violations list", $A10="speed violations audit")</formula>
    </cfRule>
  </conditionalFormatting>
  <conditionalFormatting sqref="A10">
    <cfRule type="expression" dxfId="23" priority="7354" stopIfTrue="1">
      <formula>OR($A10="username", $A10="phonenumber", $A10="start", $A10="end", $A10="deviceid", $A10="subscriberid", $A10="simserial", $A10="caseid")</formula>
    </cfRule>
  </conditionalFormatting>
  <conditionalFormatting sqref="A10">
    <cfRule type="expression" dxfId="24" priority="7355" stopIfTrue="1">
      <formula>OR(AND(LEFT($A10, 16)="select_multiple ", LEN($A10)&gt;16, NOT(ISNUMBER(SEARCH(" ", $A10, 17)))), AND(LEFT($A10, 11)="select_one ", LEN($A10)&gt;11, NOT(ISNUMBER(SEARCH(" ", $A10, 12)))))</formula>
    </cfRule>
  </conditionalFormatting>
  <conditionalFormatting sqref="A10">
    <cfRule type="expression" dxfId="25" priority="7356" stopIfTrue="1">
      <formula>$A10="decimal"</formula>
    </cfRule>
  </conditionalFormatting>
  <conditionalFormatting sqref="A10">
    <cfRule type="expression" dxfId="26" priority="7357" stopIfTrue="1">
      <formula>$A10="integer"</formula>
    </cfRule>
  </conditionalFormatting>
  <conditionalFormatting sqref="A10">
    <cfRule type="expression" dxfId="27" priority="7358" stopIfTrue="1">
      <formula>$A10="text"</formula>
    </cfRule>
  </conditionalFormatting>
  <conditionalFormatting sqref="A10">
    <cfRule type="expression" dxfId="28" priority="7359" stopIfTrue="1">
      <formula>$A10="end repeat"</formula>
    </cfRule>
  </conditionalFormatting>
  <conditionalFormatting sqref="A10">
    <cfRule type="expression" dxfId="28" priority="7360" stopIfTrue="1">
      <formula>$A10="begin repeat"</formula>
    </cfRule>
  </conditionalFormatting>
  <conditionalFormatting sqref="A10">
    <cfRule type="expression" dxfId="29" priority="7361" stopIfTrue="1">
      <formula>$A10="end group"</formula>
    </cfRule>
  </conditionalFormatting>
  <conditionalFormatting sqref="A10">
    <cfRule type="expression" dxfId="29" priority="7362" stopIfTrue="1">
      <formula>$A10="begin group"</formula>
    </cfRule>
  </conditionalFormatting>
  <conditionalFormatting sqref="A1">
    <cfRule type="expression" dxfId="33" priority="7363" stopIfTrue="1">
      <formula>$A1="file"</formula>
    </cfRule>
  </conditionalFormatting>
  <conditionalFormatting sqref="A1">
    <cfRule type="expression" dxfId="34" priority="7364" stopIfTrue="1">
      <formula>$A1="enumerator"</formula>
    </cfRule>
  </conditionalFormatting>
  <conditionalFormatting sqref="A1">
    <cfRule type="expression" dxfId="35" priority="7365" stopIfTrue="1">
      <formula>OR(AND(LEFT($A1, 14)="sensor_stream ", LEN($A1)&gt;14, NOT(ISNUMBER(SEARCH(" ", $A1, 15)))), AND(LEFT($A1, 17)="sensor_statistic ", LEN($A1)&gt;17, NOT(ISNUMBER(SEARCH(" ", $A1, 18)))))</formula>
    </cfRule>
  </conditionalFormatting>
  <conditionalFormatting sqref="A1">
    <cfRule type="expression" dxfId="14" priority="7366" stopIfTrue="1">
      <formula>$A1="comments"</formula>
    </cfRule>
  </conditionalFormatting>
  <conditionalFormatting sqref="A1">
    <cfRule type="expression" dxfId="15" priority="7367" stopIfTrue="1">
      <formula>OR($A1="audio", $A1="video")</formula>
    </cfRule>
  </conditionalFormatting>
  <conditionalFormatting sqref="A1">
    <cfRule type="expression" dxfId="16" priority="7368" stopIfTrue="1">
      <formula>$A1="image"</formula>
    </cfRule>
  </conditionalFormatting>
  <conditionalFormatting sqref="A1">
    <cfRule type="expression" dxfId="17" priority="7369" stopIfTrue="1">
      <formula>OR($A1="date", $A1="datetime", $A1="time")</formula>
    </cfRule>
  </conditionalFormatting>
  <conditionalFormatting sqref="A1">
    <cfRule type="expression" dxfId="18" priority="7370" stopIfTrue="1">
      <formula>OR($A1="calculate", $A1="calculate_here")</formula>
    </cfRule>
  </conditionalFormatting>
  <conditionalFormatting sqref="A1">
    <cfRule type="expression" dxfId="19" priority="7371" stopIfTrue="1">
      <formula>$A1="note"</formula>
    </cfRule>
  </conditionalFormatting>
  <conditionalFormatting sqref="A1">
    <cfRule type="expression" dxfId="20" priority="7372" stopIfTrue="1">
      <formula>$A1="barcode"</formula>
    </cfRule>
  </conditionalFormatting>
  <conditionalFormatting sqref="A1">
    <cfRule type="expression" dxfId="21" priority="7373" stopIfTrue="1">
      <formula>OR($A1="geopoint", $A1="geoshape", $A1="geotrace")</formula>
    </cfRule>
  </conditionalFormatting>
  <conditionalFormatting sqref="A1">
    <cfRule type="expression" dxfId="22" priority="7374" stopIfTrue="1">
      <formula>OR($A1="audio audit", $A1="text audit", $A1="speed violations count", $A1="speed violations list", $A1="speed violations audit")</formula>
    </cfRule>
  </conditionalFormatting>
  <conditionalFormatting sqref="A1">
    <cfRule type="expression" dxfId="23" priority="7375" stopIfTrue="1">
      <formula>OR($A1="username", $A1="phonenumber", $A1="start", $A1="end", $A1="deviceid", $A1="subscriberid", $A1="simserial", $A1="caseid")</formula>
    </cfRule>
  </conditionalFormatting>
  <conditionalFormatting sqref="A1">
    <cfRule type="expression" dxfId="24" priority="7376" stopIfTrue="1">
      <formula>OR(AND(LEFT($A1, 16)="select_multiple ", LEN($A1)&gt;16, NOT(ISNUMBER(SEARCH(" ", $A1, 17)))), AND(LEFT($A1, 11)="select_one ", LEN($A1)&gt;11, NOT(ISNUMBER(SEARCH(" ", $A1, 12)))))</formula>
    </cfRule>
  </conditionalFormatting>
  <conditionalFormatting sqref="A1">
    <cfRule type="expression" dxfId="25" priority="7377" stopIfTrue="1">
      <formula>$A1="decimal"</formula>
    </cfRule>
  </conditionalFormatting>
  <conditionalFormatting sqref="A1">
    <cfRule type="expression" dxfId="26" priority="7378" stopIfTrue="1">
      <formula>$A1="integer"</formula>
    </cfRule>
  </conditionalFormatting>
  <conditionalFormatting sqref="A1">
    <cfRule type="expression" dxfId="27" priority="7379" stopIfTrue="1">
      <formula>$A1="text"</formula>
    </cfRule>
  </conditionalFormatting>
  <conditionalFormatting sqref="A1">
    <cfRule type="expression" dxfId="28" priority="7380" stopIfTrue="1">
      <formula>$A1="end repeat"</formula>
    </cfRule>
  </conditionalFormatting>
  <conditionalFormatting sqref="A1">
    <cfRule type="expression" dxfId="28" priority="7381" stopIfTrue="1">
      <formula>$A1="begin repeat"</formula>
    </cfRule>
  </conditionalFormatting>
  <conditionalFormatting sqref="A1">
    <cfRule type="expression" dxfId="29" priority="7382" stopIfTrue="1">
      <formula>$A1="end group"</formula>
    </cfRule>
  </conditionalFormatting>
  <conditionalFormatting sqref="A1">
    <cfRule type="expression" dxfId="29" priority="7383" stopIfTrue="1">
      <formula>$A1="begin group"</formula>
    </cfRule>
  </conditionalFormatting>
  <drawing r:id="rId1"/>
</worksheet>
</file>